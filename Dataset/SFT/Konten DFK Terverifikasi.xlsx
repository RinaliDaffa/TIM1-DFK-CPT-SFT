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Full PRD" sheetId="1" r:id="rId5"/>
    <sheet state="visible" name="Detail data recap" sheetId="2" r:id="rId6"/>
  </sheets>
  <definedNames>
    <definedName hidden="1" localSheetId="1" name="_xlnm._FilterDatabase">'Detail data recap'!$J$1:$J$554</definedName>
  </definedNames>
  <calcPr/>
</workbook>
</file>

<file path=xl/sharedStrings.xml><?xml version="1.0" encoding="utf-8"?>
<sst xmlns="http://schemas.openxmlformats.org/spreadsheetml/2006/main" count="24912" uniqueCount="7032">
  <si>
    <t>Tanggal</t>
  </si>
  <si>
    <t>Sheet</t>
  </si>
  <si>
    <t>status copy ke sheet detail data recap</t>
  </si>
  <si>
    <t>-</t>
  </si>
  <si>
    <r>
      <rPr>
        <rFont val="Cambria"/>
        <color rgb="FF1155CC"/>
        <sz val="11.0"/>
        <u/>
      </rPr>
      <t>https://docs.google.com/spreadsheets/d/1zEbuvyDWRbmR0ouFYeK7tbEaVxcq8UzTKwLwS0dk2dQ/edit?gid=1976259096#gid=1976259096</t>
    </r>
  </si>
  <si>
    <t>https://docs.google.com/spreadsheets/d/1ODAY3E1z7OGF2LzO8aUqpnjmGToSwxyc3PPioZ4DwW0/edit?gid=2033784974#gid=2033784974</t>
  </si>
  <si>
    <t>https://docs.google.com/spreadsheets/d/13Fc8-a9pHJACWm6Y_t3k-GSQCaRCk6KjTvbp7nJwb9k/edit?gid=1341467536#gid=1341467536</t>
  </si>
  <si>
    <t>link ke 6 september</t>
  </si>
  <si>
    <r>
      <rPr>
        <rFont val="Cambria"/>
        <color rgb="FF1155CC"/>
        <sz val="11.0"/>
        <u/>
      </rPr>
      <t>https://docs.google.com/spreadsheets/d/1vLRgwK6hjZP6hhMuz2o8rLQ6kB11V0d31foypVTukps/edit?gid=1341467536#gid=1341467536</t>
    </r>
  </si>
  <si>
    <r>
      <rPr>
        <rFont val="Cambria"/>
        <color rgb="FF1155CC"/>
        <sz val="11.0"/>
        <u/>
      </rPr>
      <t>https://docs.google.com/spreadsheets/d/1JbzWTCXPa_xobBbKc9ChLSIe7ntEVowtqYT2WiqTAtc/edit?gid=1341467536#gid=1341467536</t>
    </r>
  </si>
  <si>
    <r>
      <rPr>
        <rFont val="Cambria"/>
        <color rgb="FF1155CC"/>
        <sz val="11.0"/>
        <u/>
      </rPr>
      <t>https://docs.google.com/spreadsheets/d/1YNPeOcVVH84Z6yaayqnF3iWqSaHs-QpfCGBqUyxuwjc/edit?gid=1341467536#gid=1341467536</t>
    </r>
  </si>
  <si>
    <r>
      <rPr>
        <rFont val="Cambria"/>
        <color rgb="FF1155CC"/>
        <sz val="11.0"/>
        <u/>
      </rPr>
      <t>https://docs.google.com/spreadsheets/d/1Hrq-3imWRf7v7AC2sGZK6pmc6S0FGRXmWkvBZWp9Jng/edit?gid=1497482966#gid=1497482966</t>
    </r>
  </si>
  <si>
    <r>
      <rPr>
        <rFont val="Cambria"/>
        <color rgb="FF1155CC"/>
        <sz val="11.0"/>
        <u/>
      </rPr>
      <t>https://docs.google.com/spreadsheets/d/128p3osIaEKh8h4URNzEyKXx6dnqgBDD_ecr-gvogR7g/edit?gid=1497482966#gid=1497482966</t>
    </r>
  </si>
  <si>
    <r>
      <rPr>
        <rFont val="Cambria"/>
        <color rgb="FF1155CC"/>
        <sz val="11.0"/>
        <u/>
      </rPr>
      <t>https://docs.google.com/spreadsheets/d/1B9MinJWQVxSNOKjLg_eOgpKcqiQ4le9o9DsauUoBQQk/edit?gid=1497482966#gid=1497482966</t>
    </r>
  </si>
  <si>
    <r>
      <rPr>
        <rFont val="Cambria"/>
        <color rgb="FF1155CC"/>
        <sz val="11.0"/>
        <u/>
      </rPr>
      <t>https://docs.google.com/spreadsheets/d/1EjO7bhJJHwE3SLtyZVvnKS5VZwp19l8BRF2Pvvy_ufA/edit?gid=1497482966#gid=1497482966</t>
    </r>
  </si>
  <si>
    <r>
      <rPr>
        <rFont val="Cambria"/>
        <color rgb="FF1155CC"/>
        <sz val="11.0"/>
        <u/>
      </rPr>
      <t>https://docs.google.com/spreadsheets/d/1O5SrGJRLCBWjq1-fAxi62dcuOOhoyTt8u_ilKzR77e4/edit?gid=1341467536#gid=1341467536</t>
    </r>
  </si>
  <si>
    <r>
      <rPr>
        <rFont val="Cambria"/>
        <color rgb="FF1155CC"/>
        <sz val="11.0"/>
        <u/>
      </rPr>
      <t>https://docs.google.com/spreadsheets/d/1GBzwl_PlVmpO5NCybNiYNM54vmRiinPRCSd7-YpZtHE/edit?gid=1497482966#gid=1497482966</t>
    </r>
  </si>
  <si>
    <r>
      <rPr>
        <rFont val="Cambria"/>
        <color rgb="FF1155CC"/>
        <sz val="11.0"/>
        <u/>
      </rPr>
      <t>https://docs.google.com/spreadsheets/d/1zOVMgLF_LLvjqrYVMmlrwb2Do3cpdiv-u89jb0etBvk/edit?gid=1497482966#gid=1497482966</t>
    </r>
  </si>
  <si>
    <r>
      <rPr>
        <rFont val="Cambria"/>
        <color rgb="FF1155CC"/>
        <sz val="11.0"/>
        <u/>
      </rPr>
      <t>https://docs.google.com/spreadsheets/d/13bXp4YCuvCNA58JfDs3_8ovzffxDW0gmd9Rl5--ZEIE/edit?gid=1497482966#gid=1497482966</t>
    </r>
  </si>
  <si>
    <r>
      <rPr>
        <rFont val="Cambria"/>
        <color rgb="FF1155CC"/>
        <sz val="11.0"/>
        <u/>
      </rPr>
      <t>https://docs.google.com/spreadsheets/d/1Ywp7KpBDcyJCkmqLIH7uQJxyS5eajbo0oKOfxMRvieE/edit?gid=1497482966#gid=1497482966</t>
    </r>
  </si>
  <si>
    <r>
      <rPr>
        <rFont val="Cambria"/>
        <color rgb="FF1155CC"/>
        <sz val="11.0"/>
        <u/>
      </rPr>
      <t>https://docs.google.com/spreadsheets/d/1uq2bchEnJYCpzZtCaNB5fQ0Y_AD0Rif2SArlnqZ5x9Q/edit?gid=1497482966#gid=1497482966</t>
    </r>
  </si>
  <si>
    <r>
      <rPr>
        <rFont val="Cambria"/>
        <color rgb="FF1155CC"/>
        <sz val="11.0"/>
        <u/>
      </rPr>
      <t>https://docs.google.com/spreadsheets/d/1kTtiWPRE-Tr4C9vAKkM4WxSJeGPUzlupznp8Mr0PTLw/edit?gid=1497482966#gid=1497482966</t>
    </r>
  </si>
  <si>
    <r>
      <rPr>
        <rFont val="Cambria"/>
        <color rgb="FF1155CC"/>
        <sz val="11.0"/>
        <u/>
      </rPr>
      <t>https://docs.google.com/spreadsheets/d/1znprA1i0UrCMyTsvdKWAyNFo1UKOC5utCW98k6qBjZc/edit?gid=1497482966#gid=1497482966</t>
    </r>
  </si>
  <si>
    <r>
      <rPr>
        <rFont val="Cambria"/>
        <color rgb="FF1155CC"/>
        <sz val="11.0"/>
        <u/>
      </rPr>
      <t>https://docs.google.com/spreadsheets/d/1CNJji_F7u2l6o5dcHZWHPNjOkdSLXLpnveQxWHOBM10/edit?gid=1497482966#gid=1497482966</t>
    </r>
  </si>
  <si>
    <r>
      <rPr>
        <rFont val="Cambria"/>
        <color rgb="FF1155CC"/>
        <sz val="11.0"/>
        <u/>
      </rPr>
      <t>https://docs.google.com/spreadsheets/d/1UD3ijrrndNzu5YSG-WcN4NtqqEbICSEeUDNdz8vZlKA/edit?gid=1341467536#gid=1341467536</t>
    </r>
  </si>
  <si>
    <r>
      <rPr>
        <rFont val="Cambria"/>
        <color rgb="FF1155CC"/>
        <sz val="11.0"/>
        <u/>
      </rPr>
      <t>https://docs.google.com/spreadsheets/d/1OcRa6-2g8aCvfVcwbdiK6DQl66Y3ayvSqHuMu_p6SOM/edit?gid=1497482966#gid=1497482966</t>
    </r>
  </si>
  <si>
    <r>
      <rPr>
        <rFont val="Cambria"/>
        <color rgb="FF1155CC"/>
        <sz val="11.0"/>
        <u/>
      </rPr>
      <t>https://docs.google.com/spreadsheets/d/1Qj5TtaT6samgMB1Hf0JpicHdH8xln1JJu4y8wxlmk2s/edit?gid=1497482966#gid=1497482966</t>
    </r>
  </si>
  <si>
    <r>
      <rPr>
        <rFont val="Cambria"/>
        <color rgb="FF1155CC"/>
        <sz val="11.0"/>
        <u/>
      </rPr>
      <t>https://docs.google.com/spreadsheets/d/1aTehqGoSbWke05Vq-F5_0itcztwxWRhYkuW8kZTQCD0/edit?gid=1497482966#gid=1497482966</t>
    </r>
  </si>
  <si>
    <r>
      <rPr>
        <rFont val="Cambria"/>
        <color rgb="FF1155CC"/>
        <sz val="11.0"/>
        <u/>
      </rPr>
      <t>https://docs.google.com/spreadsheets/d/1UY-j0xgr_fAZy0NTbUA09t0Hu4u0SMBd9elvJEXYphc/edit?gid=1497482966#gid=1497482966</t>
    </r>
  </si>
  <si>
    <r>
      <rPr>
        <rFont val="Cambria"/>
        <color rgb="FF1155CC"/>
        <sz val="11.0"/>
        <u/>
      </rPr>
      <t>https://docs.google.com/spreadsheets/d/1wfV0kL3IYcOIixYnK97bx-CHS-oLwgFvQMXdEH-Kkqk/edit?gid=1497482966#gid=1497482966</t>
    </r>
  </si>
  <si>
    <r>
      <rPr>
        <rFont val="Cambria"/>
        <color rgb="FF1155CC"/>
        <sz val="11.0"/>
        <u/>
      </rPr>
      <t>https://docs.google.com/spreadsheets/d/1uT7u1GaubedVaTK7SLPRq_gMtCy5EmWvlWB7vZvpdyU/edit?gid=1497482966#gid=1497482966</t>
    </r>
  </si>
  <si>
    <r>
      <rPr>
        <rFont val="Cambria"/>
        <color rgb="FF1155CC"/>
        <sz val="11.0"/>
        <u/>
      </rPr>
      <t>https://docs.google.com/spreadsheets/d/15E_rnclpty5ezrHH_-03x-UjLU14YKIogJv9xxN5SpE/edit?gid=1341467536#gid=1341467536</t>
    </r>
  </si>
  <si>
    <r>
      <rPr>
        <rFont val="Cambria"/>
        <color rgb="FF1155CC"/>
        <sz val="11.0"/>
        <u/>
      </rPr>
      <t>https://docs.google.com/spreadsheets/d/1fml_kNac2dz3no39aC_LZll3sW9qRceJqMRpOzZafpE/edit?gid=2033784974#gid=2033784974</t>
    </r>
  </si>
  <si>
    <r>
      <rPr>
        <rFont val="Cambria"/>
        <color rgb="FF1155CC"/>
        <sz val="11.0"/>
        <u/>
      </rPr>
      <t>https://docs.google.com/spreadsheets/d/1Edo_FuxNlaCcpxEtJPRKAwhAdc2IZuQ9RgVyOg2UO20/edit?gid=2033784974#gid=2033784974</t>
    </r>
  </si>
  <si>
    <r>
      <rPr>
        <rFont val="Cambria"/>
        <color rgb="FF1155CC"/>
        <sz val="11.0"/>
        <u/>
      </rPr>
      <t>https://docs.google.com/spreadsheets/d/1RYyFCrpviNi_Zdkr79uGsCVCSNp1aIxAzBOPU1xQ8V8/edit?gid=2033784974#gid=2033784974</t>
    </r>
  </si>
  <si>
    <r>
      <rPr>
        <rFont val="Cambria"/>
        <color rgb="FF1155CC"/>
        <sz val="11.0"/>
        <u/>
      </rPr>
      <t>https://docs.google.com/spreadsheets/d/1mwtggHbGFhUmbMCBv2fbLU0JZfTCJV1ftedZBL4rCSA/edit?gid=2033784974#gid=2033784974</t>
    </r>
  </si>
  <si>
    <r>
      <rPr>
        <rFont val="Cambria"/>
        <color rgb="FF1155CC"/>
        <sz val="11.0"/>
        <u/>
      </rPr>
      <t>https://docs.google.com/spreadsheets/d/11dZeiUqdvruIZn_m8tjH312BlhgsFFonv6wjkPmiYl4/edit?gid=2033784974#gid=2033784974</t>
    </r>
  </si>
  <si>
    <r>
      <rPr>
        <rFont val="Cambria"/>
        <color rgb="FF1155CC"/>
        <sz val="11.0"/>
        <u/>
      </rPr>
      <t>https://docs.google.com/spreadsheets/d/1lHlaZX7DeIOOjKVBA95nlMOQDaTiEmRoHqrN_Ifb34M/edit?gid=2033784974#gid=2033784974</t>
    </r>
  </si>
  <si>
    <r>
      <rPr>
        <rFont val="Cambria"/>
        <color rgb="FF1155CC"/>
        <sz val="11.0"/>
        <u/>
      </rPr>
      <t>https://docs.google.com/spreadsheets/d/1sHhAW7uazbyB_I0rU8qA3oGpIUr1KeLTrHEw2KrDwBA/edit?gid=2033784974#gid=2033784974</t>
    </r>
  </si>
  <si>
    <r>
      <rPr>
        <rFont val="Cambria"/>
        <color rgb="FF1155CC"/>
        <sz val="11.0"/>
        <u/>
      </rPr>
      <t>https://docs.google.com/spreadsheets/d/1GPS0dZQvX1cBdU6M7thqlTJXhBHtQSz9P2vUHOWbwCs/edit?gid=2033784974#gid=2033784974</t>
    </r>
  </si>
  <si>
    <r>
      <rPr>
        <rFont val="Cambria"/>
        <color rgb="FF1155CC"/>
        <sz val="11.0"/>
        <u/>
      </rPr>
      <t>https://docs.google.com/spreadsheets/d/1vyRyKGJEk4kJoEDFCaui35eEV7aNa3ZWDL_NbzyQx_M/edit?gid=2033784974#gid=2033784974</t>
    </r>
  </si>
  <si>
    <r>
      <rPr>
        <rFont val="Cambria"/>
        <color rgb="FF1155CC"/>
        <sz val="11.0"/>
        <u/>
      </rPr>
      <t>https://docs.google.com/spreadsheets/d/1YBrLPPbRhqX2MbzPRpgS8LqXf9EDamMu5P9IZYDZjnw/edit?gid=2033784974#gid=2033784974</t>
    </r>
  </si>
  <si>
    <r>
      <rPr>
        <rFont val="Cambria"/>
        <color rgb="FF1155CC"/>
        <sz val="11.0"/>
        <u/>
      </rPr>
      <t>https://docs.google.com/spreadsheets/d/1J9F7YpqGYPNIgjAgQ3UpdDIbQrorOmiWPrkJUO-7WUE/edit?gid=2033784974#gid=2033784974</t>
    </r>
  </si>
  <si>
    <r>
      <rPr>
        <rFont val="Cambria"/>
        <color rgb="FF1155CC"/>
        <sz val="11.0"/>
        <u/>
      </rPr>
      <t>https://docs.google.com/spreadsheets/d/1WbWhWH9vdyHvcV6ptT7UmBHbe8NdRJuOp7cKwXyndRY/edit?gid=2033784974#gid=2033784974</t>
    </r>
  </si>
  <si>
    <r>
      <rPr>
        <rFont val="Cambria"/>
        <color rgb="FF1155CC"/>
        <sz val="11.0"/>
        <u/>
      </rPr>
      <t>https://docs.google.com/spreadsheets/d/15T2L6G-0ZgES8avzVpp5vp6a1g7ZOylADOYzuwx8Ai0/edit?gid=2033784974#gid=2033784974</t>
    </r>
  </si>
  <si>
    <r>
      <rPr>
        <rFont val="Cambria"/>
        <color rgb="FF1155CC"/>
        <sz val="11.0"/>
        <u/>
      </rPr>
      <t>https://docs.google.com/spreadsheets/d/1ieFmDJ4Ck0lo8akjRoJtJ3_YjOLTwDedvXbejt-VWNk/edit?gid=2033784974#gid=2033784974</t>
    </r>
  </si>
  <si>
    <r>
      <rPr>
        <rFont val="Cambria"/>
        <color rgb="FF1155CC"/>
        <sz val="11.0"/>
        <u/>
      </rPr>
      <t>https://docs.google.com/spreadsheets/d/1-OE8MmzqleU95KxNWHdAg7vsBqYFUPSAckm2N6CWeM8/edit?gid=2033784974#gid=2033784974</t>
    </r>
  </si>
  <si>
    <r>
      <rPr>
        <rFont val="Cambria"/>
        <color rgb="FF1155CC"/>
        <sz val="11.0"/>
        <u/>
      </rPr>
      <t>https://docs.google.com/spreadsheets/d/1nA6hJD0cHKyIfaabcHW-MYjTPJJUn2sCTAWaFuhpFwQ/edit?gid=2033784974#gid=2033784974</t>
    </r>
  </si>
  <si>
    <r>
      <rPr>
        <rFont val="Cambria"/>
        <color rgb="FF1155CC"/>
        <sz val="11.0"/>
        <u/>
      </rPr>
      <t>https://docs.google.com/spreadsheets/d/130BSwuiM7KgcDNXkQuigZ390htzuqDFtwWasq8v-Vvc/edit?gid=2033784974#gid=2033784974</t>
    </r>
  </si>
  <si>
    <r>
      <rPr>
        <rFont val="Cambria"/>
        <color rgb="FF1155CC"/>
        <sz val="11.0"/>
        <u/>
      </rPr>
      <t>https://docs.google.com/spreadsheets/d/1JyL3884dIn0IuRhwls1LVhzMP_h2-d6tZNU00gRpVXg/edit?gid=2033784974#gid=2033784974</t>
    </r>
  </si>
  <si>
    <r>
      <rPr>
        <rFont val="Cambria"/>
        <color rgb="FF1155CC"/>
        <sz val="11.0"/>
        <u/>
      </rPr>
      <t>https://docs.google.com/spreadsheets/d/1JNDDsGIpu5XbHwCLAH0wR06qt7yXFlVyEuBfVQVj0Js/edit?gid=2033784974#gid=2033784974</t>
    </r>
  </si>
  <si>
    <r>
      <rPr>
        <rFont val="Cambria"/>
        <color rgb="FF1155CC"/>
        <sz val="11.0"/>
        <u/>
      </rPr>
      <t>https://docs.google.com/spreadsheets/d/1tTf8mLAmf6wqtydEPCzXxER9ttmg51DsSMx2ewYRI0s/edit?gid=2033784974#gid=2033784974</t>
    </r>
  </si>
  <si>
    <r>
      <rPr>
        <rFont val="Cambria"/>
        <color rgb="FF1155CC"/>
        <sz val="11.0"/>
        <u/>
      </rPr>
      <t>https://docs.google.com/spreadsheets/d/13u5F_IXi95Ad5Xi_JotB08-Th4TsePJ-4R_cACaEm1Q/edit?gid=2033784974#gid=2033784974</t>
    </r>
  </si>
  <si>
    <r>
      <rPr>
        <rFont val="Cambria"/>
        <color rgb="FF1155CC"/>
        <sz val="11.0"/>
        <u/>
      </rPr>
      <t>https://docs.google.com/spreadsheets/d/1HGdAvwm7mXtc9ZYS9Jngz7j4YoHVruyX7GKNdc2g0rg/edit?gid=1341467536#gid=1341467536</t>
    </r>
  </si>
  <si>
    <r>
      <rPr>
        <rFont val="Cambria"/>
        <color rgb="FF1155CC"/>
        <sz val="11.0"/>
        <u/>
      </rPr>
      <t>https://docs.google.com/spreadsheets/d/1zB1A8DJHvhJfiddRDwQBHyFTQu93vk6ohq7as4bObuw/edit?gid=1341467536#gid=1341467536</t>
    </r>
  </si>
  <si>
    <r>
      <rPr>
        <rFont val="Cambria"/>
        <color rgb="FF1155CC"/>
        <sz val="11.0"/>
        <u/>
      </rPr>
      <t>https://docs.google.com/spreadsheets/d/1Ggk1u5nUHVbwTi6pXOHU0SbYyFRo48BpC1hFq_u4Tjo/edit?gid=1341467536#gid=1341467536</t>
    </r>
  </si>
  <si>
    <r>
      <rPr>
        <rFont val="Cambria"/>
        <color rgb="FF1155CC"/>
        <sz val="11.0"/>
        <u/>
      </rPr>
      <t>https://docs.google.com/spreadsheets/d/1isYGYaoGjraH1Xw4eAuHKjFMVAIAbfMHzuogn_MFdYg/edit?gid=1341467536#gid=1341467536</t>
    </r>
  </si>
  <si>
    <r>
      <rPr>
        <rFont val="Cambria"/>
        <color rgb="FF1155CC"/>
        <sz val="11.0"/>
        <u/>
      </rPr>
      <t>https://docs.google.com/spreadsheets/d/1xDqvkIabhdw1n-rzD23e2Zb6XbLQ86d9HdmGWdeqKPc/edit?gid=1341467536#gid=1341467536</t>
    </r>
  </si>
  <si>
    <r>
      <rPr>
        <rFont val="Cambria"/>
        <color rgb="FF1155CC"/>
        <sz val="11.0"/>
        <u/>
      </rPr>
      <t>https://docs.google.com/spreadsheets/d/1oNeD04Fc0jD0smmpt551UE9fpNqSYkSl4mx-LhnHo14/edit?gid=1341467536#gid=1341467536</t>
    </r>
  </si>
  <si>
    <r>
      <rPr>
        <rFont val="Cambria"/>
        <color rgb="FF1155CC"/>
        <sz val="11.0"/>
        <u/>
      </rPr>
      <t>https://docs.google.com/spreadsheets/d/13Rjz0bsamJlsRtTeR3ABCFRyIfXoe_qEEgyOzXDY-4Y/edit?gid=1341467536#gid=1341467536</t>
    </r>
  </si>
  <si>
    <r>
      <rPr>
        <rFont val="Cambria"/>
        <color rgb="FF1155CC"/>
        <sz val="11.0"/>
        <u/>
      </rPr>
      <t>https://docs.google.com/spreadsheets/d/12xoM-RTbwlTi96LeFMxAAGwWdK8KoeBPWBznYb2bKa0/edit?gid=1341467536#gid=1341467536</t>
    </r>
  </si>
  <si>
    <r>
      <rPr>
        <rFont val="Cambria"/>
        <color rgb="FF1155CC"/>
        <sz val="11.0"/>
        <u/>
      </rPr>
      <t>https://docs.google.com/spreadsheets/d/1FmMCioVAEmwiz0Mg24QxpoYm0gaxvaoK-GyqRi3lLkA/edit?gid=1341467536#gid=1341467536</t>
    </r>
  </si>
  <si>
    <r>
      <rPr>
        <rFont val="Cambria"/>
        <color rgb="FF1155CC"/>
        <sz val="11.0"/>
        <u/>
      </rPr>
      <t>https://docs.google.com/spreadsheets/d/1SVzc9qgPD14tHDtvNwDlXR9nrShk_7w0ixhh6thjq-s/edit?gid=1341467536#gid=1341467536</t>
    </r>
  </si>
  <si>
    <r>
      <rPr>
        <rFont val="Cambria"/>
        <color rgb="FF1155CC"/>
        <sz val="11.0"/>
        <u/>
      </rPr>
      <t>https://docs.google.com/spreadsheets/d/16Rf2NM6uZIGxblpLnursm6NlAI7JKEKVjP5RGR3hsiM/edit?gid=1341467536#gid=1341467536</t>
    </r>
  </si>
  <si>
    <r>
      <rPr>
        <rFont val="Cambria"/>
        <color rgb="FF1155CC"/>
        <sz val="11.0"/>
        <u/>
      </rPr>
      <t>https://docs.google.com/spreadsheets/d/1uWvbc5YiPTBTscL-mTUD9AfE-mJ01XXpgr79UMZ2vwM/edit?gid=1341467536#gid=1341467536</t>
    </r>
  </si>
  <si>
    <r>
      <rPr>
        <rFont val="Cambria"/>
        <color rgb="FF1155CC"/>
        <sz val="11.0"/>
        <u/>
      </rPr>
      <t>https://docs.google.com/spreadsheets/d/1dmz7jel2P3P7UUa-klmLe8MbxJr3DvC6jWmKr3M7wwk/edit?gid=1341467536#gid=1341467536</t>
    </r>
  </si>
  <si>
    <r>
      <rPr>
        <rFont val="Cambria"/>
        <color rgb="FF1155CC"/>
        <sz val="11.0"/>
        <u/>
      </rPr>
      <t>https://docs.google.com/spreadsheets/d/1WAtbiQ_lnlFDvhTqNEfoFlQNu8iz9GNo4Gv9hsP8WyA/edit?gid=1341467536#gid=1341467536</t>
    </r>
  </si>
  <si>
    <r>
      <rPr>
        <rFont val="Cambria"/>
        <color rgb="FF1155CC"/>
        <sz val="11.0"/>
        <u/>
      </rPr>
      <t>https://docs.google.com/spreadsheets/d/1dDbtlZGLxbkfBZAQjE4v0gmKYdQPQlM1EncYWTnvtnY/edit?gid=1341467536#gid=1341467536</t>
    </r>
  </si>
  <si>
    <r>
      <rPr>
        <rFont val="Cambria"/>
        <color rgb="FF1155CC"/>
        <sz val="11.0"/>
        <u/>
      </rPr>
      <t>https://docs.google.com/spreadsheets/d/1lVS1bSGZh0tYkRSXHRkkWNYp2AehUJaNXh6xgOl0beM/edit?gid=805713900#gid=805713900</t>
    </r>
  </si>
  <si>
    <r>
      <rPr>
        <rFont val="Cambria"/>
        <color rgb="FF1155CC"/>
        <sz val="11.0"/>
        <u/>
      </rPr>
      <t>https://docs.google.com/spreadsheets/d/1gh-xw89enAs3CmNRBDDBj6IansVNzux5cA72h1e2msI/edit?gid=805713900#gid=805713900</t>
    </r>
  </si>
  <si>
    <r>
      <rPr>
        <rFont val="Cambria"/>
        <color rgb="FF1155CC"/>
        <sz val="11.0"/>
        <u/>
      </rPr>
      <t>https://docs.google.com/spreadsheets/d/1Ri55cFQQ5RIePbvZGO4XWVAIZpOTtgaGcjrWmn0aRSM/edit?gid=805713900#gid=805713900</t>
    </r>
  </si>
  <si>
    <r>
      <rPr>
        <rFont val="Cambria"/>
        <color rgb="FF1155CC"/>
        <sz val="11.0"/>
        <u/>
      </rPr>
      <t>https://docs.google.com/spreadsheets/d/1L57UDhNa-SrbNv9ochUXFg2XHTvBOvzF3KkJk3S9RmE/edit?gid=1976259096#gid=1976259096</t>
    </r>
  </si>
  <si>
    <r>
      <rPr>
        <rFont val="Cambria"/>
        <color rgb="FF1155CC"/>
        <sz val="11.0"/>
        <u/>
      </rPr>
      <t>https://docs.google.com/spreadsheets/d/1ibGBYNcIKXogVJhFtz0fX6flgC6U2hq1zb5c--nQfyU/edit?gid=1976259096#gid=1976259096</t>
    </r>
  </si>
  <si>
    <r>
      <rPr>
        <rFont val="Cambria"/>
        <color rgb="FF1155CC"/>
        <sz val="11.0"/>
        <u/>
      </rPr>
      <t>https://docs.google.com/spreadsheets/d/13OxKyyyFdVKwtSllq1hbkOlqrNqajRTcfV3fFKZGKBc/edit?gid=805713900#gid=805713900</t>
    </r>
  </si>
  <si>
    <r>
      <rPr>
        <rFont val="Cambria"/>
        <color rgb="FF1155CC"/>
        <sz val="11.0"/>
        <u/>
      </rPr>
      <t>https://docs.google.com/spreadsheets/d/1Udj7-oM2pHlB-FqgDnpXvcZAGa9mbV2SfC9YYu0UkwA/edit?gid=1341467536#gid=1341467536</t>
    </r>
  </si>
  <si>
    <r>
      <rPr>
        <rFont val="Cambria"/>
        <color rgb="FF1155CC"/>
        <sz val="11.0"/>
        <u/>
      </rPr>
      <t>https://docs.google.com/spreadsheets/d/155gViIJ1q_lpBMeCZ5ol_o8p-vEf9uweyg-5b3Mwj-E/edit?gid=1341467536#gid=1341467536</t>
    </r>
  </si>
  <si>
    <r>
      <rPr>
        <rFont val="Cambria"/>
        <color rgb="FF1155CC"/>
        <sz val="11.0"/>
        <u/>
      </rPr>
      <t>https://docs.google.com/spreadsheets/d/129AgLHtBn09Im4FSWFFL8UCHvGKzlWeGzRCiTpw48ms/edit?gid=805713900#gid=805713900</t>
    </r>
  </si>
  <si>
    <r>
      <rPr>
        <rFont val="Cambria"/>
        <color rgb="FF1155CC"/>
        <sz val="11.0"/>
        <u/>
      </rPr>
      <t>https://docs.google.com/spreadsheets/d/1e34ZM5sfEApljRx1ciufwN7hgy3XJ2czRW1wrxCYoqU/edit?gid=1976259096#gid=1976259096</t>
    </r>
  </si>
  <si>
    <r>
      <rPr>
        <rFont val="Cambria"/>
        <color rgb="FF1155CC"/>
        <sz val="11.0"/>
        <u/>
      </rPr>
      <t>https://docs.google.com/spreadsheets/d/1rItnCKf4DcGOktpn-TpJSJxZ-s0dhly0dOOsZxfnrc0/edit?gid=805713900#gid=805713900</t>
    </r>
  </si>
  <si>
    <r>
      <rPr>
        <rFont val="Cambria"/>
        <color rgb="FF1155CC"/>
        <sz val="11.0"/>
        <u/>
      </rPr>
      <t>https://docs.google.com/spreadsheets/d/19RxdX9bO1BeL9KgnE-tZiRcCpNq01UI_ccCIA7esLtE/edit?gid=1341467536#gid=1341467536</t>
    </r>
  </si>
  <si>
    <r>
      <rPr>
        <rFont val="Cambria"/>
        <color rgb="FF1155CC"/>
        <sz val="11.0"/>
        <u/>
      </rPr>
      <t>https://docs.google.com/spreadsheets/d/1Rg6EDhMLNsFrNA4xZ0avWvzgjE1XzZNEUdYpzaQXb-A/edit?gid=1341467536#gid=1341467536</t>
    </r>
  </si>
  <si>
    <r>
      <rPr>
        <rFont val="Cambria"/>
        <color rgb="FF1155CC"/>
        <sz val="11.0"/>
        <u/>
      </rPr>
      <t>https://docs.google.com/spreadsheets/d/1ItfobyVRX_1v6hvZs7eL6iQkXRfjCKAv_xyhUVtAbRU/edit?gid=1341467536#gid=1341467536</t>
    </r>
  </si>
  <si>
    <r>
      <rPr>
        <rFont val="Cambria"/>
        <color rgb="FF1155CC"/>
        <sz val="11.0"/>
        <u/>
      </rPr>
      <t>https://docs.google.com/spreadsheets/d/1YWoT2upv4StgSUdseFgOSW6r6XocOShUzYqSF5nVduY/edit?gid=1341467536#gid=1341467536</t>
    </r>
  </si>
  <si>
    <r>
      <rPr>
        <rFont val="Cambria"/>
        <color rgb="FF1155CC"/>
        <sz val="11.0"/>
        <u/>
      </rPr>
      <t>https://docs.google.com/spreadsheets/d/1YxxmMU2ycEvxaktrkFyIlqgh6GJ1WapHqECigLpGpmA/edit?gid=1341467536#gid=1341467536</t>
    </r>
  </si>
  <si>
    <r>
      <rPr>
        <rFont val="Cambria"/>
        <color rgb="FF1155CC"/>
        <sz val="11.0"/>
        <u/>
      </rPr>
      <t>https://docs.google.com/spreadsheets/d/1_CgBDCW9mUIuRZRH94JrUOwXWfc2cIGcJA6xsZvw6sk/edit?gid=1341467536#gid=1341467536</t>
    </r>
  </si>
  <si>
    <r>
      <rPr>
        <rFont val="Cambria"/>
        <color rgb="FF1155CC"/>
        <sz val="11.0"/>
        <u/>
      </rPr>
      <t>https://docs.google.com/spreadsheets/d/13pBvr4IIKBGbJBUaJwC9ERjpVw00DqKqh6PCpscpOfk/edit?gid=1341467536#gid=1341467536</t>
    </r>
  </si>
  <si>
    <r>
      <rPr>
        <rFont val="Cambria"/>
        <color rgb="FF1155CC"/>
        <sz val="11.0"/>
        <u/>
      </rPr>
      <t>https://docs.google.com/spreadsheets/d/17GBXcJ48eZ73gNvuLmhAiJeaCTNG8iucKqDo8guuaK0/edit?gid=1341467536#gid=1341467536</t>
    </r>
  </si>
  <si>
    <r>
      <rPr>
        <rFont val="Cambria"/>
        <color rgb="FF1155CC"/>
        <sz val="11.0"/>
        <u/>
      </rPr>
      <t>https://docs.google.com/spreadsheets/d/1YGb1rPh2HHxhHwtneVfXg_IW4WNVKswxSioHWZdE1ag/edit?gid=1341467536#gid=1341467536</t>
    </r>
  </si>
  <si>
    <r>
      <rPr>
        <rFont val="Cambria"/>
        <color rgb="FF1155CC"/>
        <sz val="11.0"/>
        <u/>
      </rPr>
      <t>https://docs.google.com/spreadsheets/d/1X-K61q54IRzGLGReycI91EzC0EH6IDhqM2B_JFD0MuY/edit?gid=1341467536#gid=1341467536</t>
    </r>
  </si>
  <si>
    <r>
      <rPr>
        <rFont val="Cambria"/>
        <color rgb="FF1155CC"/>
        <sz val="11.0"/>
        <u/>
      </rPr>
      <t>https://docs.google.com/spreadsheets/d/12wOQhLuqcXPv-whFT9LmSlojYAlRPneMVj5KIPUn4Eo/edit?gid=1341467536#gid=1341467536</t>
    </r>
  </si>
  <si>
    <r>
      <rPr>
        <rFont val="Cambria"/>
        <color rgb="FF1155CC"/>
        <sz val="11.0"/>
        <u/>
      </rPr>
      <t>https://docs.google.com/spreadsheets/d/1M7dYMgHSv_Al5rmiwKN34QYoO5EIRZuuau76IDSX9QE/edit?gid=1341467536#gid=1341467536</t>
    </r>
  </si>
  <si>
    <r>
      <rPr>
        <rFont val="Cambria"/>
        <color rgb="FF1155CC"/>
        <sz val="11.0"/>
        <u/>
      </rPr>
      <t>https://docs.google.com/spreadsheets/d/1a4Swl0plAXUwRnQ7jiptMbTQb7BcAaBYyCAssmrg14U/edit?gid=1341467536#gid=1341467536</t>
    </r>
  </si>
  <si>
    <r>
      <rPr>
        <rFont val="Cambria"/>
        <color rgb="FF1155CC"/>
        <sz val="11.0"/>
        <u/>
      </rPr>
      <t>https://docs.google.com/spreadsheets/d/1UWiexfeKcn0LonqJP1JmfdFoCinxYQuNbzEfG9nXrjQ/edit?gid=1341467536#gid=1341467536</t>
    </r>
  </si>
  <si>
    <r>
      <rPr>
        <rFont val="Cambria"/>
        <color rgb="FF1155CC"/>
        <sz val="11.0"/>
        <u/>
      </rPr>
      <t>https://docs.google.com/spreadsheets/d/1iQ_xeg8rjfR_9T0hToCuvuTZjxq3w36G1NVixerKm54/edit?gid=1341467536#gid=1341467536</t>
    </r>
  </si>
  <si>
    <r>
      <rPr>
        <rFont val="Cambria"/>
        <color rgb="FF1155CC"/>
        <sz val="11.0"/>
        <u/>
      </rPr>
      <t>https://docs.google.com/spreadsheets/d/1uLsm51GAiNuz2jvar6tvCPl0rMVrN-PPC7PhNDRWJTM/edit?gid=1341467536#gid=1341467536</t>
    </r>
  </si>
  <si>
    <r>
      <rPr>
        <rFont val="Cambria"/>
        <color rgb="FF1155CC"/>
        <sz val="11.0"/>
        <u/>
      </rPr>
      <t>https://docs.google.com/spreadsheets/d/14UttH9GWvoPBuKPNNbYTSzo9UBO6F9FVaaeQKG6r8YU/edit?gid=1341467536#gid=1341467536</t>
    </r>
  </si>
  <si>
    <r>
      <rPr>
        <rFont val="Cambria"/>
        <color rgb="FF1155CC"/>
        <sz val="11.0"/>
        <u/>
      </rPr>
      <t>https://docs.google.com/spreadsheets/d/1yUUnyLNWVBPcm0YE_M8mUvXmSLXHyhXOYBERVDRZtfE/edit?gid=1341467536#gid=1341467536</t>
    </r>
  </si>
  <si>
    <r>
      <rPr>
        <rFont val="Cambria"/>
        <color rgb="FF1155CC"/>
        <sz val="11.0"/>
        <u/>
      </rPr>
      <t>https://docs.google.com/spreadsheets/d/1PlR6Z3zHJymnKg6ORztGtdKtpi0wrOuSVoXNG_G7KQ4/edit?gid=1341467536#gid=1341467536</t>
    </r>
  </si>
  <si>
    <r>
      <rPr>
        <rFont val="Cambria"/>
        <color rgb="FF1155CC"/>
        <sz val="11.0"/>
        <u/>
      </rPr>
      <t>https://docs.google.com/spreadsheets/d/1qe_pAYGejJhQblvy8wj7og2pq7hmf_oVLv1Id8w2Tp0/edit?gid=1341467536#gid=1341467536</t>
    </r>
  </si>
  <si>
    <r>
      <rPr>
        <rFont val="Cambria"/>
        <color rgb="FF1155CC"/>
        <sz val="11.0"/>
        <u/>
      </rPr>
      <t>https://docs.google.com/spreadsheets/d/1hP-qwvIQqUaDe49V9gwiyjIbfn8eIFpoD79lIuOSbCg/edit?gid=1341467536#gid=1341467536</t>
    </r>
  </si>
  <si>
    <r>
      <rPr>
        <rFont val="Cambria"/>
        <color rgb="FF1155CC"/>
        <sz val="11.0"/>
        <u/>
      </rPr>
      <t>https://docs.google.com/spreadsheets/d/1Kexxn7I0H8Ao2eWlPdMbkcw4PEzf6i1V64lNAR8bwt4/edit?gid=1341467536#gid=1341467536</t>
    </r>
  </si>
  <si>
    <r>
      <rPr>
        <rFont val="Cambria"/>
        <color rgb="FF1155CC"/>
        <sz val="11.0"/>
        <u/>
      </rPr>
      <t>https://docs.google.com/spreadsheets/d/1qnoobEmWwfICZfZOFrCKW1_HgfUt2hx5KIEXy53ocu8/edit?gid=1341467536#gid=1341467536</t>
    </r>
  </si>
  <si>
    <r>
      <rPr>
        <rFont val="Cambria"/>
        <color rgb="FF1155CC"/>
        <sz val="11.0"/>
        <u/>
      </rPr>
      <t>https://docs.google.com/spreadsheets/d/1p8Njrpo5P8v-kUZS9OyP4VteW6umtJCIIOYd3M43QJQ/edit?gid=1341467536#gid=1341467536</t>
    </r>
  </si>
  <si>
    <r>
      <rPr>
        <rFont val="Cambria"/>
        <color rgb="FF1155CC"/>
        <sz val="11.0"/>
        <u/>
      </rPr>
      <t>https://docs.google.com/spreadsheets/d/1mVcLTNUtud_HGN5KqRkr26z4wWqMfuVISPWV-j7AeDI/edit?gid=2033784974#gid=2033784974</t>
    </r>
  </si>
  <si>
    <r>
      <rPr>
        <rFont val="Cambria"/>
        <color rgb="FF1155CC"/>
        <sz val="11.0"/>
        <u/>
      </rPr>
      <t>https://docs.google.com/spreadsheets/d/162NNyxFOgHoE0siOHPOHRSLoi3bhv7ya0ULOxM0ahp8/edit?gid=805713900#gid=805713900</t>
    </r>
  </si>
  <si>
    <r>
      <rPr>
        <rFont val="Cambria"/>
        <color rgb="FF1155CC"/>
        <sz val="11.0"/>
        <u/>
      </rPr>
      <t>https://docs.google.com/spreadsheets/d/1UqoTD-C9S9X3Iw1noHXHcZLobID5F8ipgaXqIERhEL4/edit?gid=2033784974#gid=2033784974</t>
    </r>
  </si>
  <si>
    <r>
      <rPr>
        <rFont val="Cambria"/>
        <color rgb="FF1155CC"/>
        <sz val="11.0"/>
        <u/>
      </rPr>
      <t>https://docs.google.com/spreadsheets/d/1MDTpm9OtAvDw3ncPUyC6j_s09Qf-nd_4mAPLb7ScFn0/edit?gid=1341467536#gid=1341467536</t>
    </r>
  </si>
  <si>
    <r>
      <rPr>
        <rFont val="Cambria"/>
        <color rgb="FF1155CC"/>
        <sz val="11.0"/>
        <u/>
      </rPr>
      <t>https://docs.google.com/spreadsheets/d/1sXQrNGC1huzoQBzu3602xcLfF0xlA_bL7iOoc4X2EyM/edit?gid=1341467536#gid=1341467536</t>
    </r>
  </si>
  <si>
    <r>
      <rPr>
        <rFont val="Cambria"/>
        <color rgb="FF1155CC"/>
        <sz val="11.0"/>
        <u/>
      </rPr>
      <t>https://docs.google.com/spreadsheets/d/1O8jt0hsV0uUhokuCZh-lf0ENniBlkxayxPX7qtZgkXY/edit?gid=805713900#gid=805713900</t>
    </r>
  </si>
  <si>
    <r>
      <rPr>
        <rFont val="Cambria"/>
        <color rgb="FF1155CC"/>
        <sz val="11.0"/>
        <u/>
      </rPr>
      <t>https://docs.google.com/spreadsheets/d/1Had3X-hJ7FNu9lfFgZT0cevEBeB9RXJBnoupzNrnRKo/edit?gid=2033784974#gid=2033784974</t>
    </r>
  </si>
  <si>
    <r>
      <rPr>
        <rFont val="Cambria"/>
        <color rgb="FF1155CC"/>
        <sz val="11.0"/>
        <u/>
      </rPr>
      <t>https://docs.google.com/spreadsheets/d/1_K378-h8u3VRb1Du1YvCRA9_zbSCTHP0hv7MmRT0Kzc/edit?gid=1341467536#gid=1341467536</t>
    </r>
  </si>
  <si>
    <r>
      <rPr>
        <rFont val="Cambria"/>
        <color rgb="FF1155CC"/>
        <sz val="11.0"/>
        <u/>
      </rPr>
      <t>https://docs.google.com/spreadsheets/d/1m3ivnaphvM1sQvctyTGCeuXd9lKYlFcNCSBrQR3lik0/edit?gid=1341467536#gid=1341467536</t>
    </r>
  </si>
  <si>
    <r>
      <rPr>
        <rFont val="Cambria"/>
        <color rgb="FF1155CC"/>
        <sz val="11.0"/>
        <u/>
      </rPr>
      <t>https://docs.google.com/spreadsheets/d/1t1qCHy3cBhIK_mJ3OHGart8EOFIPGFDCJE1PAcl3qao/edit?gid=805713900#gid=805713900</t>
    </r>
  </si>
  <si>
    <r>
      <rPr>
        <rFont val="Cambria"/>
        <color rgb="FF1155CC"/>
        <sz val="11.0"/>
        <u/>
      </rPr>
      <t>https://docs.google.com/spreadsheets/d/1_g_t-w2Yb5QQVzTXnIzgpv7EPXXjthuwN-wDsgpZ_pQ/edit?gid=805713900#gid=805713900</t>
    </r>
  </si>
  <si>
    <r>
      <rPr>
        <rFont val="Cambria"/>
        <color rgb="FF1155CC"/>
        <sz val="11.0"/>
        <u/>
      </rPr>
      <t>https://docs.google.com/spreadsheets/d/1j_wNLUS5ALbi1jbFC2fD3WbfH_ItbIvREMZHwJVCED0/edit?gid=2033784974#gid=2033784974</t>
    </r>
  </si>
  <si>
    <r>
      <rPr>
        <rFont val="Cambria"/>
        <color rgb="FF1155CC"/>
        <sz val="11.0"/>
        <u/>
      </rPr>
      <t>https://docs.google.com/spreadsheets/d/1Hw709CI5yKaB_aOdF9oMqZgUJ8TfrJtjsSXl_DaoFfk/edit?gid=1341467536#gid=1341467536</t>
    </r>
  </si>
  <si>
    <r>
      <rPr>
        <rFont val="Cambria"/>
        <color rgb="FF1155CC"/>
        <sz val="11.0"/>
        <u/>
      </rPr>
      <t>https://docs.google.com/spreadsheets/d/11sIR38IUn0lrxLuAjDiW8Nz7o0Kmw1YzihUD0_paO9s/edit?gid=1341467536#gid=1341467536</t>
    </r>
  </si>
  <si>
    <r>
      <rPr>
        <rFont val="Cambria"/>
        <color rgb="FF1155CC"/>
        <sz val="11.0"/>
        <u/>
      </rPr>
      <t>https://docs.google.com/spreadsheets/d/1eHyCLvxWGn6uAwnUdvW5ae-Bb6I3thZe8Sor2hVcAJo/edit?gid=805713900#gid=805713900</t>
    </r>
  </si>
  <si>
    <r>
      <rPr>
        <rFont val="Cambria"/>
        <color rgb="FF1155CC"/>
        <sz val="11.0"/>
        <u/>
      </rPr>
      <t>https://docs.google.com/spreadsheets/d/1PAEtbFC-OcKxgo1HAPcEhSV_5wH2lZVCjQSpHXkPLyc/edit?gid=1341467536#gid=1341467536</t>
    </r>
  </si>
  <si>
    <r>
      <rPr>
        <rFont val="Cambria"/>
        <color rgb="FF1155CC"/>
        <sz val="11.0"/>
        <u/>
      </rPr>
      <t>https://docs.google.com/spreadsheets/d/15_BY1_66_6WqEGT--t8RjEoEXZJyfDh_Kt75RtV-0is/edit?gid=1341467536#gid=1341467536</t>
    </r>
  </si>
  <si>
    <r>
      <rPr>
        <rFont val="Cambria"/>
        <color rgb="FF1155CC"/>
        <sz val="11.0"/>
        <u/>
      </rPr>
      <t>https://docs.google.com/spreadsheets/d/1D82RiAIga3P-S7L19E6n3dK-WZ9_64jEBfk8-CadHL8/edit?gid=2033784974#gid=2033784974</t>
    </r>
  </si>
  <si>
    <r>
      <rPr>
        <rFont val="Cambria"/>
        <color rgb="FF1155CC"/>
        <sz val="11.0"/>
        <u/>
      </rPr>
      <t>https://docs.google.com/spreadsheets/d/1fVQNXSly5-Fbx0YPIglcERtNfloC0LUL1BR0kKWgoBk/edit?gid=1341467536#gid=1341467536</t>
    </r>
  </si>
  <si>
    <r>
      <rPr>
        <rFont val="Cambria"/>
        <color rgb="FF1155CC"/>
        <sz val="11.0"/>
        <u/>
      </rPr>
      <t>https://docs.google.com/spreadsheets/d/1bTZn0mRbhRTNhOwEvzA7rdE5v67_G8rdD5IlAtSvoi0/edit?gid=1341467536#gid=1341467536</t>
    </r>
  </si>
  <si>
    <t>(masuk ke link 24 jan 2026)</t>
  </si>
  <si>
    <r>
      <rPr>
        <rFont val="Cambria"/>
        <color rgb="FF1155CC"/>
        <sz val="11.0"/>
        <u/>
      </rPr>
      <t>https://docs.google.com/spreadsheets/d/1Fbm0apw7zLVmavgY6iozTPIJ5-Iv25IyQ1b5DXqyNYQ/edit?gid=1341467536#gid=1341467536</t>
    </r>
  </si>
  <si>
    <r>
      <rPr>
        <rFont val="Cambria"/>
        <color rgb="FF1155CC"/>
        <sz val="11.0"/>
        <u/>
      </rPr>
      <t>https://docs.google.com/spreadsheets/d/1gdAGVVu4jsRKYQK2ZgJjaWFYuhmNclw2AaXYXzxTOuo/edit?gid=805713900#gid=805713900</t>
    </r>
  </si>
  <si>
    <r>
      <rPr>
        <rFont val="Cambria"/>
        <color rgb="FF1155CC"/>
        <sz val="11.0"/>
        <u/>
      </rPr>
      <t>https://docs.google.com/spreadsheets/d/1JGZe4BtBgqjElWEapKwYiVSP5l6xVn-qDkEssy-uk20/edit?gid=1341467536#gid=1341467536</t>
    </r>
  </si>
  <si>
    <r>
      <rPr>
        <rFont val="Cambria"/>
        <color rgb="FF1155CC"/>
        <sz val="11.0"/>
        <u/>
      </rPr>
      <t>https://docs.google.com/spreadsheets/d/1TePhtCleSUbgw2f_Vd1OaH8duJ_BPgDTiFO_w-E3hYs/edit?gid=1341467536#gid=1341467536</t>
    </r>
  </si>
  <si>
    <r>
      <rPr>
        <rFont val="Cambria"/>
        <color rgb="FF1155CC"/>
        <sz val="11.0"/>
        <u/>
      </rPr>
      <t>https://docs.google.com/spreadsheets/d/1eUS--0Du4WgC93cH6BpbIagHwg5tlNH0KSKPRPFbwSI/edit?gid=1341467536#gid=1341467536</t>
    </r>
  </si>
  <si>
    <r>
      <rPr>
        <rFont val="Cambria"/>
        <color rgb="FF1155CC"/>
        <sz val="11.0"/>
        <u/>
      </rPr>
      <t>https://docs.google.com/spreadsheets/d/1H01Ht_vAzJTbkFog81z26vzrUQx9R4Y8SIl_LnykhxU/edit?gid=1341467536#gid=1341467536</t>
    </r>
  </si>
  <si>
    <r>
      <rPr>
        <rFont val="Cambria"/>
        <color rgb="FF1155CC"/>
        <sz val="11.0"/>
        <u/>
      </rPr>
      <t>https://docs.google.com/spreadsheets/d/1CcvfbntWYwUCrA7zsBlkY8L-agT1NuOmpQDqHcx2Bx8/edit?gid=1341467536#gid=1341467536</t>
    </r>
  </si>
  <si>
    <r>
      <rPr>
        <rFont val="Cambria"/>
        <color rgb="FF1155CC"/>
        <sz val="11.0"/>
        <u/>
      </rPr>
      <t>https://docs.google.com/spreadsheets/d/1mPTf7j9xdnArmbZ1jMngI2fZbdbJ-dknAYAPIwKrtsg/edit?gid=1341467536#gid=1341467536</t>
    </r>
  </si>
  <si>
    <r>
      <rPr>
        <rFont val="Cambria"/>
        <color rgb="FF1155CC"/>
        <sz val="11.0"/>
        <u/>
      </rPr>
      <t>https://docs.google.com/spreadsheets/d/1pB1xSTotdWgk2W6CPSN5h3tSmEAejPqM8Z2nIGsuvdk/edit?gid=1341467536#gid=1341467536</t>
    </r>
  </si>
  <si>
    <r>
      <rPr>
        <rFont val="Cambria"/>
        <color rgb="FF1155CC"/>
        <sz val="11.0"/>
        <u/>
      </rPr>
      <t>https://docs.google.com/spreadsheets/d/1lJOJHdMafX4F7leHOJF-4nz5XZWWC6wf9iPVk-fwYuc/edit?gid=1341467536#gid=1341467536</t>
    </r>
  </si>
  <si>
    <r>
      <rPr>
        <rFont val="Cambria"/>
        <color rgb="FF1155CC"/>
        <sz val="11.0"/>
        <u/>
      </rPr>
      <t>https://docs.google.com/spreadsheets/d/1e3m-pr0TwJHA_h9CSqeCLCuU1_Ce2gqi3IKGa1WYzbI/edit?gid=1341467536#gid=1341467536</t>
    </r>
  </si>
  <si>
    <r>
      <rPr>
        <rFont val="Cambria"/>
        <color rgb="FF1155CC"/>
        <sz val="11.0"/>
        <u/>
      </rPr>
      <t>https://docs.google.com/spreadsheets/d/1-tdJVRWHG2gxUI6N_M-0aXc9a6SzOszUMW087QY9gfw/edit?gid=1341467536#gid=1341467536</t>
    </r>
  </si>
  <si>
    <r>
      <rPr>
        <rFont val="Cambria"/>
        <color rgb="FF1155CC"/>
        <sz val="11.0"/>
        <u/>
      </rPr>
      <t>https://docs.google.com/spreadsheets/d/15VbJ5z0OhqCRLJNskMK2R5e4AGs7XB4_y4EJPIKjgl8/edit?gid=1341467536#gid=1341467536</t>
    </r>
  </si>
  <si>
    <r>
      <rPr>
        <rFont val="Cambria"/>
        <color rgb="FF1155CC"/>
        <sz val="11.0"/>
        <u/>
      </rPr>
      <t>https://docs.google.com/spreadsheets/d/1I_8tWuto0mT3LXLikv0H3qs0mMrS81-wvv0yiR8e9cg/edit?gid=1341467536#gid=1341467536</t>
    </r>
  </si>
  <si>
    <r>
      <rPr>
        <rFont val="Cambria"/>
        <color rgb="FF1155CC"/>
        <sz val="11.0"/>
        <u/>
      </rPr>
      <t>https://docs.google.com/spreadsheets/d/1Xjk0hgeaKPSDDnsNu2UsZa70b_s08kz_K_FX6h6-gPU/edit?gid=1341467536#gid=1341467536</t>
    </r>
  </si>
  <si>
    <r>
      <rPr>
        <rFont val="Cambria"/>
        <color rgb="FF1155CC"/>
        <sz val="11.0"/>
        <u/>
      </rPr>
      <t>https://docs.google.com/spreadsheets/d/15KpseeFFVYMswj0lVh_-xsh1kruz03sXVdEJDnFBFQ8/edit?gid=805713900#gid=805713900</t>
    </r>
  </si>
  <si>
    <r>
      <rPr>
        <rFont val="Cambria"/>
        <color rgb="FF1155CC"/>
        <sz val="11.0"/>
        <u/>
      </rPr>
      <t>https://docs.google.com/spreadsheets/d/1gcsotLL5RCW__KSt6-nuvZzfbdwo0k_rCdMYFFemKuE/edit?gid=805713900#gid=805713900</t>
    </r>
  </si>
  <si>
    <r>
      <rPr>
        <rFont val="Cambria"/>
        <color rgb="FF1155CC"/>
        <sz val="11.0"/>
        <u/>
      </rPr>
      <t>https://docs.google.com/spreadsheets/d/1jggHT2X-sIooYXgOQapGlcOae6X-C4jraw682spGWe4/edit?gid=1341467536#gid=1341467536</t>
    </r>
  </si>
  <si>
    <r>
      <rPr>
        <rFont val="Cambria"/>
        <color rgb="FF1155CC"/>
        <sz val="11.0"/>
        <u/>
      </rPr>
      <t>https://docs.google.com/spreadsheets/d/1EOz8C64jUegqKG2j0QdjU5No14udtHDHQdSnMyRo9us/edit?gid=1341467536#gid=1341467536</t>
    </r>
  </si>
  <si>
    <r>
      <rPr>
        <rFont val="Cambria"/>
        <color rgb="FF1155CC"/>
        <sz val="11.0"/>
        <u/>
      </rPr>
      <t>https://docs.google.com/spreadsheets/d/1lH4fNlzCMd17N3JuaZHQbeuesu5He5JJMxljjZNqyBg/edit?gid=1341467536#gid=1341467536</t>
    </r>
  </si>
  <si>
    <r>
      <rPr>
        <rFont val="Cambria"/>
        <color rgb="FF1155CC"/>
        <sz val="11.0"/>
        <u/>
      </rPr>
      <t>https://docs.google.com/spreadsheets/d/1bogI21fwAc2Ul9G-0219H5c7548CWLy2FdMMxZf36-o/edit?gid=1341467536#gid=1341467536</t>
    </r>
  </si>
  <si>
    <r>
      <rPr>
        <rFont val="Cambria"/>
        <color rgb="FF1155CC"/>
        <sz val="11.0"/>
        <u/>
      </rPr>
      <t>https://docs.google.com/spreadsheets/d/1WWoi4AiU4ZalOlFr_paG2a1pjCkPIXKAEwNKuCSR2aw/edit?gid=1341467536#gid=1341467536</t>
    </r>
  </si>
  <si>
    <r>
      <rPr>
        <rFont val="Cambria"/>
        <color rgb="FF1155CC"/>
        <sz val="11.0"/>
        <u/>
      </rPr>
      <t>https://docs.google.com/spreadsheets/d/11rDQEyaYUSnpdlq2Pqnvxn0iLEFN7FBJ9lU_Dt5OCjk/edit?gid=1341467536#gid=1341467536</t>
    </r>
  </si>
  <si>
    <r>
      <rPr>
        <rFont val="Cambria"/>
        <color rgb="FF1155CC"/>
        <sz val="11.0"/>
        <u/>
      </rPr>
      <t>https://docs.google.com/spreadsheets/d/1nIJG7CelDApZGhkcmMaXlQqkIO6EghAiQzfsS621TwU/edit?gid=1341467536#gid=1341467536</t>
    </r>
  </si>
  <si>
    <r>
      <rPr>
        <rFont val="Cambria"/>
        <color rgb="FF1155CC"/>
        <sz val="11.0"/>
        <u/>
      </rPr>
      <t>https://docs.google.com/spreadsheets/d/1MW6a6jLEdy8CZwjgadQ1IGWHyW6dxy62D02AUFwMp40/edit?gid=805713900#gid=805713900</t>
    </r>
  </si>
  <si>
    <r>
      <rPr>
        <rFont val="Cambria"/>
        <color rgb="FF1155CC"/>
        <sz val="11.0"/>
        <u/>
      </rPr>
      <t>https://docs.google.com/spreadsheets/d/1U2oQt8d0YOlQhHHRTYaZ6zO0ZRtycwpP_Gn7WQJXFow/edit?gid=1341467536#gid=1341467536</t>
    </r>
  </si>
  <si>
    <r>
      <rPr>
        <rFont val="Cambria"/>
        <color rgb="FF1155CC"/>
        <sz val="11.0"/>
        <u/>
      </rPr>
      <t>https://docs.google.com/spreadsheets/d/1vvlbbnIDxgMmgvxIt4wWzH04he9gGYW1OKEcq1yxzXM/edit?gid=1341467536#gid=1341467536</t>
    </r>
  </si>
  <si>
    <r>
      <rPr>
        <rFont val="Cambria"/>
        <color rgb="FF1155CC"/>
        <sz val="11.0"/>
        <u/>
      </rPr>
      <t>https://docs.google.com/spreadsheets/d/1npw38wlxwdF0l1yJ0kBW4eqg6PerH79oG0QM27QpAcA/edit?gid=805713900#gid=805713900</t>
    </r>
  </si>
  <si>
    <r>
      <rPr>
        <rFont val="Cambria"/>
        <color rgb="FF1155CC"/>
        <sz val="11.0"/>
        <u/>
      </rPr>
      <t>https://docs.google.com/spreadsheets/d/1MkjKTf2-omGc60bS_JztBwPcHpSCfn3ZwRCKE9Tte4Y/edit?gid=805713900#gid=805713900</t>
    </r>
  </si>
  <si>
    <r>
      <rPr>
        <rFont val="Cambria"/>
        <color rgb="FF1155CC"/>
        <sz val="11.0"/>
        <u/>
      </rPr>
      <t>https://docs.google.com/spreadsheets/d/1hxJXs0f9S8TQq71yJe_ECfVHUjVd7ZAkudOacatEMoo/edit?gid=805713900#gid=805713900</t>
    </r>
  </si>
  <si>
    <r>
      <rPr>
        <rFont val="Cambria"/>
        <color rgb="FF1155CC"/>
        <sz val="11.0"/>
        <u/>
      </rPr>
      <t>https://docs.google.com/spreadsheets/d/1wQDmASW0HU6zCdKsesqm8soUoCqJZ63YpdaxNfcEEOw/edit?gid=1341467536#gid=1341467536</t>
    </r>
  </si>
  <si>
    <r>
      <rPr>
        <rFont val="Cambria"/>
        <color rgb="FF1155CC"/>
        <sz val="11.0"/>
        <u/>
      </rPr>
      <t>https://docs.google.com/spreadsheets/d/1idXmmEe6KDI52Tr_a3xwHIIWr_-qKPtNk4QT-t-crA4/edit?gid=1341467536#gid=1341467536</t>
    </r>
  </si>
  <si>
    <r>
      <rPr>
        <rFont val="Cambria"/>
        <color rgb="FF1155CC"/>
        <sz val="11.0"/>
        <u/>
      </rPr>
      <t>https://docs.google.com/spreadsheets/d/1XSQoY1Kl_7BnLhfCjSUXEkZtpHUvwY9bWjuUtU_OTBQ/edit?gid=1341467536#gid=1341467536</t>
    </r>
  </si>
  <si>
    <r>
      <rPr>
        <rFont val="Cambria"/>
        <color rgb="FF1155CC"/>
        <sz val="11.0"/>
        <u/>
      </rPr>
      <t>https://docs.google.com/spreadsheets/d/1lEqXN2om204IGAvALbb9LwKfU3Wzm_0yNypT_co_1wE/edit?gid=1341467536#gid=1341467536</t>
    </r>
  </si>
  <si>
    <r>
      <rPr>
        <rFont val="Cambria"/>
        <color rgb="FF1155CC"/>
        <sz val="11.0"/>
        <u/>
      </rPr>
      <t>https://docs.google.com/spreadsheets/d/12td-IMIQkEPWQf36U2PoeSVo9TAxsx9R3obXGRCUmUY/edit?gid=1341467536#gid=1341467536</t>
    </r>
  </si>
  <si>
    <r>
      <rPr>
        <rFont val="Cambria"/>
        <color rgb="FF1155CC"/>
        <sz val="11.0"/>
        <u/>
      </rPr>
      <t>https://docs.google.com/spreadsheets/d/1wUOxDf4SF4cqSNmCHjiBpvoNpCrvwfMxal_GR9DoZKo/edit?gid=1341467536#gid=1341467536</t>
    </r>
  </si>
  <si>
    <r>
      <rPr>
        <rFont val="Cambria"/>
        <color rgb="FF1155CC"/>
        <sz val="11.0"/>
        <u/>
      </rPr>
      <t>https://docs.google.com/spreadsheets/d/1Y14GfYse3lEOt9t7GEP-JxNUyxlyayvIbmzT9QecUAg/edit?gid=1341467536#gid=1341467536</t>
    </r>
  </si>
  <si>
    <r>
      <rPr>
        <rFont val="Cambria"/>
        <color rgb="FF1155CC"/>
        <sz val="11.0"/>
        <u/>
      </rPr>
      <t>https://docs.google.com/spreadsheets/d/1OdzLqMyrviwdxmNz2pJlMvSTsE41hrdAwUpZLR-DMms/edit?gid=1341467536#gid=1341467536</t>
    </r>
  </si>
  <si>
    <r>
      <rPr>
        <rFont val="Cambria"/>
        <color rgb="FF1155CC"/>
        <sz val="11.0"/>
        <u/>
      </rPr>
      <t>https://docs.google.com/spreadsheets/d/1I8nX2-qXWqjnKtB8T8XvIhyBAafDezcBesoXY0A1vu4/edit?gid=1341467536#gid=1341467536</t>
    </r>
  </si>
  <si>
    <r>
      <rPr>
        <rFont val="Cambria"/>
        <color rgb="FF1155CC"/>
        <sz val="11.0"/>
        <u/>
      </rPr>
      <t>https://docs.google.com/spreadsheets/d/1d3S2LShpOu1BJFbcTsQR4usNtaLz_pgVoOCz9yXxQpE/edit?gid=1341467536#gid=1341467536</t>
    </r>
  </si>
  <si>
    <r>
      <rPr>
        <rFont val="Cambria"/>
        <color rgb="FF1155CC"/>
        <sz val="11.0"/>
        <u/>
      </rPr>
      <t>https://docs.google.com/spreadsheets/d/1kNmf8vSQNUmkEqCDw7uaGC7D5rHzV6Y9sDQs_97hHNs/edit?gid=1341467536#gid=1341467536</t>
    </r>
  </si>
  <si>
    <r>
      <rPr>
        <rFont val="Cambria"/>
        <color rgb="FF1155CC"/>
        <sz val="11.0"/>
        <u/>
      </rPr>
      <t>https://docs.google.com/spreadsheets/d/1Y4Du8SbmYth7pcMKh5UB_NpFe-L1BVDvyvPCuCO7drQ/edit?gid=1341467536#gid=1341467536</t>
    </r>
  </si>
  <si>
    <r>
      <rPr>
        <rFont val="Cambria"/>
        <color rgb="FF1155CC"/>
        <sz val="11.0"/>
        <u/>
      </rPr>
      <t>https://docs.google.com/spreadsheets/d/1t6v_DmyVIsnG45vfkeMpSgTwZwhNGo2wPDPfZGAZ6pA/edit?gid=1341467536#gid=1341467536</t>
    </r>
  </si>
  <si>
    <r>
      <rPr>
        <rFont val="Cambria"/>
        <color rgb="FF1155CC"/>
        <sz val="11.0"/>
        <u/>
      </rPr>
      <t>https://docs.google.com/spreadsheets/d/1Qe4cLob6PKcERQQN3zer3_UMgHgtw8YIrDEsNWqV-rI/edit?gid=1341467536#gid=1341467536</t>
    </r>
  </si>
  <si>
    <r>
      <rPr>
        <rFont val="Cambria"/>
        <color rgb="FF1155CC"/>
        <sz val="11.0"/>
        <u/>
      </rPr>
      <t>https://docs.google.com/spreadsheets/d/1WcSmmN0vRcanhgQmBVf3rV2KQbQhhoMP3ddCn0oMnmk/edit?gid=1341467536#gid=1341467536</t>
    </r>
  </si>
  <si>
    <r>
      <rPr>
        <rFont val="Cambria"/>
        <color rgb="FF1155CC"/>
        <sz val="11.0"/>
        <u/>
      </rPr>
      <t>https://docs.google.com/spreadsheets/d/12I1d325LmL2_wZfiw5-TVNnOLhoRoYuB_joLwErkVGo/edit?gid=1341467536#gid=1341467536</t>
    </r>
  </si>
  <si>
    <r>
      <rPr>
        <rFont val="Cambria"/>
        <color rgb="FF1155CC"/>
        <sz val="11.0"/>
        <u/>
      </rPr>
      <t>https://docs.google.com/spreadsheets/d/1PDvODPUQiipMErZIiowDKKrT93IT1K1CaYrOZ0-MPN0/edit?gid=1341467536#gid=1341467536</t>
    </r>
  </si>
  <si>
    <r>
      <rPr>
        <rFont val="Cambria"/>
        <color rgb="FF1155CC"/>
        <sz val="11.0"/>
        <u/>
      </rPr>
      <t>https://docs.google.com/spreadsheets/d/1Boe3W2lWrIkBZB4EyRzdG3QvYImbsN-OtILo7kY8zYo/edit?gid=1341467536#gid=1341467536</t>
    </r>
  </si>
  <si>
    <r>
      <rPr>
        <rFont val="Cambria"/>
        <color rgb="FF1155CC"/>
        <sz val="11.0"/>
        <u/>
      </rPr>
      <t>https://docs.google.com/spreadsheets/d/1UIgLr8LcTe3P11pNrj7pckeRTWOdKVRCQkOxl3avq5Q/edit?gid=2033784974#gid=2033784974</t>
    </r>
  </si>
  <si>
    <t>No</t>
  </si>
  <si>
    <t>URL KONTEN</t>
  </si>
  <si>
    <t xml:space="preserve"> SCREEN CAPTURE</t>
  </si>
  <si>
    <t>KATEGORI</t>
  </si>
  <si>
    <t>PLATFORM</t>
  </si>
  <si>
    <t>ANALISIS PELANGGARAN</t>
  </si>
  <si>
    <t>DASAR HUKUM</t>
  </si>
  <si>
    <t>ANALISIS DAMPAK</t>
  </si>
  <si>
    <t>VERIFIKASI</t>
  </si>
  <si>
    <t>KETERANGAN</t>
  </si>
  <si>
    <t>https://www.facebook.com/reel/4123019804633671</t>
  </si>
  <si>
    <t>Provokasi</t>
  </si>
  <si>
    <t xml:space="preserve">Ditemukan sebuah akun Facebook dengan nama pengguna Andri Satria Wicaksana yang mengunggah video yang berisi ajakan untuk melakukan demo di pelabuhan dan bandara. Narasi yang dibuat oleh akun Facebook tersebut bersifat provokatif dan tindakan tersebut tergolong melanggar hukum karena ajakan demonstrasi lokasi dimaksud merupakan area yang dilarang digunakan sebagai tempat unjuk rasa dan berpotensi menimbulkan kegaduhan, gangguan keamanan, dan mengganggu stabilitas negara. Penyebaran informasi yang mengandung unsur provokasi provokatif berupa ajakan demonstrasi di objek vital disertai tindakan melanggar hukum yang berpotensi menimbulkan kegaduhan, mengganggu keamanan, serta mengancam stabilitas negara.
</t>
  </si>
  <si>
    <t>Undang-Undang Nomor 1 Tahun 2024 tentang Perubahan Kedua Atas Undang-Undang Nomor 11 Tahun 2008 tentang Informasi dan Transaksi Elektronik pada Pasal 28 ayat (3) dan Pasal 45A ayat (3), Pasal 28 ayat (2) dan Pasal 45A ayat (2) serta Undang-Undang KUHP pasal 160, 170, dan 187</t>
  </si>
  <si>
    <t xml:space="preserve">Munculnya akun dan/atau konten provokatif seperti ajakan untuk melakukan demo di tempat vital berpotensi menyebabkan meningkatkan persebaran manipulasi dan disinformasi, menimbulkan kegaduhan di publik, ruang menciptakan polarisasi sosial, meningkatkan ketegangan sosial yang berdampak pada gangguan keamanan dan ketertiban masyarakat serta mengganggu stabilitas dan integrasi nasional.
Munculnya akun dan/atau konten provokatif seperti ajakan untuk melakukan demo di tempat vital berpotensi menyebabkan meningkatkan persebaran manipulasi dan disinformasi, menimbulkan kegaduhan di publik, ruang menciptakan polarisasi sosial, meningkatkan ketegangan sosial yang berdampak pada gangguan keamanan dan ketertiban masyarakat serta mengganggu stabilitas dan integrasi nasional.
</t>
  </si>
  <si>
    <t>Sudah Verifikasi</t>
  </si>
  <si>
    <t>Tanggal 6 September 2025</t>
  </si>
  <si>
    <t>https://x.com/fransis74201222/status/1963889901809627600</t>
  </si>
  <si>
    <t>Unggahan dari akun Twitter @fransis74201222 diduga mengandung unsur provokatif karena menyerukan penghapusan bendera Merah Putih dan pembakaran gedung serta menyertakan ancaman kekerasan yang ditujukan kepada aparat kepolisian melalui penggunaan kalimat “habisi polisi,” yang menunjukkan adanya ancaman terhadap keselamatan anggota polisi.
Penyebaran informasi yang mengandung unsur provokasi dan ancaman kekerasan telah melanggar UU Nomor 1 Tahun 2024 tentang Informasi dan Transaksi Elektronik pada Pasal 28 ayat (2), 28 ayat (3), Pasal 45A ayat (2), dan Pasal 45A ayat (3) serta Kitab Undang-Undang Hukum Pidana (KUHP) pada Pasal 160, Pasal 170, dan Pasal 187.</t>
  </si>
  <si>
    <t xml:space="preserve">Munculnya akun dan/atau konten provokatif seperti ajakan untuk melakukan demo di tempat vital berpotensi menyebabkan meningkatkan persebaran manipulasi dan disinformasi, menimbulkan kegaduhan di publik, ruang menciptakan polarisasi sosial, meningkatkan ketegangan sosial yang berdampak pada gangguan keamanan dan ketertiban masyarakat serta mengganggu stabilitas dan integrasi nasional.
Munculnya akun dan/atau konten provokatif seperti ajakan untuk melakukan demo di tempat vital berpotensi menyebabkan meningkatkan persebaran manipulasi dan disinformasi, menimbulkan kegaduhan di publik, ruang menciptakan polarisasi sosial, meningkatkan ketegangan sosial yang berdampak pada gangguan keamanan dan ketertiban masyarakat serta mengganggu stabilitas dan integrasi nasional.
</t>
  </si>
  <si>
    <t xml:space="preserve">https://x.com/vdsyst3msx/status/1961828764314395007?s=46 </t>
  </si>
  <si>
    <t>Fitnah dan ujaran kebencian</t>
  </si>
  <si>
    <t xml:space="preserve">Ditemukan sebuah cuitan yang mengunggah sebuah foto yang memperlihatkan pasukan Kopassus tengah beristirahat dan terdapat caption pada foto akan diberlakukannya UU darurat militer dan terdapat upacara di markas Kopassus. Selain itu, cuitan tersebut membahas mengenai tragedi 98 akan terulang kembali apabila seseorang yang disebut dengan nama “Wowo” tidak berubah. 
Unggahan tersebut diduga memuat narasi berupa fitnah dan ajakan tidak percaya kepada “Wowo” yang diduga merupakan Presiden Prabowo karena dianggap pembunuh. 
Penyebaran informasi yang mengandung unsur ujaran kebencian dan fitnah yang berpotensi menimbulkan kegaduhan di masyarakat telah melanggar UU Nomor 1 Tahun 2024 tentang Informasi dan Transaksi Elektronik pada Pasal 28 ayat (2) dan  Pasal 45A ayat (2). 
</t>
  </si>
  <si>
    <t xml:space="preserve">
https://www.facebook.com/photo?fbid=833262655691021 
</t>
  </si>
  <si>
    <t>Provokatif</t>
  </si>
  <si>
    <t>https://web.facebook.com/reel/765573856278973</t>
  </si>
  <si>
    <t xml:space="preserve">Unggahan akun facebook Kang Domir diduga memuat unsur provokatif karena menyerukan untuk melakukan aksi demonstrasi dengan narasi penyerangan dan perusakan gedung DPR sehingga berpotensi membuat kegaduhan diruang publik.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
Unggahan akun facebook Leni Afif Alvarendra diduga memuat unsur provokatif karena menyerukan untuk melakukan aksi demonstrasi dengan narasi penyerangan dan perusakan gedung DPR sehingga berpotensi membuat kegaduhan diruang publik.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
</t>
  </si>
  <si>
    <t>https://web.facebook.com/leni.arlina.961/posts/pfbid034Ua4r2y9AAxjENUiJiCAhCt1UHS397BugQTkEL7MXE4rpL5YPqbi2gfVBTKFeEU9l</t>
  </si>
  <si>
    <t>https://www.tiktok.com/@j.an577/video/7544027935993253126</t>
  </si>
  <si>
    <t>Provokasi dan SARA</t>
  </si>
  <si>
    <t xml:space="preserve">Unggahan dari akun @j.an577 diduga menyebarkan konten bermuatan provokatif dengan narasi SARA, yang menyasar etnis tertentu. Dalam narasi tersebut, etnis dimaksud disebut tidak ikut serta dalam aksi demo, namun justru dituduh sebagai pihak yang membuat kerusuhan dalam demonstrasi. Konten tersebut disertai video yang tidak berkaitan dengan narasi yang disampaikan.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
</t>
  </si>
  <si>
    <t>Undang-Undang Nomor 1 Tahun 2024 tentang Perubahan Kedua Atas Undang-Undang Nomor 11 Tahun 2008 tentang Informasi dan Transaksi Elektronik pada Pasal 28 ayat (2) dan Pasal 45A ayat (2)</t>
  </si>
  <si>
    <t>https://x.com/HaryaWee/status/1963764427875914147</t>
  </si>
  <si>
    <t>Ujaran Kebencian dan Fitnah</t>
  </si>
  <si>
    <t>Ditemukan unggahan dari akun Twitter @HaryaWee yang merespons artikel TirtoID mengenai Menteri Keuangan Sri Mulyani. Unggahan tersebut diduga memuat narasi bernuansa ujaran kebencian dengan menyertakan kata-kata kasar serta menuduh Sri Mulyani melakukan praktik “penjarahan” terhadap rakyat melalui kebijakan pajak yang diterapkan.
Penyebaran informasi yang mengandung unsur ujaran kebencian dan fitnah yang berpotensi menimbulkan kegaduhan di masyarakat telah melanggar UU Nomor 1 Tahun 2024 tentang Informasi dan Transaksi Elektronik pada Pasal 28 ayat (2) dan  Pasal 45A ayat (2).</t>
  </si>
  <si>
    <t>https://www.tiktok.com/@tuanmudatiro/video/7546594594968898834?_r=1&amp;_t=ZS-8zUXYRYN4at</t>
  </si>
  <si>
    <t>Akun tersebut mengunggah narasi separatisme Aceh dengan RI.</t>
  </si>
  <si>
    <t>https://www.tiktok.com/@oposisi.a2/video/7544238308117892370?_r=1&amp;_t=ZS-8zUA803auCm</t>
  </si>
  <si>
    <t>provokasi</t>
  </si>
  <si>
    <t>Akun tersebut membuat unggahan berupa ajakan untuk melakukan unjuk rasa dan dapat memicu kekerasan dan kerusuhan.</t>
  </si>
  <si>
    <t>Kitab Undang-Undang Hukum Pidana (KUHP) 1) Pasal 160 KUHP Dijelaskan mengenai perbuatan seseorang yang menghasut untuk melakukan tindak pidana, yaitu: "Barang siapa dengan sengaja menggerakkan orang lain untuk melakukan perbuatan pidana, dihukum dengan pidana penjara paling lama enam tahun."</t>
  </si>
  <si>
    <t>Ajakan ini dapat memicu tindakan kekerasan dan perusakan fasilitas. Konten ajakan melakukan penjarahan juga dapat memicu kericuhan di ruang publik.</t>
  </si>
  <si>
    <r>
      <rPr>
        <color rgb="FF1155CC"/>
        <sz val="8.0"/>
        <u/>
      </rPr>
      <t>https://www.tiktok.com/@botolbergema/video/7544133450589130002</t>
    </r>
  </si>
  <si>
    <t>sara</t>
  </si>
  <si>
    <t xml:space="preserve">Akun tersebut membuat unggahan berupa menyebarkan kebencian terhadap suku, agama, ras, dan antargolongan (“SARA”) </t>
  </si>
  <si>
    <t>Pasal 28 ayat (2) UU ITE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t>
  </si>
  <si>
    <t>Ajakan ini dapat memicu tindakan kericuhan di ruang publik.</t>
  </si>
  <si>
    <t>https://www.tiktok.com/@bangmul_official/video/7544221377079889208</t>
  </si>
  <si>
    <t>https://www.tiktok.com/@emas.owen.monas.1/video/7545099564882169144</t>
  </si>
  <si>
    <t>Separatisme</t>
  </si>
  <si>
    <t>Akun tersebut mengunggah narasi separatisme Aceh dengan RI.
Penyebaran informasi yang mengandung unsur provokasi, gerakan separatisme dan ancaman kekerasan telah melanggar UU Nomor 1 Tahun 2024 tentang Informasi dan Transaksi Elektronik pada Pasal 28 ayat (2), 28 ayat (3), Pasal 45A ayat (2), dan Pasal 45A ayat (3) serta Undang-Undang KUHP pasal 160, 170, dan 187</t>
  </si>
  <si>
    <t xml:space="preserve">Munculnya akun dan/atau konten provokatif seperti ajakan untuk melakukan demo di tempat vital berpotensi menyebabkan meningkatkan persebaran manipulasi dan disinformasi, menimbulkan kegaduhan di publik, ruang menciptakan polarisasi sosial, meningkatkan ketegangan sosial yang berdampak pada gangguan keamanan dan ketertiban masyarakat serta mengganggu stabilitas dan integrasi nasional.
</t>
  </si>
  <si>
    <t>https://x.com/gegala_/status/1964163492874682392</t>
  </si>
  <si>
    <t>Provokasi dan Ujaran Kebencian</t>
  </si>
  <si>
    <t>Akun tersebut membuat unggahan dengan narasi pemerintah mengacaukan dan meresahkan masyarakat. Penyebaran informasi yang mengandung unsur provokasi dan ancaman kekerasan telah melanggar UU Nomor 1 Tahun 2024 tentang Informasi dan Transaksi Elektronik pada Pasal 28 ayat (2), 28 ayat (3), Pasal 45A ayat (2), dan Pasal 45A ayat (3)</t>
  </si>
  <si>
    <t>Undang-Undang Nomor 1 Tahun 2024 tentang Perubahan Kedua Atas Undang-Undang Nomor 11 Tahun 2008 tentang Informasi dan Transaksi Elektronik pada Pasal 28 ayat (3) dan Pasal 45A ayat (3), Pasal 28 ayat (2) dan Pasal 45A ayat (2)</t>
  </si>
  <si>
    <t>https://x.com/myshawti/status/1963936642399416422</t>
  </si>
  <si>
    <t>Ujaran Kebencian</t>
  </si>
  <si>
    <t>Sebuah akun mengunggah video dengan narasi Polisi membunuh masyarakat yang melakukan aksi demo.
Penyebaran informasi yang mengandung unsur provokasi dan ancaman kekerasan telah melanggar UU Nomor 1 Tahun 2024 tentang Informasi dan Transaksi Elektronik pada Pasal 28 ayat (2), 28 ayat (3), Pasal 45A ayat (2), dan Pasal 45A ayat (3)</t>
  </si>
  <si>
    <r>
      <rPr>
        <color rgb="FF1155CC"/>
        <sz val="8.0"/>
        <u/>
      </rPr>
      <t>https://x.com/albinousie/status/1964189493381972042</t>
    </r>
  </si>
  <si>
    <t>Konten narasi ajakan demonstrasi dengan melakukan pembakaran ke Gedung DPR.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</si>
  <si>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https://x.com/red_troa/status/1963461982650278297</t>
  </si>
  <si>
    <t xml:space="preserve">Konten narasi penggerakan “people power“ untuk melakukan makar. Penyebaran informasi yang mengandung unsur provokasi dan ancaman kekerasan telah melanggar UU Nomor 1 Tahun 2024 tentang Informasi dan Transaksi Elektronik pada Pasal 28 ayat (2), 28 ayat (3), Pasal 45A ayat (2), dan Pasal 45A ayat (3) serta Undang-Undang KUHP pasal 160, 170, dan 187
</t>
  </si>
  <si>
    <t>https://x.com/GejayanCalling/status/1961239504767127695</t>
  </si>
  <si>
    <t>Konten provokasi dengan mengajak masyarakat
untuk menggulingkan Prabowo-Gibran-Jokowi dan membubarkan DPR.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</si>
  <si>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https://x.com/AnharDaeng/status/1964255471508082973</t>
  </si>
  <si>
    <t>Konten provokasi dengan narasi tuntutan untuk memakzulkan wakil presiden.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</si>
  <si>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https://x.com/bhinarrum/status/1964113579185230065</t>
  </si>
  <si>
    <t xml:space="preserve">Konten provokasi dengan narasi ajakan untuk melakukan pembakaran pada gedung DPR usai DPR menanggapi tuntutan 17+8
Penyebaran informasi yang mengandung unsur provokasi dan ancaman kekerasan telah melanggar UU Nomor 1 Tahun 2024 tentang Informasi dan Transaksi Elektronik pada Pasal 28 ayat (2), 28 ayat (3), Pasal 45A ayat (2), dan Pasal 45A ayat (3) serta Undang-Undang KUHP pasal 160, 170, dan 187
.
</t>
  </si>
  <si>
    <t>https://x.com/sementaralewat/status/1964151129165418791</t>
  </si>
  <si>
    <t>Konten provokasi untuk melanjutkan aksi membubarkan DPR dengan narasi yang menuding pemerintah tidak memenuhi tuntutan keresahan masyarakat.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</si>
  <si>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https://www.facebook.com/share/v/1EiFdB8Wm2/</t>
  </si>
  <si>
    <t>Konten provokasi menampilkan video pengamanan demonstrasi disertai narasi polisi menembak masyarakat.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</si>
  <si>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https://www.instagram.com/p/DOAqwSfkzwG/?img_index=1</t>
  </si>
  <si>
    <t>Konten provokasi menampilkan simbol anjing K9 dengan tulisan
dan caption yang dapat memicu sentimen negatif terhadap aparat dalam konteks demonstrasi.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</si>
  <si>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https://www.tiktok.com/@raja_mulonowjadi/video/7545473908581879045</t>
  </si>
  <si>
    <t xml:space="preserve">Konten provokasi memadukan simbol anti aparat (1312/ACAB) dengan seruan revolusi Islam kaffah serta ajakan mobilisasi rakyat untuk perubahan sistem pemerintahan di seluruh Indonesia.
Penyebaran informasi yang mengandung unsur provokasi dan ancaman kekerasan telah melanggar UU Nomor 1 Tahun 2024 tentang Informasi dan Transaksi Elektronik pada Pasal 28 ayat (2), 28 ayat (3), Pasal 45A ayat (2), dan Pasal 45A ayat (3) serta Undang-Undang KUHP pasal 160, 170, dan 187
</t>
  </si>
  <si>
    <t>https://www.facebook.com/share/r/19SpEmdTLE/</t>
  </si>
  <si>
    <t>Ujaran Kebencian dan SARA</t>
  </si>
  <si>
    <t>Ditemukan sebuah akun yang mengunggah konten yang mengamplifikasi narasi SARA antara Suku Jawa dan Budaya Papua.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</si>
  <si>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https://www.instagram.com/p/DOLjMKzj2Jm/</t>
  </si>
  <si>
    <t>Konten provokasi berisi seruan internasional dengan nuansa radikal untuk menggalang solidaritas perlawanan terhadap pemerintah Indonesia, menggunakan narasi anti-negara, ajakan tindakan sabotase, serta mobilisasi lintas negara, yang disampaikan dengan bahasa agitasi dan satir.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</si>
  <si>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https://x.com/BradHarizz/status/1963259496584618494</t>
  </si>
  <si>
    <t>Konten provokasi dan meresahkan dengan menyatakan bangsa Indonesia di ambang kehancuran.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</si>
  <si>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https://www.tiktok.com/@indonesianews20/video/7544969668491070726?_r=1&amp;_t=ZS-8zVouNecas1</t>
  </si>
  <si>
    <t>Konten provokasi dengan narasi palsu terdapat tim sniper yang bersiaga sebelum melakukan penembakan massa pada aksi demo.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</si>
  <si>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https://www.tiktok.com/@indonesianews20/video/7544717655056469253?_r=1&amp;_t=ZS-8zVoxOjhr8C</t>
  </si>
  <si>
    <t>Konten provokasi yang menampilkan polisi yang membuat video lipsync namun di-framing seolah-olah melakukan hal yang tidak pantas.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</si>
  <si>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https://vt.tiktok.com/ZSATTPmSg/</t>
  </si>
  <si>
    <t>Konten provokasi berupa ajakan untuk melakukan unjuk rasa pembubaran DPR pada tanggal 9 September 2025. selain itu konten tersebut juga menyatakan untukpembubaran DPR perlu mengubah konstitusi dan pengeluaran dekrit dari presiden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</si>
  <si>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https://vt.tiktok.com/ZSATTsw85/</t>
  </si>
  <si>
    <t>Konten provokasi berupa ajakan untuk melakukan unjuk rasa pembubaran DPR pada tanggal 9 September 2025 yang aan dilakukan oleh pasukan merah.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</si>
  <si>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https://vt.tiktok.com/ZSATTqnJ2/</t>
  </si>
  <si>
    <t>Konten provokasi berupa ajakan untuk membubarkan DPR.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</si>
  <si>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https://vt.tiktok.com/ZSATwkKJh/</t>
  </si>
  <si>
    <t>https://vt.tiktok.com/ZSATwudR9/</t>
  </si>
  <si>
    <t>Konten provokasi berupa ajakan aksi demonstrasi tanpa informasi yang jelas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</si>
  <si>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https://x.com/palang__hitam</t>
  </si>
  <si>
    <t>Konten provokasi berupa ajakan aksi pembakaran pos polisi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</si>
  <si>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https://www.instagram.com/palang__hitam/</t>
  </si>
  <si>
    <t>Konten provokasi berupa ajakan aksi kekerasan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</si>
  <si>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 xml:space="preserve">https://www.tiktok.com/@raja_mulonowjadi </t>
  </si>
  <si>
    <t>Konten provokasi berupa ajakan untuk mengubah ideologi pancasila menjadi ideolpgi islam
Penyebaran informasi yang mengandung unsur provokasi dan ancaman kekerasan telah melanggar UU Nomor 1 Tahun 2024 tentang Informasi dan Transaksi Elektronik pada Pasal 28 ayat (2), 28 ayat (3), Pasal 45A ayat (2), dan Pasal 45A ayat (3) serta Undang-Undang KUHP pasal 160, 170, dan 187</t>
  </si>
  <si>
    <t>https://www.threads.com/@christovitawiloto</t>
  </si>
  <si>
    <t>Fitnah dan Ujaran Kebencian</t>
  </si>
  <si>
    <t xml:space="preserve">Konten yang bermuatan Fitnah dan Ujaran Kebencian.
Penyebaran informasi yang mengandung unsur ujaran kebencian dan fitnah yang berpotensi menimbulkan kegaduhan di masyarakat telah melanggar UU Nomor 1 Tahun 2024 tentang Informasi dan Transaksi Elektronik pada Pasal 28 ayat (2) dan  Pasal 45A ayat (2). 
</t>
  </si>
  <si>
    <t xml:space="preserve">https://www.facebook.com/christovita.wilotoii
</t>
  </si>
  <si>
    <t xml:space="preserve">Konten yang bermuatan Fitnah dan Ujaran Kebencian.
Penyebaran informasi yang mengandung unsur ujaran kebencian dan fitnah yang berpotensi menimbulkan kegaduhan di masyarakat telah melanggar UU Nomor 1 Tahun 2024 tentang Informasi dan Transaksi Elektronik pada Pasal 28 ayat (2) dan  Pasal 45A ayat (2). 
</t>
  </si>
  <si>
    <r>
      <rPr>
        <color rgb="FF1155CC"/>
        <sz val="8.0"/>
        <u/>
      </rPr>
      <t>https://www.tiktok.com/@dpr_bego/photo/7543395355346472210</t>
    </r>
    <r>
      <rPr>
        <sz val="8.0"/>
      </rPr>
      <t xml:space="preserve"> </t>
    </r>
  </si>
  <si>
    <t>Akun tersebut membuat unggahan berupa ajakan atau provokasi.</t>
  </si>
  <si>
    <t>Ajakan ini dapat memicu tindakan kekerasan dan perusakan fasilitas. Konten provokasi dapat memicu kericuhan di ruang publik.</t>
  </si>
  <si>
    <r>
      <rPr>
        <color rgb="FF1155CC"/>
        <sz val="8.0"/>
        <u/>
      </rPr>
      <t>https://www.tiktok.com/@syamsulfikryreal/video/7140214281752055066</t>
    </r>
    <r>
      <rPr>
        <sz val="8.0"/>
      </rPr>
      <t xml:space="preserve"> </t>
    </r>
  </si>
  <si>
    <r>
      <rPr>
        <color rgb="FF1155CC"/>
        <sz val="8.0"/>
        <u/>
      </rPr>
      <t>https://www.tiktok.com/@tattwamasi6/video/7546465257863138566</t>
    </r>
    <r>
      <rPr>
        <sz val="8.0"/>
      </rPr>
      <t xml:space="preserve"> </t>
    </r>
  </si>
  <si>
    <r>
      <rPr>
        <color rgb="FF1155CC"/>
        <sz val="8.0"/>
        <u/>
      </rPr>
      <t>https://www.tiktok.com/@bubarkandpr02/video/7546934210741816581</t>
    </r>
    <r>
      <rPr>
        <sz val="8.0"/>
      </rPr>
      <t xml:space="preserve"> </t>
    </r>
  </si>
  <si>
    <r>
      <rPr>
        <color rgb="FF1155CC"/>
        <sz val="8.0"/>
      </rPr>
      <t>https://www.tiktok.com/@lsmkhabertana0/video/7546767973269163320</t>
    </r>
    <r>
      <rPr>
        <sz val="8.0"/>
      </rPr>
      <t xml:space="preserve"> </t>
    </r>
  </si>
  <si>
    <r>
      <rPr>
        <color rgb="FF1155CC"/>
        <sz val="8.0"/>
        <u/>
      </rPr>
      <t>https://www.tiktok.com/@suara_keadilan.2/video/7546944868086451512</t>
    </r>
    <r>
      <rPr>
        <sz val="8.0"/>
      </rPr>
      <t xml:space="preserve"> </t>
    </r>
  </si>
  <si>
    <r>
      <rPr>
        <color rgb="FF1155CC"/>
        <sz val="8.0"/>
      </rPr>
      <t>https://www.tiktok.com/@repi.mtd/video/7546890891219291399</t>
    </r>
    <r>
      <rPr>
        <sz val="8.0"/>
      </rPr>
      <t xml:space="preserve"> </t>
    </r>
  </si>
  <si>
    <t>https://www.tiktok.com/@udagojek/video/7467964865714375944</t>
  </si>
  <si>
    <r>
      <rPr>
        <color rgb="FF1155CC"/>
        <sz val="8.0"/>
        <u/>
      </rPr>
      <t>https://www.tiktok.com/@oposisi.a2/video/7544238308117892370</t>
    </r>
  </si>
  <si>
    <r>
      <rPr>
        <color rgb="FF1155CC"/>
        <sz val="8.0"/>
        <u/>
      </rPr>
      <t>https://x.com/barengwarga/status/1962390195766243751</t>
    </r>
  </si>
  <si>
    <t>Akun tersebut membuat unggahan memicu kekerasan dan kerusuhan di kalangan masyarakat.</t>
  </si>
  <si>
    <r>
      <rPr>
        <color rgb="FF1155CC"/>
        <sz val="8.0"/>
        <u/>
      </rPr>
      <t>https://x.com/IndoPopBase/status/1962361386916577303</t>
    </r>
  </si>
  <si>
    <r>
      <rPr>
        <color rgb="FF1155CC"/>
        <sz val="8.0"/>
        <u/>
      </rPr>
      <t>https://x.com/senjatanuklir/status/1962706460397445180</t>
    </r>
  </si>
  <si>
    <r>
      <rPr>
        <color rgb="FF1155CC"/>
        <sz val="8.0"/>
        <u/>
      </rPr>
      <t>https://x.com/lachrymosse_/status/1962889067512954928</t>
    </r>
  </si>
  <si>
    <r>
      <rPr>
        <color rgb="FF1155CC"/>
        <sz val="8.0"/>
        <u/>
      </rPr>
      <t>https://x.com/bijakmemantau/status/1962347247129198993</t>
    </r>
  </si>
  <si>
    <r>
      <rPr>
        <color rgb="FF1155CC"/>
        <sz val="8.0"/>
        <u/>
      </rPr>
      <t>https://x.com/AndovidaLopez/status/1962741624959836437</t>
    </r>
  </si>
  <si>
    <t>Tokoh terkenal</t>
  </si>
  <si>
    <r>
      <rPr>
        <color rgb="FF1155CC"/>
        <sz val="8.0"/>
        <u/>
      </rPr>
      <t>https://x.com/simba_saekkiya/status/1963072462561669518</t>
    </r>
  </si>
  <si>
    <r>
      <rPr>
        <color rgb="FF1155CC"/>
        <sz val="8.0"/>
        <u/>
      </rPr>
      <t>https://x.com/SupirPete2/status/1962804182483902592</t>
    </r>
  </si>
  <si>
    <t>https://x.com/marjinkiri/status/1962398830110113973</t>
  </si>
  <si>
    <r>
      <rPr>
        <color rgb="FF1155CC"/>
        <sz val="8.0"/>
        <u/>
      </rPr>
      <t>https://x.com/senjatanuklir/status/1962191825768460378</t>
    </r>
  </si>
  <si>
    <r>
      <rPr>
        <color rgb="FF1155CC"/>
        <sz val="8.0"/>
        <u/>
      </rPr>
      <t>https://x.com/perupadata/status/1963165185436418296</t>
    </r>
  </si>
  <si>
    <r>
      <rPr>
        <color rgb="FF1155CC"/>
        <sz val="8.0"/>
        <u/>
      </rPr>
      <t>https://x.com/bijakmemantau/status/1962347247129198993</t>
    </r>
  </si>
  <si>
    <r>
      <rPr>
        <color rgb="FF1155CC"/>
        <sz val="8.0"/>
        <u/>
      </rPr>
      <t>https://x.com/eveeemaps/status/1962758682699260111</t>
    </r>
  </si>
  <si>
    <r>
      <rPr>
        <color rgb="FF1155CC"/>
        <sz val="8.0"/>
        <u/>
      </rPr>
      <t>https://x.com/andreasharsono/status/1962372953200640457</t>
    </r>
  </si>
  <si>
    <r>
      <rPr>
        <color rgb="FF1155CC"/>
        <sz val="8.0"/>
        <u/>
      </rPr>
      <t>https://x.com/BaseBDG/status/1962736280711963103</t>
    </r>
  </si>
  <si>
    <r>
      <rPr>
        <color rgb="FF1155CC"/>
        <sz val="8.0"/>
        <u/>
      </rPr>
      <t>https://x.com/ShoutOCs/status/1962730532783222844</t>
    </r>
  </si>
  <si>
    <r>
      <rPr>
        <color rgb="FF1155CC"/>
        <sz val="8.0"/>
        <u/>
      </rPr>
      <t>https://x.com/christasyd/status/1962214660054356225</t>
    </r>
  </si>
  <si>
    <r>
      <rPr>
        <color rgb="FF1155CC"/>
        <sz val="8.0"/>
        <u/>
      </rPr>
      <t>https://x.com/daem_MIA/status/1962543603668169083</t>
    </r>
  </si>
  <si>
    <r>
      <rPr>
        <color rgb="FF1155CC"/>
        <sz val="8.0"/>
        <u/>
      </rPr>
      <t>https://x.com/kangdede78/status/1962680465359511700</t>
    </r>
  </si>
  <si>
    <r>
      <rPr>
        <color rgb="FF1155CC"/>
        <sz val="8.0"/>
        <u/>
      </rPr>
      <t>https://x.com/rd30____/status/1963937296509755790</t>
    </r>
  </si>
  <si>
    <r>
      <rPr>
        <color rgb="FF1155CC"/>
        <sz val="8.0"/>
        <u/>
      </rPr>
      <t>https://www.facebook.com/permalink.php?story_fbid=pfbid0SuUwSxFXF3WyXV3xuCZXHhUo9SHueZZ2PoXAzsBLFyWiiT9LTdEdm9ViVboJhuYZl&amp;id=100066980531300</t>
    </r>
  </si>
  <si>
    <r>
      <rPr>
        <color rgb="FF1155CC"/>
        <sz val="8.0"/>
        <u/>
      </rPr>
      <t>https://www.facebook.com/britania.sari/posts/pfbid08QvvMne1ZZgb6UZ74jikWrTFXkaYBpMkbHvU8gWv1FDorcFHGKnsaqQpYHMeJsB3l?rdid=18JLREIoOIxr7tx6#</t>
    </r>
  </si>
  <si>
    <r>
      <rPr>
        <color rgb="FF1155CC"/>
        <sz val="8.0"/>
        <u/>
      </rPr>
      <t>https://www.facebook.com/revannya.alkhazan/posts/pfbid03NnwvR5nLTACtMuARAM3oBUrjd6Tub72bR9iERrhv4jz9EinGH455qJALK89bUifl</t>
    </r>
  </si>
  <si>
    <r>
      <rPr>
        <color rgb="FF1155CC"/>
        <sz val="8.0"/>
        <u/>
      </rPr>
      <t>https://www.facebook.com/britania.sari/posts/pfbid08QvvMne1ZZgb6UZ74jikWrTFXkaYBpMkbHvU8gWv1FDorcFHGKnsaqQpYHMeJsB3l</t>
    </r>
  </si>
  <si>
    <r>
      <rPr>
        <color rgb="FF1155CC"/>
        <sz val="8.0"/>
        <u/>
      </rPr>
      <t>https://www.facebook.com/permalink.php?story_fbid=pfbid0SuUwSxFXF3WyXV3xuCZXHhUo9SHueZZ2PoXAzsBLFyWiiT9LTdEdm9ViVboJhuYZl&amp;id=100066980531300</t>
    </r>
  </si>
  <si>
    <r>
      <rPr>
        <color rgb="FF1155CC"/>
        <sz val="8.0"/>
        <u/>
      </rPr>
      <t>https://www.facebook.com/reel/1099866145547769</t>
    </r>
  </si>
  <si>
    <r>
      <rPr>
        <color rgb="FF1155CC"/>
        <sz val="8.0"/>
        <u/>
      </rPr>
      <t>https://www.facebook.com/reel/1444190783516910</t>
    </r>
  </si>
  <si>
    <t>Media</t>
  </si>
  <si>
    <r>
      <rPr>
        <color rgb="FF1155CC"/>
        <sz val="8.0"/>
        <u/>
      </rPr>
      <t>https://www.instagram.com/kementerianreformasi.ri/p/DOEKFF8iYNh/</t>
    </r>
  </si>
  <si>
    <r>
      <rPr>
        <color rgb="FF1155CC"/>
        <sz val="8.0"/>
        <u/>
      </rPr>
      <t>https://www.instagram.com/karindanashta/p/DOGcqOZk7gq/</t>
    </r>
  </si>
  <si>
    <r>
      <rPr>
        <color rgb="FF1155CC"/>
        <sz val="8.0"/>
        <u/>
      </rPr>
      <t>https://www.instagram.com/mfauzan_ramdani/p/DOGoInGAfV-/</t>
    </r>
  </si>
  <si>
    <r>
      <rPr>
        <color rgb="FF1155CC"/>
        <sz val="8.0"/>
        <u/>
      </rPr>
      <t>https://www.instagram.com/p/DOH5dKmE9EE/</t>
    </r>
  </si>
  <si>
    <r>
      <rPr>
        <color rgb="FF1155CC"/>
        <sz val="8.0"/>
        <u/>
      </rPr>
      <t>https://www.instagram.com/p/DOK9FHNklWO/</t>
    </r>
  </si>
  <si>
    <r>
      <rPr>
        <color rgb="FF1155CC"/>
        <sz val="8.0"/>
        <u/>
      </rPr>
      <t>https://www.tiktok.com/@aheykan/video/7544964195087846664?q=17%2B8&amp;t=1756954684357</t>
    </r>
  </si>
  <si>
    <r>
      <rPr>
        <color rgb="FF1155CC"/>
        <sz val="8.0"/>
        <u/>
      </rPr>
      <t>https://www.tiktok.com/@dinprasetyo.id/video/7545534099130305848</t>
    </r>
  </si>
  <si>
    <r>
      <rPr>
        <color rgb="FF1155CC"/>
        <sz val="8.0"/>
        <u/>
      </rPr>
      <t>https://www.tiktok.com/@thispaparazzi/video/7545495470152420624</t>
    </r>
  </si>
  <si>
    <r>
      <rPr>
        <color rgb="FF1155CC"/>
        <sz val="8.0"/>
        <u/>
      </rPr>
      <t>https://www.tiktok.com/@__han.bi/video/7545284024470686996</t>
    </r>
  </si>
  <si>
    <r>
      <rPr>
        <color rgb="FF1155CC"/>
        <sz val="8.0"/>
        <u/>
      </rPr>
      <t>https://www.tiktok.com/@samdaowvy77/video/7544963895006383366</t>
    </r>
  </si>
  <si>
    <r>
      <rPr>
        <color rgb="FF1155CC"/>
        <sz val="8.0"/>
        <u/>
      </rPr>
      <t>https://www.tiktok.com/@raffimulyaa/video/7545757134328286520</t>
    </r>
  </si>
  <si>
    <r>
      <rPr>
        <color rgb="FF1155CC"/>
        <sz val="8.0"/>
        <u/>
      </rPr>
      <t>https://www.tiktok.com/@aheykan/photo/7544924941851086098</t>
    </r>
  </si>
  <si>
    <r>
      <rPr>
        <color rgb="FF1155CC"/>
        <sz val="8.0"/>
        <u/>
      </rPr>
      <t>https://www.tiktok.com/@rizki.nadh/video/7545773882318310661</t>
    </r>
  </si>
  <si>
    <r>
      <rPr>
        <color rgb="FF1155CC"/>
        <sz val="8.0"/>
        <u/>
      </rPr>
      <t>https://www.tiktok.com/@powerbenjerz/video/7546049102593740039</t>
    </r>
  </si>
  <si>
    <r>
      <rPr>
        <color rgb="FF1155CC"/>
        <sz val="8.0"/>
        <u/>
      </rPr>
      <t>https://www.tiktok.com/@saveandovi/video/7545801910750629127</t>
    </r>
  </si>
  <si>
    <t>Tokoh Terkenal</t>
  </si>
  <si>
    <t>https://www.instagram.com/reel/DOLejLZkbVx/?igsh=MTgxeTRrMTZuNzJsZw%3D%3D</t>
  </si>
  <si>
    <t>https://x.com/alisyarief/status/1961632621181767939</t>
  </si>
  <si>
    <t>https://x.com/barengwarga/status/1961806345000370182</t>
  </si>
  <si>
    <t>https://x.com/SianiparRismon/status/1963392908134158493</t>
  </si>
  <si>
    <t>https://www.facebook.com/permalink.php?story_fbid=pfbid02fTb2K6NJSzgWBLzqDUZou6PDrQGosqQdft1S1LoN2gcgvs73JDwozm5L4dLAuNEnl&amp;id=61554133665932</t>
  </si>
  <si>
    <t>https://www.facebook.com/lillahbillah.ilallah/posts/pfbid0eKdEZuQb9PgxDt72ESDRpFjdLvZ9i69JwXrV2zJ8N1kpbLJDU2bwob5rWMBqdATtl</t>
  </si>
  <si>
    <t>https://www.facebook.com/kreatorsukses.24/posts/pfbid02Zdh5MGrhur4nqhUgvGZXcfnYcxzg8fyXBH3qJYUT93QqurQcCrRy2EEvF9Vrp9dwl</t>
  </si>
  <si>
    <t>https://www.facebook.com/axoebuxanariel/posts/pfbid0ie9ripmappTEpJirE5jozifHJ6D4TvsEspZxqobK141u77692V3RVbEzGJ9DvvWSl</t>
  </si>
  <si>
    <t>https://www.facebook.com/smartdrivingschool.balikpapan/posts/pfbid0ow2vQKaHYYCusp5tCRwS7WxbECDg59vMLp2ba1cRoDnsg4SfcfYkfxnkd4tj1xfYl</t>
  </si>
  <si>
    <t>https://www.instagram.com/p/DOLpaffkgIp/</t>
  </si>
  <si>
    <t>https://www.instagram.com/p/DON40WUAa04/</t>
  </si>
  <si>
    <t>https://www.youtube.com/watch?v=ceiQIVb6xd0</t>
  </si>
  <si>
    <t>https://www.youtube.com/shorts/ButXpgtFJ1U</t>
  </si>
  <si>
    <t>https://www.youtube.com/shorts/c8d3HcCMrLI</t>
  </si>
  <si>
    <t>https://www.youtube.com/watch?v=6JwoC1sQK2g</t>
  </si>
  <si>
    <t>https://www.tiktok.com/@galaksyplayerroblox/video/7545406116734307601</t>
  </si>
  <si>
    <t>https://www.tiktok.com/@tommymadarin/photo/7542312060483374344</t>
  </si>
  <si>
    <t>https://www.tiktok.com/@mulutnetizzen/video/7544719125747191046</t>
  </si>
  <si>
    <t>https://www.tiktok.com/@akademibitorex/video/7541756841651408144</t>
  </si>
  <si>
    <t>https://x.com/faeprie</t>
  </si>
  <si>
    <t>https://www.tiktok.com/@orangmiskin897</t>
  </si>
  <si>
    <t>https://www.facebook.com/reel/787470977372794</t>
  </si>
  <si>
    <t xml:space="preserve">Ditemukan konten pada akun Facebook dengan nama pengguna Erna Wati yang mengunggah video berisi ajakan untuk melakukan demo di pelabuhan dan bandara. Narasi yang dibuat oleh akun Facebook tersebut bersifat provokatif dan tindakan tersebut tergolong melanggar hukum karena ajakan demonstrasi lokasi dimaksud merupakan area yang dilarang digunakan sebagai tempat unjuk rasa dan berpotensi menimbulkan kegaduhan, gangguan keamanan, dan mengganggu stabilitas negara.
Penyebaran informasi yang mengandung unsur provokatif berupa ajakan demonstrasi di objek vital disertai tindakan melanggar hukum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</si>
  <si>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Undang-Undang Nomor 1 Tahun 2024 tentang Perubahan Kedua Atas Undang-Undang Nomor 11 Tahun 2008 tentang Informasi dan Transaksi Elektronik pada Pasal 28 ayat (3) dan Pasal 45A ayat (3), Pasal 28 ayat (2) dan Pasal 45A ayat (2) dan Pasal 45A ayat (2)  serta Undang-Undang  KUHP pasal 160, 170, dan 187.</t>
  </si>
  <si>
    <t xml:space="preserve">Munculnya akun dan/atau konten provokatif seperti ajakan untuk melakukan demo di tempat vital berpotensi menyebabkan meningkatkan persebaran manipulasi dan disinformasi, menimbulkan kegaduhan di publik, ruang menciptakan polarisasi sosial, meningkatkan ketegangan sosial yang berdampak pada gangguan keamanan dan ketertiban masyarakat serta mengganggu stabilitas dan integrasi nasional.
</t>
  </si>
  <si>
    <t>https://www.facebook.com/rafael.lya.sari/posts/pfbid03H7k4XKCwFUFTxzmYhAj7KnKexLjWmhABufNhRib1kEKUsMYUyHQEMzB6qD18TPxl</t>
  </si>
  <si>
    <t xml:space="preserve">Ditemukan konten pada akun Facebook dengan nama pengguna Dana Santika yang mengunggah video berisi ajakan untuk melakukan demo di pelabuhan dan bandara. Narasi yang dibuat oleh akun Facebook tersebut bersifat provokatif dan tindakan tersebut tergolong melanggar hukum karena ajakan demonstrasi lokasi dimaksud merupakan area yang dilarang digunakan sebagai tempat unjuk rasa dan berpotensi menimbulkan kegaduhan, gangguan keamanan, dan mengganggu stabilitas negara.
Penyebaran informasi yang mengandung unsur provokatif berupa ajakan demonstrasi di objek vital disertai tindakan melanggar hukum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</si>
  <si>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 xml:space="preserve">Munculnya akun dan/atau konten provokatif seperti ajakan untuk melakukan demo di tempat vital berpotensi menyebabkan meningkatkan persebaran manipulasi dan disinformasi, menimbulkan kegaduhan di publik, ruang menciptakan polarisasi sosial, meningkatkan ketegangan sosial yang berdampak pada gangguan keamanan dan ketertiban masyarakat serta mengganggu stabilitas dan integrasi nasional.
</t>
  </si>
  <si>
    <t>https://www.facebook.com/reel/1323244695804423</t>
  </si>
  <si>
    <t xml:space="preserve">Ditemukan konten pada akun Facebook dengan nama pengguna Andri Satria Wicaksana yang mengunggah video yang berisi ajakan untuk melakukan demo di pelabuhan dan bandara. Narasi yang dibuat oleh akun Facebook tersebut bersifat provokatif dan tindakan tersebut tergolong melanggar hukum karena ajakan demonstrasi lokasi dimaksud merupakan area yang dilarang digunakan sebagai tempat unjuk rasa dan berpotensi menimbulkan kegaduhan, gangguan keamanan, dan mengganggu stabilitas negara.
Penyebaran informasi yang mengandung unsur provokatif berupa ajakan demonstrasi di objek vital disertai tindakan melanggar hukum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</si>
  <si>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https://www.instagram.com/p/DOUi1mLE5OI/</t>
  </si>
  <si>
    <t xml:space="preserve">Ditemukan konten pada akun instagram @otakukazze yang memperlihatkan proses pembuatan alat arduino seperti timer bom dan  dinarasikan sarkas untuk dilemparkan ke sarang tikus.
Penyebaran informasi yang mengandung unsur provokatif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</si>
  <si>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Munculnya akun dan/atau konten provokatif seperti ajakan untuk melakukan demo di tempat vital berpotensi menyebabkan meningkatkan persebaran manipulasi dan disinformasi, menimbulkan kegaduhan di publik, ruang menciptakan polarisasi sosial, meningkatkan ketegangan sosial yang berdampak pada gangguan keamanan dan ketertiban masyarakat serta mengganggu stabilitas dan integrasi nasional.</t>
  </si>
  <si>
    <t>https://www.tiktok.com/@alifangga76</t>
  </si>
  <si>
    <t>Provokatif dan Disinformasi</t>
  </si>
  <si>
    <r>
      <rPr>
        <sz val="8.0"/>
      </rPr>
      <t xml:space="preserve">Akun TikTok dengan nama pengguna alifaangga76 diduga menyebarkan beberapa konten yang mengandung unsur disinformasi dan provokatif melalui unggahan berupa rekaman video yang menggambarkan kerumunan massa dalam situasi aksi demonstrasi yang terlihat padat dan tidak kondusif di sekitar Gedung DPR/MPR RI pada 9 September 2025. Namun demikian, hasil penelusuran menunjukkan bahwa video tersebut bukan berasal dari Indonesia, melainkan merupakan rekaman aksi demonstrasi di Nepal yang kemudian digunakan kembali dengan narasi menyesatkan. Dalam unggahan tersebut, video dimanipulasi seolah-olah memperlihatkan aksi demonstrasi di Gedung DPR/MPR Jakarta dengan narasi tambahan bahwa massa meneriakkan “DPR Bubar”. Adapun video asli demonstrasi di Nepal dapat diakses melalui tautan:
</t>
    </r>
    <r>
      <rPr>
        <color rgb="FF1155CC"/>
        <sz val="8.0"/>
        <u/>
      </rPr>
      <t>https://www.youtube.com/shorts/pla9hQ01KZk</t>
    </r>
    <r>
      <rPr>
        <sz val="8.0"/>
      </rPr>
      <t xml:space="preserve">
Penyebaran informasi yang mengandung unsur provokasi yang berpotensi menimbulkan keresahan dan kegaduhan di masyarakat telah melanggar UU Nomor 1 Tahun 2024 tentang Informasi dan Transaksi Elektronik pada 28 ayat (3) dan Pasal 45A ayat (3).
</t>
    </r>
  </si>
  <si>
    <t>Undang-Undang Nomor 1 Tahun 2024 tentang Perubahan Kedua Atas Undang-Undang Nomor 11 Tahun 2008 tentang Informasi dan Transaksi Elektronik pada 28 ayat (3) dan Pasal 45A ayat (3).</t>
  </si>
  <si>
    <t>konten yang dilaporkan tidak sesuai dengan yang diajukan</t>
  </si>
  <si>
    <t>https://www.tiktok.com/@biskut.coklat4/video/7547941618905517317</t>
  </si>
  <si>
    <t>Akun TikTok dengan nama pengguna biskuit.coklat4 diduga menyebarkan beberapa konten yang mengandung unsur disinformasi dan provokatif melalui unggahan berupa rekaman video aksi demonstrasi lama yang diunggah kembali untuk memperlihatkan situasi aksi demonstrasi yang terlihat padat dan tidak kondusif di sekitar Gedung DPR/MPR RI pada 9 September 2025.
Penyebaran informasi yang mengandung unsur provokasi yang berpotensi menimbulkan keresahan dan kegaduhan di masyarakat telah melanggar UU Nomor 1 Tahun 2024 tentang Informasi dan Transaksi Elektronik pada 28 ayat (3) dan Pasal 45A ayat (3).</t>
  </si>
  <si>
    <t>https://www.facebook.com/watch/?v=794839416392437&amp;rdid=9Oztl3lqcPz7vbxL</t>
  </si>
  <si>
    <t xml:space="preserve">Akun Facebook dengan nama pengguna Lek diduga menyebarkan beberapa konten yang mengandung unsur disinformasi dan provokatif melalui unggahan berupa rekaman video yang menggambarkan kerumunan massa dalam situasi aksi demonstrasi yang terlihat padat dan tidak kondusif di sekitar Gedung DPR/MPR RI pada 9 September 2025. Namun demikian, hasil penelusuran menunjukkan bahwa video tersebut bukan berasal dari Indonesia, melainkan merupakan rekaman aksi demonstrasi di Nepal yang kemudian digunakan kembali dengan narasi menyesatkan. Dalam unggahan tersebut, video dimanipulasi seolah-olah memperlihatkan aksi demonstrasi di Gedung DPR/MPR Jakarta dengan narasi tambahan bahwa massa meneriakkan “DPR Bubar”. Adapun video asli demonstrasi di Nepal dapat diakses melalui tautan:
https://www.youtube.com/shorts/pla9hQ01KZk
Penyebaran informasi yang mengandung unsur provokasi yang berpotensi menimbulkan keresahan dan kegaduhan di masyarakat telah melanggar UU Nomor 1 Tahun 2024 tentang Informasi dan Transaksi Elektronik pada 28 ayat (3) dan Pasal 45A ayat (3).
</t>
  </si>
  <si>
    <t>https://www.tiktok.com/@dsnxz6285/photo/7545096227851914502</t>
  </si>
  <si>
    <t xml:space="preserve">Provokatif </t>
  </si>
  <si>
    <t xml:space="preserve">Ditemukan sebuah unggahan konten yang bersifat provokatif berupa foto seorang peserta demonstrasi dengan luka pada bagian jidat. Foto tersebut disertai dengan narasi menyesatkan yang menyebut bahwa kepala seorang reporter di Solo ditembak oleh aparat kepolisian, serta menuduhkan bahwa aparat melakukan tindakan represif dan kekerasan yang semakin mengerikan terhadap masyarakat.
Penyebaran informasi yang mengandung unsur provokasi yang berpotensi menimbulkan keresahan dan kegaduhan di masyarakat telah melanggar UU Nomor 1 Tahun 2024 tentang Informasi dan Transaksi Elektronik pada 28 ayat (3) dan Pasal 45A ayat (3).
</t>
  </si>
  <si>
    <t>https://www.tiktok.com/@saeproduct_shop8/video/7547924634130337030</t>
  </si>
  <si>
    <t xml:space="preserve">Akun Tiktok dengan nama pengguna @saeproduct_shop8 diduga menyebarkan beberapa konten yang mengandung unsur disinformasi dan provokatif melalui unggahan berupa rekaman video yang menggambarkan kerumunan massa dalam situasi aksi demonstrasi yang terlihat padat dan tidak kondusif di sekitar Gedung DPR/MPR RI pada 9 September 2025. Namun demikian, hasil penelusuran menunjukkan bahwa video tersebut bukan berasal dari Indonesia, melainkan merupakan rekaman aksi demonstrasi di Nepal yang kemudian digunakan kembali dengan narasi menyesatkan. Dalam unggahan tersebut, video dimanipulasi seolah-olah memperlihatkan aksi demonstrasi di Gedung DPR/MPR Jakarta dengan narasi tambahan bahwa massa meneriakkan “DPR Bubar”. Adapun video asli demonstrasi di Nepal dapat diakses melalui tautan:
https://www.youtube.com/shorts/pla9hQ01KZk
Penyebaran informasi yang mengandung unsur provokasi yang berpotensi menimbulkan keresahan dan kegaduhan di masyarakat telah melanggar UU Nomor 1 Tahun 2024 tentang Informasi dan Transaksi Elektronik pada 28 ayat (3) dan Pasal 45A ayat (3).
</t>
  </si>
  <si>
    <t>https://www.tiktok.com/@al_fath6/video/7547734958165478672</t>
  </si>
  <si>
    <t xml:space="preserve">Ditemukan sebuah unggahan konten yang membahas isu reshuffle kabinet dengan mengaitkannya pada permasalahan yang melibatkan mantan Menteri Koperasi, Budie Arie. Dalam video tersebut, narasi yang dibangun cenderung menggiring opini publik bahwa pemerintah masih memberikan perlindungan kepada Budie Arie yang diduga terlibat dalam kasus judi online. Selain itu, video tersebut turut menyudutkan Presiden Prabowo dengan menarasikan bahwa langkah reshuffle kabinet hanya merupakan rekayasa politik yang bertujuan menampilkan citra seolah-olah berpihak kepada masyarakat, padahal dipersepsikan sebagai bentuk penipuan terhadap masyarakat.
Penyebaran informasi yang mengandung unsur provokasi yang berpotensi menimbulkan keresahan dan kegaduhan di masyarakat telah melanggar UU Nomor 1 Tahun 2024 tentang Informasi dan Transaksi Elektronik pada 28 ayat (3) dan Pasal 45A ayat (3).
</t>
  </si>
  <si>
    <t>Munculnya akun dan/atau konten provokatif seperti menyudutkan Pemerintah dengan menarasikan bahwa kebijakan ataupun keputusan yang ada merupakan rekayasa politik atau tujuan dari kelompok tertentu, padahal dipersepsikan sebagai bentuk penipuan terhadap masyarakat. Penyebaran informasi yang mengandung unsur provokasi tersebut berpotensi menimbulkan keresahan dan kegaduhan di masyarakat.</t>
  </si>
  <si>
    <t>hold, 17+8</t>
  </si>
  <si>
    <t>https://www.facebook.com/groups/147231742886369/permalink/1861518368124356/?rdid=iwwTUxJ6XevQeWC9#</t>
  </si>
  <si>
    <t xml:space="preserve">Ditemukan konten pada akun Facebook dengan nama pengguna Zack Zailer melalui Grup INFO DKI JAKARTA yang mengunggah status berisi ajakan untuk melakukan demo di pelabuhan dan bandara. Narasi yang dibuat oleh akun Facebook tersebut bersifat provokatif dan tindakan tersebut tergolong melanggar hukum karena ajakan demonstrasi lokasi dimaksud merupakan area yang dilarang digunakan sebagai tempat unjuk rasa dan berpotensi menimbulkan kegaduhan, gangguan keamanan, dan mengganggu stabilitas negara.
Penyebaran informasi yang mengandung unsur provokatif berupa ajakan demonstrasi di objek vital disertai tindakan melanggar hukum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</si>
  <si>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 xml:space="preserve">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</si>
  <si>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https://www.facebook.com/permalink.php?story_fbid=669659526145185&amp;id=100093034304145&amp;rdid=jT7rif1fIZ5CJDYN#</t>
  </si>
  <si>
    <t>Ditemukan konten pada akun Facebook dengan nama pengguna Atik Suryani yang mengunggah status beserta foto berisi ajakan untuk melakukan demo di pelabuhan dan bandara. Narasi yang dibuat oleh akun Facebook tersebut bersifat provokatif dan tindakan tersebut tergolong melanggar hukum karena ajakan demonstrasi lokasi dimaksud merupakan area yang dilarang digunakan sebagai tempat unjuk rasa dan berpotensi menimbulkan kegaduhan, gangguan keamanan, dan mengganggu stabilitas negara.
Penyebaran informasi yang mengandung unsur provokatif berupa ajakan demonstrasi di objek vital disertai tindakan melanggar hukum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</si>
  <si>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https://www.tiktok.com/@puji283/video/7543905182573399314</t>
  </si>
  <si>
    <t>Ditemukan konten pada akun Tiktok dengan nama pengguna puji283 yang mengunggah video demo dengan caption berisi ajakan untuk melakukan demo di pelabuhan dan bandara. Narasi yang dibuat oleh akun Facebook tersebut bersifat provokatif dan tindakan tersebut tergolong melanggar hukum karena ajakan demonstrasi lokasi dimaksud merupakan area yang dilarang digunakan sebagai tempat unjuk rasa dan berpotensi menimbulkan kegaduhan, gangguan keamanan, dan mengganggu stabilitas negara.
Penyebaran informasi yang mengandung unsur provokatif berupa ajakan demonstrasi di objek vital disertai tindakan melanggar hukum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</si>
  <si>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https://www.threads.com/@lukmanarifrachman19/post/DOTIxsMEaSN?xmt=AQF0EZ9ciwRtFzi9xUUsrnqAlrL9qKqJCohOQWzWuwyETA&amp;slof=1</t>
  </si>
  <si>
    <t>HOAX</t>
  </si>
  <si>
    <t>Akun tersebut membuat unggahan berupa berita bohong.</t>
  </si>
  <si>
    <t>Pasal 28 ayat (3) UU ITE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(3) UU ITE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t>
  </si>
  <si>
    <r>
      <rPr>
        <color rgb="FF1155CC"/>
        <sz val="8.0"/>
        <u/>
      </rPr>
      <t>https://www.facebook.com/groups/1499992370958626/posts/1614050489552813/</t>
    </r>
  </si>
  <si>
    <t>SARA</t>
  </si>
  <si>
    <t>Akun tersebut membuat unggahan SARA.</t>
  </si>
  <si>
    <t>https://www.tiktok.com/@revolutionarmy98</t>
  </si>
  <si>
    <t>https://twitter.com/bukanomar_/status/1961565240942117212</t>
  </si>
  <si>
    <t>Twitter</t>
  </si>
  <si>
    <t>Dilaporkan telah melakukan tindak pidana provokasi dengan menyantumkan tagar ajakan bubarkan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</si>
  <si>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t>
  </si>
  <si>
    <t>https://twitter.com/ritsu_artt/status/1961603342041567555</t>
  </si>
  <si>
    <t>Dilaporkan telah melakukan tindak pidana provokasi dengan ajakan melawan dan menyantumkan tagar bubarkan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</si>
  <si>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t>
  </si>
  <si>
    <t>https://twitter.com/SuhardiSuh66239/status/1964873322422005778</t>
  </si>
  <si>
    <t>Dilaporkan telah melakukan tindak pidana provokasi dengan ajakan stop membayar pajak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</si>
  <si>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 xml:space="preserve">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 </t>
  </si>
  <si>
    <t>https://www.tiktok.com/@warga432/video/7540432084758727941</t>
  </si>
  <si>
    <t>Dilaporkan telah melakukan tindak pidana provokasi ajakan demo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</si>
  <si>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https://www.tiktok.com/@burhaku/video/7542401708429823238</t>
  </si>
  <si>
    <t>https://www.instagram.com/p/DN5RQqaj8Tk/</t>
  </si>
  <si>
    <t>Dilaporkan telah melakukan tindak pidana provokasi ajakan bubarkan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</si>
  <si>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https://www.instagram.com/p/DN22XT74q0c/</t>
  </si>
  <si>
    <t>https://www.instagram.com/p/DN-vXOWEd-Y/</t>
  </si>
  <si>
    <t>Dilaporkan telah melakukan tindak pidana provokasi ajakan memakzulkan ketua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</si>
  <si>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Belum Verifikasi</t>
  </si>
  <si>
    <t>Out tidak ada unsur DFK</t>
  </si>
  <si>
    <t>https://x.com/prastha_winadi/status/1961736392373092494</t>
  </si>
  <si>
    <t>Pelanggaran Keamanan Informasi</t>
  </si>
  <si>
    <t>Dilaporkan telah melakukan tindak pidana penyebaran alamat pribadi yang akan berdampak memicu tindakan kekerasan dan perusakan,  serta berpotensi menimbulkan kerusuhan dan keresahan masyarakat. Hal ini sudah melanggar undang-undang yang berlaku dalam negara Kesatuan Republik Indonesia, sehingga hal tersebut dapat menimbulkan keresahan di kalangan masyarakat di ruang digital.</t>
  </si>
  <si>
    <t xml:space="preserve">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 
</t>
  </si>
  <si>
    <t>https://www.threads.com/@yulianawgp15/post/DOXVkOVDy5U</t>
  </si>
  <si>
    <t>Provokasi dan Separatisme</t>
  </si>
  <si>
    <t>Konten pada akun Facebook dengan nama pengguna Galeri Post teridentifikasi mengunggah video bermuatan provokatif yang mendorong narasi Aceh merdeka serta menghina bendera merah putih dengan sebutan sampah.
Penyebaran informasi yang mengandung unsur provokatif berupa mendukung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</si>
  <si>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Munculnya akun dan/atau konten provokatif berpotensi menyebabkan meningkatkan persebaran manipulasi dan disinformasi, menimbulkan kegaduhan di publik, ruang menciptakan polarisasi sosial, meningkatkan ketegangan sosial yang berdampak pada gangguan keamanan dan ketertiban masyarakat serta mengganggu stabilitas dan integrasi nasional.</t>
  </si>
  <si>
    <t>https://www.youtube.com/shorts/DC7iUNbc4HA</t>
  </si>
  <si>
    <t>Akun YouTube @bakuhantam mengunggah video kekerasan saat aksi demonstrasi yang disertai dengan ucapan provokatif “pateni” dalam bahasa Jawa yang berarti “matikan".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</si>
  <si>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https://www.tiktok.com/@bubarkandpr02/video/7548264436646071557</t>
  </si>
  <si>
    <t>Akun TikTok @bubarkandpr02 mengunggah konten bernuansa provokatif yang mendesak pengesahan RUU Perampasan Aset dengan ancaman bahwa Gedung DPR/MPR RI akan bernasib seperti di Nepal apabila tidak disetujui.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</si>
  <si>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https://twitter.com/albinousie/status/1964191933573575079</t>
  </si>
  <si>
    <t>Akun Twitter @albinousie mengunggah konten bernuansa provokatif yang mendesak penuhi tuntutan massa atau Gedung DPR/MPR RI akan dibakar.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</si>
  <si>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https://twitter.com/albinousie/status/1964202367517131191</t>
  </si>
  <si>
    <t>https://twitter.com/M17522147/status/19643110564082524944</t>
  </si>
  <si>
    <t>Akun Twitter @M17522147 mengunggah konten berisi narasi ujaran kebencian dengan bahasa kasar yang secara implisit ditujukan kepada Ahmad Sahroni dan anggota DPR, serta memuat provokasi untuk segera melakukan pembubaran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</si>
  <si>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Undang-Undang Nomor 1 Tahun 2024 tentang Perubahan Kedua Atas Undang-Undang Nomor 11 Tahun 2008 tentang Informasi dan Transaksi Elektronik pada Pasal 28 ayat (3) dan Pasal 45A ayat (3), Pasal 28 ayat (2) dan Pasal 45A ayat (2) dan Pasal 45A ayat (2).</t>
  </si>
  <si>
    <t>Munculnya akun dan/atau konten yang menyebarkan ujaran kebencian menyebabkan meningkatkan persebaran manipulasi dan disinformasi, menimbulkan kegaduhan di publik, ruang menciptakan polarisasi sosial, meningkatkan ketegangan sosial yang berdampak pada gangguan keamanan dan ketertiban masyarakat.</t>
  </si>
  <si>
    <t>https://twitter.com/nattawat_ti/status/1965471465958261047?s=46&amp;t=6L9t7sM_LWsJSPiEr1yCYw</t>
  </si>
  <si>
    <t xml:space="preserve">Provokasi </t>
  </si>
  <si>
    <t>Akun Twitter @nattawat_ti mengunggah konten bernuansa provokatif yang mendesak penuhi tuntutan massa atau Gedung DPR/MPR RI akan dibakar.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</si>
  <si>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https://www.tiktok.com/@civivox.id/video/7548005959130434821</t>
  </si>
  <si>
    <t>Disinformasi</t>
  </si>
  <si>
    <t>Konten disinformasi berjenis False Context (konteks salah) yang menunjukkan video video yang menggambarkan kerumunan massa dalam situasi aksi demonstrasi yang terlihat padat dan tidak kondusif di sekitar Gedung DPR/MPR RI pada 9 September 2025. Namun demikian, hasil penelusuran  menunjukkan bahwa video tersebut bukan demosntrasi pada 9 September 2025 yang dilakukan oleh BEMU UI dan sejumlah mahasiswa lainnya.
Penyebaran informasi yang mengandung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</si>
  <si>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https://twitter.com/ika_bhinne14288/status/1965697140224839714</t>
  </si>
  <si>
    <t>Akun twitter @ika_bhinne14288 mengunggah konten berupa narasi ujaran kebencian bernuansa SARA.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</si>
  <si>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color rgb="FF1155CC"/>
        <sz val="8.0"/>
        <u/>
      </rPr>
      <t>https://www.facebook.com/share/p/1BwznMfJPk/</t>
    </r>
    <r>
      <rPr>
        <sz val="8.0"/>
      </rPr>
      <t xml:space="preserve"> </t>
    </r>
  </si>
  <si>
    <t>Konten pada akun Facebook dengan nama pengguna Galeri Post teridentifikasi mengunggah video bermuatan provokatif yang mendorong narasi Aceh merdeka serta menghina bendera merah putih dengan sebutan sampah.
Penyebaran informasi yang mengandung unsur provokatif berupa mendukung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</si>
  <si>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Undang-Undang Nomor 1 Tahun 2024 tentang Perubahan Kedua Atas Undang-Undang Nomor 11 Tahun 2008 tentang Informasi dan Transaksi Elektronik pada Pasal 28 ayat (3) dan Pasal 45A ayat (3), Pasal 28 ayat (2) dan Pasal 45A ayat (2) serta Undang-Undang KUHP pasal 160, 170, dan 187.</t>
  </si>
  <si>
    <t>Munculnya akun dan/atau konten yang menyebarkan informasi yang mengandung unsur provokatif berupa mendukung separatisme yang berpotensi menimbulkan kegaduhan, mengganggu keamanan, serta mengancam stabilitas negara.</t>
  </si>
  <si>
    <t xml:space="preserve">https://www.facebook.com/watch/?v=1444468126847092&amp;rdid=V1I7ia2IEfchMiqa </t>
  </si>
  <si>
    <t>Konten pada akun Facebook dengan nama pengguna “Negara Pulau Sumatera Merdeka” yang mengunggah video yang menyangkut isu SARA.  Akun tersebut mengunggah video mengenai semua penjajah tinggal di pulau Jawa dan mengatakan bahwa pulau Jawa merupakan sarang PKI dan banyak prostitusi. Penyebaran informasi yang mengandung unsur provokatif berupa SARA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</si>
  <si>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Munculnya akun dan/atau konten yang menyebarkan informasi yang mengandung unsur provokatif berupa SARA yang berpotensi menimbulkan kegaduhan, mengganggu keamanan, serta mengancam stabilitas negara.</t>
  </si>
  <si>
    <t xml:space="preserve">https://www.facebook.com/share/p/1MVJPbhSzF/ </t>
  </si>
  <si>
    <t xml:space="preserve">Sebuah akun yang mengunggah status dan memperlihatkan seorang pria tengah mengibarkan banner yang bertulisan “JANGAN BERKOAR KOAR NKRI HARGA MATI KARENA NKRI HAMPIR MAMPOS!” dan terdapat tulisan FREE ACHEH, FREE PAPUA, FREE MALUKU.
Penyebaran informasi yang mengandung unsur provokatif berupa mendukung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</si>
  <si>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 xml:space="preserve">https://www.facebook.com/reel/1971977843624029 </t>
  </si>
  <si>
    <t xml:space="preserve">sebuah akun yang mengajak untuk membubarkan negara, bukan membubarkan DPR. Penyebaran informasi yang mengandung unsur provokatif berupa mendukung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</si>
  <si>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 xml:space="preserve">https://www.facebook.com/groups/1392429151628587/posts/1863169317887899 </t>
  </si>
  <si>
    <t xml:space="preserve">Sebuah akun yang mengunggah status apabila tidak terdapat perubahan di Indonesia pada tahun 2026, diyakini bahwa GAM akan bergerak dan rakyat Sumatera akan meminta bantuan.
Penyebaran informasi yang mengandung unsur provokatif berupa mendukung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</si>
  <si>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https://www.facebook.com/groups/1555893255066486/posts/1713923905930086</t>
  </si>
  <si>
    <t>https://www.facebook.com/groups/456481828956436?multi_permalinks=1440732880531321&amp;hoisted_section_header_type=recently_seen</t>
  </si>
  <si>
    <t>https://www.facebook.com/groups/225157887497430/posts/24974022098850999/</t>
  </si>
  <si>
    <t>https://www.facebook.com/groups/225157887497430/posts/24973991882187354/</t>
  </si>
  <si>
    <t>https://www.facebook.com/groups/225157887497430/posts/24964835836436292/</t>
  </si>
  <si>
    <t>https://www.facebook.com/groups/1499992370958626/?multi_permalinks=1601685107456018</t>
  </si>
  <si>
    <t>https://www.tiktok.com/@revolutionarmy98/photo/7547751299136113938</t>
  </si>
  <si>
    <t>Akun tersebut membuat unggahan berita bohong.</t>
  </si>
  <si>
    <t xml:space="preserve">1) Pasal 28 ayat (3) UU ITE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2) Pasal 45A ayat (3) UU ITE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t>
  </si>
  <si>
    <r>
      <rPr>
        <color rgb="FF1155CC"/>
        <sz val="8.0"/>
        <u/>
      </rPr>
      <t>https://www.tiktok.com/@revolutionarmy98/video/7547749328488811784</t>
    </r>
  </si>
  <si>
    <r>
      <rPr>
        <color rgb="FF1155CC"/>
        <sz val="8.0"/>
        <u/>
      </rPr>
      <t>https://www.tiktok.com/@revolutionarmy98/photo/7547739888246967560</t>
    </r>
  </si>
  <si>
    <r>
      <rPr>
        <color rgb="FF1155CC"/>
        <sz val="8.0"/>
        <u/>
      </rPr>
      <t>https://www.tiktok.com/@revolutionarmy98/photo/7547739209193245959</t>
    </r>
  </si>
  <si>
    <t>https://twitter.com/moviemnfs/status/1961734579879907459</t>
  </si>
  <si>
    <t>Dilaporkan telah melakukan tindak pidana provokasi ajakan penjarahan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</si>
  <si>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 xml:space="preserve">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 </t>
  </si>
  <si>
    <t>Belum ada surat rekomendasi</t>
  </si>
  <si>
    <t>https://twitter.com/dementourr/status/1961754721603272933</t>
  </si>
  <si>
    <t>https://twitter.com/ridetothe/status/1961744020545339730</t>
  </si>
  <si>
    <t>https://twitter.com/szelangkah/status/1961748043621159242</t>
  </si>
  <si>
    <t>https://twitter.com/AswinMunandar5/status/1962019526981328947</t>
  </si>
  <si>
    <t>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t>
  </si>
  <si>
    <t>https://twitter.com/headachead/status/1962006030440866215</t>
  </si>
  <si>
    <t>https://twitter.com/ranginku/status/1962007659886108915</t>
  </si>
  <si>
    <t>https://twitter.com/OnlyInIDR/status/1962011190579896770</t>
  </si>
  <si>
    <t>https://twitter.com/chochoball77/status/1962012108432060660</t>
  </si>
  <si>
    <t>https://twitter.com/waduhx/status/1962015840628580641</t>
  </si>
  <si>
    <t>https://www.instagram.com/p/DOFo7TuE1Jj/</t>
  </si>
  <si>
    <t xml:space="preserve">Ujaran Kebencian </t>
  </si>
  <si>
    <t>Dilaporkan telah melakukan tindak pidana ujaran kebencian terhadap aparat kepolisian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</si>
  <si>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https://www.instagram.com/p/DN6Cba9kpos/</t>
    </r>
  </si>
  <si>
    <r>
      <rPr>
        <color rgb="FF1155CC"/>
        <sz val="8.0"/>
        <u/>
      </rPr>
      <t>https://www.instagram.com/p/DN6DIjJEpl3/</t>
    </r>
  </si>
  <si>
    <t>Dilaporkan telah melakukan tindak pidana ujaran kebencian terhadap aparat kepolisian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</si>
  <si>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https://www.instagram.com/p/DN7VvtUEo53/</t>
    </r>
  </si>
  <si>
    <r>
      <rPr>
        <color rgb="FF1155CC"/>
        <sz val="8.0"/>
        <u/>
      </rPr>
      <t>https://www.instagram.com/p/DN6F0cokh5O/</t>
    </r>
  </si>
  <si>
    <r>
      <rPr>
        <color rgb="FF1155CC"/>
        <sz val="8.0"/>
        <u/>
      </rPr>
      <t>https://www.facebook.com/reel/1329960748498642</t>
    </r>
  </si>
  <si>
    <t>Dilaporkan telah melakukan tindak pidana provokasi ajakan untuk melakukan pembubaran terhadap Institusi Kepolisian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</si>
  <si>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https://www.facebook.com/reel/1808295983422421</t>
    </r>
  </si>
  <si>
    <t>Dilaporkan telah melakukan tindak pidana provokasi menggunakan senjata tajam terhadap Aparat Kepolisian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</si>
  <si>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https://www.facebook.com/reel/1126692502685554</t>
  </si>
  <si>
    <t>Dilaporkan telah melakukan tindak pidana ujaran kebencian terhadap Aparat kepolisian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</si>
  <si>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https://www.facebook.com/reel/948149287497626</t>
    </r>
  </si>
  <si>
    <t>Dilaporkan telah melakukan tindak pidana ujaran kebencian terhadap Aparat Kepolisian dan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</si>
  <si>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https://www.facebook.com/reel/773365482294715</t>
    </r>
  </si>
  <si>
    <t>Dilaporkan telah melakukan tindak pidana ujaran kebencian terhadap Aparat Kepolisian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</si>
  <si>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https://www.tiktok.com/@konfederasikasbi_/photo/7545542675605261624</t>
  </si>
  <si>
    <r>
      <rPr>
        <color rgb="FF1155CC"/>
        <sz val="8.0"/>
        <u/>
      </rPr>
      <t>https://www.tiktok.com/@_darkside_tr4p/video/7545907042658127160</t>
    </r>
  </si>
  <si>
    <r>
      <rPr>
        <color rgb="FF1155CC"/>
        <sz val="8.0"/>
        <u/>
      </rPr>
      <t>https://www.tiktok.com/@icalical1188/video/7544923713318161671</t>
    </r>
  </si>
  <si>
    <r>
      <rPr>
        <color rgb="FF1155CC"/>
        <sz val="8.0"/>
        <u/>
      </rPr>
      <t>https://www.tiktok.com/@jeme.kite858/video/7547942344985726215?lang=en</t>
    </r>
  </si>
  <si>
    <r>
      <rPr>
        <color rgb="FF1155CC"/>
        <sz val="8.0"/>
        <u/>
      </rPr>
      <t>https://www.tiktok.com/@bercanda218/photo/7548054580765052166?lang=en</t>
    </r>
  </si>
  <si>
    <r>
      <rPr>
        <color rgb="FF1155CC"/>
        <sz val="8.0"/>
        <u/>
      </rPr>
      <t>https://www.facebook.com/reel/793757659755495</t>
    </r>
  </si>
  <si>
    <r>
      <rPr>
        <color rgb="FF1155CC"/>
        <sz val="8.0"/>
        <u/>
      </rPr>
      <t>https://www.facebook.com/nano.bleng.1/posts/pfbid0AEDFRogTPc4m7CJVCQQEuCShNFjSN5dQfV8HDiWRZDLCybA1J2GN4RTvDByDGQPBl?rdid=uFF8y1ZomdVaPWzQ#</t>
    </r>
  </si>
  <si>
    <t>Dilaporkan telah melakukan tindak pidana provokasi dengan ajakan dan menyantumkan tagar TurunkanPrabowo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</si>
  <si>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https://www.facebook.com/Baju3Dimensi/posts/pfbid028p5t6BDmpfbhXiGq5o7yWjwfzD2HobktbX2ZhTQS1nRj2DyRsVJbygEpmU1DBT3El</t>
    </r>
  </si>
  <si>
    <r>
      <rPr>
        <color rgb="FF1155CC"/>
        <sz val="8.0"/>
        <u/>
      </rPr>
      <t>https://www.facebook.com/reel/793804386523007</t>
    </r>
  </si>
  <si>
    <t>Dilaporkan telah melakukan tindak pidana provokasi dengan ajakan dan menyantumkan turunkan prabowo dan digantikan dengan Anis Baswedan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</si>
  <si>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https://www.facebook.com/dae.atu.9/posts/pfbid04mPmusCGBtfpGYFfiKf9STGHJj7KSxzdx88ZRWuSG3HweFHJE7jYYW4isrtf3fY6l</t>
    </r>
  </si>
  <si>
    <t>Dilaporkan telah melakukan tindak pidana provokasi dengan ajakan dan menyantumkan Turunkan Prabowo, Gibran dan Mentri-mentri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</si>
  <si>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https://www.facebook.com/reel/3269154366584018</t>
    </r>
  </si>
  <si>
    <t>Dilaporkan telah melakukan tindak pidana provokasi dengan ajakan dan menyantumkan Turunkan Prabowo,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</si>
  <si>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https://www.facebook.com/rusli.rusli.452462/posts/pfbid028SF3XeGr9f4GNFRRWxLwPiZqESaaeLFwNHbjvsXfWkXVsdXDBFkKGU8jh6A22VfHl</t>
    </r>
  </si>
  <si>
    <t>Dilaporkan telah melakukan tindak pidana provokasi dengan ajakan dan menyantumkan Turunkan Prabowo pengkhianat bangsa,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</si>
  <si>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https://www.instagram.com/p/DOCp904Ekq0/</t>
    </r>
  </si>
  <si>
    <r>
      <rPr>
        <color rgb="FF1155CC"/>
        <sz val="8.0"/>
        <u/>
      </rPr>
      <t>https://www.instagram.com/p/DN7tkuDEeL7/</t>
    </r>
  </si>
  <si>
    <r>
      <rPr>
        <color rgb="FF1155CC"/>
        <sz val="8.0"/>
        <u/>
      </rPr>
      <t>https://www.instagram.com/p/DN-dTKBExPO/</t>
    </r>
  </si>
  <si>
    <r>
      <rPr>
        <color rgb="FF1155CC"/>
        <sz val="8.0"/>
        <u/>
      </rPr>
      <t>https://www.instagram.com/p/DN_T2YQEuFW/</t>
    </r>
  </si>
  <si>
    <t>Tanggal 10</t>
  </si>
  <si>
    <t xml:space="preserve">https://twitter.com/bosedii/status/1965070871682580635
</t>
  </si>
  <si>
    <t>Akun twitter @bosedii mengunggah konten berupa narasi fitnah dan ujaran kebencian bernuansa SARA yang ditujukan untuk Presiden Prabowo, Wakil Presiden Gibran, Mantan Presiden Jokowi, dan Luhut Binsar Pandjaitan dengan kata-kata kasar.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</si>
  <si>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https://www.tiktok.com/@lembaga_19/video/7548496799724555538</t>
  </si>
  <si>
    <t xml:space="preserve">Konten pada akun Tiktok dengan nama pengguna @lembaga_19 teridentifikasi mengunggah video bermuatan provokatif yang mendorong narasi demo ulang perlu dilakukan rakyat Indonesia agar RUU perampasan aset disahkan oleh DPR RI dan ajakan untuk menurunkan Puan Maharani sebagai Ketua DPR RI karena beliau merupakan dalang dari ini semua. Selain itu, terdapat ajakan untuk pembubaran DPR RI.
</t>
  </si>
  <si>
    <t>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</si>
  <si>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Munculnya akun dan/atau konten provokatif, ujaran kebencian, SARA menyebabkan meningkatkan persebaran manipulasi dan disinformasi, menimbulkan kegaduhan di publik, ruang menciptakan polarisasi sosial, meningkatkan ketegangan sosial yang berdampak pada gangguan keamanan dan ketertiban masyarakat serta mengganggu stabilitas dan integrasi nasional.</t>
  </si>
  <si>
    <t>tanggal 11</t>
  </si>
  <si>
    <t>https://www.facebook.com/reel/2214747019029293</t>
  </si>
  <si>
    <t xml:space="preserve">Akun Facebook Lek mengunggah video ajakan demonstrasi dan bubarkan DPR pada tanggal 15 September 2025 dan video tersebut dibuat menggunakan AI. </t>
  </si>
  <si>
    <t>https://twitter.com/abdullll85/status/1965667844529836253</t>
  </si>
  <si>
    <t xml:space="preserve">Akun X (Twitter) mengunggah konten bernuansa provokatif yang memperlihatkan kondisi demo di Nepal dan terdapat ajakan untuk demo kembali dengan narasi menuju Indonesia Bubar 2030.
</t>
  </si>
  <si>
    <t>https://www.tiktok.com/@ayubap51/video/7544022964392447288</t>
  </si>
  <si>
    <t>Akun X (Twitter) mengunggah konten bernuansa provokatif yang memperlihatkan kondisi demo anarkis dengan narasi menuju Indonesia Bubar 2030.</t>
  </si>
  <si>
    <t xml:space="preserv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</si>
  <si>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https://www.tiktok.com/@osprey005</t>
  </si>
  <si>
    <t xml:space="preserve">Ditemukan sebuah akun Tiktok dengan nama pengguna @osprey005 yang banyak mengunggah konten bernuansa provokatif berupa demo dan ajakan untuk kemerdekaan bagi Aceh.
</t>
  </si>
  <si>
    <t>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</si>
  <si>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https://www.tiktok.com/@keripikpedas22</t>
  </si>
  <si>
    <t xml:space="preserve">Ditemukan sebuah akun Tiktok dengan nama pengguna @keripikpedas22 yang banyak mengunggah konten bernuansa provokatif berupa demo dan ajakan untuk kemerdekaan bagi Aceh. </t>
  </si>
  <si>
    <t>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</si>
  <si>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https://www.facebook.com/reel/1330319881940112</t>
  </si>
  <si>
    <t xml:space="preserve">Akun Facebook dengan nama pengguna Ajo Syahril Amiruddin mengunggah konten bernuansa provokatif berupa apabila Presiden Prabowo ingin rakyat sejahtera, maka seharusnya memerdekakan Sumatera. Video tersebut menampilkan pembagian dari provinsi di Sumatera yang akan menjadi negara bersamaan dengan bendera masing-masing negara. 
</t>
  </si>
  <si>
    <t>https://www.tiktok.com/@darlian_kennedy420/photo/7538696252406451461</t>
  </si>
  <si>
    <t>SARA, dan Separatisme</t>
  </si>
  <si>
    <t xml:space="preserve">Sebuah akun Tiktok dengan nama pengguna @darlian_kennedy420 mengunggah sebuah konten yang mengandung SARA dan pengakuan bahwa Aceh bukan merupakan Indonesia. </t>
  </si>
  <si>
    <t>Penyebaran informasi yang mengandung unsur SARA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</si>
  <si>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https://www.tiktok.com/@buraqtapa/video/7548653559290580280</t>
  </si>
  <si>
    <t>Provokatif dan Separatisme</t>
  </si>
  <si>
    <t>Beredar sebuah konten provokasi pada media sosial Tiktok dengan nama pengguna buragtapa yang mengunggah konten mengenai Aceh, Papua, dan Maluku wajib merdeka.</t>
  </si>
  <si>
    <t xml:space="preserv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</si>
  <si>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https://www.tiktok.com/@amanahindatuaceh/video/7548593035349593361</t>
  </si>
  <si>
    <t>Beredar sebuah konten provokasi pada media sosial Tiktok dengan nama pengguna amanahindatuaceh yang mengunggah konten bahwa Aceh wajib merdeka dari Indonesia.</t>
  </si>
  <si>
    <t>https://twitter.com/Srik4ndiMuslim2/status/1965977761560015288</t>
  </si>
  <si>
    <t>Akun @Srik4ndiMuslim2 mengunggah konten provokatif terkait ajakan untuk melakukan pemakzulan pada Gibran dengan menggunakan hashtag #GengSoloPenebarKudeta.</t>
  </si>
  <si>
    <t>https://twitter.com/sonofabytes/status/1966058852669125029</t>
  </si>
  <si>
    <t>Akun @sonofabytes membuat postingan pada media sosial twitter mengenai demonstrasi yang terjadi di Nepal dengan caption yang mengajak untuk menjadikan Indonesia seperti Nepal yang sedang kacau</t>
  </si>
  <si>
    <t>https://twitter.com/BROW_nis/status/1965937577741234622</t>
  </si>
  <si>
    <t>Akun @BROW_nis membuat unggahan yang mennyampaikan kurang sepuluh nyawa lagi supaya pejabat Indonesia mundur seperti di Nepal</t>
  </si>
  <si>
    <t>https://www.tiktok.com/@andrenofhardy/video/7548706833079291154?_r=1&amp;_t=ZS-8zdl1UuCKAb</t>
  </si>
  <si>
    <t>Akun andrenofhardy membuat unggahan yang mennyampaikan hapus DPR koruptor dari bumi ini agar negara ini bersih tidak ada perampasan dan pajak</t>
  </si>
  <si>
    <t>https://www.tiktok.com/@omleo.0776/video/7548474003212586247?_r=1&amp;_t=ZS-8zdl5gUOq2L</t>
  </si>
  <si>
    <t>Akun omleo.077 membuat unggahan video demo nepal dengan caption kenapa kita tidak bisa seperti mereka.</t>
  </si>
  <si>
    <t>https://www.tiktok.com/@wahyu.santoso331/video/7548478917909171464?_r=1&amp;_t=ZS-8zdlZ3OsAwT</t>
  </si>
  <si>
    <t>Akun wahyu.santoso331 membuat unggahan video demo dengan caption bubarkan dpr yang tidak berguna dan hura hura ngabisin anggaran.</t>
  </si>
  <si>
    <t>https://www.tiktok.com/@dahliatoto_7/video/7548826065544826130?_r=1&amp;_t=ZS-8zdle2YJp1l</t>
  </si>
  <si>
    <t>Akun @dahliatoto_7 membuat unggahan video dengan ajakan kepada masyarakat untuk tidak membayar pajak sebelum UU perampasan aset koruptor di sahkan</t>
  </si>
  <si>
    <t>https://www.facebook.com/reel/3852460825051618</t>
  </si>
  <si>
    <t>PROVOKASI</t>
  </si>
  <si>
    <t>oke</t>
  </si>
  <si>
    <t>https://www.facebook.com/reel/1071408808520692</t>
  </si>
  <si>
    <t>https://web.facebook.com/watch/?v=1431779347905400</t>
  </si>
  <si>
    <t>DISINFORMASI DAN UJARAN KEBENCIAN</t>
  </si>
  <si>
    <t>Akun tersebut membuat unggahan Ujaran Kebencian.</t>
  </si>
  <si>
    <t>UU Nomor 1 Tahun 2024 tentang Informasi dan Transaksi Elektronik
1) Pasal 28 ayat (3) UU ITE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28 ayat (2) UU ITE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t>
  </si>
  <si>
    <t>https://www.tiktok.com/@bujroeh/video/7548275626403171589?q=awak%20uteun76&amp;t=1757564932818</t>
  </si>
  <si>
    <t>https://www.tiktok.com/@suntukcuy/video/7548144907064511749?q=NEPAL&amp;t=1757565263505</t>
  </si>
  <si>
    <t>https://www.tiktok.com/@geger.news06/video/7548425610670951687?q=CONTOH%20NEPAL&amp;t=1757566199016</t>
  </si>
  <si>
    <t>https://www.tiktok.com/@_attacker.cr_/video/7547763395701837063</t>
  </si>
  <si>
    <t>https://www.tiktok.com/@pakprespurwanti0690/video/7548455430326848775</t>
  </si>
  <si>
    <t>https://www.facebook.com/reel/3946558178894814</t>
  </si>
  <si>
    <t>Dilaporkan telah melakukan tindak pidana provokasi ajakan bubarkan DPR dan sahkan UU 09-09-2025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</si>
  <si>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https://www.facebook.com/reel/1428234501762278</t>
  </si>
  <si>
    <t>Dilaporkan telah melakukan tindak pidana provokasi dengan ajakan dan menyantumkan ajakan untuk membubarkan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</si>
  <si>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https://twitter.com/Just_mushlih/status/1961798404520202490</t>
    </r>
  </si>
  <si>
    <t>Dilaporkan telah melakukan tindak pidana provokasi ajakan untuk membakar gedung DPR/MPR,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</si>
  <si>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https://twitter.com/florebloems/status/1964872045113868625</t>
    </r>
  </si>
  <si>
    <t>Dilaporkan telah melakukan tindak pidana provokasi ajakan untuk membakar gedung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</si>
  <si>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https://twitter.com/andreano_zaedan/status/1963406020014690591</t>
    </r>
  </si>
  <si>
    <t>Dilaporkan telah melakukan tindak pidana provokasi ajakan demo hal ini akan berdampaksemakin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</si>
  <si>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Pengajuan Ulang Tanggal 5 September</t>
  </si>
  <si>
    <r>
      <rPr>
        <color rgb="FF1155CC"/>
        <sz val="8.0"/>
        <u/>
      </rPr>
      <t>https://twitter.com/JamesJinkz/status/1962545367855337731</t>
    </r>
  </si>
  <si>
    <r>
      <rPr>
        <color rgb="FF1155CC"/>
        <sz val="8.0"/>
        <u/>
      </rPr>
      <t>https://twitter.com/areacegil/status/1962442809266585916</t>
    </r>
  </si>
  <si>
    <r>
      <rPr>
        <color rgb="FF1155CC"/>
        <sz val="8.0"/>
        <u/>
      </rPr>
      <t>https://www.threads.com/@rafanza260212022/post/DOcnk2xktcK?xmt=AQF</t>
    </r>
    <r>
      <rPr>
        <sz val="8.0"/>
      </rPr>
      <t xml:space="preserve"> 0QzksponHCMZqOrLGjyLyenDRrXUTA 4-4ZtCYmbM2rA</t>
    </r>
  </si>
  <si>
    <t>Caption mengandung narasi ancaman terselubung, mengaitkan kerusuhan di Nepal dengan potensi kerusuhan di Indonesia, yang menimbulkan interpretasi sebagai hasutan atau inspirasi perlawanan terhadap pejabat negara.</t>
  </si>
  <si>
    <t>Pasal 160 KUHP :
 “Barang siapa di muka umum dengan lisan atau tulisan menghasut supaya melakukan perbuatan pidana, melakukan kekerasan terhadap penguasa umum, atau melawan penguasa umum, diancam dengan pidana penjara paling lama enam tahun atau denda.”</t>
  </si>
  <si>
    <t>Berpotensi memicu sikap antipati, kebencian, dan tindakan anarkis terhadap Pemerintah dan pejabat Negara.</t>
  </si>
  <si>
    <t>https://www.threads.com/@modalholongm/post/DOckUa5gd8e?xmt=AQF0SPlHukQZgvCrrHHf2VLI5xzXvKkG8Y0cvfNoLHy1Vw</t>
  </si>
  <si>
    <t>Akun tersebut Memposting konten seruan/ajakan untuk membakar Gedung DPR - RI</t>
  </si>
  <si>
    <t>Dapat memicu masyarakat untuk melakukan tindakan anarkis pembakaran terhadap gedung DPR RI.
 Berpotensi memicu konflik horizontal antara kelompok pro-pemerintah dan anti-pemerintah.</t>
  </si>
  <si>
    <r>
      <rPr>
        <color rgb="FF1155CC"/>
        <sz val="8.0"/>
        <u/>
      </rPr>
      <t>https://www.threads.com/@adiem_kesuma_wijaya/post/DOci6rkklpD</t>
    </r>
  </si>
  <si>
    <t>Memposting konten ajakan untuk membakar gedung DPR (simbol negara) dan tindakan kekerasan ekstrem terhadap aparat negara.</t>
  </si>
  <si>
    <t>Dapat memicu masyarakat untuk melakukan pembakaran terhadap gedung DPR RI, mendorong aksi teror terhadap aparat negara dan menciptakan citra aparat sebagai musuh masyarakat.</t>
  </si>
  <si>
    <r>
      <rPr>
        <color rgb="FF1155CC"/>
        <sz val="8.0"/>
        <u/>
      </rPr>
      <t>https://www.threads.com/@haruskuiklaskan45/post/DOdKTTAEgBC?xmt=AQF0r0Po2c9SGypUiHezss0FezFkzKAYBaMao923wxgz2w</t>
    </r>
  </si>
  <si>
    <t>DISINFORMASI</t>
  </si>
  <si>
    <t>Konten menggunakan video lama namun diposisikan sebagai peristiwa baru memberikan kesan situasi DPR  sekarang sedang kacau padahal bukan kejadian terkini.</t>
  </si>
  <si>
    <t>Pasal 28 Ayat (3) UU ITE : 
 ”Setiap Orang dengan sengaja menyebarkan Informasi Elektronik dan/atau Dokumen Elektronik yang diketahuinya memuat pemberitahuan bohong yang menimbulkan kerusuhan di masyarakat.”</t>
  </si>
  <si>
    <t>Meningkatkan antipati masyarakat terhadap DPR dan memicu aksi unjuk rasa menuntut pembubaran DPR.</t>
  </si>
  <si>
    <r>
      <rPr>
        <color rgb="FF1155CC"/>
        <sz val="8.0"/>
        <u/>
      </rPr>
      <t>https://www.tiktok.com/@kabarjurnalis5/video/7546324041007664390</t>
    </r>
  </si>
  <si>
    <t>Provokasi - Separatisme</t>
  </si>
  <si>
    <t>TikTok</t>
  </si>
  <si>
    <t xml:space="preserve">Konten pada akun Tiktok dengan nama pengguna @kabarjunalis5 mengunggah video mengenai kedaulatan Aceh - Sumatera dan kemerdekaan bagi Aceh dari Indonesia. </t>
  </si>
  <si>
    <t>https://www.facebook.com/reel/957176839899104</t>
  </si>
  <si>
    <t>Facebook</t>
  </si>
  <si>
    <t xml:space="preserve">Konten pada akun Facebook dengan nama pengguna Ajo Syahril Amiruddin mengunggah video memperlihatkan masyarakat demo dan mengibarkan bendera Aceh merdeka. Konten tersebut juga menyampaikan bahwa orang-orang Sumatera akan merasa senang apabila merdeka dari Indonesia. </t>
  </si>
  <si>
    <t>Akun Besar</t>
  </si>
  <si>
    <t>https://www.facebook.com/reel/4130972213844028</t>
  </si>
  <si>
    <t>Konten pada akun Facebook dengan nama pengguna Kebal Hukum mengunggah video ajakan untuk Sumatera Merdeka dan terlepas dari NKRI.</t>
  </si>
  <si>
    <r>
      <rPr>
        <color rgb="FF1155CC"/>
        <sz val="8.0"/>
        <u/>
      </rPr>
      <t>https://www.facebook.com/share/p/17LE6wZN87/</t>
    </r>
  </si>
  <si>
    <t>Konten pada akun Facebook dengan nama pengguna SERIKAT BORNEO RAYA MERDEKA mengunggah status dan foto yang menghina suku Jawa.</t>
  </si>
  <si>
    <t>Penyebaran informasi yang mengandung unsur provokatif dan SARA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</si>
  <si>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color rgb="FF1155CC"/>
        <sz val="8.0"/>
        <u/>
      </rPr>
      <t>https://www.facebook.com/reel/1310521957111178</t>
    </r>
  </si>
  <si>
    <t>Ditemukan sebuah akun Facebook dengan nama pengguna Swantoro yang mengunggah video ajakan Demo di Indonesia harus meniru Nepal untuk melakukan tindakan anarkis seperti mendorong Anggota DPR RI ke dalam sungai.</t>
  </si>
  <si>
    <r>
      <rPr>
        <color rgb="FF1155CC"/>
        <sz val="8.0"/>
        <u/>
      </rPr>
      <t>https://www.facebook.com/reel/566209293180239</t>
    </r>
  </si>
  <si>
    <t xml:space="preserve">Ditemukan sebuah akun Facebook mengunggah konten ajakan bahwa Aceh akan merdeka dan pisah dari Indonesia. </t>
  </si>
  <si>
    <r>
      <rPr>
        <color rgb="FF1155CC"/>
        <sz val="8.0"/>
        <u/>
      </rPr>
      <t>https://www.tiktok.com/@policeherossmile/video/7548632344303766792</t>
    </r>
  </si>
  <si>
    <t>Akun Tiktok mengunggah konten bernuansa provokatif berupa ajakan demo yang akan dilakukan pada 12 September 2025 untuk menurunkan Puan Maharani sebagai Ketua DPR RI.</t>
  </si>
  <si>
    <r>
      <rPr>
        <color rgb="FF1155CC"/>
        <sz val="8.0"/>
        <u/>
      </rPr>
      <t>https://www.facebook.com/reel/768712999265930</t>
    </r>
  </si>
  <si>
    <t>Sebuah akun Facebook dengan nama pengguna Nasir Usman mengunggah sebuah konten yang menyampaikan bahwa status Aceh bukan dalam bingkai NKRI. Oleh karena itu Aceh harus pisah dari Indonesia.</t>
  </si>
  <si>
    <r>
      <rPr>
        <color rgb="FF1155CC"/>
        <sz val="8.0"/>
        <u/>
      </rPr>
      <t>https://www.facebook.com/reel/1480397473091350</t>
    </r>
  </si>
  <si>
    <t>Beredar sebuah konten provokasi pada media sosial Facebook yang memperlihatkan rakyat tengah demo dan berorasi mengenai kemerdekaan Aceh.</t>
  </si>
  <si>
    <r>
      <rPr>
        <color rgb="FF1155CC"/>
        <sz val="8.0"/>
        <u/>
      </rPr>
      <t>https://www.facebook.com/profile.php?id=100079085568421</t>
    </r>
  </si>
  <si>
    <t>Beredar sebuah akun yang mengunggah konten-konten kemerdekaan terhadap beberapa provinsi di Indonesia seperti Aceh, Papua, Riau, Pasundan, dan Serawak.</t>
  </si>
  <si>
    <r>
      <rPr>
        <color rgb="FF1155CC"/>
        <sz val="8.0"/>
        <u/>
      </rPr>
      <t>https://www.facebook.com/reel/1085239283808551</t>
    </r>
  </si>
  <si>
    <t>Sebuah akun Facebook mengunggah konten tentang kemerdekaan Aceh.</t>
  </si>
  <si>
    <r>
      <rPr>
        <rFont val="Arial,sans-serif"/>
        <color rgb="FF1155CC"/>
        <sz val="8.0"/>
        <u/>
      </rPr>
      <t>https://www.facebook.com/reel/806265331814343</t>
    </r>
  </si>
  <si>
    <t>Sebuah akun facebook yang mengunggah video dan memperlihatkan suasana Aceh yang memanas dan pengibaran bendera bintang bulan untuk Aceh merdeka.</t>
  </si>
  <si>
    <r>
      <rPr>
        <color rgb="FF1155CC"/>
        <sz val="8.0"/>
        <u/>
      </rPr>
      <t>https://www.facebook.com/reel/762911886592274</t>
    </r>
  </si>
  <si>
    <t>Sebuah akun Facebook yang mengunggah foto dengan tulisan Aceh Bukan Indonesia.</t>
  </si>
  <si>
    <r>
      <rPr>
        <color rgb="FF1155CC"/>
        <sz val="8.0"/>
        <u/>
      </rPr>
      <t>https://x.com/indepenSumatera/status/1966044620900729155</t>
    </r>
  </si>
  <si>
    <t>Sebuah akun X (Twitter) yang mengunggah cuitan tentang kemerdekaan Aceh dan Sumatera.</t>
  </si>
  <si>
    <t>Akun Centang Biru</t>
  </si>
  <si>
    <r>
      <rPr>
        <color rgb="FF1155CC"/>
        <sz val="8.0"/>
        <u/>
      </rPr>
      <t>https://x.com/Daun_hijau47/status/1963631238385631290</t>
    </r>
  </si>
  <si>
    <t>Provokasi, SARA, dan Separatisme</t>
  </si>
  <si>
    <t xml:space="preserve">Akun X (Twitter) dengan nama @daun_hijau47mengunggah cuitan bahwa Aceh, Papua, Bugis Makassar, Melayu Sumatera, dan Orang Dayak harus bebas dari penjajahan Jawa. Selain itu, Bali, Boyan, dan Madura juga harus merdeka. </t>
  </si>
  <si>
    <t>Penyebaran informasi yang mengandung unsur provokatif, SARA,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</si>
  <si>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color rgb="FF1155CC"/>
        <sz val="8.0"/>
        <u/>
      </rPr>
      <t>https://x.com/HariyantoSahar/status/1963055179798094321</t>
    </r>
  </si>
  <si>
    <t>Akun X (Twitter) mengunggah cuitan bahwa Aceh harus merdeka dari pusat (Indonesia).</t>
  </si>
  <si>
    <r>
      <rPr>
        <color rgb="FF1155CC"/>
        <sz val="8.0"/>
        <u/>
      </rPr>
      <t>https://x.com/f_fathur/status/1962457157221454225</t>
    </r>
  </si>
  <si>
    <t>Akun X (Twitter) menggungah cuitan untuk menangkap Jokowi dan memakzulkan Gibran sebagai Wakil Presiden RI.</t>
  </si>
  <si>
    <r>
      <rPr>
        <color rgb="FF1155CC"/>
        <sz val="8.0"/>
        <u/>
      </rPr>
      <t>https://x.com/Bacoleng/status/1965963797270810672</t>
    </r>
  </si>
  <si>
    <t>Akun X (Twitter) menggungah cuitan untuk memakzulkan Gibran sebagai Wakil Presiden RI.</t>
  </si>
  <si>
    <r>
      <rPr>
        <color rgb="FF1155CC"/>
        <sz val="8.0"/>
        <u/>
      </rPr>
      <t>https://x.com/Boediantar4/status/1965295018731860159</t>
    </r>
  </si>
  <si>
    <t>https://x.com/abdinst/status/1965643512948613554?t=qQg0L9vXamEh4j0h3R5_ow&amp;s=19</t>
  </si>
  <si>
    <t>Akun X (Twitter) yang mengunggah cuitan kondisi Indonesia akan sama seperti Nepal apabila tidak terdapat perubahan dari Pemerintah</t>
  </si>
  <si>
    <t>Munculnya akun dan/atau konten provokatif menyebabkan meningkatkan persebaran manipulasi dan disinformasi, menimbulkan kegaduhan di publik, ruang menciptakan polarisasi sosial, meningkatkan ketegangan sosial yang berdampak pada gangguan keamanan dan ketertiban masyarakat serta mengganggu stabilitas dan integrasi nasional.</t>
  </si>
  <si>
    <t>https://vt.tiktok.com/ZSDNnFNyW/</t>
  </si>
  <si>
    <t>TIkTok</t>
  </si>
  <si>
    <t>Akun Tiktok yang mengunggah video mengenai turunkan Puan Maharani dan ajakan untuk membubarkan DPR serta Indonesia</t>
  </si>
  <si>
    <t>https://www.facebook.com/share/p/1S1nZuvsZw/</t>
  </si>
  <si>
    <t>Akun Facebook yang mengunggah video mengenai lengserkan Puan Maharani  dari ketua umum DPR RI</t>
  </si>
  <si>
    <t>https://vt.tiktok.com/ZSDF82nwc/</t>
  </si>
  <si>
    <t>Akun media sosial TikTok @suararakyat534 membuat unggahan untuk menurunkan Ketua DPR Puan Maharani jika tidak maka bubarkan DPR atau bubarkan negara.</t>
  </si>
  <si>
    <t>https://vt.tiktok.com/ZSDF8dPcR/</t>
  </si>
  <si>
    <t>Akun media sosial TikTok @fahriihsan08_.punyadinda membuat unggahan untuk menurunkan Ketua DPR Puan Maharani jika tidak maka bubarkan DPR atau bubarkan negara.</t>
  </si>
  <si>
    <t>https://vt.tiktok.com/ZSDF8Wurs/</t>
  </si>
  <si>
    <t>Akun media sosial TikTok @info.media.sumbar membuat unggahan untuk  bubarkan DPR.</t>
  </si>
  <si>
    <t>https://vt.tiktok.com/ZSDFLhgg5/</t>
  </si>
  <si>
    <t>Akun media sosial TikTok @infodigit1 membuat unggahan untuk menurunkan Ketua DPR Puan Maharani jika tidak maka bubarkan DPR atau bubarkan negara.</t>
  </si>
  <si>
    <t>https://vt.tiktok.com/ZSDFAS2UV/</t>
  </si>
  <si>
    <t>Akun media sosial TikTok @bubarkandpr02 membuat unggahan untuk mengajak masyarakat membuat Jakarta seperti Nepal.</t>
  </si>
  <si>
    <t>https://vt.tiktok.com/ZSDFm4QcT/</t>
  </si>
  <si>
    <t>Akun media sosial TikTok @putrapasundan_01 membuat unggahan untuk mengajak masyarakat membuat Jakarta seperti Nepal.</t>
  </si>
  <si>
    <t>https://vt.tiktok.com/ZSDFmbwon/</t>
  </si>
  <si>
    <t>Akun media sosial TikTok @kucing.mujair100 membuat unggahan untuk mengajak masyarakat menghakimi Jokowi dan makzulkan Gibran.</t>
  </si>
  <si>
    <t>https://www.tiktok.com/@elektro_1976/photo/7548469554821811473?_r=1&amp;_t=ZS-8zcsjcjdG7A</t>
  </si>
  <si>
    <t xml:space="preserve">PENCEMARAN DAN BERITA BOHONG </t>
  </si>
  <si>
    <t>Tiktok</t>
  </si>
  <si>
    <t>unggahan provokasi dengan mengaitkan beberapa tokoh dan pejabat dengan PKI Akun tersebut membuat unggahan berupa konten pencemaran instansi Bea Cukai dan Berita Bohong.</t>
  </si>
  <si>
    <t xml:space="preserve">Pasal 28 ayat (2) UU ITE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A. UU Nomor 1 Tahun 2024 tentang Informasi dan Transaksi Elektronik
1) Pasal 28 ayat (3) UU ITE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2) Pasal 45A ayat (3) UU ITE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Pasal 45 ayat (4) jo Pasal 27A ITE :  Setiap orang dengan sengaja menyerang kehormatan atau nama baik orang lain dengan cara menuduhkan suatu hal dengan maksud supaya hal tersebut diketahui umum dalam bentuk informasi elektronik dan/atau dokumen elektronik yang dilakukan melalui sistem elektronik dan/atau Pasal 310 dan/atau Pasal 311 KUHP
</t>
  </si>
  <si>
    <t>Unggahan ini dapat memicu dampak negatif pada masyarakat dan memicu kericuhan di ruang publik.</t>
  </si>
  <si>
    <t xml:space="preserve">https://www.tiktok.com/@elangwijaya967/video/7548436428674321670 </t>
  </si>
  <si>
    <t>Akun tersebut membuat unggahan berupa konten pencemaran instansi Bea Cukai dan Berita Bohong.</t>
  </si>
  <si>
    <t xml:space="preserve">Pasal 28 ayat (2) UU ITE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A. UU Nomor 1 Tahun 2024 tentang Informasi dan Transaksi Elektronik
1) Pasal 28 ayat (3) UU ITE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2) Pasal 45A ayat (3) UU ITE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Pasal 45 ayat (4) jo Pasal 27A ITE :  Setiap orang dengan sengaja menyerang kehormatan atau nama baik orang lain dengan cara menuduhkan suatu hal dengan maksud supaya hal tersebut diketahui umum dalam bentuk informasi elektronik dan/atau dokumen elektronik yang dilakukan melalui sistem elektronik dan/atau Pasal 310 dan/atau Pasal 311 KUHP
</t>
  </si>
  <si>
    <t>https://www.tiktok.com/@angga5607631053270/video/7548363472128478520</t>
  </si>
  <si>
    <t>unggahan provokasi dengan mengaitkan beberapa tokoh dan pejabat dengan PKI dan Akun tersebut membuat unggahan berupa konten pencemaran instansi Bea Cukai dan Berita Bohong.</t>
  </si>
  <si>
    <t>https://www.tiktok.com/@fakta.data.id/video/7545138556344257793?_r=1&amp;_t=ZS-8zRA0WWxR60</t>
  </si>
  <si>
    <t>Akun besar</t>
  </si>
  <si>
    <t>https://www.tiktok.com/@borderwarga</t>
  </si>
  <si>
    <t>https://x.com/Muslim_AntiPKI9/status/1965784233487839572</t>
  </si>
  <si>
    <t xml:space="preserve">https://www.tiktok.com/@forumkeadilantv/video/7548456210433969428?_r=1&amp;_t=ZS8zcn3ILlxki </t>
  </si>
  <si>
    <t xml:space="preserve">Akun Besar </t>
  </si>
  <si>
    <t xml:space="preserve">https://www.instagram.com/reel/DOd2yGAErfh/?igsh=MjM3eDMzdTVmYmw5 </t>
  </si>
  <si>
    <t>Instagram</t>
  </si>
  <si>
    <t>https://www.tiktok.com/@fakta.data.id/video/7545138556344257793</t>
  </si>
  <si>
    <t>https://vt.tiktok.com/ZSDN5v4hH/</t>
  </si>
  <si>
    <r>
      <rPr>
        <color rgb="FF1155CC"/>
        <sz val="8.0"/>
        <u/>
      </rPr>
      <t>https://x.com/CakNur971/status/1966374732238107059?t=wH1VL275dfXaVcQlI3sJ8g&amp;s=08</t>
    </r>
    <r>
      <rPr>
        <sz val="8.0"/>
      </rPr>
      <t xml:space="preserve"> </t>
    </r>
  </si>
  <si>
    <t>BERITA BOHONG</t>
  </si>
  <si>
    <t>Memposting konten berita bohong terhadap Jokowi.</t>
  </si>
  <si>
    <t xml:space="preserve">Pasal 14 ayat (1) KUHP :
“Barang siapa, dengan menyiarkan berita atau pemberitahuan bohong, dengan sengaja menerbitkan keonaran di kalangan rakyat, dihukum dengan pidana penjara setinggi-tingginya sepuluh tahun”.
</t>
  </si>
  <si>
    <t>Dapat membentuk persepsi negatif masyarakat terhadap Polri.</t>
  </si>
  <si>
    <t>https://x.com/agung_faysm/status/1966148125871218860?t=4E8fIwtikBwtcFyrxKrKIQ&amp;s=08</t>
  </si>
  <si>
    <t>Pasal 14 ayat (1) KUHP :
“Barang siapa, dengan menyiarkan berita atau pemberitahuan bohong, dengan sengaja menerbitkan keonaran di kalangan rakyat, dihukum dengan pidana penjara setinggi-tingginya sepuluh tahun”.</t>
  </si>
  <si>
    <t xml:space="preserve">
Dapat membentuk persepsi negatif masyarakat terhadap Polri.
</t>
  </si>
  <si>
    <t>https://www.facebook.com/kodbae.jaksa/posts/pfbid02WbkshRTVBciHUdR3VyQnDKbhEJHU7hMbRutgvhTbr8YSaUKGq5HZ9FaTJmgZZpvml?rdid=EmidrBq59gjwRvZ5#</t>
  </si>
  <si>
    <t>Konten ini diduga mengandung narasi provokatif yang menyatakan bahwa presiden tidak diperlukan jika tidak mampu memberhentikan DPR, serta mengimbau masyarakat untuk mengambil alih pengelolaan DPR sendiri dengan mencontoh situasi yang terjadi di Nepal.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</si>
  <si>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https://www.tiktok.com/@muslihin1795/video/7548840230497897746</t>
  </si>
  <si>
    <t>Konten ini diduga berisi narasi provokatif yang mendorong masyarakat melakukan aksi anarkis serupa dengan kejadian di Nepal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</si>
  <si>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https://www.tiktok.com/@rakyat.jelata938/video/7548521376034999559</t>
  </si>
  <si>
    <t>Konten ini diduga berisi narasi provokatif yang mendorong masyarakat melakukan aksi anarkis serupa dengan kejadian di Nepal agar RUU Perampasan Aset disahkan.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</si>
  <si>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https://www.tiktok.com/@ssemot1/video/7549352557852839173</t>
  </si>
  <si>
    <t>Konten ini diduga berisi narasi provokatif yang mendorong masyarakat melakukan aksi anarkis serupa dengan kejadian di Nepal.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</si>
  <si>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https://www.tiktok.com/@aceh.tulen/video/7546878116011035926</t>
  </si>
  <si>
    <t>Konten ini diduga mengandung narasi provokatif bersifat separatisme yang menyatakan bahwa Aceh seharusnya memisahkan diri dari Pemerintah Indonesia.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</si>
  <si>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Takeout Followers besar</t>
  </si>
  <si>
    <t>https://www.tiktok.com/@solusi_tuntas75/video/7547700839444401416</t>
  </si>
  <si>
    <t>Konten ini diduga memuat narasi provokatif agar mendorong masyarakat Indonesia menggunakan people power untuk mengganti sistem pemerintahan saat ini dengan sistem khilafah.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</si>
  <si>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https://www.tiktok.com/@freewestpapua.nl/video/7549182847458774304</t>
  </si>
  <si>
    <t>Konten ini diduga mengandung narasi provokatif bersifat separatisme yang menyatakan bahwa Papua dijajah oleh Indonesia dan mengusulkan agar permasalahan Papua Barat dibawa ke PBB.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</si>
  <si>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https://www.tiktok.com/@independent4038/video/7540913244060306744?_r=1&amp;_t=ZS-8zgfLwUnt5c</t>
  </si>
  <si>
    <t>Konten ini diduga memuat narasi provokatif yang bersifat SARA, berisi ajakan agar Aceh merdeka dipimpin oleh orang dari Jawa.
Penyebaran informasi yang mengandung unsur provokatif, separatisme, dan SARA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</si>
  <si>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https://www.tiktok.com/@independent4038/photo/7496336687174405382?_r=1&amp;_t=ZS-8zgfZ4DKg69</t>
  </si>
  <si>
    <t>Konten ini diduga memuat narasi provokatif yang bersifat SARA dan Separatisme, yang menarasikan bahwa Maluku, Papua, dan Aceh memilih merdeka daripada dijajah orang Jawa.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</si>
  <si>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https://www.tiktok.com/@komando.am.1976/video/7505371645490515221?_r=1&amp;_t=ZS-8zgfc76Fl5R</t>
  </si>
  <si>
    <t>Konten ini diduga memuat narasi provokatif yang bersifat SARA dna Separatisme, yang menarasikan bahwa suku Jawa merupakan penjajah dan membangun negara dalam negara.
Penyebaran informasi yang mengandung unsur provokatif, separatisme, dan SARA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</si>
  <si>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https://www.facebook.com/farah.ummu.mahmudah/posts/pfbid0uVXwsSnTtnaeszJGqDPgkCRPjXGjkLRLthDt5vLa8dMBGjDj86aeAxSkWZPUEomJl?rdid=aBNtgpsSR6VE8NS3#</t>
  </si>
  <si>
    <t>Konten provokatif yang menyatakan rakyat menuntut pelengseran Polri dan DPR RI sebelum terjadi kejadian seperti Nepal.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</si>
  <si>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https://www.facebook.com/reel/1544815663363063</t>
  </si>
  <si>
    <t>Konten ini diduga mengandung unsur provokatif, menampilkan video sopir truk yang mengaku menjadi korban pungli polisi, disertai dengan narasi bahwa Indonesia akan bernasib seperti Nepal.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</si>
  <si>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https://x.com/PresidenKopi/status/1966852928196800632</t>
  </si>
  <si>
    <t>Provokatif dan kekerasan</t>
  </si>
  <si>
    <t>Konten ini diduga mengandung unsur kekerasan yang melibatkan anak di bawah umur dalam aksi unjuk rasa, serta menyertakan narasi provokatif yang mendorong tindakan anarkis dan perilaku main hakim sendiri.
Penyebaran informasi yang mengandung unsur provokatif dan kekerasan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</si>
  <si>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https://www.facebook.com/reel/1074323804747958</t>
  </si>
  <si>
    <t>Konten ini diduga mengandung unsur disinformasi yang menyatakan bahwa DPR kembali bertindak sewenang-wenang dengan cepat membuat undang-undang dalam satu malam, yang konon memberi DPR wewenang untuk mencabut otoritas KPK, MA, MK, kepolisian, dan TNI.
Penyebaran informasi yang mengandung unsur disinformasi dan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</si>
  <si>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https://www.facebook.com/reel/1328820405627154</t>
  </si>
  <si>
    <t>Konten ini diduga memuat narasi provokatif yang mendorong masyarakat melakukan aksi anarkis seperti yang terjadi di Nepal, dengan tujuan membubarkan DPR dan memaksa pengesahan RUU Perampasan Aset, serta menuduh Puan Maharani sebagai penghalang disahkannya RUU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</si>
  <si>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https://www.tiktok.com/@user2661875926168/video/7549069658624773383</t>
  </si>
  <si>
    <t>https://www.tiktok.com/@nurdin_karim_chanel5/video/7548821270230535432</t>
  </si>
  <si>
    <t>Disinformasi dan Provokatif</t>
  </si>
  <si>
    <t>Konten ini diduga mengandung unsur disinformasi yang menyebutkan bahwa DPR bertindak sewenang-wenang dengan cepat membuat undang-undang dalam satu malam, yang konon memberi DPR wewenang untuk mencabut otoritas KPK, MA, MK, kepolisian, dan TNI, disertai narasi yang menanyakan apakah Indonesia ingin mengalami kondisi serupa dengan Nepal.
Penyebaran informasi yang mengandung unsur disinformasi dan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</si>
  <si>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https://www.tiktok.com/@kurniafajrinofficial/video/7541000328922057990</t>
  </si>
  <si>
    <t>Konten ini diduga mengandung unsur disinformasi berupa manipulated content (konten palsu), menampilkan video yang dibuat dengan teknologi AI yang menggambarkan detik-detik ledakan gedung DPR. 
Penyebaran informasi yang mengandung unsur disinformasi dan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</si>
  <si>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https://www.facebook.com/groups/2275273022893045/user/100041210661030</t>
  </si>
  <si>
    <t>Separatisme dan Provokatif</t>
  </si>
  <si>
    <t>Konten ini diduga memuat narasi provokatif bersifat separatisme, yang menyatakan bahwa akun Facebook Willy Bong akan terus menyuarakan tuntutannya hingga Borneo merdeka, karena dianggap pemerintah Indonesia tidak masuk akal.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</si>
  <si>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https://www.facebook.com/groups/2275273022893045/user/61567755303052</t>
  </si>
  <si>
    <t>Ujaran Kebencian, SARA, dan Separatisme</t>
  </si>
  <si>
    <r>
      <t>Akun ini ini diduga mengunggah beberapa konten yang memuat narasi provokatif bersifat separatisme, SARA, dan Separatisme pada grup facebook “</t>
    </r>
    <r>
      <rPr>
        <color rgb="FF1155CC"/>
        <sz val="8.0"/>
        <u/>
      </rPr>
      <t>SERIKAT BORNEO RAYA MERDEKA</t>
    </r>
    <r>
      <rPr>
        <sz val="8.0"/>
      </rPr>
      <t>”.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</si>
  <si>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r>
      <rPr>
        <color rgb="FF1155CC"/>
        <sz val="8.0"/>
        <u/>
      </rPr>
      <t>https://x.com/BarisanPemudaRI/status/1965904570015764731</t>
    </r>
  </si>
  <si>
    <t>DISINFORMASI, FITNAH DAN UJARAN KEBENCIAN</t>
  </si>
  <si>
    <t>Akun tersebut membuat unggahan berupa konten  pencemaran pejabat negara dan situasi negara.</t>
  </si>
  <si>
    <t xml:space="preserve">A. UU Nomor 1 Tahun 2024 tentang Informasi dan Transaksi Elektronik
1) Pasal 28 ayat (3) UU ITE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2) Pasal 45A ayat (3) UU ITE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Pasal 45 ayat (4) jo Pasal 27A ITE :  Setiap orang dengan sengaja menyerang kehormatan atau nama baik orang lain dengan cara menuduhkan suatu hal dengan maksud supaya hal tersebut diketahui umum dalam bentuk informasi elektronik dan/atau dokumen elektronik yang dilakukan melalui sistem elektronik dan/atau Pasal 310 dan/atau Pasal 311 KUHP
</t>
  </si>
  <si>
    <t>https://www.tiktok.com/@asiatel2012/video/7548645449058635026</t>
  </si>
  <si>
    <r>
      <rPr>
        <color rgb="FF1155CC"/>
        <sz val="8.0"/>
        <u/>
      </rPr>
      <t>https://www.tiktok.com/@yudhiaz182/video/7548577037057920261</t>
    </r>
  </si>
  <si>
    <r>
      <rPr>
        <color rgb="FF1155CC"/>
        <sz val="8.0"/>
        <u/>
      </rPr>
      <t>https://www.tiktok.com/@ibuonenggaul/video/7548424379651099910</t>
    </r>
  </si>
  <si>
    <r>
      <rPr>
        <color rgb="FF1155CC"/>
        <sz val="8.0"/>
        <u/>
      </rPr>
      <t>https://www.tiktok.com/@hyeon.kyung.ja/video/7548422357589806341</t>
    </r>
  </si>
  <si>
    <r>
      <rPr>
        <color rgb="FF1155CC"/>
        <sz val="8.0"/>
        <u/>
      </rPr>
      <t>https://www.tiktok.com/@jamalagii/video/7548466562362133768</t>
    </r>
  </si>
  <si>
    <r>
      <rPr>
        <color rgb="FF1155CC"/>
        <sz val="8.0"/>
        <u/>
      </rPr>
      <t>https://www.tiktok.com/@irmasuryani_p2a/video/7548592036253863173</t>
    </r>
  </si>
  <si>
    <r>
      <rPr>
        <color rgb="FF1155CC"/>
        <sz val="8.0"/>
        <u/>
      </rPr>
      <t>https://www.tiktok.com/@7ejetsgw9qtw/video/7548430637330451719</t>
    </r>
  </si>
  <si>
    <r>
      <rPr>
        <color rgb="FF1155CC"/>
        <sz val="8.0"/>
        <u/>
      </rPr>
      <t>https://www.tiktok.com/@iskandar.z9/video/7548513491527699730</t>
    </r>
  </si>
  <si>
    <r>
      <rPr>
        <color rgb="FF1155CC"/>
        <sz val="8.0"/>
        <u/>
      </rPr>
      <t>https://www.tiktok.com/@jamharry.abdel/video/7548460700490878214</t>
    </r>
  </si>
  <si>
    <r>
      <rPr>
        <color rgb="FF1155CC"/>
        <sz val="8.0"/>
        <u/>
      </rPr>
      <t>https://www.tiktok.com/@si.daman/video/7548433273458937093</t>
    </r>
  </si>
  <si>
    <t>https://www.facebook.com/groups/882222322392995/posts/1815059065775978/</t>
  </si>
  <si>
    <t>Pasal 45A ayat (2) UU ITE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t>
  </si>
  <si>
    <t>https://www.facebook.com/groups/882222322392995/posts/1822406801707871/</t>
  </si>
  <si>
    <t>https://www.facebook.com/groups/882222322392995/posts/1824289964852888/</t>
  </si>
  <si>
    <t>https://www.facebook.com/groups/882222322392995/posts/1824313648183853/</t>
  </si>
  <si>
    <t>https://www.facebook.com/groups/882222322392995/?multi_permalinks=1807023436579541&amp;hoisted_section_header_type=recently_seen</t>
  </si>
  <si>
    <t>https://www.tiktok.com/@bang.re04/video/7549230733513035016?_r=1&amp;_t=ZS-8ziATiLGhBg</t>
  </si>
  <si>
    <t>Konten ini diduga mengandung narasi provokatif agar masyarakat melakukan demonstrasi kepada pemerintah dengan melakukan aksi anarkis seperti di Nepal.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</si>
  <si>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t>
  </si>
  <si>
    <t>Munculnya akun dan/atau konten provokatif, ujaran kebencian, SARA berpotensi menyebabkan meningkatkan persebaran manipulasi dan disinformasi, menimbulkan kegaduhan di publik, ruang menciptakan polarisasi sosial, meningkatkan ketegangan sosial yang berdampak pada gangguan keamanan dan ketertiban masyarakat serta mengganggu stabilitas dan integrasi nasional.</t>
  </si>
  <si>
    <t>https://www.tiktok.com/@cahayadi02/video/7543679373635865863?_r=1&amp;_t=ZS-8ziAZv7NcPK</t>
  </si>
  <si>
    <t>Konten ini diduga berisi narasi provokatif dengan narasi Indonesia bubar apabila RUU Pemberantasan Aset dan hukuman mati untuk koruptor tidak disahkan.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</si>
  <si>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color rgb="FF1155CC"/>
        <sz val="8.0"/>
        <u/>
      </rPr>
      <t>https://www.tiktok.com/@freewestpapua.nl/video/7500926800755887383?_r=1&amp;_t=ZS-8ziAcZNjLV9</t>
    </r>
  </si>
  <si>
    <t>Konten provokasi dengan video pidato Mahfud MD. yang dipotong berulang-ulang ketika menyebutkan 2030 Indonesia bubar. Terdapat narasi ajakan agar Papua, Maluku, dan Aceh merdeka dari Indonesia.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</si>
  <si>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https://www.tiktok.com/@_senyaptepatsasaran_/video/7544280852411239688</t>
  </si>
  <si>
    <t>Konten ini diduga berisi narasi provokatif dengan narasi bahwa daerah-daerah belum merdeka dan ajakan untuk melakukan tindakan separatisme seperti OPM, RMS, dan GAM.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</si>
  <si>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https://www.tiktok.com/@bok.office/video/7533478522099158328?_r=1&amp;_t=ZS-8ziFTriOQ2G</t>
  </si>
  <si>
    <t>Konten ini diduga mengandung narasi provokatif bersifat separatisme yang menyinggung Pulau Ambalat yang diambil Malaysia sehingga Pulau Kalimantan lebih baik jika diambil Malaysia sebagai bentuk kekecewaan atas pengelolaan daerah oleh pemerintah pusat.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</si>
  <si>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https://www.facebook.com/share/p/19YVgxqorN/</t>
  </si>
  <si>
    <t>Konten ini diduga memuat narasi provokatif dengan narasi separatisme membentuk Negara Federal Papua dimana Pulau Papua memisahkan diri dari Republik Indonesia.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</si>
  <si>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jhon.kake.jepang?__cft__[0]=AZWKNhTVOpPesZr0szXys55gHK8XgBvdXCL5NDKKiZWkfTwVdKVptX1RYlEM25WG_Wifj2uSPJV2T_of6PQ-H9EC4yTCiUYYzn_pQLUdPjx7_2Ui94CRM6N95Rkiw1OPXTzkZq_V7PF6lS8074hl1NbMuEH134rPAyMs5Jaisgy4q3gv-uRPwVDG_mxcpBOOt3ZIyUkm8Ftr3__kzE5jq2B3&amp;__tn__=-UC%2CP-R</t>
  </si>
  <si>
    <t>Konten ini diduga memuat narasi provokatif yang mendorong masyarakat melakukan aksi anarkis seperti yang terjadi di Nepal, dengan tujuan memaksa pengesahan RUU Perampasan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</si>
  <si>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https://x.com/Dwynna_Win/status/1966833277064671762</t>
  </si>
  <si>
    <t>Konten ini mengandung
unsur provokasi yang mengajak aksi demonstrasi seperti di Nepal dengan mengutip berita mengenai pemberian izin operasi tambang nikel di Pulau Gag.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</si>
  <si>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https://x.com/buzerman18/status/1967095843762373111</t>
  </si>
  <si>
    <t>Ditemukan konten provokatif dari akun @buzerman18 yang menarasikan DPR sebagai dalang yang mengatur koruptor, merampas hak rakyat maupun hak presiden, serta menyerukan pembubaran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</si>
  <si>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t>https://x.com/tgertsjtk/status/1967163591343440053</t>
  </si>
  <si>
    <t>Provokasi dan Disinformasi</t>
  </si>
  <si>
    <t>Ditemukan konten provokatif dan disinformasi berjenis misleading content dari akun @tgertsjtk yang memprovokasi pembubaran DPR dengan menampilkan cuplikan video pembicaraan Menkeu Purbaya yang dihentikan saat RDP di DPR dengan narasi bahwa Menkeu Purbaya sudah menjadi musuh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</si>
  <si>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t>https://www.facebook.com/reel/1516612819483917</t>
  </si>
  <si>
    <t>Akun Facebook Cak Ipul Saifullah mengunggah konten provokatif dan ujaran kebencian dengan kata kasar berupa ajakan kepada masyarakat untuk tidak mencoblos DPR saat pemilu 2029.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</si>
  <si>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t>https://www.facebook.com/groups/221580229175240/permalink/1480689469930970</t>
  </si>
  <si>
    <t>Ditemukan akun Facebook “Sitti Sudirah” yang mengunggah konten provokatif mengandung isu SARA, dengan narasi yang menyatakan bahwa ajaran Islam dianggap salah dan mendorong pemeluknya untuk meninggalkan agama yang dipeluknya.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</si>
  <si>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t>https://www.facebook.com/reel/785220764088548</t>
  </si>
  <si>
    <t>Ditemukan konten provokatif dari akun Facebook Panglima Warung Shodaqoh yang membagikan unggahan  narasi untuk menggulingkan Prabowo, disertai gambar editan yang menampilkan Wakil Presiden Gibran Rakabuming.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</si>
  <si>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t>https://www.facebook.com/darwisy.darwisy.75470/videos/1117429953692498</t>
  </si>
  <si>
    <t>Ditemukan konten disinformasi bernuansa provokatif dari akun Facebook thamarat.al.jannah yang membagikan narasi menyerukan pemakzulan terhadap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</si>
  <si>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t>https://www.facebook.com/thamarat.al.jannah/videos/634408863073938</t>
  </si>
  <si>
    <t>Ditemukan konten disinformasi dengan nuansa provokatif dari akun Facebook thamarat.al.jannah yang membagikan unggahan  narasi untuk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</si>
  <si>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t>https://www.facebook.com/reel/645304944893604</t>
  </si>
  <si>
    <t>Ditemukan jonten disinformasi berupa manipulated content atau konten palsu dengan nuansa provokatif dari akun Facebook /iskandar.zulkarnaen.171782 yang membagikan narasi menyerukan pemakzulan terhadap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</si>
  <si>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t>https://www.facebook.com/groups/835942628136313/?multi_permalinks=922442046153037&amp;hoisted_section_header_type=recently_seen</t>
  </si>
  <si>
    <t xml:space="preserve">https://www.facebook.com/groups/221580229175240/?multi_permalinks=1471213177545266&amp;hoisted_section_header_type=recently_seen </t>
  </si>
  <si>
    <t>https://www.facebook.com/groups/1271958309871151/?multi_permalinks=2509620012771635&amp;hoisted_section_header_type=recently_seen</t>
  </si>
  <si>
    <t>https://www.facebook.com/groups/2378433292339269/?multi_permalinks=3000201303495795&amp;hoisted_section_header_type=recently_seen</t>
  </si>
  <si>
    <t>https://www.facebook.com/permalink.php?story_fbid=pfbid02aTxz2jZty6iP9BTgQ5KTP1okA1cNe2WVrj6xemQTv4A27KGjJhev2JuwWTYtS9Qgl&amp;id=61576741416224</t>
  </si>
  <si>
    <t>https://www.facebook.com/groups/835942628136313/?multi_permalinks=919391759791399&amp;hoisted_section_header_type=recently_seen</t>
  </si>
  <si>
    <r>
      <rPr>
        <color rgb="FF1155CC"/>
        <sz val="8.0"/>
        <u/>
      </rPr>
      <t>https://www.instagram.com/zackzee16/reel/DNkj3N_zibC/</t>
    </r>
  </si>
  <si>
    <t>Dilaporkan telah melakukan tindak pidana provokasi ajakan rakyat bersatu melawan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</si>
  <si>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https://www.instagram.com/dprbubarkan/p/DNtU7ilZi-B/</t>
    </r>
  </si>
  <si>
    <r>
      <rPr>
        <color rgb="FF1155CC"/>
        <sz val="8.0"/>
        <u/>
      </rPr>
      <t>https://www.facebook.com/reel/1991455094723332</t>
    </r>
  </si>
  <si>
    <t>Dilaporkan telah melakukan tindak pidana provokasi ajakan untuk Bubarkan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</si>
  <si>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https://www.facebook.com/reel/2776147092570131</t>
    </r>
  </si>
  <si>
    <r>
      <rPr>
        <color rgb="FF1155CC"/>
        <sz val="8.0"/>
        <u/>
      </rPr>
      <t>https://www.facebook.com/reel/2255173804998594</t>
    </r>
  </si>
  <si>
    <t>Dilaporkan telah melakukan tindak pidana provokasi ajakan untuk membubarkan DPR, melakukan pengesahan RUU 12-09-2025 dan turunkan puan Maharani,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</si>
  <si>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https://www.tiktok.com/@bsk.tafid/video/7544319138152353030</t>
    </r>
  </si>
  <si>
    <t>Dilaporkan telah melakukan tindak pidana provokasi dengan menganalogikan lambang garuda pancasila dan makna pancasila menjadi lambang tikus yang dimaknai sebagai bentuk kotor dari pemerintahan,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</si>
  <si>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color rgb="FF1155CC"/>
        <sz val="8.0"/>
        <u/>
      </rPr>
      <t>https://www.tiktok.com/@dikaahmadr3/video/7515733566215441671</t>
    </r>
  </si>
  <si>
    <t>https://web.facebook.com/watch/?ref=search&amp;v=3779201532379516</t>
  </si>
  <si>
    <t>Ditemukan konten media sosial Facebook yang memuat ajakan untuk tidak membayar pajak jika RUU perampasan aset tidak segera disahkan dan ajakan untuk membubarkan DPR.</t>
  </si>
  <si>
    <t>https://www.tiktok.com/@karlong2007/video/7549979950762183954</t>
  </si>
  <si>
    <t>Ditemukan konten pada media sosial TikTok berkaitan dengan ajakan unjuk rasa untuk membubarkan DPR dan membuat konten konten unjuk rasa.</t>
  </si>
  <si>
    <t>https://www.tiktok.com/@sari25454/video/7550140529548250424?_r=1&amp;_t=ZS-8zk9LHDehHNProvokasi</t>
  </si>
  <si>
    <t>Ditemukan konten pada media sosial TikTok berkaitan dengan ajakan unjuk rasa untuk membubarkan DPR dengan menggunakan kata kata kasar.</t>
  </si>
  <si>
    <t>https://www.tiktok.com/@mutiaraislami64/video/7550174958555516216?_r=1&amp;_t=ZS-8zk9TTjSPEu</t>
  </si>
  <si>
    <t>Ditemukan konten pada media sosial TikTok yang menuntut untuk segera disahkan RUU perampasan akses. Jika tuntutan itu tidak dilaksanakan maka akan ada aksi yang lebih besar.</t>
  </si>
  <si>
    <t>https://www.tiktok.com/@agus.irianto1968/video/7550211624984907025?_r=1&amp;_t=ZS-8zkA1vDTgxN</t>
  </si>
  <si>
    <t>Ditemukan konten pada media sosial TikTok yang menuntut realisasi aspirasi rakyat 17+8. Akun tersebut menyebut DPR terus menerus mengajak masyarakat tawuran. terdapat ancaman demo seperti di negara Nepal</t>
  </si>
  <si>
    <t>https://vt.tiktok.com/ZSDrRsw6N/</t>
  </si>
  <si>
    <t>Ditemukan konten pada media sosial TikTok yang berisikan ajakan untuk melakukan aksi pada tanggal 20 September 2025 untuk menuntut pengesahan RUU perampasan aset.</t>
  </si>
  <si>
    <t>https://www.tiktok.com/@zuricg15/video/7549527299910077713?_r=1&amp;_t=ZS-8zkEhwzsALs</t>
  </si>
  <si>
    <t>Ditemukan unggahan pada media sosial TikTok yang menuntut pembubaran DPR oleh Presiden sebelum terjadi seperti di negara Nepal. Terdapat pula tuntutan untuk mencopot Kapolri, pemakzulan Gibran sebelum dicopot dan dibubarkan secara paksa oleh rakyat.</t>
  </si>
  <si>
    <t>https://www.facebook.com/watch/?v=3752691058374165&amp;rdid=p9SeZirDrDtcJT7p</t>
  </si>
  <si>
    <t>Ditemukan konten pada media sosial Facebok yang berisikan ajakan untuk melaksanakan demo pada tanggal 12 September 2025. Judul postingan tersebut mengajak untuk melakukan demo terus menerus sampai menimbulkan kekacauan.</t>
  </si>
  <si>
    <t>https://www.facebook.com/100077746226478/posts/724153426852858/?rdid=1qiT1jHWBDdMvMxx#</t>
  </si>
  <si>
    <t>Ditemukan konten media sosial Facebook dengan caption agar para anggota DPR yang korupsi untuk digantung di monas.</t>
  </si>
  <si>
    <t>https://www.facebook.com/share/r/1GVGqEevSa/</t>
  </si>
  <si>
    <t>Ditemukan postingan pada media sosial Facebook yang menampilkan video dibubarkannya DPR Nepal. Akun tersebut menyampaikan bahwa Indonesia harus berkaca dari Nepal sehingga seolah olah mengajak masyarakat untuk berbuat kekacauan.</t>
  </si>
  <si>
    <t>https://www.tiktok.com/@jonisaputra202/video/7550292701061729592</t>
  </si>
  <si>
    <t>Provokasi, SARA, dan separatisme</t>
  </si>
  <si>
    <t>Ditemukan sebuah akun Tiktok yang mengunggah konten bernuansa provokatif yang menyampaikan bahwa Aceh tidak butuh negara Indonesia dan Soekarno serta Jawa adalah pengkhianat sejarah Aceh.</t>
  </si>
  <si>
    <t xml:space="preserve">Penyebaran informasi yang mengandung unsur provokatif, SARA,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</si>
  <si>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https://www.tiktok.com/@birrabba/video/7550309748558597383</t>
  </si>
  <si>
    <t>Provokasi dan separatisme</t>
  </si>
  <si>
    <t xml:space="preserve">Ditemukan sebuah akun Tiktok yang mengunggah konten bernuansa provokatif yang memperlihatkan segerombolan masyarakat tengah konvoi dan mengibarkan bendera Aceh Merdeka.
</t>
  </si>
  <si>
    <t>https://www.tiktok.com/@acehwajibmerdeka2/video/7525253942373125384</t>
  </si>
  <si>
    <t xml:space="preserve">Ditemukan sebuah akun Tiktok yang mengunggah konten bernuansa provokatif yang memperlihatkan segerombolan masyarakat tengah demo dan mengibarkan bendera Aceh Merdeka.
</t>
  </si>
  <si>
    <t>https://www.tiktok.com/@1985latahzan/video/7531809132999871749</t>
  </si>
  <si>
    <t>Provokasi, disinformasi, dan separatisme</t>
  </si>
  <si>
    <t xml:space="preserve">Ditemukan sebuah akun Tiktok yang mengunggah konten bernuansa provokatif yang memperlihatkan Presiden Donald Trump tengah berbicara pada media namun pada konten tersebut dikatakan bahwa Donald Trump membawa misi untuk Aceh meraih kemerdekaan.  </t>
  </si>
  <si>
    <t>https://www.tiktok.com/@recki/video/7534414581234535686</t>
  </si>
  <si>
    <t>Ditemukan sebuah akun Tiktok yang mengunggah konten bernuansa provokatif yang menyampaikan bahwa PBB mengakui bahwa Aceh sudah merdeka.</t>
  </si>
  <si>
    <t>https://www.tiktok.com/@aceh.tulen/video/7513924398244433174</t>
  </si>
  <si>
    <t>Ditemukan sebuah akun Tiktok yang mengunggah konten bernuansa provokatif yang menyampaikan bahwa solusi untuk Aceh adalah merdeka dari Indonesia.</t>
  </si>
  <si>
    <t>https://www.tiktok.com/@firdiyantita/video/7545144610650197254</t>
  </si>
  <si>
    <t>Ditemukan sebuah akun Tiktok yang mengunggah konten bernuansa provokatif yang memperlihatkan massa aksi di DPRA yang meminta Aceh Merdeka dan mengibarkan bendera Bulan Bintang.</t>
  </si>
  <si>
    <t>https://www.tiktok.com/@teuku.am49/video/7529602546940316936</t>
  </si>
  <si>
    <t xml:space="preserve">Ditemukan sebuah akun Tiktok yang mengunggah konten bernuansa provokatif yang memperlihatkan massa aksi yang tengah berdemo dan mengibarkan bendera Aceh. </t>
  </si>
  <si>
    <t>https://www.tiktok.com/@musa.rasyid._388/video/7452636800213912839</t>
  </si>
  <si>
    <t xml:space="preserve">Provokasi dan separatisme
</t>
  </si>
  <si>
    <t>Ditemukan sebuah akun Tiktok yang mengunggah konten bernuansa provokatif yang memperlihatkan peta perperangan Aceh Merdeka dengan Indonesia.</t>
  </si>
  <si>
    <t>https://www.tiktok.com/@kandaaceh15/video/7550291520797117703</t>
  </si>
  <si>
    <t xml:space="preserve">Ditemukan sebuah akun Tiktok yang mengunggah konten bernuansa provokatif yang menyampaikan bahwa akhirnya Aceh terbebas dari cengkraman warisan Belanda yang disebut Indonesia. </t>
  </si>
  <si>
    <t>https://www.tiktok.com/@alfarybse/video/7518611157632961813</t>
  </si>
  <si>
    <t xml:space="preserve">Ditemukan sebuah akun Tiktok yang mengunggah konten bernuansa provokatif memperlihatkan aksi demo yang dilakukan oleh masyarakat dan mengibarkan bendera bulan bintang. </t>
  </si>
  <si>
    <r>
      <rPr>
        <color rgb="FF1155CC"/>
        <sz val="8.0"/>
        <u/>
      </rPr>
      <t>https://www.instagram.com/satusuaraexpress.official/reel/DOi1k2ykmf1/</t>
    </r>
  </si>
  <si>
    <t>Konten yang diajukan disepakati belum memenuhi unsur provokasi</t>
  </si>
  <si>
    <r>
      <rPr>
        <color rgb="FF1155CC"/>
        <sz val="8.0"/>
        <u/>
      </rPr>
      <t>https://web.facebook.com/reel/760869193582553</t>
    </r>
  </si>
  <si>
    <r>
      <rPr>
        <color rgb="FF1155CC"/>
        <sz val="8.0"/>
        <u/>
      </rPr>
      <t>ttps://web.facebook.com/Dj.Chondhe/posts/pfbid0F8pHdNMjky1jSsUwizZB3wDgYEfdF6BgL1BUgx1oQLCVJ5Hs1fD72hrUpVpqQN5Ul</t>
    </r>
  </si>
  <si>
    <r>
      <rPr>
        <color rgb="FF1155CC"/>
        <sz val="8.0"/>
        <u/>
      </rPr>
      <t>https://web.facebook.com/reel/2214747019029293</t>
    </r>
  </si>
  <si>
    <r>
      <rPr>
        <color rgb="FF1155CC"/>
        <sz val="8.0"/>
        <u/>
      </rPr>
      <t>https://www.facebook.com/reel/3794332430875614</t>
    </r>
  </si>
  <si>
    <r>
      <rPr>
        <color rgb="FF1155CC"/>
        <sz val="8.0"/>
        <u/>
      </rPr>
      <t>https://www.facebook.com/tasbir.byrbyr/posts/24429770843355040</t>
    </r>
  </si>
  <si>
    <r>
      <rPr>
        <color rgb="FF1155CC"/>
        <sz val="8.0"/>
        <u/>
      </rPr>
      <t>https://www.youtube.com/shorts/iCsyMrUP3J0</t>
    </r>
  </si>
  <si>
    <t>Youtube</t>
  </si>
  <si>
    <r>
      <rPr>
        <color rgb="FF1155CC"/>
        <sz val="8.0"/>
        <u/>
      </rPr>
      <t>https://x.com/raka_pradanas/status/1964195004404158529</t>
    </r>
  </si>
  <si>
    <r>
      <rPr>
        <color rgb="FF1155CC"/>
        <sz val="8.0"/>
        <u/>
      </rPr>
      <t>https://www.tiktok.com/@real_and_facts/video/7549437703587204360</t>
    </r>
  </si>
  <si>
    <r>
      <rPr>
        <color rgb="FF1155CC"/>
        <sz val="8.0"/>
        <u/>
      </rPr>
      <t>https://www.tiktok.com/@sari25454/video/7548483495753010438</t>
    </r>
  </si>
  <si>
    <r>
      <rPr>
        <color rgb="FF1155CC"/>
        <sz val="8.0"/>
        <u/>
      </rPr>
      <t>https://www.tiktok.com/@vidiorandom189/video/7548402178143128838</t>
    </r>
  </si>
  <si>
    <t>https://www.tiktok.com/@bustami.bustami26/video/7548497723578715399</t>
  </si>
  <si>
    <r>
      <rPr>
        <color rgb="FF1155CC"/>
        <sz val="8.0"/>
        <u/>
      </rPr>
      <t>https://www.tiktok.com/@zeldypratama/video/7540170364970700062</t>
    </r>
  </si>
  <si>
    <r>
      <rPr>
        <color rgb="FF1155CC"/>
        <sz val="8.0"/>
        <u/>
      </rPr>
      <t>https://www.tiktok.com/@devimahadiva67/video/7548824930721352961</t>
    </r>
  </si>
  <si>
    <r>
      <rPr>
        <color rgb="FF1155CC"/>
        <sz val="8.0"/>
        <u/>
      </rPr>
      <t>https://www.tiktok.com/@ayahnyaarkhan19/video/7548842161907846408</t>
    </r>
  </si>
  <si>
    <r>
      <rPr>
        <color rgb="FF1155CC"/>
        <sz val="8.0"/>
        <u/>
      </rPr>
      <t>https://www.tiktok.com/@jajat.jaelani/video/7548762501694000391</t>
    </r>
  </si>
  <si>
    <r>
      <rPr>
        <color rgb="FF1155CC"/>
        <sz val="8.0"/>
        <u/>
      </rPr>
      <t>https://www.tiktok.com/@siganteng501/video/7548247800501308677</t>
    </r>
  </si>
  <si>
    <r>
      <rPr>
        <color rgb="FF1155CC"/>
        <sz val="8.0"/>
        <u/>
      </rPr>
      <t>https://www.tiktok.com/@igunwicaksono/video/7542864588249763088</t>
    </r>
  </si>
  <si>
    <r>
      <rPr>
        <color rgb="FF1155CC"/>
        <sz val="8.0"/>
        <u/>
      </rPr>
      <t>https://www.tiktok.com/@tattwamasi6/video/7546465257863138566</t>
    </r>
  </si>
  <si>
    <t>https://www.tiktok.com/@lapasbagansiapiapii</t>
  </si>
  <si>
    <t>Akun tersebut membuat unggahan Disinformasi dan Ujaran Kebencian terkait situasi Lapas.</t>
  </si>
  <si>
    <t>Ajakan ini dapat memicu keonaran dan kericuhan di ruang publik.</t>
  </si>
  <si>
    <t>https://x.com/J0yoWi/status/1967069914340225169</t>
  </si>
  <si>
    <t>https://x.com/Manusiamer39266/status/1966865965595193381</t>
  </si>
  <si>
    <t>https://x.com/Sh4d4mhu53n/status/1966756258628989122</t>
  </si>
  <si>
    <t>https://x.com/panjid70/status/1967201227122561338</t>
  </si>
  <si>
    <t>https://x.com/_Agvrl/status/1966716492415930392</t>
  </si>
  <si>
    <t>https://x.com/P3M4LSUIJ4Z4H/status/1967672007803416998/photo/1</t>
  </si>
  <si>
    <t>Konten pada media sosial X mengajak untuk menepalkan KPU untuk menolak kecurangan pada Pemilu. Konten tersebut melakukan provokasi kepada masyarakat untuk membubarkan atau menggulingkan komisioner KPU sama seperti negara Nepal.</t>
  </si>
  <si>
    <t>https://x.com/didiek_murdock/status/1967512984286322721/video/1</t>
  </si>
  <si>
    <t>Konten pada media sosial X menampilkan pidato Presiden Prabowo terkait dengan kerugian pada perusahaan perusahaan BUMN namun akun tersebut melakukan framing bahwa uang yang seharusnya masuk ke negara dicuri oleh orang orang Jokowi.</t>
  </si>
  <si>
    <t>https://x.com/P3M4LSUIJ4Z4H/status/1967675717656908275/photo/1</t>
  </si>
  <si>
    <t>https://www.tiktok.com/@ans.creator2/video/7540881014646689042</t>
  </si>
  <si>
    <t>Konten pada media sosial TikTok mengajak masyarakat untuk menghancurkan gedung dpr sehingga dapat menimbulkan keresahan di masyarakat.</t>
  </si>
  <si>
    <t>https://www.tiktok.com/@dewananjing1/video/7550278192343436562?_r=1&amp;_t=ZS-8zlldm4TanA</t>
  </si>
  <si>
    <t>Konten media sosial twitter tersebut menuntut pengsahan hukuman mati dan perampasan aset untuk koruptor, jika tidak maka akun tersebut mengklaim gedung DPR akan diseruduk oleh masyarakat</t>
  </si>
  <si>
    <t>https://vt.tiktok.com/ZSDkRYAvY/</t>
  </si>
  <si>
    <t>Akun media sosial tiktok tersebut mengajak masyarakat untuk tidak kalah dengan Negara Nepal dan meniru tindakan negara tersebut untuk membuat kekacauan.</t>
  </si>
  <si>
    <t>https://vt.tiktok.com/ZSDkNJnLH/</t>
  </si>
  <si>
    <t>Akun media sosial tiktok tersebut mengajak masyarakat menduduki gedung DPR.</t>
  </si>
  <si>
    <t>https://www.facebook.com/watch/?v=1484231175827999&amp;rdid=gS6SXAaLUbdTJwfj</t>
  </si>
  <si>
    <t>Akun media sosial Facebook tersebut mengajak masyarakat untuk mencontoh Nepal dalam rangka menegakan keadilan dengan membubarkan DPR</t>
  </si>
  <si>
    <t>https://www.facebook.com/reel/2085629555588264</t>
  </si>
  <si>
    <t>Ditemukan konten media sosial Facebook yang berisi ajakan demo dan siap membuat Indonesia sama seperti keadaan di Nepal.</t>
  </si>
  <si>
    <t>https://www.facebook.com/reel/4461092950881524</t>
  </si>
  <si>
    <t>Ditemukan postingan pada media sosial Facebook yang berisi ucapan selamat ulang Tahun dari perwakilan masyarakat Aceh di Amerika serta terdapat ajakan untuk free aceh pada akhir video.</t>
  </si>
  <si>
    <t>https://www.facebook.com/reel/1279112033534139</t>
  </si>
  <si>
    <t>Ditemukan sebuah akun Tiktok yang mengunggah konten bernuansa provokatif yang menyampaikan bahwa Aceh bukan merupakan bagian dari Indonesia dan pada video tersebut tampak bendera bulan bintang.</t>
  </si>
  <si>
    <t>https://www.facebook.com/reel/2419788511725549</t>
  </si>
  <si>
    <t>Ditemukan sebuah akun Tiktok yang mengunggah konten bernuansa provokatif yang memperlihatkan segerombolan masyarakat tengah konvoi dan mengibarkan bendera Aceh Merdeka dan ujaran saatnya aceh merdeka karena Aceh kaya namun rakyatnya miskin.</t>
  </si>
  <si>
    <t>https://www.facebook.com/reel/4212464992355247</t>
  </si>
  <si>
    <t>Ditemukan sebuah akun Facebook yang mengunggah konten bernuansa provokatif yang menyampaikan bahwa Indonesia lebih baik dijajah Belanda daripada dijajah Jawa.</t>
  </si>
  <si>
    <t>https://www.facebook.com/reel/2322941284819570</t>
  </si>
  <si>
    <t>Ditemukan sebuah akun Facebook yang mengunggah konten bernuansa provokatif yang mengajak demo hingga Puan Maharani yang disebut sebagai raja koruptor turun dari jabatannya.</t>
  </si>
  <si>
    <t>https://www.facebook.com/reel/1157597509553855</t>
  </si>
  <si>
    <t>Ditemukan sebuah akun Tiktok yang mengunggah konten bernuansa provokatif yang menyampaikan bahwa demo yang terjadi, Jawa angkat minuman namun Aceh angkat senjata. Kemudian tampak bendera bulan bintang berkibar.</t>
  </si>
  <si>
    <t>https://www.facebook.com/reel/1213956290747339</t>
  </si>
  <si>
    <t>Ditemukan sebuah akun Facebook yang mengunggah konten bernuansa provokatif yang menyampaikan bahwa Aceh lebih dulu diizinkan berpisah dari Indonesia.</t>
  </si>
  <si>
    <t>https://www.facebook.com/permalink.php?story_fbid=pfbid028yHQuReFwANU1CYT3BpQNfkXnh5ZwEqB556Nv3G4UHuQ7NawHd7G4cSrPK3Q7mHBl&amp;id=100078620181204</t>
  </si>
  <si>
    <t>Pernyataan yang dapat menimbulkan sikap permusuhan kebencian berdasarkan SARA dan penistaan agama.</t>
  </si>
  <si>
    <t>Pasal 28 ayat (2) Undang-Undang Nomor 1 tahun 2024 tentang perubahan kedua atas Undang-Undang Nomor 11 tahun 2008 tentang Informasi dan Transaksi Elektronik
Pasal 156 a KUHP</t>
  </si>
  <si>
    <t>Dapat menimbulkan kericuhan antar umat beragama di Indonesia</t>
  </si>
  <si>
    <t>https://www.facebook.com/permalink.php?story_fbid=pfbid0257HzmkgVrFk5ZPZPJad97BQR7YURzFL4JwMRTntH8Z5axpag4NKDrWrsVAQxhBopl&amp;id=100078620181204</t>
  </si>
  <si>
    <t>https://www.facebook.com/permalink.php?story_fbid=pfbid02hJRPfESc3LYZucg3pjKSviRqZHviFyfMt4yq8ahqoP78DBtJysHBjePSe5UfTRH2l&amp;id=100078620181204</t>
  </si>
  <si>
    <t>https://www.facebook.com/permalink.php?story_fbid=pfbid021tSEEDyDFR4fmQEngFAV7gW8Y26dQaHxpRyyC2HBVYAR7uAPR74Bg8LBNKZ9aNqyl&amp;id=100078620181204</t>
  </si>
  <si>
    <t>https://www.facebook.com/permalink.php?story_fbid=pfbid02A7FHZ59EWYKMMQzngsqvpgL5qErSALn8fGuDZpaYK8p5fHHbDGPT8ktNYtqVsxtul&amp;id=100078620181204</t>
  </si>
  <si>
    <t>https://www.facebook.com/watch/live/?ref=watch_permalink&amp;v=1339314001076805&amp;rdid=r8jrdXb9ep8BCYNy</t>
  </si>
  <si>
    <t>Kejadian pembakaran Hari ini Selasa 16 September 2025 aksi protes ujaran rasis terhadap salah satu siswa orang asli Papua di Elelim ibu kota kabupaten Yalimo oleh seorang anak sekolah non Orang Papua</t>
  </si>
  <si>
    <t>Pasal 160 KUHP dan Pasal 28 ayat (2)</t>
  </si>
  <si>
    <t>Dapat menimbulkan kericuhan antar umat suku di Papua</t>
  </si>
  <si>
    <t>https://www.facebook.com/reel/24795982736690005</t>
  </si>
  <si>
    <t>https://www.facebook.com/watch/live/?ref=watch_permalink&amp;v=1339314001076805&amp;rdid=FxXOLwmJlWoKPLI2</t>
  </si>
  <si>
    <t>https://www.facebook.com/reel/658234696878055</t>
  </si>
  <si>
    <t>https://www.tiktok.com/@lbh.adilanawayoga/video/7549976249112792325?is_from_webapp=1&amp;sender_device=pc&amp;web_id=7550324844254119425</t>
  </si>
  <si>
    <t>Akun tersebut membuat unggahan menebar kebencian kepada intitusi POLRI.</t>
  </si>
  <si>
    <t>Ajakan ini dapat memicu tindakan menurunkan tingkat kepercayaann masyarakat terhadap hukum dan pemerintahan yang sah saat ini</t>
  </si>
  <si>
    <t>https://www.tiktok.com/@revolutionarmy98/photo/7547737994174663944?_r=1&amp;_t=ZS-8zka3wFjRZY</t>
  </si>
  <si>
    <t>https://www.tiktok.com/@christiana.talu/photo/7547740272218688769?_r=1&amp;_t=ZS-8zkcqbpAO5h</t>
  </si>
  <si>
    <t>https://www.tiktok.com/@kantorberitaonline_babel/photo/7549141004079598854</t>
  </si>
  <si>
    <t>https://x.com/SianiparRismon/status/1967432694796804443</t>
  </si>
  <si>
    <t>https://www.instagram.com/p/DOFQEpuEnpi/</t>
  </si>
  <si>
    <t>https://x.com/NenkMonica/status/1966849539039785307</t>
  </si>
  <si>
    <t>https://www.facebook.com/groups/apologetislamindonesia/posts/1335343127501450</t>
  </si>
  <si>
    <t>https://www.facebook.com/groups/apologetislamindonesia/posts/1330535004648929/</t>
  </si>
  <si>
    <t>https://www.facebook.com/photo/?fbid=518945061040290&amp;set=gm.1239885683884180&amp;idorvanity=1073927260480024</t>
  </si>
  <si>
    <t>https://www.facebook.com/groups/apologetislamindonesia/posts/1326478658387897/</t>
  </si>
  <si>
    <t>https://www.facebook.com/groups/apologetislamindonesia/posts/1206340790401685/</t>
  </si>
  <si>
    <t>https://www.facebook.com/photo/?fbid=620778130856982&amp;set=gm.9827277897285333&amp;idorvanity=225157887497430</t>
  </si>
  <si>
    <t>https://www.facebook.com/photo/?fbid=622752707326191&amp;set=gm.2998993850269986&amp;idorvanity=171940866308646</t>
  </si>
  <si>
    <t>https://www.facebook.com/groups/apologetislamindonesia/posts/1325649998470763/</t>
  </si>
  <si>
    <t>https://www.facebook.com/groups/apologetislamindonesia/posts/1199586204410477/</t>
  </si>
  <si>
    <t>https://www.facebook.com/groups/apologetislamindonesia/posts/1205845900451174/</t>
  </si>
  <si>
    <t>https://www.facebook.com/reel/24295646923450552</t>
  </si>
  <si>
    <t>https://www.facebook.com/niniekhennydya/posts/pfbid02c6m7B7xUULtsb8BD5V4Q9Hu3o3u8oyBdBZauYXY6XecBrybMP6RaaoXPvngdyzbBl</t>
  </si>
  <si>
    <t>https://www.facebook.com/photo/?fbid=620823457519116&amp;set=gm.9827635820582874&amp;idorvanity=225157887497430</t>
  </si>
  <si>
    <t>https://www.facebook.com/photo/?fbid=623069020627893&amp;set=gm.9845610002118789&amp;idorvanity=225157887497430</t>
  </si>
  <si>
    <t>https://www.facebook.com/groups/225157887497430/?multi_permalinks=9840754192604370&amp;hoisted_section_header_type=recently_seen</t>
  </si>
  <si>
    <t>https://www.facebook.com/watch/?v=1446439116655005</t>
  </si>
  <si>
    <t>https://www.facebook.com/watch/?v=24610691348569693</t>
  </si>
  <si>
    <t>https://www.facebook.com/groups/apologetislamindonesia/posts/1325506491818447/</t>
  </si>
  <si>
    <t>https://www.facebook.com/permalink.php?story_fbid=pfbid01CHz3zTrsSmbbZcpEqzFxx8aunzAZvtEHtUvX39d4VarG7BncB17cAH6zeCmBcQl&amp;id=61579200155112</t>
  </si>
  <si>
    <t>Ajakan ini dapat memicu tindakan menurunkan tingkat kepercayaan masyarakat terhadap hukum dan pemerintahan yang sah saat ini</t>
  </si>
  <si>
    <t>https://www.facebook.com/permalink.php?story_fbid=pfbid0ppqekVSvWWbQaZQyyLEpHXq6BCtNicmpP1PNv3A7XmbktwwBp3gowr5Fnr7ZaBWQl&amp;id=100089561834092</t>
  </si>
  <si>
    <t>https://www.facebook.com/permalink.php?story_fbid=pfbid02jQCoRPA4SmwfKGQjs4nKKwCcx5CWcimErSWoaGRjJHwtdS2JNFRML67XRS353bqWl&amp;id=100089561834092</t>
  </si>
  <si>
    <t>https://www.facebook.com/groups/1073927260480024/posts/1383235056215908/</t>
  </si>
  <si>
    <t>https://www.facebook.com/groups/1073927260480024/posts/1383054742900606/</t>
  </si>
  <si>
    <t>https://web.facebook.com/permalink.php?story_fbid=pfbid037MNkA5rfNtG2qTTqVMD9gxV1hXRxhP3cLCTaehcvXvWbsFFK4wrVF2Ghn6g22W57l&amp;id=100079881595398</t>
  </si>
  <si>
    <t>https://web.facebook.com/permalink.php?story_fbid=pfbid0sWaCdVhYN9MXWSuf3oAVpWPtR8FhowuLhuzrQsjDTyu3DvwttrQBuURbHr1LDtw4l&amp;id=100079881595398</t>
  </si>
  <si>
    <t>https://www.facebook.com/groups/169968892545511/permalink/654918760717186/?rdid=loOy9fvKIrME1cbV#</t>
  </si>
  <si>
    <t>https://www.facebook.com/groups/169968892545511/permalink/654149704127425/?rdid=QTfgTuIw0IjZKGsy#</t>
  </si>
  <si>
    <t>https://www.facebook.com/groups/169968892545511/permalink/653253090883753/?rdid=nNRf13hoCPosdW7Z#</t>
  </si>
  <si>
    <t>https://www.facebook.com/groups/169968892545511/permalink/646469881562074/?rdid=fqn65ILcWRRuYACM#</t>
  </si>
  <si>
    <t>https://www.facebook.com/groups/169968892545511/permalink/645534174988978/?rdid=GxXuaG7xfqTvvu8L#</t>
  </si>
  <si>
    <t>https://www.facebook.com/share/p/1VdzT4eqyX/</t>
  </si>
  <si>
    <t>https://www.facebook.com/share/p/1FAoBWXPN1/</t>
  </si>
  <si>
    <t>https://www.facebook.com/share/p/1JHmtGtg3H/</t>
  </si>
  <si>
    <t>https://www.facebook.com/share/p/1AKKeysKo7/</t>
  </si>
  <si>
    <t>https://www.facebook.com/groups/apologetislamindonesia/posts/1195860278116403/</t>
  </si>
  <si>
    <t>https://www.facebook.com/groups/apologetislamindonesia/posts/1194212918281139/</t>
  </si>
  <si>
    <t>https://www.facebook.com/groups/311162067239166/posts/1238224214532942/</t>
  </si>
  <si>
    <t>https://www.facebook.com/groups/311162067239166/posts/1237659077922789/</t>
  </si>
  <si>
    <t>https://www.facebook.com/reel/979280884288027</t>
  </si>
  <si>
    <t>https://www.facebook.com/reel/1028577702459011</t>
  </si>
  <si>
    <t>https://www.facebook.com/share/p/18qhksFekc/</t>
  </si>
  <si>
    <t>https://www.facebook.com/share/p/1A1dLEtR8m/</t>
  </si>
  <si>
    <t>https://www.facebook.com/share/p/12GJwspDtoZ/</t>
  </si>
  <si>
    <t>https://www.facebook.com/share/p/152dPxU9Gu/</t>
  </si>
  <si>
    <t>https://www.facebook.com/share/p/1BUqEGfGkM/</t>
  </si>
  <si>
    <t>https://www.facebook.com/groups/882222322392995/posts/1726235887991630/</t>
  </si>
  <si>
    <t>https://www.facebook.com/groups/882222322392995/posts/1722216291726923/</t>
  </si>
  <si>
    <t>https://www.facebook.com/share/p/1UBnxCC3Kk/</t>
  </si>
  <si>
    <t>https://www.facebook.com/share/p/19rQzKManb/</t>
  </si>
  <si>
    <t>https://www.facebook.com/share/p/1KUCYJmTtK/</t>
  </si>
  <si>
    <t>https://www.facebook.com/share/p/1B9DbgoYnS/</t>
  </si>
  <si>
    <t>https://www.facebook.com/share/p/183m86hHpX/</t>
  </si>
  <si>
    <t>https://www.facebook.com/share/p/19zDxrJrBe/</t>
  </si>
  <si>
    <t>https://www.facebook.com/share/p/166yKVYjvW/</t>
  </si>
  <si>
    <t>https://www.facebook.com/share/p/1Lyi8mZV31/</t>
  </si>
  <si>
    <t>https://www.facebook.com/groups/496465903758571/permalink/29172232165755229/?rdid=AnVymMDPh</t>
  </si>
  <si>
    <t>https://www.facebook.com/groups/496465903758571/permalink/29136698872641892/?rdid=o5xp4HLDaIclT59K#</t>
  </si>
  <si>
    <t>https://www.facebook.com/groups/496465903758571/permalink/29058402263804887/?rdid=duV9AbyygLtEhMdU#</t>
  </si>
  <si>
    <t>https://www.facebook.com/groups/496465903758571/permalink/28781481501496966/?rdid=uOF1uM5DCa63lBiw#</t>
  </si>
  <si>
    <t>https://www.facebook.com/groups/496465903758571/permalink/4965125120225938/?rdid=qg0w6AVRxa2KkEzw#</t>
  </si>
  <si>
    <t>https://www.facebook.com/reel/1206109784878348</t>
  </si>
  <si>
    <t>https://www.facebook.com/groups/2553768021609789/</t>
  </si>
  <si>
    <t>https://www.facebook.com/hosan.peyon/posts/pfbid02E4TUt8RZk7LPvGrnYYntDqpXQK2wDmGeEQpDKZyMNMrU5TMjYprHcACeeB1yx8RFl</t>
  </si>
  <si>
    <t>https://www.facebook.com/reel/679116768018678</t>
  </si>
  <si>
    <t>https://www.facebook.com/banglewa457/posts/pfbid0eH7qz4iysByriu2rfqF9dpCcYGWrcrW4pfMwKVE7vzfXLVx741wyvrz68zkAtsZWl</t>
  </si>
  <si>
    <t>https://www.facebook.com/Munastory5/videos/1339314001076805/</t>
  </si>
  <si>
    <t>https://www.facebook.com/reel/579823018454012</t>
  </si>
  <si>
    <t>https://www.facebook.com/photo/?fbid=664366030042207&amp;set=a.116076158204533</t>
  </si>
  <si>
    <t>https://www.facebook.com/permalink.php?story_fbid=pfbid02gg2sSdr9KUBL146D8URgYsyXviqbTNqZ9ppi19fpVth3FKj15T6wkmunXupD34Gvl&amp;id=61555753717356</t>
  </si>
  <si>
    <t>https://www.facebook.com/reel/796309189542262</t>
  </si>
  <si>
    <t>https://www.facebook.com/genander.wakurenak.christina/posts/pfbid02AZSEFNNXuXyjqW3hpKaLd4Hq1TYyTstASefoTaGWTT5eW82NBNPjGa2mweRcerXnl</t>
  </si>
  <si>
    <t>http://facebook.com/reel/2038474310230479/?s=single_unit</t>
  </si>
  <si>
    <t>https://www.facebook.com/reel/1968337667320384</t>
  </si>
  <si>
    <t>https://www.facebook.com/agus.kossay.916321/posts/pfbid021VG7tv4P29KnyqemWjU2VBTWV17YP8HWGX3s65Ek4fmq1AvRckELBbkSoQnWjs5Kl</t>
  </si>
  <si>
    <t>https://www.facebook.com/share/r/17QLwSs1Rc/</t>
  </si>
  <si>
    <t>https://www.facebook.com/share/p/14JJu67oC69/</t>
  </si>
  <si>
    <t>https://www.facebook.com/share/p/18ekVZ5EPj/?</t>
  </si>
  <si>
    <t>https://papua.tribunnews.com/news/119068/breaking-news-yalimo-bergejolak-pelajar-bakar-kios-akibat-dugaan-rasisme</t>
  </si>
  <si>
    <t>Media Online</t>
  </si>
  <si>
    <t>media</t>
  </si>
  <si>
    <t>https://www.facebook.com/reel/1814683849442726</t>
  </si>
  <si>
    <t>facebook.com/reel/2038474310230479/?s=single_unit</t>
  </si>
  <si>
    <t>https://www.facebook.com/reel/1087568436914208</t>
  </si>
  <si>
    <t>https://www.facebook.com/share/r/1B3heJTfQh/</t>
  </si>
  <si>
    <t>https://www.facebook.com/share/r/1B76VW3DtZ/</t>
  </si>
  <si>
    <t>https://www.facebook.com/jefri.lokobal/posts/pfbid02dubvfgW7hssuMpnRoAC4KesMgSvotyQcJk23tbG8h2w6kUeoxZwt638KFp9ZvmJ2l</t>
  </si>
  <si>
    <t>https://vt.tiktok.com/ZSDhsfrrd/</t>
  </si>
  <si>
    <t>https://vt.tiktok.com/ZSDhsdLTN/</t>
  </si>
  <si>
    <t>https://vt.tiktok.com/ZSDhs56nu/</t>
  </si>
  <si>
    <t>https://vt.tiktok.com/ZSDhs8ved</t>
  </si>
  <si>
    <t>https://www.facebook.com/permalink.php?story_fbid=pfbid035wm5XQcm3EL3AcNMe3gAdWDnPCGPx86aHNBrLhY7xMF17xBpfDXE245hdyZaknmCl&amp;id=61575096238803</t>
  </si>
  <si>
    <t>https://www.facebook.com/watch/?v=2046962075837296</t>
  </si>
  <si>
    <t>https://www.facebook.com/groups/3412189359057691/?multi_permalinks=4309435679333050&amp;hoisted_section_header_type=recently_seen</t>
  </si>
  <si>
    <t>https://www.facebook.com/reel/1723513094984861</t>
  </si>
  <si>
    <t>https://www.facebook.com/reel/1297973151262953</t>
  </si>
  <si>
    <t>https://www.facebook.com/watch/?v=1513736396315327</t>
  </si>
  <si>
    <t>https://www.facebook.com/permalink.php?story_fbid=pfbid0PVVUpWnqP3CwwqvjMzsdKKsZUDVQyt511WsD2e4KjAfxYgrXYiVRaPM3bcmoRe6Yl&amp;id=61578345053489</t>
  </si>
  <si>
    <t>https://www.facebook.com/reel/1422822025448519</t>
  </si>
  <si>
    <t>https://www.facebook.com/reel/1674873469867221</t>
  </si>
  <si>
    <t>https://www.facebook.com/reel/1312838090243862</t>
  </si>
  <si>
    <t>https://www.facebook.com/reel/1933685230788055</t>
  </si>
  <si>
    <t>https://www.facebook.com/reel/791570756564951</t>
  </si>
  <si>
    <t>https://www.facebook.com/MusaKegou14/posts/pfbid033XXz1BY91oJFUfMSrJsb5eKpnozKPJ2qJTJPSmPu2Mp8MCbjKCJfxvQtsFtXqYFfl</t>
  </si>
  <si>
    <t>https://www.facebook.com/watch/?v=641872218995324</t>
  </si>
  <si>
    <t>https://www.facebook.com/groups/1004053417173411/posts/1860363281542416/</t>
  </si>
  <si>
    <t>https://www.facebook.com/reel/32251703681095596</t>
  </si>
  <si>
    <t>https://www.facebook.com/groups/960463684079505/?multi_permalinks=24381873501511860&amp;hoisted_section_header_type=recently_seen</t>
  </si>
  <si>
    <t>https://www.facebook.com/permalink.php?story_fbid=pfbid0c7ds9CXwAqkMKphzppkYG8UCsMrv8NnptihVWomCowoU4Fpw3WBPRhEYwxZ5ZueAl&amp;id=61578795429368</t>
  </si>
  <si>
    <t>https://www.facebook.com/groups/1251119528574345/?multi_permalinks=3595446374141637&amp;hoisted_section_header_type=recently_seen</t>
  </si>
  <si>
    <t>https://www.facebook.com/watch/?v=1457100908928516</t>
  </si>
  <si>
    <t>https://x.com/neVerAl0nely__/status/1967790514813727098</t>
  </si>
  <si>
    <t>https://www.facebook.com/reel/1341141674278688</t>
  </si>
  <si>
    <t>https://www.facebook.com/reel/1739879116733129</t>
  </si>
  <si>
    <t>https://www.instagram.com/p/DNgQx2TTDJn/</t>
  </si>
  <si>
    <t>Dilaporkan telah melakukan tindak pidana provokasi ajakan untuk ajakan untuk demo dan membubarkan DPR RI,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</si>
  <si>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https://www.instagram.com/p/DN82ouLk95p/</t>
  </si>
  <si>
    <t>Dilaporkan telah melakukan tindak pidana provokasi ajakan melakukan membubarkan DPR RI dan aksi pengrusakan fasilitas umum,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</si>
  <si>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https://x.com/didiek_murdock/status/1966125188732555551</t>
  </si>
  <si>
    <t>Konten ini diduga memuat unsur provokasi dengan menyerang institusi Kejaksaan melalui pernyataan yang menyebut Kejaksaan sebagai “pengecut” karena dinilai tidak berani menangkap Presiden Joko Widodo yang dituduh sebagai dalang kasus korupsi besar. Narasi dalam konten tersebut juga menyebutkan bahwa jika Kejaksaan tidak berani menangkap Jokowi, maka kasus tersebut sebaiknya diserahkan kepada masyarakat yang mengklaim siap menjadikan Indonesia seperti kondisi Nepal.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</si>
  <si>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Undang-Undang Nomor 1 Tahun 2024 tentang Perubahan Kedua Atas Undang-Undang Nomor 11 Tahun 2008 tentang Informasi dan Transaksi Elektronik pada Pasal 28 ayat (3) dan Pasal 45A ayat (3), Pasal 28 ayat (2) serta Undang-Undang KUHP pasal 160, 170, dan 187.</t>
  </si>
  <si>
    <t>https://x.com/DarsAlexandra1/status/1966070794704015717</t>
  </si>
  <si>
    <t xml:space="preserve">Konten yang diduga memuat narasi provokatif dengan menyatakan bahwa penegakan hukum di Indonesia sudah sangat memalukan dan menjijikkan, serta disertai ancaman bahwa aparat penegak hukum dapat “dinepalkan” (dibuat seperti kondisi di Nepal).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
</t>
  </si>
  <si>
    <t>https://x.com/Ary_PrasKe2/status/1966103887506715089</t>
  </si>
  <si>
    <t>Ditemukan konten yang diduga memuat narasi provokatif berupa ajakan untuk “menepalkan Indonesia” atau menciptakan kondisi Indonesia seperti situasi kerusuhan di Nepal. Ajakan tersebut dikaitkan dengan isu tunjangan DPRD Kabupaten Bogor yang disebut nyaris mencapai Rp100 juta per bulan, tingginya jumlah anak yang terancam putus sekolah sebanyak 59 ribu jiwa, kondisi 446,8 ribu warga yang hidup dalam kemiskinan, serta 2,86 juta orang yang menganggur.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</si>
  <si>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akun centang biru</t>
  </si>
  <si>
    <t>https://x.com/DediSat78222308/status/1965943392002781394</t>
  </si>
  <si>
    <t xml:space="preserve">Konten ini diduga memuat unsur provokatif berupa ajakan untuk “menepalkan Fufufafa”, yang dalam narasi tersebut diduga merujuk kepada Wakil Presiden Gibran yang dinilai kerap melakukan kunjungan kerja yang tidak ada manfaatnya terhadap rakyat dengan menggunakan anggaran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
</t>
  </si>
  <si>
    <t>https://x.com/inisky_001/status/1966338194263388522</t>
  </si>
  <si>
    <t xml:space="preserve">Konten ini diduga memuat unsur provokatif dengan narasi mengenai perlakuan terhadap demonstran Gen-Z di Indonesia, yang menyebut tiga kemungkinan perlakuan buruk yakni dibunuh oleh aparat, diumpankan kepada kelompok preman, atau ditangkap dan diarak. Narasi tersebut diakhiri dengan pernyataan bernada provokatif yang menyinggung istilah “Parcok (Polisi) harus di-Nepal-kan".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
</t>
  </si>
  <si>
    <t>https://x.com/mat_teleng/status/1966501905909350544</t>
  </si>
  <si>
    <t xml:space="preserve">Konten ini diduga berisi narasi provokatif yang menyebut DPR RI keras kepala dan meminta “tumbal nyawa rakyat”, disertai seruan agar tidak perlu menunggu hasil kerja DPR dan menyarankan untuk “ Indonesia dinepalkan saja”. Istilah “dinepalkan” di sini bernada provokatif karena mengandung ajakan atau dorongan untuk melakukan tindakan ekstrem terhadap Indonesia dan embaga negara yang disebut.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
</t>
  </si>
  <si>
    <t>https://x.com/JoppieMagai/status/1966446570783539404</t>
  </si>
  <si>
    <t xml:space="preserve">Konten ini diduga berisi narasi provokatif dan menyarankan untuk “Indonesia dinepalkan saja” jika masih ada pejabat negara dan anggota DPR yang masih menggunakan strobo pada mobilnya di Jalan. Istilah “dinepalkan” di sini bernada provokatif karena mengandung ajakan atau dorongan untuk melakukan tindakan ekstrem terhadap Indonesia dan embaga negara yang disebut.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
</t>
  </si>
  <si>
    <t>https://x.com/wasleee/status/1966499550551576700</t>
  </si>
  <si>
    <t xml:space="preserve">Ditemukan dugaan konten yang memuat unsur provokatif berupa ajakan untuk melakukan penjarahan terhadap kediaman Presiden Joko Widodo serta seruan untuk menjadikan situasi di Indonesia serupa dengan kondisi di Nepal (menepalkan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
</t>
  </si>
  <si>
    <t>https://x.com/decepticon073/status/1966397257194025418</t>
  </si>
  <si>
    <t xml:space="preserve">Konten ini diduga memuat narasi provokatif yang mendorong aksi “menepalkan Geng Solo &amp; Ketum” dengan mengaitkannya pada peristiwa ketika Ibu Negara Nepal dikelilingi oleh kelompok Gen Z Nepal. Dalam situasi tersebut, ia secara mengejutkan terdengar meminta bantuan mereka dan menawarkan imbalan sebesar 1 juta dolar untuk menjamin keselamatannya. Istilah “dinepalkan” di sini bernada provokatif karena mengandung ajakan atau dorongan untuk melakukan tindakan ekstrem terhadap Indonesia dan embaga negara yang disebut.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
</t>
  </si>
  <si>
    <t>https://www.facebook.com/nadine.rizma.2025/posts/pfbid037y426JqowxLR6i492X38hGPGgwKseFysYmkArRBt7JVFu6H8WwARiJbb5SLwbBt9l?rdid=rR9rKH88Y3K0DqVY#</t>
  </si>
  <si>
    <t xml:space="preserve">Ditemukan dugaan konten yang memuat unsur provokatif dengan narasi yang menyebut bahwa Komisi Pemilihan Umum (KPU) Pusat akan “dinepalkan” oleh rakyat Indonesia, sebagai bentuk kekecewaan dan kemarahan masyarakat terhadap dugaan tipu daya lembaga tersebut. Istilah “dinepalkan” di sini bernada provokatif karena mengandung ajakan atau dorongan untuk melakukan tindakan ekstrem terhadap Indonesia dan lembaga negara yang disebut.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
</t>
  </si>
  <si>
    <t>https://www.facebook.com/reel/1335689934900531</t>
  </si>
  <si>
    <t>Ditemukan dugaan konten yang memuat unsur provokatif dengan narasi yang menyebut Komisi Pemilihan Umum (KPU) berupaya menghindari tanggung jawab terkait dugaan kasus ijazah palsu Presiden Joko Widodo. Konten tersebut memuat pernyataan “KPU ingin dinepalkan” oleh rakyat Indonesia sebagai ungkapan kekecewaan dan kemarahan terhadap lembaga tersebut. Istilah “dinepalkan” dalam konteks ini bernada provokatif karena mengandung ajakan atau dorongan untuk melakukan tindakan ekstrem terhadap lembaga negara yang disebut maupun terhadap Indonesia secara umum.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</si>
  <si>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https://www.facebook.com/juni.hutabarat/posts/pfbid02sV1TZPRNvq5BY8JzGHGJkndyeEKqKSTN4JVXcgd9J2pBQn5r7M5QYNp4VLPgvYi1l?rdid=HRQZOEl6jvOrMvqc#</t>
  </si>
  <si>
    <t>Ditemukan dugaan konten yang memuat unsur provokatif dengan narasi yang menyebut perlunya “menepalkan” pejabat yang dikaitkan dengan pengungkapan praktik mafia BBM ilegal. Istilah “dinepalkan” dalam konteks ini bernada provokatif karena mengandung ajakan atau dorongan untuk melakukan tindakan ekstrem terhadap pejabat maupun lembaga negara yang disebut.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</si>
  <si>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https://www.facebook.com/cokkresna.pudak/posts/pfbid0hu8V7o5b7vj8bHHaUg8MomgVjp2jaJxH8Y3AQ2WhwGSgePzTXyKP7ENBCs8f4Vh1l?rdid=3vCh1LdS48KrcbBb#</t>
  </si>
  <si>
    <t xml:space="preserve">Ditemukan dugaan konten yang memuat unsur provokatif dengan narasi ajakan untuk “menepalkan” DPR jika lupa dengan pembahasan atau pengesahaan RUU perampasan aset yang dikaitkan dengan pernyataan Ketua DPR Puan Maharani mengenai sikap DPR yang tidak ingin tergesa-gesa dalam membahas RUU Perampasan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
</t>
  </si>
  <si>
    <r>
      <rPr>
        <color rgb="FF1155CC"/>
        <sz val="8.0"/>
        <u/>
      </rPr>
      <t xml:space="preserve">https://www.facebook.com/groups/5231157630293312/permalink/24515003104815476/?rdid=SH7oH9bn163bipMA#
</t>
    </r>
    <r>
      <rPr>
        <sz val="8.0"/>
      </rPr>
      <t xml:space="preserve">
</t>
    </r>
  </si>
  <si>
    <t xml:space="preserve">Ditemukan dugaan konten yang memuat unsur provokatif dengan narasi ajakan untuk “menepalkan” DPR yang dikaitkan dengan pernyataan Ketua DPR Puan Maharani mengenai sikap DPR yang tidak ingin tergesa-gesa dalam membahas RUU Perampasan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
</t>
  </si>
  <si>
    <t>https://www.facebook.com/groups/332535936199966/permalink/774858575301031/?rdid=A2GBR0ZHg0ba4Rpq#</t>
  </si>
  <si>
    <t>https://www.facebook.com/share/p/179PuTQk1Z/</t>
  </si>
  <si>
    <t>Ditemukan dugaan konten yang memuat unsur provokatif dengan narasi yang menyebut Komisi Pemilihan Umum (KPU) Pusat sebagai sarang oligarki dan komunis serta menyerukan agar Indonesia dijadikan seperti Nepal (Menepalkan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</si>
  <si>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https://www.tiktok.com/@adinurhandono/video/7550578600156663096</t>
  </si>
  <si>
    <t xml:space="preserve">Konten yang diduga memuat unsur provokatif berupa potongan video pernyataan Gus Nur yang menyampaikan bahwa di tengah kondisi ekonomi dan politik yang tidak stabil, KPU justru menimbulkan masalah yang memicu kemarahan masyarakat. Konten tersebut dikaitkan dengan narasi ajakan kepada masyarakat Indonesia untuk menciptakan situasi serupa dengan yang terjadi di Nepal (“menepalkan Indonesia”).
Konten yang diduga memuat unsur provokatif berupa potongan video dari Gus Nur yang mengatakan di tengah kondisi ekonomi dan politik yang tidak stabil, KPU justru membuat masalah yang membuat warga murka yang dikaitkan dengan narasi mengajak masyarakat indonesia untuk membuat keadaan seperti yang ada di nepal (menepalkan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
</t>
  </si>
  <si>
    <t>Ditemukan konten yang diduga memuat narasi provokatif berupa ajakan untuk “menepalkan Indonesia” atau menciptakan kondisi Indonesia seperti situasi kerusuhan di Nepal. Ajakan tersebut dikaitkan dengan isu KPK yang diduga membuat gaduh mengenai data informasi calon presiden dan calon wakil presiden yang dapat dibuka ke publik.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</si>
  <si>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Tidak ada URL nya</t>
  </si>
  <si>
    <t xml:space="preserve">https://www.youtube.com/live/LaiBisFf9L4 </t>
  </si>
  <si>
    <t xml:space="preserve">Konten ini diduga mengandung narasi provokatif mengenai kondisi Kepolisian Negara Republik Indonesia (Polri) yang dianggap korup dan bobrok selama satu dekade terakhir .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</si>
  <si>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 xml:space="preserve">https://x.com/RooneySianny/status/1967830873115590862 
</t>
  </si>
  <si>
    <t xml:space="preserve">Konten ini diduga mengandung narasi provokatif untuk membubarkan negara Indonesia yang dikaitkan dengan negara Nazi serta polemik ijazah presiden dan wakil presiden yang bersifat rahasia sesuai dengan keputusan KPU dan mengatakan Presiden seperti Nazi.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</si>
  <si>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 xml:space="preserve">https://www.facebook.com/reel/1324000609100384 </t>
  </si>
  <si>
    <t xml:space="preserve">Konten ini diduga memuat unsur provokasi dengan narasi yang menyampaikan indonesia akan kaya apabila DPR dan partai politik dibubarkan.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</si>
  <si>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https://www.facebook.com/rico.setiawan.16144606/posts/pfbid02ZdhNa6Xuz927atKSNez98rXTBGDKmangSLAamUHUEEJBxUvKEDfh8tyw1VWF9trVl</t>
  </si>
  <si>
    <t xml:space="preserve">Konten ini diduga memuat narasi provokatif yang menyebut DPR sebagai lembaga yang berisi “pencuri” dan menyatakan bahwa kondisi tersebut tidak dapat dibiarkan sehingga lembaga tersebut harus dibubarkan.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</si>
  <si>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 xml:space="preserve">https://www.facebook.com/photo/?fbid=1115254457459069&amp;set=a.167602315557626 </t>
  </si>
  <si>
    <t xml:space="preserve">Konten ini diduga memuat narasi provokatif yang menyatakan bahwa Mahkamah Konstitusi telah kehilangan kehormatannya, disertai ajakan kepada masyarakat untuk tidak lagi mematuhi hukum maupun peraturan yang berlaku di Indonesia. Konten tersebut juga menekankan seruan agar masyarakat melawan segala sesuatu yang tidak sesuai dengan keinginannya serta menarasikan bahwa tidak ada hukum atau aturan yang wajib dipatuhi sehingga setiap orang bebas melakukan apa pun.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</si>
  <si>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https://x.com/HalimTeuku/status/1968082882100080936</t>
  </si>
  <si>
    <t xml:space="preserve">Ditemukan dugaan konten yang memuat narasi provokatif yang menyatakan bahwa negara Indonesia sedang hancur akibat tindakan Kepolisian Republik Indonesia (Polri) dan menyerukan pembubaran institusi Polri. Narasi tersebut berpotensi mendorong ketidakstabilan dan menimbulkan gerakan antipemerintah terhadap lembaga penegak hukum.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</si>
  <si>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https://x.com/M17522147/status/1966917430686728573</t>
  </si>
  <si>
    <t xml:space="preserve">Konten ini diduga memuat narasi provokatif berupa ajakan untuk membubarkan Polri dengan tuduhan bahwa institusi tersebut terlalu banyak melakukan pemerasan terhadap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</si>
  <si>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 xml:space="preserve">https://x.com/jackkece1/status/1967268860626944204 </t>
  </si>
  <si>
    <t>Konten ini diduga mengandung unsur provokatif berupa ajakan yang sedang tren, yakni “eat the rich”, yang ditujukan kepada Menteri ESDM Bahlil Lahadalia. Istilah “eat the rich” merupakan ungkapan bernada provokatif yang populer di media sosial dan dikhawatirkan dapat memicu tindakan anarkis, karena digunakan untuk mengekspresikan kemarahan atau perlawanan terhadap kelompok elit atau orang kaya yang dianggap mengeksploitasi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</si>
  <si>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https://www.tiktok.com/@miskintapibahagia/video/7548362524756921656</t>
  </si>
  <si>
    <t>Ditemukan konten yang diduga memuat narasi provokatif berupa ajakan untuk “menepalkan Indonesia” atau menciptakan kondisi Indonesia seperti situasi kerusuhan di Nepal. Ajakan tersebut diglorifikasi dengan Bonek dan meminta dukungan kepada netijen agar tercapai.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</si>
  <si>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color rgb="FF1155CC"/>
        <sz val="8.0"/>
        <u/>
      </rPr>
      <t>https://www.tiktok.com/@darji.polaeng/video/7549524004734881032</t>
    </r>
  </si>
  <si>
    <t>Ditemukan konten yang diduga memuat narasi provokatif berupa ajakan untuk “menepalkan Indonesia” atau menciptakan kondisi Indonesia seperti situasi kerusuhan di Nepal. Ajakan tersebut diglorifikasi dengan massa saat demo agustus lalu di depan Mako Brimob.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</si>
  <si>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color rgb="FF1155CC"/>
        <sz val="8.0"/>
        <u/>
      </rPr>
      <t>https://www.tiktok.com/@syechkomang/video/7549814810444074296</t>
    </r>
  </si>
  <si>
    <t>Ditemukan konten yang diduga memuat narasi provokatif berupa ajakan untuk “menepalkan Indonesia” atau menciptakan kondisi Indonesia seperti situasi kerusuhan di Nepal. Ajakan tersebut disertai ajakan untuk mencopot Kapolri.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</si>
  <si>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https://www.tiktok.com/@pujisaptayuliana9384gmai/video/7549163333828513045</t>
  </si>
  <si>
    <t>Ditemukan konten yang diduga memuat narasi provokatif berupa ajakan untuk “menepalkan Indonesia” atau menciptakan kondisi Indonesia seperti situasi kerusuhan di Nepal. Ajakan tersebut diglorifikasi dengan membandingkan dengan negara Nepal yang negara kecil bisa.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</si>
  <si>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color rgb="FF1155CC"/>
        <sz val="8.0"/>
        <u/>
      </rPr>
      <t>https://x.com/Nirmala787/status/1968374505874849875</t>
    </r>
  </si>
  <si>
    <t>Ditemukan komentar provokatif dengan narasi Nepalkan keluarga dan hartanya Ahmad Doli yang memberikan pernyataan untuk menunda pembahasan UU perampasann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</si>
  <si>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color rgb="FF1155CC"/>
        <sz val="8.0"/>
        <u/>
      </rPr>
      <t>https://x.com/gundala2221/status/1968373493248225461</t>
    </r>
  </si>
  <si>
    <t>Konten provokatif dengan narasi Nepalkan DPR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</si>
  <si>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color rgb="FF1155CC"/>
        <sz val="8.0"/>
        <u/>
      </rPr>
      <t>https://x.com/MamanPiyul/status/1967947100332965998</t>
    </r>
  </si>
  <si>
    <t>Konten provokatif dengan menampilkan Gibran Rakabuming, Kaesang Pangarep, Kahiyang Ayu, Bobby Nasution, Selvi Ananda, dan Erina Gudono dengan ancaman “Nepalkan”.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</si>
  <si>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color rgb="FF1155CC"/>
        <sz val="8.0"/>
        <u/>
      </rPr>
      <t>https://www.tiktok.com/@ervino0001/photo/7550531540942343430?_r=1&amp;_t=ZS-8zo4DOprQiz</t>
    </r>
  </si>
  <si>
    <t>Provokatif dan SARA</t>
  </si>
  <si>
    <t>Konten tersebut memuat narasi provokatif dengan menyinggung isu SARA dengan menyatakan semua provinsi di luar Jawa harus mengalahkan pulau Jawa agar Presiden Indonesia tidak hanya berasal dari Suku Jawa.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</si>
  <si>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r>
      <rPr>
        <color rgb="FF1155CC"/>
        <sz val="8.0"/>
        <u/>
      </rPr>
      <t>https://www.tiktok.com/@predator.predator91</t>
    </r>
  </si>
  <si>
    <t>Akun tersebut aktif mengunggah konten-konten provokatif diantaranya Indonesia bubar dan Indonesia terjerat utang.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</si>
  <si>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hold</t>
  </si>
  <si>
    <t>https://www.tiktok.com/@halimhalim9946fi/video/7550960146726309176?q=nepalkan&amp;t=1758133830856</t>
  </si>
  <si>
    <t>Konten provokasi dengan memuat foto Dedi Mulyadi, Maruarar Sirait dan Sugianto Kusuma (juga dikenal sebagai Aguan) dengan ancaman akan dilakukan aksi seperti di Nepal.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</si>
  <si>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color rgb="FF1155CC"/>
        <sz val="8.0"/>
        <u/>
      </rPr>
      <t>https://www.tiktok.com/@mr.bejo.wage/video/7551091790787529990</t>
    </r>
  </si>
  <si>
    <t>Konten provokasi dengan menggunakan keyword “Nepalkan” yang ditujukan kepada Ketua KPU.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</si>
  <si>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color rgb="FF1155CC"/>
        <sz val="8.0"/>
        <u/>
      </rPr>
      <t>https://www.facebook.com/reel/1329374435248551</t>
    </r>
  </si>
  <si>
    <t>Konten provokasi dengan menggunakan keyword “Nepalkan” yang ditujukan kepada Ketua KPU terkait Calon Wakil Presiden pada Pemilu 2024.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</si>
  <si>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https://www.facebook.com/edy.mulyadi.28348/posts/pfbid0kVWi7LdTAXrhkYbY2F4pF2kivDxHvKgLiJUUffg52aLdazJNtE7VS91rcV3z9oXUl?rdid=YFnHv0vAYA9luca4</t>
  </si>
  <si>
    <t>Konten provokasi dengan menggunakan keyword “Nepalkan” kepada KPU dengan tudingan bahwa keputusan Ketua KPU terkait berkas Capres-Cawapres untuk melindungi Joko Widodo dan Gibran Rakabuming Raka.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</si>
  <si>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https://www.facebook.com/sriyonosukses/posts/pfbid022mXPdxvE9sijpWQZ17qMVvfNLoEK8C7xPZJZHi74Th1vGE3VKFaNSskXZRw6Rj8Dl</t>
  </si>
  <si>
    <t>Memberikan informasi yang salah terhadap Mantan Presiden Joko Widodo</t>
  </si>
  <si>
    <t>Pasal 27A UU No. 1 Tahun 2024 (tentang Perubahan Kedua atas UU ITE) mengatur tentang tindak pidana pencemaran nama baik, yang berbunyi: "Setiap Orang dengan sengaja menyerang kehormatan atau nama baik orang lain dengan cara menuduhkan suatu hal, dengan maksud supaya hal tersebut diketahui umum dalam bentuk Informasi Elektronik dan/atau Dokumen Elektronik yang dilakukan melalui Sistem Elektronik.</t>
  </si>
  <si>
    <t xml:space="preserve">Dapat menimbulkan kericuhan diruang publik </t>
  </si>
  <si>
    <t xml:space="preserve">https://www.facebook.com/groups/221580229175240/?multi_permalinks=1482841259715791 </t>
  </si>
  <si>
    <t>SARA ATAU UJARAN KEBENCIAN</t>
  </si>
  <si>
    <t>Akun tersebut membuat unggahan SARA Atau Ujaran Kebencian kepada agama tertentu</t>
  </si>
  <si>
    <t>https://www.facebook.com/groups/221580229175240/?multi_permalinks=1481346429865274</t>
  </si>
  <si>
    <t>https://www.facebook.com/groups/1499992370958626/?multi_permalinks=1590152538609275</t>
  </si>
  <si>
    <t>https://www.facebook.com/groups/882222322392995/posts/1818900495391835/</t>
  </si>
  <si>
    <t>https://www.instagram.com/p/DN-Bj7xEb26/</t>
  </si>
  <si>
    <t>Dilaporkan telah melakukan tindak pidana provokasi ajakan untuk demo,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</si>
  <si>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https://www.instagram.com/reel/DN4_IyfAH2v/</t>
  </si>
  <si>
    <t>Dilaporkan telah melakukan tindak pidana provokasi ajakan untuk demo dan menurunkan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</si>
  <si>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https://www.facebook.com/reel/1967633294006176</t>
  </si>
  <si>
    <t>Dilaporkan telah melakukan tindak pidana provokasi ajakan untuk demo dan membubarkan DPR RI,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</si>
  <si>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https://www.facebook.com/reel/1776181847116568</t>
  </si>
  <si>
    <t>Dilaporkan telah melakukan tindak pidana provokasi ajakan untuk demo di gedung DPR RI, mempercepat UU Perampasan Aset dan membubarkan DPR RI,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</si>
  <si>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https://www.tiktok.com/@yohanes__00/video/7550300989677440261</t>
  </si>
  <si>
    <t>Provokatif dan Ujaran Kebencian</t>
  </si>
  <si>
    <t>Konten ini diduga memuat narasi provokatif dan ujaran kebencian yang ditujukan kepada Ketua DPR RI, Puan Maharani, dengan mendesak percepatan pengesahan RUU Perampasan Aset disertai ancaman atau seruan yang mengarah pada upaya menciptakan situasi di Indonesia serupa dengan kondisi yang pernah terjadi di Nepal (“menepalkan”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</si>
  <si>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t>Undang-Undang Nomor 1 Tahun 2024 tentang Perubahan Kedua Atas Undang-Undang Nomor 11 Tahun 2008 tentang Informasi dan Transaksi Elektronik pada Pasal 28 ayat (3) dan Pasal 45A ayat (3), Pasal 28 ayat (2).</t>
  </si>
  <si>
    <t xml:space="preserve">Munculnya akun dan/atau konten provokatif, ujaran kebencian, SARA berpotensi menyebabkan meningkatkan persebaran manipulasi dan disinformasi, menimbulkan kegaduhan di publik, ruang menciptakan polarisasi sosial, meningkatkan ketegangan sosial yang berdampak pada gangguan keamanan dan ketertiban masyarakat serta mengganggu stabilitas dan integrasi nasional.
</t>
  </si>
  <si>
    <t>https://www.tiktok.com/@mr.bejo.wage/video/7551091790787529990</t>
  </si>
  <si>
    <t>Konten ini diduga memuat narasi provokatif dan ujaran kebencian yang ditujukan kepada Ketua Ketua KPU dan Mantan Presiden Jokowi disertai ancaman atau seruan provokasi untuk menepalkan ketua KPU dan mantan presiden Jokowi.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</si>
  <si>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https://www.tiktok.com/@sangglek3/video/7551024242079370514</t>
  </si>
  <si>
    <t>Konten ini diduga memuat narasi provokatif berupa ajakan untuk membubarkan Polisi dan DPR/MPR dengan ancaman atau seruan yang mengarah pada (“menepalkan” Indonesia) atau upaya menciptakan situasi di Indonesia serupa dengan kondisi yang pernah terjadi di Nepal.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</si>
  <si>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https://www.tiktok.com/@jagat.jaya7</t>
  </si>
  <si>
    <t>Akun ini diduga memuat narasi provokatif dan ujaran kebencian yang ditujukan kepada Ketua DPR RI, Puan Maharani, dengan mendesak percepatan pengesahan RUU Perampasan Aset dan pembubaran DPR.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</si>
  <si>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https://www.tiktok.com/@_boyk4_00/video/7549250423937305861</t>
  </si>
  <si>
    <t>Konten ini diduga memuat narasi provokatif yang menyampaikan tuntutan untuk memberhentikan Wapres Gibran dan mengadili mantan presiden Jokowi, dan segera mengesahkan RUU Perampasan Aset dengan menekankan ancaman dan seruan provokasi menepalkan Indonesia.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</si>
  <si>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https://www.tiktok.com/@boss_muda_berhati_mulia/video/7545339406534692101</t>
  </si>
  <si>
    <t>Konten ini merupakan konten disinformasi berjenis fabricated content yang dibuat menggunakan AI dalam bentuk gambar atau video deepfake yang bernarasi provokati. Konten ini menampilkan Anggota Brimob yang seolah memprotes dan memerintahkan penangkapan Jenderal Listyo Sigit Prabowo dalam skenario fiktif, disertai narasi provokatif seperti “Tangkap Sigit Mafia” atau “Perintah Rakyat Indonesia”. Postingan ini disebarkan di media sosial TikTok untuk memicu kemarahan publik terhadap dugaan kegagalan reformasi Polri, seolah pencopotan segera diperlukan karena kasus-kasus yang dialami Polri.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</si>
  <si>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https://www.tiktok.com/@miskintapibahagia/video/7551204206338772280</t>
  </si>
  <si>
    <t>Konten ini diduga memuat narasi provokatif yang berisi ajakan untuk menggelar demonstrasi di Indonesia dengan skala yang lebih besar dibandingkan aksi serupa di Nepal, serta melibatkan pengemudi ojek daring dari seluruh Indonesia dan perwakilan dari wilayah Surabaya Timur.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</si>
  <si>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https://www.tiktok.com/@gopar044/video/7548277379274149140</t>
  </si>
  <si>
    <t>Konten ini diduga memuat narasi provokatif dengan mendesak percepatan pengesahan RUU Perampasan Aset disertai ancaman atau seruan yang mengarah pada upaya menciptakan situasi di Indonesia serupa dengan kondisi yang pernah terjadi di Nepal (“menepalkan”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</si>
  <si>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https://www.tiktok.com/@rakyat.jelata938/video/7549276928834850055</t>
  </si>
  <si>
    <t>Konten ini merupakan disinformasi berjenis fabricated content (konten palsu) yang diduga mengandung unsur ujaran kebencian terhadap Puan Maharani serta provokasi melalui narasi yang menyebutkan bahwa DPR dinilai cepat dalam mengesahkan undang-undang yang memungkinkan pencopotan Ketua KPK, Hakim, MK, serta anggota TNI dan Polri, namun lamban dalam menetapkan peraturan yang menentang korupsi dan nepotisme. Konten tersebut juga disertai ajakan untuk menggerakkan aksi pada tanggal 20 September 2025.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</si>
  <si>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https://x.com/n0wbigdyl/status/1968514858414129282</t>
  </si>
  <si>
    <t>Ancaman dan Provokatif</t>
  </si>
  <si>
    <t>Konten ini diduga memuat narasi ancaman dan provokatif terhadap Menteri ESDM Bahlil Lahdalia.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</si>
  <si>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https://x.com/kenvi_yo/status/1968513267342389451</t>
  </si>
  <si>
    <t>https://www.tiktok.com/@haji_arsyadmip/video/7532690095179074872</t>
  </si>
  <si>
    <t>Konten ini merupakan disinformasi berjenis misleading content (Konten yang menyesatkan) bernarasi provokatif dimana berisi video potongan pidato kampanye presiden prabowo yang memprediksi Indonesia 2030 akan bubar, hal tersebut juga diframing dengan gerakan Kalimantan merdeka untuk memilih salah satu pemimpin.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</si>
  <si>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rFont val="Arial,sans-serif"/>
        <color rgb="FF1155CC"/>
        <sz val="8.0"/>
        <u/>
      </rPr>
      <t>https://www.facebook.com/share/p/1BJbXiSSvM/</t>
    </r>
  </si>
  <si>
    <t>Konten memuat narasi provokatif dengan ajakan menggeruduk KPU dengan tuntutan agar tidak ada rahasia syarat calon pejabat publik.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</si>
  <si>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rFont val="Arial,sans-serif"/>
        <color rgb="FF1155CC"/>
        <sz val="8.0"/>
        <u/>
      </rPr>
      <t>https://www.tiktok.com/@independent4038/photo/7550520924349484294?_r=1&amp;_t=ZS-8zpkexNtwmo</t>
    </r>
  </si>
  <si>
    <t>Konten ini memuat provokasi dengan narasi separatisme yang menyatakan kemerdekaan Aceh di depan mata.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</si>
  <si>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rFont val="Arial,sans-serif"/>
        <color rgb="FF1155CC"/>
        <sz val="8.0"/>
        <u/>
      </rPr>
      <t>https://www.tiktok.com/@khairul.abdi01/video/7550402834085285125?_r=1&amp;_t=ZS-8zpkhgpZfO5</t>
    </r>
  </si>
  <si>
    <t>Konten ini memuat provokasi dengan narasi separatisme kemerdekaan Aceh harga mati sedangkan Indonesia harga korupsi.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</si>
  <si>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rFont val="Arial,sans-serif"/>
        <color rgb="FF1155CC"/>
        <sz val="8.0"/>
        <u/>
      </rPr>
      <t>https://www.tiktok.com/@khairul.abdi01/photo/7548463085980241208?_r=1&amp;_t=ZS-8zpkj8yLeba</t>
    </r>
  </si>
  <si>
    <t>Konten ini memuat provokasi dan separatisme dengan ajakan untuk tidak mencintai NKRI dengan dalih tidak diterapkannya sila kelima Pancasila. Pada konten tersebut terdapat foto dengan pernyataan “NKRI sudah mampos” dan ajakan separatisme Aceh, Maluku, dan Papua.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</si>
  <si>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rFont val="Arial,sans-serif"/>
        <color rgb="FF1155CC"/>
        <sz val="8.0"/>
        <u/>
      </rPr>
      <t>https://www.tiktok.com/@indonesiaforever69/video/7550599688999750968?_r=1&amp;_t=ZS-8zplJe2V3Mv</t>
    </r>
  </si>
  <si>
    <t>Konten memuat narasi provokatif dengan ajakan “Nepalkan” terhadap KPU. narasi provokatif tersebut berkaitan dengan keputusan KPU bahwa data Capres-Cawapres adalah rahasia.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</si>
  <si>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rFont val="Arial,sans-serif"/>
        <color rgb="FF1155CC"/>
        <sz val="8.0"/>
        <u/>
      </rPr>
      <t>https://x.com/YgMenang_KPU_MK/status/1968666731414442022?t=WvVuxiy8ll7800JKC-87EQ&amp;s=08</t>
    </r>
  </si>
  <si>
    <t>Konten memuat narasi provokatif ajakan melakukan pembakaran gedung DPR dan rumah anggota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</si>
  <si>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rFont val="Arial,sans-serif"/>
        <color rgb="FF1155CC"/>
        <sz val="8.0"/>
        <u/>
      </rPr>
      <t>https://x.com/ZurfamiJ5777/status/1968265986953675115?t=axM3I466h67OxU64RVe6Mw&amp;s=08</t>
    </r>
  </si>
  <si>
    <t>Konten ini memuat provokasi dan separatisme dengan narasi KKN di Indonesia tinggi, hukum tergantung uang dan kekuasaan sehingga lebih baik Papua merdeka dan tidak di dalam pemerintahan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</si>
  <si>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https://www.tiktok.com/@wahyubalakosa99/video/7551343188603112760?_r=1&amp;_t=ZS-8zpmhcAPoUm</t>
  </si>
  <si>
    <t xml:space="preserve">Disinformasi </t>
  </si>
  <si>
    <r>
      <rPr>
        <rFont val="Arial"/>
        <sz val="8.0"/>
      </rPr>
      <t xml:space="preserve">Konten disinformasi yang diduga memuat narasi tudingan terhadap Salsa Erwina Hutagalung sebagai bagian dari kelompok “Ternak Mulyono”.
Sebagai rujukan untuk melakukan klarifikasi atau kontra-narasi atas tuduhan tersebut, dapat digunakan pernyataan bantahan yang disampaikan langsung oleh Salsa Erwina Hutagalung melalui video klarifikasinya sendiri, yang telah diunggah dan dikutip oleh akun YouTube Tribunnews serta sejumlah media lainnya. berikut merupakan tautan kontra narasi yang dapat menjadi rujukan:
1. </t>
    </r>
    <r>
      <rPr>
        <rFont val="Arial"/>
        <color rgb="FF1155CC"/>
        <sz val="8.0"/>
        <u/>
      </rPr>
      <t xml:space="preserve">https://www.instagram.com/p/DOmT_4ekxxr/
</t>
    </r>
    <r>
      <rPr>
        <rFont val="Arial"/>
        <sz val="8.0"/>
      </rPr>
      <t xml:space="preserve">2. </t>
    </r>
    <r>
      <rPr>
        <rFont val="Arial"/>
        <color rgb="FF1155CC"/>
        <sz val="8.0"/>
        <u/>
      </rPr>
      <t xml:space="preserve">https://www.youtube.com/watch?v=UOm2FzarcTI
3. https://bukamata.id/berita/tegas-salsa-erwina-hutagalung-blak-blakan-soal-tuduhan-termul/
4. https://www.instagram.com/reel/DOs2IoFE4Cm/
</t>
    </r>
  </si>
  <si>
    <r>
      <rPr>
        <rFont val="Arial,sans-serif"/>
        <color rgb="FF1155CC"/>
        <sz val="8.0"/>
        <u/>
      </rPr>
      <t>https://www.tiktok.com/@acehfuture.id/photo/7549964182666349880?_r=1&amp;_t=ZS-8zpmvSmA5ZA</t>
    </r>
  </si>
  <si>
    <t>Konten bermuatan provokatif dengan narasi separatisme dimana konten tersebut berisi hipotesis apabila Aceh tidak pernah menjadi bagian Indonesia. Dari konten tersebut, terdapat iming-iming Aceh akan menjadi negara maju apabila menjadi negara merdeka ataupun menjadi bagian Federasi Malaysia.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</si>
  <si>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rFont val="Arial,sans-serif"/>
        <color rgb="FF1155CC"/>
        <sz val="8.0"/>
        <u/>
      </rPr>
      <t>https://www.tiktok.com/@malayan.secret.so/photo/7544613685419838727?_r=1&amp;_t=ZS-8zpnVfPFF6j</t>
    </r>
  </si>
  <si>
    <t>Konten disinformasi dengan jenis fabricated content mengunggah gambar AI dengan narasi Indonesia akan menjadi negara federasi pada tahun 2029 dan akan bubar pada tahun 2030.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</si>
  <si>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https://x.com/barengwarga/status/1968624361142960424?t=EYWrGmI_sVnZBQQtG9zzRw&amp;s=19</t>
  </si>
  <si>
    <t>Konten provokasi dengan ajakan demonstrasi pada hari Jumat, 19 September 2025 berisi empat tuntutan.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</si>
  <si>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r>
      <rPr>
        <rFont val="Arial,sans-serif"/>
        <color rgb="FF1155CC"/>
        <sz val="8.0"/>
        <u/>
      </rPr>
      <t>https://x.com/Y_Radianto/status/1968506964293595579?t=M4AOaWgedm58sltZdCUarg&amp;s=35</t>
    </r>
  </si>
  <si>
    <t>Konten provokatif memuat narasi menepalkan keluarga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</si>
  <si>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https://x.com/AnKiiim_/status/1968368670570393642?t=JC-0xDNboYSrYzOkl31l7w&amp;s=35</t>
  </si>
  <si>
    <t>Provokatf</t>
  </si>
  <si>
    <t>Konten provokatif memuat narasi menepalkan Menteri ESDM Bahlil Lahadalia.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</si>
  <si>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https://www.instagram.com/p/DN6L_GWkyKL/</t>
  </si>
  <si>
    <t>Dilaporkan telah melakukan tindak pidana provokasi ajakan untuk membubarkan DPR dan POLRI,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</si>
  <si>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https://www.tiktok.com/@aneuk.agam.agam.a/video/7550343402991193349</t>
  </si>
  <si>
    <t>Konten pada akun Tiktok teridentifikasi mengunggah video bermuatan provokatif mengenai kemerdekaan Aceh.</t>
  </si>
  <si>
    <t>https://www.tiktok.com/@amran.l.a.04/video/7541264385121996037</t>
  </si>
  <si>
    <t>Akun Tiktok yang mengunggah video provokatif mengenai kemerdekaan Aceh.</t>
  </si>
  <si>
    <t>https://www.tiktok.com/@amran.l.a.04/photo/7551379409890987276</t>
  </si>
  <si>
    <t>https://www.facebook.com/reel/1132153508414944</t>
  </si>
  <si>
    <t>Sebuah akun mengunggah video yang memperlihatkan gabungan demo yang dibuat menggunakan AI dan terdapat ajakan untuk menurunkan Puan Maharani dari jabatannya.</t>
  </si>
  <si>
    <t>https://www.facebook.com/reel/656986696737567</t>
  </si>
  <si>
    <t>Ditemukan sebuah akun yang mengunggah konten bernuansa provokatif berupa demo dan ajakan untuk kemerdekaan bagi Aceh.</t>
  </si>
  <si>
    <t>https://www.facebook.com/reel/783450367961032</t>
  </si>
  <si>
    <t xml:space="preserve">Ditemukan sebuah akun yang mengunggah konten bernuansa provokatif berupa demo dan ajakan untuk kemerdekaan bagi Aceh. </t>
  </si>
  <si>
    <t>https://www.facebook.com/reel/2542681349425807</t>
  </si>
  <si>
    <t>Ditemukan akun yang mengunggah konten bernuansa provokatif berupa demo dan permintaan agar Puan Maharani turun dari Ketua DPR RI.</t>
  </si>
  <si>
    <t>https://www.tiktok.com/@suararakyat534/video/7551436214172175627</t>
  </si>
  <si>
    <t>Ditemukan akun yang mengunggah konten bernuansa provokatif berupa demo dan ujaran DPR bubar.</t>
  </si>
  <si>
    <t>https://www.tiktok.com/@negara.konyol/video/7551296352433507590</t>
  </si>
  <si>
    <t>Ditemukan akun yang mengunggah konten bernuansa provokatif berupa demo dan ujaran penurunan Puan Maharani sebagai ketua DPR RI</t>
  </si>
  <si>
    <t>https://www.facebook.com/reel/645385968253046</t>
  </si>
  <si>
    <t>Beredar sebuah konten provokasi pada Facebook yang mengunggah konten bahwa ketua DPRA Aceh menandatangani surat tuntutan masa Aceh yang pisah dari Indonesia.</t>
  </si>
  <si>
    <t>https://www.facebook.com/reel/1194056029196987</t>
  </si>
  <si>
    <t>Ditemukan sebuah akun yang mengunggah video ajakan demo pada tanggal 20 September 2025 yang menuntut pengesahan RUU atau pembubaran DPR RI. Video yang digunakan merupakan video yang dibuat menggunakan AI.</t>
  </si>
  <si>
    <t>https://www.tiktok.com/@ajipickyclose/video/7364626943855316230</t>
  </si>
  <si>
    <t>Ditemukan sebuah akun yang mengajak untuk pembubaran DPR apabila DPR tidak mengesahkan RUU Perampasan Aset.</t>
  </si>
  <si>
    <t>https://x.com/MukaniRudi8970/status/1966157266111041587</t>
  </si>
  <si>
    <t>Ditemukan konten pada media sosial x ajakan untuk menangkap dan menggantung Hasbiallah.</t>
  </si>
  <si>
    <t>https://x.com/srape_/status/1968950773775012047</t>
  </si>
  <si>
    <t>Ditemukan komentar yang mengajak masyarakat untuk melakukan demo di Kantor Partai Politik dan sugesti untuk melakukan tindakan pengerusakan.</t>
  </si>
  <si>
    <t>https://x.com/YgMenang_KPU_MK/status/1968666731414442022</t>
  </si>
  <si>
    <t>DItemukan konten pada media sosial X yang mengajak untuk melakukan pembakaran gedung DPR dan rumah anggota DPR.</t>
  </si>
  <si>
    <t>https://x.com/pinginsugih/status/1968469362609709275</t>
  </si>
  <si>
    <t>Terdapat Komentar yang berisikan konten tindakan kekerasan pembakaran yang ditujukan kepada rumah anggota DPR dan Kantor Partai Golkar.</t>
  </si>
  <si>
    <t>https://x.com/mutajir_mohamat/status/1968466877564301400</t>
  </si>
  <si>
    <t>Ditemukan komentar pada media sosial yang berisikan ajakan untuk membakar gedung DPR.</t>
  </si>
  <si>
    <t>https://www.tiktok.com/@sodikan68/video/7551822037182909717?_r=1&amp;_t=ZS-8zrtxBBFvfd</t>
  </si>
  <si>
    <t>Ditemukan pada media sosial TikTok konte yang berisikan provokasi untuk membuat Indonesia seperti negara Nepal yang kacau jika RUU Perampasan Aset tidak disahkan.</t>
  </si>
  <si>
    <t>https://www.instagram.com/reel/DOgAYJ2gdmJ/?utm_source=ig_web_copy_link</t>
  </si>
  <si>
    <t>DISINFORMASI, HOAX</t>
  </si>
  <si>
    <t>Akun tersebut membuat unggahan Disinformasi dan Ujaran Kebencian</t>
  </si>
  <si>
    <t>Konten ini dapat memicu kericuhan di ruang publik.</t>
  </si>
  <si>
    <r>
      <rPr>
        <rFont val="Arial"/>
        <color rgb="FF1155CC"/>
        <sz val="8.0"/>
        <u/>
      </rPr>
      <t>https://www.instagram.com/p/DN8Xkv8kpO-/</t>
    </r>
  </si>
  <si>
    <t>Dilaporkan telah melakukan tindak pidana provokasi ajakan untuk membubarkan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</si>
  <si>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
        <color rgb="FF1155CC"/>
        <sz val="8.0"/>
        <u/>
      </rPr>
      <t>https://www.instagram.com/p/DN-9cSSgabr/</t>
    </r>
  </si>
  <si>
    <r>
      <rPr>
        <rFont val="Arial"/>
        <color rgb="FF1155CC"/>
        <sz val="8.0"/>
        <u/>
      </rPr>
      <t>https://www.facebook.com/MayaSamosirr/posts/pfbid0VsbtXwkSaxWGjNCFSrGQujJqCdXZ6McQq5VnU79C9o18LJQLu6U4eqCS43FjVnbnl</t>
    </r>
  </si>
  <si>
    <t>Dilaporkan telah melakukan tindak pidana provokasi ajakan untuk menurunkan Presiden Prabowo,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</si>
  <si>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
        <color rgb="FF1155CC"/>
        <sz val="8.0"/>
        <u/>
      </rPr>
      <t>https://www.facebook.com/nur.cahayaibrahimy/posts/pfbid02NDE2S4qKcs3s2j3djiqy1F4DyQuhvEUT19VMkJKqs1TMEujU8zATbH6GHCGhSfkRl</t>
    </r>
  </si>
  <si>
    <t>https://www.facebook.com/groups/1392429151628587/posts/1858793701658794</t>
  </si>
  <si>
    <t xml:space="preserve">Provokasi dan Separatisme
</t>
  </si>
  <si>
    <t>Konten pada akun Tiktok teridentifikasi mengunggah video bermuatan provokatif mengenai kemerdekaan Sumatera dan mencari dukungan dari negara luar.</t>
  </si>
  <si>
    <t>https://www.facebook.com/reel/1467288361253766</t>
  </si>
  <si>
    <t>https://www.facebook.com/reel/1128864438713878</t>
  </si>
  <si>
    <t xml:space="preserve">Provokasi dan Separatisme
</t>
  </si>
  <si>
    <t>Ditemukan akun yang mengunggah video provokatif memperlihatkan demo dan ajakan untuk membubarkan DPR.</t>
  </si>
  <si>
    <t>https://www.facebook.com/reel/740913078830521</t>
  </si>
  <si>
    <t xml:space="preserve">Sebuah akun mengunggah video mengenai kemerdekaan Aceh.
</t>
  </si>
  <si>
    <t>https://www.facebook.com/reel/1827451297889277</t>
  </si>
  <si>
    <t>https://www.facebook.com/reel/1854693518797261</t>
  </si>
  <si>
    <t>Ditemukan sebuah akun yang mengunggah konten penghormatan pada bendera bulan bintang dan kemerdekaan Aceh.</t>
  </si>
  <si>
    <t>https://www.facebook.com/reel/1665767320763674</t>
  </si>
  <si>
    <t>Ditemukan akun yang mengunggah konten pengibaran bendera Aceh, Papua, dan Maluku. Serta terdapat aksi bersama terkait kemerdekaan provinsi-provinsi tersebut.</t>
  </si>
  <si>
    <t>https://www.tiktok.com/@sumberpromo999/video/7551983204417162507</t>
  </si>
  <si>
    <t>Ditemukan akun yang mengunggah konten bernuansa provokatif berupa demo jilid 2 akan terjadi di Indonesia dan akan seperti demo di Nepal.</t>
  </si>
  <si>
    <t>https://www.tiktok.com/@racingmaster076/video/7548504022374796550</t>
  </si>
  <si>
    <t xml:space="preserve">Ditemukan akun Tiktok yang mengunggah konten yang memuat narasi ajakan untuk mengikuti Nepal yang menggunakan alat berat untuk menghancurkan gerbang DPR RI apabila RUU Perampasan Aset tidak disahkan.
</t>
  </si>
  <si>
    <t>https://www.instagram.com/p/DNsxu_L5McL/</t>
  </si>
  <si>
    <t>Beredar sebuah konten provokasi berupa ajakan untuk membubarkan DPR.</t>
  </si>
  <si>
    <t>https://www.instagram.com/p/DN7kLNokrnh/</t>
  </si>
  <si>
    <t>https://www.instagram.com/p/DN7bd7MEkIr/</t>
  </si>
  <si>
    <t>Ditemukan sebuah akun yang mengajak masyarakat untuk tidak membayar pajak dan membubarkan DPR.</t>
  </si>
  <si>
    <t>https://www.instagram.com/p/DNxn_TeXgQ_/</t>
  </si>
  <si>
    <t>https://vt.tiktok.com/ZSDaAAdcb/</t>
  </si>
  <si>
    <t>Ditemukan konten pada media sosial TikTok yang berisikan provokasi kepada rakyat untuk membubarkan DPR.</t>
  </si>
  <si>
    <t>https://vt.tiktok.com/ZSDaAx9V1/</t>
  </si>
  <si>
    <t>Ditemukan konten pada media sosial TikTok yang berisikan ancaman kepada presiden untuk menghukum mati para koruptor tanpa peradilan dan membubarkan DPR.</t>
  </si>
  <si>
    <t>https://vt.tiktok.com/ZSDaAqry2/</t>
  </si>
  <si>
    <t>Ditemukan konten pada media sosial TikTok yang berisikan ajakan untuk menepalkan DPR.</t>
  </si>
  <si>
    <t>https://vt.tiktok.com/ZSDaDJNDF/</t>
  </si>
  <si>
    <t>Ditemukan konten pada media sosial TikTok berisikan provokasi kepada masyarakat untuk membubarkan DPR.</t>
  </si>
  <si>
    <t>https://vt.tiktok.com/ZSDaD5Nq7/</t>
  </si>
  <si>
    <t>Ditemukan konten pada media sosial TikTok yang bersivat provokatif untuk mengajak masyarakat membubarkan DPR</t>
  </si>
  <si>
    <t>https://vt.tiktok.com/ZSDaDXPum/</t>
  </si>
  <si>
    <t>Ditemukan konten pada media sosial Tiktok yang membuat unggahan kondisi di Nepal dan mengajak untuk menepalkan DPR.</t>
  </si>
  <si>
    <t>Duplikat dgn no. 16</t>
  </si>
  <si>
    <t>https://vt.tiktok.com/ZSDaDHDue/</t>
  </si>
  <si>
    <t>Ditemukan konten pada media sosial TikTok yang mengajak untuk melengserkan Puan Maharani dan menepalkan Indonesia.</t>
  </si>
  <si>
    <t>https://www.instagram.com/reel/DOYduotDyr-/?igsh=MTNxcmVodjBhbm9zeA%3D%3D</t>
  </si>
  <si>
    <t>akun tersebut mengunggah konten tentang wakapolda lampung merampas tanah milik warga dan keterangan palsu di polda lampung, kemudian muncul postingan tiktok dan instagram RMTV yang membuat narasi pencemaran nama baik.</t>
  </si>
  <si>
    <t xml:space="preserve">A. UU Nomor 1 Tahun 2024 tentang Informasi dan Transaksi Elektronik
1) Pasal 28 ayat (3) UU ITE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2) Pasal 45A ayat (3) UU ITE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t>
  </si>
  <si>
    <t>Konten yang berisikan disinformasi – informasi palsu dapat menimbulkan ketidakpercayaan masyarakat terhadap citra Polri dan dapat memicu dampak negatif pada masyarakat dan memicu kericuhan di ruang publik.</t>
  </si>
  <si>
    <t>https://www.instagram.com/reel/DOenRs4iYw_/?igsh=MTBkanV6MnRsZ25hcg%3D%3D</t>
  </si>
  <si>
    <t>Konten yang berisikan informasi – informasi palsu dapat menimbulkan ketidakpercayaan masyarakat terhadap citra Polri dan dapat memicu dampak negatif pada masyarakat dan memicu kericuhan di ruang publik.</t>
  </si>
  <si>
    <t>https://www.tiktok.com/@rmtv90/video/7548957881043881224?_r=1&amp;_t=ZS-8zpfqcyU0xd</t>
  </si>
  <si>
    <t>https://www.facebook.com/groups/1079302926438806/?multi_permalinks=1422544868781275&amp;hoisted_section_header_type=recently_seen</t>
  </si>
  <si>
    <t>https://www.facebook.com/groups/164092370959770/?multi_permalinks=1721835241852134&amp;hoisted_section_header_type=recently_seen</t>
  </si>
  <si>
    <t>https://www.facebook.com/groups/882222322392995/?multi_permalinks=1824898364792048&amp;hoisted_section_header_type=recently_seen</t>
  </si>
  <si>
    <t>https://www.facebook.com/groups/882222322392995/?multi_permalinks=1833352363946648&amp;hoisted_section_header_type=recently_seen</t>
  </si>
  <si>
    <t>https://www.facebook.com/groups/882222322392995/?multi_permalinks=1826239287991289&amp;hoisted_section_header_type=recently_seen</t>
  </si>
  <si>
    <t>https://www.facebook.com/groups/221580229175240/?multi_permalinks=1465281201471797&amp;hoisted_section_header_type=recently_seen</t>
  </si>
  <si>
    <t>https://www.facebook.com/scorpions.gaccor/posts/pfbid0nNWKtYQw2yss6DBrkNP8Cn4gcjuzyLzc5HkR21zWQmGrjXvXPPx6fU7zfQnfrBQTl</t>
  </si>
  <si>
    <t>https://www.youtube.com/watch?v=xirD8jOP0nk</t>
  </si>
  <si>
    <t xml:space="preserve">akun tersebut mengunggah konten tentang suara SBY yang geram terhadap Kapolri </t>
  </si>
  <si>
    <t>https://www.youtube.com/shorts/GDH9hbOVUxQ</t>
  </si>
  <si>
    <t>https://www.facebook.com/photo/?fbid=1288202806650925&amp;set=a.1240943508043522</t>
  </si>
  <si>
    <t>Takeout karena akun dengan followers banyak</t>
  </si>
  <si>
    <r>
      <rPr>
        <rFont val="Arial"/>
        <color rgb="FF1155CC"/>
        <sz val="8.0"/>
        <u/>
      </rPr>
      <t>https://www.facebook.com/photo/?fbid=1434873281135667&amp;set=a.103301887626153</t>
    </r>
  </si>
  <si>
    <r>
      <rPr>
        <rFont val="Arial"/>
        <color rgb="FF1155CC"/>
        <sz val="8.0"/>
        <u/>
      </rPr>
      <t>https://www.instagram.com/p/DN-zIKUk1A7/</t>
    </r>
  </si>
  <si>
    <r>
      <rPr>
        <rFont val="Arial"/>
        <color rgb="FF1155CC"/>
        <sz val="8.0"/>
        <u/>
      </rPr>
      <t>https://www.instagram.com/p/DN-QLnSjkZp/</t>
    </r>
  </si>
  <si>
    <t>Dilaporkan telah melakukan tindak pidana provokasi ajakan untuk datang ke gedung DPR untuk membubarkan DPR RI,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</si>
  <si>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https://x.com/GatotSiagian/status/1969191149618208851</t>
  </si>
  <si>
    <t>Konten ini diduga memuat narasi provokatif yang mengajak masyarakat melakukan pembakaran terhadap DPR dan pengeboman terhadap Presiden.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</si>
  <si>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UU Nomor 1 Tahun 2024 tentang Informasi dan Transaksi Elektronik pada Pasal 28 ayat (2), 28 ayat (3), Pasal 45A ayat (2), dan Pasal 45A ayat (3) serta Kitab Undang-Undang Hukum Pidana (KUHP) pada Pasal 160, Pasal 170, dan Pasal 187.</t>
  </si>
  <si>
    <t>https://x.com/Anak__Ogi/status/1969611619157361130</t>
  </si>
  <si>
    <r>
      <rPr>
        <rFont val="Arial"/>
        <color theme="1"/>
        <sz val="8.0"/>
      </rPr>
      <t xml:space="preserve">Konten ini diduga mengandung disinformasi kategori </t>
    </r>
    <r>
      <rPr>
        <rFont val="Arial"/>
        <i/>
        <color theme="1"/>
        <sz val="8.0"/>
      </rPr>
      <t xml:space="preserve">misleading content </t>
    </r>
    <r>
      <rPr>
        <rFont val="Arial"/>
        <color theme="1"/>
        <sz val="8.0"/>
      </rPr>
      <t>(konten menyesatkan) dengan narasi betapa belengnya (bodohnya) Prabowo, kemudian menuding Presiden Prabowo merupakan presiden petugas raja solo yang dikonotasikan dengan Presiden ke-7 RI Joko Widodo.</t>
    </r>
  </si>
  <si>
    <t xml:space="preserve">UU Nomor 1 Tahun 2024 tentang Informasi dan Transaksi Elektronik pada Pasal 28 ayat (1) dan (3) yang mengatur tentang penyebaran berita bohong dan menyesatkan serta informasi elektronik yang dapat menimbulkan kerusuhan di masyarakat serta Kitab Undang-Undang Hukum Pidana (KUHP) pada Pasal 218 ayat (1) </t>
  </si>
  <si>
    <t>Akun verified</t>
  </si>
  <si>
    <t>https://web.facebook.com/djatisahara/videos/4160134190919516</t>
  </si>
  <si>
    <t>Konten ini diduga memuat narasi provokasi dengan mempolarisasi masyarakat melalui istilah 'Kubu Prabowo' yang diduga melakukan strategi cipta kondisi saat demonstrasi dan 'Kubu Abah' yang sedang melakukan kudeta.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</si>
  <si>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https://www.tiktok.com/@ekalastri1404/video/7552366707772312849</t>
  </si>
  <si>
    <t>Konten ini diduga memuat narasi provokasi dengan menyatakan Pancasila tidak layak disebut ideologi dan menyerukan penggantiannya beserta sistem pemerintahan yang diterapkan.
Penyebaran informasi yang mengandung unsur provokasi yang berpotensi menimbulkan keresahan dan kegaduhan di masyarakat telah melanggar UU Nomor 1 Tahun 2024 tentang Informasi dan Transaksi Elektronik pada Pasal 28 ayat (2), 28 ayat (3), Pasal 45A ayat (2), dan Pasal 45A ayat (3).</t>
  </si>
  <si>
    <t>https://x.com/NenkMonica/status/1969706531919978615</t>
  </si>
  <si>
    <t>Konten ini diduga memuat narasi provokasi dengan menyerukan 'me-Nepalkan' Menteri ESDM Bahlil Lahadalia karena dianggap tidak berpihak kepada ojol.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</si>
  <si>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https://x.com/Panji_hitam_313/status/1969710957854404640</t>
  </si>
  <si>
    <t>Konten ini diduga memuat narasi provokasi dengan ajakan 'me-Nepalkan' DPR dan memakzulkan Wakil Presiden Gibran Rakabuming sesuai tuntutan Purnawirawan Jenderal.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</si>
  <si>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https://x.com/putrisakera/status/1969329819448963353</t>
  </si>
  <si>
    <t>Konten ini diduga memuat narasi provokasi dengan ajakan 'me-Nepalkan' KPU terkait keputusan KPU yang menganggap data Capres-Cawapres sebagai data rahasia.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</si>
  <si>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https://www.tiktok.com/@abahkeling75/video/7551987935592172801?_r=1&amp;_t=ZS-8zu6zkxNl7Y</t>
  </si>
  <si>
    <t>Konten ini diduga memuat narasi provokasi dan separatisme dengan seruan agar Negara Indonesia dibubarkan karena kekecewaan terhadap pemerintah.
Penyebaran informasi yang mengandung unsur provokasi dan separatisme yang berpotensi menimbulkan keresahan dan kegaduhan di masyarakat telah melanggar UU Nomor 1 Tahun 2024 tentang Informasi dan Transaksi Elektronik pada Pasal 28 ayat (2), 28 ayat (3), Pasal 45A ayat (2), dan Pasal 45A ayat (3).</t>
  </si>
  <si>
    <t>https://www.tiktok.com/@hartaro00/video/7552061831771163922?_r=1&amp;_t=ZS-8zu76pWluXC</t>
  </si>
  <si>
    <t>Konten ini diduga memuat narasi provokasi dan separatisme yang menyatakan bahwa jika Aceh lepas dari NKRI, utang Indonesia sebesar Rp8.145 triliun akan dilunasi Aceh.
Penyebaran informasi yang mengandung unsur provokasi dan separatisme yang berpotensi menimbulkan keresahan dan kegaduhan di masyarakat telah melanggar UU Nomor 1 Tahun 2024 tentang Informasi dan Transaksi Elektronik pada Pasal 28 ayat (2), 28 ayat (3), Pasal 45A ayat (2), dan Pasal 45A ayat (3).</t>
  </si>
  <si>
    <t>https://www.tiktok.com/@sumatraselatanmerdeka?_t=ZS-8zu7RR35sHt&amp;_r=1</t>
  </si>
  <si>
    <t>Provokasi, Separatisme, dan SARA</t>
  </si>
  <si>
    <t>Akun ini diduga aktif mengunggah konten provokatif dengan narasi separatisme, menyinggung SARA, menyebut Presiden kafir dan penculik, serta merendahkan suku tertentu.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t>
  </si>
  <si>
    <t>https://www.tiktok.com/@papua.negeri.ku?_t=ZS-8zu7UBcsAhp&amp;_r=1</t>
  </si>
  <si>
    <t>Akun ini diduga aktif mengunggah konten yang menyinggung etnis tertentu, menyebarkan narasi bahwa bendera merah putih tidak ada harganya, serta menentang program transmigrasi.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t>
  </si>
  <si>
    <t>https://www.tiktok.com/@officialofficial350/video/7550585750601895176?_r=1&amp;_t=ZS-8zuR6GQTVSO</t>
  </si>
  <si>
    <t>Konten ini diduga memuat narasi provokasi dengan seruan untuk membakar rumah pejabat KPU.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</si>
  <si>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https://www.tiktok.com/@sekak093/video/7551621908912082194?_r=1&amp;_t=ZS-8zuR7jCRa8D</t>
  </si>
  <si>
    <t>Konten ini diduga memuat narasi provokasi yang mengajak rakyat Indonesia melakukan kudeta terhadap pemerintah yang dianggap penjajah.
Penyebaran informasi yang mengandung unsur provokasi yang berpotensi menimbulkan keresahan dan kegaduhan di masyarakat telah melanggar UU Nomor 1 Tahun 2024 tentang Informasi dan Transaksi Elektronik pada Pasal 28 ayat (2), 28 ayat (3), Pasal 45A ayat (2), dan Pasal 45A ayat (3).</t>
  </si>
  <si>
    <t>https://www.instagram.com/p/DO1TzUijw71/</t>
  </si>
  <si>
    <t>Konten ini diduga memuat narasi provokasi yang mengajak rakyat Indonesia melakukan aksi dengan menampilkan video pembakaran aset dan infrastruktur pemerintah.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</si>
  <si>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https://www.tiktok.com/@musikku505/video/7552100211036900620</t>
  </si>
  <si>
    <t>Konten ini diduga memuat narasi provokasi yang mengajak rakyat Indonesia membubarkan DPR RI serta ujaran kebencian dengan kata kasar terhadap ketua DPR RI Puan Maharani.
Penyebaran informasi yang mengandung unsur provokasi yang berpotensi menimbulkan keresahan dan kegaduhan di masyarakat telah melanggar UU Nomor 1 Tahun 2024 tentang Informasi dan Transaksi Elektronik pada Pasal 28 ayat (2), 28 ayat (3), Pasal 45A ayat (2), dan Pasal 45A ayat (3).</t>
  </si>
  <si>
    <t>https://www.tiktok.com/@hariy11805/video/7551301051358399749</t>
  </si>
  <si>
    <t>Konten ini diduga disinformasi berjenis fabricated content (konten palsu) berupa video yang dibuat oleh AI yang menampilkan Ketua DPR RI berdansa dengan seorang lelaki dan memuat narasi provokasi seolah Ketua DPR RI Puan Maharani tidak memikirkan rakyat karena sudah menjadi pejabat. Konten bernarasi provokatif ini digunakan untuk menggiring opini publik.
Penyebaran informasi yang mengandung unsur provokasi yang berpotensi menimbulkan keresahan dan kegaduhan di masyarakat telah melanggar UU Nomor 1 Tahun 2024 tentang Informasi dan Transaksi Elektronik pada Pasal 28 ayat (2), 28 ayat (3), Pasal 45A ayat (2), dan Pasal 45A ayat (3).</t>
  </si>
  <si>
    <t>https://www.tiktok.com/@santy.norys09/video/7551596374316305720</t>
  </si>
  <si>
    <t xml:space="preserve">https://www.tiktok.com/@wongalus090/video/7551197847014640901 </t>
  </si>
  <si>
    <t>Konten ini diduga memuat narasi provokasi untuk membubarkan DPR. Teks utama berbunyi ajakan kepada rakyat untuk bersuara karena DPR dianggap tidak bekerja untuk rakyat, melainkan untuk kepentingan pribadi atau kelompok. Konten ini disertai gambar kerumunan massa dengan spanduk besar bertuliskan "BUBARKAN DPR", dan narasi di poster mengajak mahasiswa dan masyarakat untuk mendukung gerakan pembubaran DPR 
Penyebaran informasi yang mengandung unsur provokasi yang berpotensi menimbulkan keresahan dan kegaduhan di masyarakat telah melanggar UU Nomor 1 Tahun 2024 tentang Informasi dan Transaksi Elektronik pada Pasal 28 ayat (2), 28 ayat (3), Pasal 45A ayat (2), dan Pasal 45A ayat (3).</t>
  </si>
  <si>
    <t>https://www.tiktok.com/@ridwan19457/video/7552105743994899723</t>
  </si>
  <si>
    <t>Konten ini diduga mengandung narasi provokatif yang mengajak masyarakat untuk membubarkan DPR, disertai gambar kerumunan massa serta narasi 'Bubarkan DPR seluruh Indonesia, 20 September 2025.
Penyebaran informasi yang mengandung unsur provokasi yang berpotensi menimbulkan keresahan dan kegaduhan di masyarakat telah melanggar UU Nomor 1 Tahun 2024 tentang Informasi dan Transaksi Elektronik pada Pasal 28 ayat (2), 28 ayat (3), Pasal 45A ayat (2), dan Pasal 45A ayat (3).</t>
  </si>
  <si>
    <t>https://www.tiktok.com/@wongdeso4739/video/7552184682818047240</t>
  </si>
  <si>
    <t>Konten ini diduga memuat narasi provokatif yang menyerang pejabat publik, khususnya DPR dan Ketua DPR Puan Maharani, sehingga berpotensi memicu opini negatif atau tindakan terhadap DPR. Konten tersebut juga menuntut Presiden untuk menindaklanjuti dugaan perampasan aset dan pembubaran DPR, termasuk pemecatan Puan Maharani.
Penyebaran informasi yang mengandung unsur provokasi yang berpotensi menimbulkan keresahan dan kegaduhan di masyarakat telah melanggar UU Nomor 1 Tahun 2024 tentang Informasi dan Transaksi Elektronik pada Pasal 28 ayat (2), 28 ayat (3), Pasal 45A ayat (2), dan Pasal 45A ayat (3).</t>
  </si>
  <si>
    <t>https://www.tiktok.com/@bang.feri28/video/7552453146505727243</t>
  </si>
  <si>
    <t>Provokatif dan disinformasi</t>
  </si>
  <si>
    <t>Konten ini tergolong disinformasi dengan jenis misleading content, karena menyesatkan publik dengan menggambarkan adanya kerusuhan dalam rapat pembahasan RUU Perampasan Aset, padahal peristiwa tersebut tidak pernah terjadi. Selain itu, konten ini menyuarakan urgensi pengesahan RUU Perampasan Aset dengan ancaman bahwa kegagalan pengesahan akan berakibat seperti yang dialami pejabat di Nepal, yaitu ditelanjangi.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</si>
  <si>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https://www.tiktok.com/@negara.konyol/video/7552291081442938168</t>
  </si>
  <si>
    <t>https://www.tiktok.com/@awal.lagi2/video/7552513489021979960</t>
  </si>
  <si>
    <t>Konten ini diduga memuat narasi provokatif dan ancaman menepalkan Indonesia jika RUU Perampasan Aset tidak segera disahkan.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</si>
  <si>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https://x.com/JokowiP3n1pu/status/1969575394732097757</t>
  </si>
  <si>
    <t>Konten ini bersifat provokatif, memuat ancaman pembubaran DPR dan Komisi III DPR RI, disertai penggunaan kata kasar, serta mengajak masyarakat melakukan tindakan menepalkan Indonesia.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</si>
  <si>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https://www.facebook.com/abdul.basit.7126/posts/pfbid02axN7unCJjjwvsLfDibcU2iKRZVe9hDsxU3XcMkjwYSrEJPJmAfmrQmE6xQjuGWZLl</t>
  </si>
  <si>
    <t xml:space="preserve">Konten ini diduga memuat narasi provokatif yang mengajak membubarkan DPR dan Polri. Selain itu, konten ini menggiring opini publik melalui narasi menyesatkan mengenai dugaan banyak anggota DPR yang membolos saat pembahasan RUU Perampasan Aset.
Penyebaran informasi yang mengandung unsur provokasi yang berpotensi menimbulkan keresahan dan kegaduhan di masyarakat telah melanggar UU Nomor 1 Tahun 2024 tentang Informasi dan Transaksi Elektronik pada Pasal 28 ayat (2), 28 ayat (3), Pasal 45A ayat (2), dan Pasal 45A ayat (3).
</t>
  </si>
  <si>
    <r>
      <rPr>
        <rFont val="Calibri,sans-serif"/>
        <color rgb="FF1155CC"/>
        <sz val="8.0"/>
        <u/>
      </rPr>
      <t>https://www.facebook.com/groups/221580229175240/posts/1485938342739416/</t>
    </r>
  </si>
  <si>
    <r>
      <rPr>
        <rFont val="Calibri,sans-serif"/>
        <color rgb="FF1155CC"/>
        <sz val="8.0"/>
        <u/>
      </rPr>
      <t>https://www.facebook.com/groups/221580229175240/posts/1486227966043787/</t>
    </r>
  </si>
  <si>
    <r>
      <rPr>
        <rFont val="Calibri,sans-serif"/>
        <color rgb="FF1155CC"/>
        <sz val="8.0"/>
        <u/>
      </rPr>
      <t>https://www.facebook.com/groups/221580229175240/posts/1485946766071907/</t>
    </r>
  </si>
  <si>
    <r>
      <rPr>
        <rFont val="Calibri,sans-serif"/>
        <color rgb="FF1155CC"/>
        <sz val="8.0"/>
        <u/>
      </rPr>
      <t>https://www.facebook.com/groups/221580229175240/posts/1485858626080721/</t>
    </r>
  </si>
  <si>
    <r>
      <rPr>
        <rFont val="Calibri,sans-serif"/>
        <color rgb="FF1155CC"/>
        <sz val="8.0"/>
        <u/>
      </rPr>
      <t>https://www.facebook.com/groups/221580229175240/posts/1484666229533294/</t>
    </r>
  </si>
  <si>
    <r>
      <rPr>
        <rFont val="Arial"/>
        <color rgb="FF1155CC"/>
        <sz val="8.0"/>
        <u/>
      </rPr>
      <t>https://www.instagram.com/p/DOALrN3kjGO/</t>
    </r>
  </si>
  <si>
    <t>Dilaporkan telah melakukan tindak pidana provokasi ajakan untuk Bubarkan DPR RI,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</si>
  <si>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
        <color rgb="FF1155CC"/>
        <sz val="8.0"/>
        <u/>
      </rPr>
      <t>https://www.instagram.com/p/DOAj4tyicxa/</t>
    </r>
  </si>
  <si>
    <r>
      <rPr>
        <rFont val="Arial"/>
        <color rgb="FF1155CC"/>
        <sz val="8.0"/>
        <u/>
      </rPr>
      <t>https://www.facebook.com/reel/1263619751973787</t>
    </r>
  </si>
  <si>
    <t>Dilaporkan telah melakukan tindak pidana provokasi ajakan untuk lengserkan presiden RI, ajakan untuk demo dan membubarkan DPR MPR,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</si>
  <si>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
        <color rgb="FF1155CC"/>
        <sz val="8.0"/>
        <u/>
      </rPr>
      <t>https://www.facebook.com/reel/1873802276521324</t>
    </r>
  </si>
  <si>
    <t>Dilaporkan telah melakukan tindak pidana provokasi ajakan untuk demo di gedung DPR dan membubarkan DPR RI,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</si>
  <si>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https://www.facebook.com/share/p/1BdLivFXQd/</t>
  </si>
  <si>
    <t>Konten mengandung unsur provokasi dengan narasi ajakan melengserkan Gibran dengan menjarah  seperti yang telah dilakukan pada Ahmad Sahroni atau melakukan demo seperti di Nepal</t>
  </si>
  <si>
    <t>https://www.facebook.com/share/r/17RzopcRg4/</t>
  </si>
  <si>
    <t>Konten mengandung unsur provokasi dengan narasi ajakan untuk melakukan aksi demonstrasi seperti di Nepal.</t>
  </si>
  <si>
    <t>https://www.tiktok.com/@mcbc008/video/7548381171617598725?_r=1&amp;_t=ZS-8zuRyUsSZY8</t>
  </si>
  <si>
    <t>Konten mengandung unsur provokasi, separatisme, dan unsur SARA dengan narasi bahwa Putra Jawa transmigrasi kelahiran Aceh yang melakukan demo meminta copot jabatan Ketua DPR Aceh yang menyatakan berpisah dengan pusat sebagai anak-anak milisi dan anak "Londo Ireng".Konten ini diduga mengandung unsur provokasi, separatisme, dan SARA, dengan narasi yang menyebut bahwa mahasiswa yang berdemonstrasi menuntut pencopotan Ketua DPR Aceh karena menyatakan pemisahan dari pemerintah pusat dijuluki secara rasis sebagai Putra Jawa transmigrasi kelahiran Aceh, anak-anak milisi, dan anak "Londo Ireng".</t>
  </si>
  <si>
    <t>https://www.tiktok.com/@wwwalexander76/photo/7549553283157806392?_r=1&amp;_t=ZS-8zuS4k0VEyC</t>
  </si>
  <si>
    <t>Konten mengandung unsur provokasi dan separatisme yang menampilkan fabricated content (konten palsu) yang menampilkan artikel palsu berjudul Duta Besar Inggris Mengatakan Keberadaan Indonesia di Aceh Tidak Sah (ILEGAL). Narasi tersebut diperkuat dengan kalimat bahwa Indonesia adalah penjajah di dalam Negara Kesultanan Aceh Darussaam</t>
  </si>
  <si>
    <t>https://www.tiktok.com/@aceh_is_a_federated_coun/video/7552024027276004619?_r=1&amp;_t=ZS-8zvse4Cabky</t>
  </si>
  <si>
    <t>Konten mengandung provokasi dan separatisme dengan narasi perwakilan diaspora Aceh hadir di gedung PBB New York untuk memperjuangkan kemerdekaan Aceh yang sebelumnya dijajah oleh Belanda kemudian dijajah Indonesia.</t>
  </si>
  <si>
    <t>akun besar 52k</t>
  </si>
  <si>
    <t>https://www.tiktok.com/@faktakalbar.id/video/7525427321692523782?_r=1&amp;_t=ZS-8zvsfob5zCH</t>
  </si>
  <si>
    <t>Konten mengandung unsur provokasi dan separatisme dengan menampilkan Wagub Kalbar Krisantus Kurniawan dimana terdapat narasi bahwa Kalimantan Barat tidak diperhatikan oleh pemerintah pusat walaupun banyak Investor yang masuk. Sehingga, Kalimantan Barat bisa saja menjadi Aceh dan Papua berkutnya.</t>
  </si>
  <si>
    <t>akun besar 13k
Media</t>
  </si>
  <si>
    <t>https://vt.tiktok.com/ZSDHMXrnK/</t>
  </si>
  <si>
    <t>Konten mengandung unsur provokasi dan separatisme yang menyatakan bahwa Papua, Maluku, dan Aceh bukan bagian NKRI sehingga pemerintahan RI di ketiga negara tersebut tidak sah.</t>
  </si>
  <si>
    <t>akun besar 12k</t>
  </si>
  <si>
    <t>https://www.tiktok.com/@jack.tfm.shn/video/7551695381780778247?_r=1&amp;_t=ZS-8zvt6RVpfd3</t>
  </si>
  <si>
    <t>Konten provokasi berisi ajakan untuk kembali melakukan demonstrasi dengan narasi bahwa perjuangan untuk melakukan aksi demonstrasi belum selesai dan rakyat segera menyatukan barisan.</t>
  </si>
  <si>
    <t>https://www.tiktok.com/@rakyat.jelata938/video/7552732591451950354?_r=1&amp;_t=ZS-8zvtG0L2lVN</t>
  </si>
  <si>
    <t>Konten provokatif untuk melakukan aksi demonstrasi meniru demonstrasi Nepal, membubarkan DPR, dan melengserkan Presiden.</t>
  </si>
  <si>
    <t>https://www.tiktok.com/@riduan_s77/video/7552766302792863032?_r=1&amp;_t=ZS-8zvtZbFwJ8P</t>
  </si>
  <si>
    <t>Konten provokatif dengan narasi demo besar-besaran driver Ojol dan ajakan untuk "Nepal-kan Bahlil" dengan tambahan narasi Ojol tidak boleh menggunakan BBM subsidi.</t>
  </si>
  <si>
    <t>akun besar 96k</t>
  </si>
  <si>
    <t>https://www.tiktok.com/@ray_nha_asiyah/video/7552536788615679243?_r=1&amp;_t=ZS-8zw7NwQSv1c</t>
  </si>
  <si>
    <t>Konten provokatif yang mengunggah kembali cuplikan Bupati Meranti M Adil yang mengancam angkat senjata dan bergabung menjadi bagian Malaysia. Pada konten tersebut, ditambahkan narasi bahwa lebih baik Kabupaten Meranti berpisah dari Indonesia karena harta daerah tersebut dimanfaatkan oleh pemerintah pusat.</t>
  </si>
  <si>
    <t>https://www.tiktok.com/@pecimerah.sangpan/video/7552514275986705672?_r=1&amp;_t=ZS-8zw7ylkMUWD</t>
  </si>
  <si>
    <t>Konten provokasi berisi tuntutan dan "perintah" agar Presiden Prabowo segera mengadili Joko Widodo dengan narasi bahwa rakyat sudah menunggu Joko Widodo diadili karena banyak kesalahan yang diberitakan oleh media.</t>
  </si>
  <si>
    <t>akun besar 40k</t>
  </si>
  <si>
    <t>https://x.com/EddiSukarj22098/status/1970134568121573822</t>
  </si>
  <si>
    <t>Konten ini diduga mengandung unsur provokatif yang berisi ajakan untuk memakzulkan Gibran Rakabuming dan mengancam akan menepalkan Indonesia jika tuntutan pemakzulan tidak dipenuhi.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</si>
  <si>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https://x.com/Pecel_Lele5678/status/1970133056297341362</t>
  </si>
  <si>
    <t>Konten ini diduga bersifat provokatif, berisi ajakan melakukan aksi “nepalkan” para pejabat negara yang tercatat dalam buku dosa karena dianggap mengkhianati rakyat Indonesia.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</si>
  <si>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https://www.tiktok.com/@khardj76/video/7552191100103036172</t>
  </si>
  <si>
    <t>Konten ini diduga bersifat provokatif dengan narasi yang berisi ajakan untuk membubarkan DPR dan menepalkan anggotanya.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</si>
  <si>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https://www.tiktok.com/@m.alfanbaihaqi/video/7552792013452659980</t>
  </si>
  <si>
    <t>Konten ini diduga bersifat provokatif dengan narasi yang berisi tuntutan untuk membubarkan DPR dan lengserkan Puan Maharani disertai ancaman (nepal jilid 2) menepalkan Indonesia jika tuntutan tidak dipenuhi.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</si>
  <si>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https://www.facebook.com/reel/1331816761897222</t>
  </si>
  <si>
    <t>Konten ini diduga bersifat provokatif, dengan narasi ajakan demo besar-besaran oleh driver ojol untuk pemberantasan G30SPK1 geng solo serta seruan untuk “Nepal-kan Bahlil”.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</si>
  <si>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https://x.com/bagindo_kopi/status/1969986879333478875</t>
  </si>
  <si>
    <t>Konten ini diduga bersifat provokatif, berisi ajakan melakukan aksi “nepalkan” terhadap pejabat negara, disertai video yang menampilkan harga barang pribadi milik pejabat tersebut.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</si>
  <si>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https://x.com/JoppieMagai/status/1969881733454778776</t>
  </si>
  <si>
    <t>Konten ini diduga bersifat provokatif dengan narasi yang berisi ajakan membenci dan menepalkan pengguna strobo di jalan raya, termasuk aparat negara, yang digambarkan sebagai musuh rakyat dan harus dimusnahkan.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</si>
  <si>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https://www.tiktok.com/@santri.gunung0/video/7543247387846823173</t>
  </si>
  <si>
    <t>Disinformasi dan Provokasi</t>
  </si>
  <si>
    <t>Konten ini tergolong disinformasi berjenis fabricated content (konten palsu) yang dibuat menggunakan AI dan diduga bersifat provokatif dengan narasi ajakan untuk membubarkan DPR.
Penyebaran informasi yang mengandung unsur provokasi berpotensi menimbulkan keresahan dan kegaduhan di masyarakat telah melanggar UU Nomor 1 Tahun 2024 tentang Informasi dan Transaksi Elektronik pada Pasal 28 ayat (2), 28 ayat (3), Pasal 45A ayat (2), dan Pasal 45A ayat (3).</t>
  </si>
  <si>
    <t>https://www.tiktok.com/@apisenja_21/video/7550900864299355398</t>
  </si>
  <si>
    <t>Konten disinformasi berjenis misleading content (konten yang menyesatkan) dan diduga mengandung unsur provokasi dengan narasi bahwa DPR telah ambil alih dan mengendalikan semua penegak hukum serta ajakan untuk melakukan pembubaran DPR.
Penyebaran informasi yang mengandung unsur provokasi berpotensi menimbulkan keresahan dan kegaduhan di masyarakat telah melanggar UU Nomor 1 Tahun 2024 tentang Informasi dan Transaksi Elektronik pada Pasal 28 ayat (2), 28 ayat (3), Pasal 45A ayat (2), dan Pasal 45A ayat (3).</t>
  </si>
  <si>
    <t>https://www.tiktok.com/@kangdayon/video/7541649472347065606</t>
  </si>
  <si>
    <t>Konten ini tergolong disinformasi berjenis fabricated content (konten palsu) yang dibuat menggunakan AI dan diduga bersifat provokatif dengan narasi ajakan untuk membubarkan DPR dengan melakukan aksi demonstrasi pada 25 September 2025.
Penyebaran informasi yang mengandung unsur provokasi berpotensi menimbulkan keresahan dan kegaduhan di masyarakat telah melanggar UU Nomor 1 Tahun 2024 tentang Informasi dan Transaksi Elektronik pada Pasal 28 ayat (2), 28 ayat (3), Pasal 45A ayat (2), dan Pasal 45A ayat (3).</t>
  </si>
  <si>
    <t>https://www.tiktok.com/@chutnayla/video/7551010299978042680</t>
  </si>
  <si>
    <t>MAKAR</t>
  </si>
  <si>
    <t>manipulasi video dengan narasi menyesatkan hoaks dan adanya keinginan memisahkan wilayah dari negara Indonesia. Dari hasil pengecekan pada website sightengine diketahui video tersebut kemungkinan besar merupakan hasil AI. video dia,bil dari https://www.tiktok.com/@dailytelegraph/video/7441784445155167495 Peristiwa dalam video tersebut adalah narasi rebel senator Fatima Payman dalam acara One Nation Leader di ruang Parlemen Australia yang terjadi pada hari Rabu, tanggal 27 November 2024</t>
  </si>
  <si>
    <t>Pasal 28 ayat (1) dan Pasal 28 ayat (3) UU 1/2024</t>
  </si>
  <si>
    <t>menyesatkan dan menimbulkan kerusuhan publik</t>
  </si>
  <si>
    <t>https://www.tiktok.com/@muhammadyunusyu94/video/7552046062719028536</t>
  </si>
  <si>
    <t>Pasal 28 ayat (1) dan Pasal 28 ayat (3) UU 1/2025</t>
  </si>
  <si>
    <t>https://www.facebook.com/watch/?v=1175539801122197</t>
  </si>
  <si>
    <t>ajakan untuk memisahkan diri dari negara kesatuan Republik Indonesia</t>
  </si>
  <si>
    <t>Pasal 160 KUHP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t>
  </si>
  <si>
    <t>https://www.facebook.com/papua.etaikenma.2025/posts/pfbid02zPNky1ksD5PfPgAAbo7YJXGxfYrxz4D5GbLK3PiqHRUWCCkX8JKMkLHXVFxciJ8El</t>
  </si>
  <si>
    <t>https://www.facebook.com/agus.kossay.916321/posts/pfbid0T6XJzJUGzp1THV1A6k9os44so7zcWaKw2uNuBxBEA6WR6jTBrtVJcJRKPqQKgTwGl</t>
  </si>
  <si>
    <t>https://www.facebook.com/west.papua.melanesia.pasific.2025/posts/pfbid03wnVQW1Eh2J5Ffg9GLd17i3xinNWHk4juvVPdgF1GZgoqeERcjH1JGd79zE8QhfVl</t>
  </si>
  <si>
    <t>https://www.facebook.com/groups/201448925399919?multi_permalinks=1070533298491473&amp;hoisted_section_header_type=recently_seen</t>
  </si>
  <si>
    <t>https://www.facebook.com/permalink.php?story_fbid=pfbid012WXVbofZPhENJGgzQ423vSquJddH4q2sqhiHtEDWDdEBmFxjp8VzqR1bWWkffBel&amp;id=61578795429368</t>
  </si>
  <si>
    <r>
      <rPr>
        <rFont val="Arial"/>
        <color rgb="FF1155CC"/>
        <sz val="8.0"/>
        <u/>
      </rPr>
      <t>https://www.instagram.com/p/DN1NJC-5qyh/</t>
    </r>
  </si>
  <si>
    <r>
      <rPr>
        <rFont val="Arial"/>
        <color rgb="FF1155CC"/>
        <sz val="8.0"/>
        <u/>
      </rPr>
      <t>https://www.instagram.com/p/DN_m4DdE6UW/</t>
    </r>
  </si>
  <si>
    <r>
      <rPr>
        <rFont val="Arial"/>
        <color rgb="FF1155CC"/>
        <sz val="8.0"/>
        <u/>
      </rPr>
      <t>https://www.facebook.com/reel/1179672414001329</t>
    </r>
  </si>
  <si>
    <r>
      <rPr>
        <rFont val="Arial"/>
        <color rgb="FF1155CC"/>
        <sz val="8.0"/>
        <u/>
      </rPr>
      <t>https://www.facebook.com/reel/1110826744058889</t>
    </r>
  </si>
  <si>
    <t>https://www.tiktok.com/@yanyanyuana2021/video/7553040311329524999?_r=1&amp;_t=ZS-8zxRhheeZI8</t>
  </si>
  <si>
    <t>Konten pada media sosial TikTok beredar video yang bernarasikan bahwa rakyat mampu melengserkan Presiden apalagi DPR. Konten tersebut berisikan provokasi untuk melakukan aksi dengan tujuan membubarkan DPR.</t>
  </si>
  <si>
    <t xml:space="preserve">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</si>
  <si>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https://www.tiktok.com/@berisi.tak.bearti/video/7552876011679976722?_r=1&amp;_t=ZS-8zxE1kS8BKC</t>
  </si>
  <si>
    <t>Konten pada media sosial TikTok memuat ajakan untuk melakukan demonstrasi dengan kata kata provokasi masyarakat vs koruptor.</t>
  </si>
  <si>
    <t>https://www.tiktok.com/@jackytok7/video/7553071374055509260?_r=1&amp;_t=ZS-8zxEMti947d</t>
  </si>
  <si>
    <t>Konten pada media sosial TikTok bernarasikan saatnya untuk melakukan perubahan dengan menepalkan koruptor.</t>
  </si>
  <si>
    <t>https://vt.tiktok.com/ZSDxhdsau/</t>
  </si>
  <si>
    <t>Konten pada media sosial TikTok berisikan ajakan untuk menurunkan Ketua DPR Puan Maharani.</t>
  </si>
  <si>
    <t>https://vt.tiktok.com/ZSDxhFdmC/</t>
  </si>
  <si>
    <t>Konten pada media sosial TikTok berisikan ajakan untuk melakukan pembakaran gedung DPR RI.</t>
  </si>
  <si>
    <t>https://vt.tiktok.com/ZSDxhntwu/</t>
  </si>
  <si>
    <t>Konten pada media sosial TikTok menayangkan video pidato KDM yang diduga merupakan hasil editan sehingga seolah olah menyampaikan aksi di Indonesia belum seberapa dibandingkan dengan Nepal.</t>
  </si>
  <si>
    <t>https://www.facebook.com/share/v/16UkFMqBZK/</t>
  </si>
  <si>
    <t>Konten pada media sosial Facebook berisikan ajakan untuk membubarkan DPR dengan menggunakan kata kata yang tidak sepatutnya.</t>
  </si>
  <si>
    <t>https://www.facebook.com/share/v/1Dj6FmU7RC/</t>
  </si>
  <si>
    <t>Konten pada media sosial Facebook berisikan pernyataan bahwa DPR tidak layak berada di indonesia.</t>
  </si>
  <si>
    <t>https://www.facebook.com/share/r/18mSM79geQ/</t>
  </si>
  <si>
    <t>Konten pada media sosial Facebook berisikan ajakan untuk tidak membayar pajak sebelum pengesahan RUU perampasan aset.</t>
  </si>
  <si>
    <t>https://www.facebook.com/reel/780239458052138</t>
  </si>
  <si>
    <t>Konten pada media sosial Facebook berisikan ajakan untuk membubarkan DPR terutama Puan Maharani.</t>
  </si>
  <si>
    <t>https://www.facebook.com/reel/1298831528384542</t>
  </si>
  <si>
    <t>Ditemukan sebuah akun Facebook yang mengunggah konten bernuansa provokatif bahwa bangsa Aceh siap untuk merdeka.</t>
  </si>
  <si>
    <t>https://www.facebook.com/reel/1491861848487861</t>
  </si>
  <si>
    <t>Ditemukan sebuah akun Facebook yang mengunggah konten bernuansa provokatif yang menyampaikan bahwa DPR harus bubar.</t>
  </si>
  <si>
    <t>https://www.facebook.com/photo/?fbid=1127624512808568&amp;set=a.102195778684785</t>
  </si>
  <si>
    <t>Ditemukan sebuah akun Facebook yang mengunggah foto pengibaran bendera bulan bintang.</t>
  </si>
  <si>
    <t>https://www.facebook.com/reel/756031800506026</t>
  </si>
  <si>
    <t>Ditemukan sebuah akun Facebook yang mengunggah konten bernuansa provokatif yang mengajak untuk membubarkan DPR dengan cara yang mudah dan elegan.</t>
  </si>
  <si>
    <t>https://www.facebook.com/reel/2331733663896682</t>
  </si>
  <si>
    <t>Ditemukan sebuah akun Facebook yang mengunggah konten bernuansa provokatif yang memperlihatkan demo massa aksi di DPRA Banda Aceh dan memperlihatkan bendera bulan bintang yang berkibar.</t>
  </si>
  <si>
    <t>https://www.facebook.com/reel/658234696878055/?mibextid=rS40aB7S9Ucbxw6v</t>
  </si>
  <si>
    <t>Konten tersebut berisi tentang kalimat rasisme dengan kata monyet dan mengakibatkan kerusuhan di Yalimo Papua.</t>
  </si>
  <si>
    <t>https://www.facebook.com/share/v/17UxPAbY8u/</t>
  </si>
  <si>
    <t>https://www.facebook.com/reel/4305274103038042/</t>
  </si>
  <si>
    <t>https://www.facebook.com/abuputrahabema.knpb/videos/792015383201431/</t>
  </si>
  <si>
    <t>https://vt.tiktok.com/ZSDhs8BFH/</t>
  </si>
  <si>
    <t>https://www.instagram.com/reel/DOpimW9jp8y/?igsh=YmtqeTRlY3BxOGdi</t>
  </si>
  <si>
    <t>https://www.instagram.com/reel/DOpMyNcFZj8/?igsh=ODcxNXBmMjYzZGls</t>
  </si>
  <si>
    <t>https://www.instagram.com/reel/DOpj44cE3cZ/?igsh=ZGJ1bXFiMTljbm45</t>
  </si>
  <si>
    <t>https://www.instagram.com/reel/DOpcKqrkyuP/?igsh=MXBvYmkwemhxbjFy</t>
  </si>
  <si>
    <t>https://www.facebook.com/reel/2198428824004457/</t>
  </si>
  <si>
    <t>https://vt.tiktok.com/ZSDCp3XNe/</t>
  </si>
  <si>
    <t>Konten pada media sosial TikTok menampilkan video kebakaran spbu dengan narasi untuk membubarkan DPR.</t>
  </si>
  <si>
    <t>https://vt.tiktok.com/ZSDCneSVQ/</t>
  </si>
  <si>
    <t>Konten pada media sosial TikTok menunjukan Satpol PP yang sedang melakukan penertiban terhadap pengisian bahan bakar eceran ilegal dan memiliki caption provokatif untuk bubarkan DPR.</t>
  </si>
  <si>
    <t>https://vt.tiktok.com/ZSDCnC2Us/</t>
  </si>
  <si>
    <t>Konten pada media sosial Tiktok mengunggah konten bermuatan provokasi untuk membubarkan DPR.</t>
  </si>
  <si>
    <t>https://vt.tiktok.com/ZSDCngFrG/</t>
  </si>
  <si>
    <t>Konten pada media sosial TikTok memuat provokasi dengan narasi untuk mengadili para pejabat dan menciptakan Nepal part 2.</t>
  </si>
  <si>
    <t>https://vt.tiktok.com/ZSDCnU2ky/</t>
  </si>
  <si>
    <t>https://vt.tiktok.com/ZSDCt3Hpe/</t>
  </si>
  <si>
    <t>Konten pada media sosial Tiktok mengunggah konten bermuatan provokasi untuk membubarkan DPR dan melengserkan Puan Maharani.</t>
  </si>
  <si>
    <t>https://www.facebook.com/share/r/1FUWPBdkx5/</t>
  </si>
  <si>
    <t>Konten pada media sosial Tiktok mengunggah konten bermuatan provokasi untuk menbubarkan DPR.</t>
  </si>
  <si>
    <t>https://www.facebook.com/share/v/1Asjkh3VkC/</t>
  </si>
  <si>
    <t>https://www.facebook.com/share/v/192gkYS6Ci/</t>
  </si>
  <si>
    <t>https://www.tiktok.com/@negara.konyol/video/7553482887606160696</t>
  </si>
  <si>
    <t>Konten yang berisikan ajakan untuk menyereang DPR dan menurunkan Puan Maharani dari jabatannya.</t>
  </si>
  <si>
    <t>https://www.tiktok.com/@negara.konyol/video/7553298334581132555</t>
  </si>
  <si>
    <t xml:space="preserve">Konten yang berisikan ajakan untuk menyerang DPR dan menurunkan Puan Maharani dari jabatannya.
</t>
  </si>
  <si>
    <t>https://www.tiktok.com/@wong.gabut7964/video/7553335477672103180</t>
  </si>
  <si>
    <t>https://www.tiktok.com/@bolank_905/video/7551105374565289221</t>
  </si>
  <si>
    <t>Ditemukan sebuah akun Tiktok yang mengunggah kontn provokatif berupa ajakan demo serentak dari tanggal 25 hingga 30 september 2025 dan mengutuk keras terhadap DPR yang harus di reformasi.</t>
  </si>
  <si>
    <t>https://www.tiktok.com/@faruq.incu.elang/video/7541977395625004344</t>
  </si>
  <si>
    <t xml:space="preserve">Konten yang berisikan ajakan untuk menyereang DPR dan menurunkan Puan Maharani dari jabatannya.
</t>
  </si>
  <si>
    <t>https://www.facebook.com/groups/732699413011048/posts/769927359288253/</t>
  </si>
  <si>
    <t>Pasal 28 ayat (2) Undang-Undang Nomor 1 tahun 2024 tentang perubahan kedua atas Undang-Undang Nomor 11 tahun 2008 tentang Informasi dan Transaksi Elektronik
Pasal 156 a KUHP</t>
  </si>
  <si>
    <t xml:space="preserve">https://www.facebook.com/groups/732699413011048/posts/766893476258308/ </t>
  </si>
  <si>
    <t>https://www.facebook.com/groups/882222322392995/posts/1834140887201129/</t>
  </si>
  <si>
    <t>https://www.facebook.com/groups/882222322392995/posts/1833811877234030/</t>
  </si>
  <si>
    <t>https://www.facebook.com/groups/882222322392995/posts/1832093257405892/</t>
  </si>
  <si>
    <t>https://www.facebook.com/groups/882222322392995/posts/1830169294264955/</t>
  </si>
  <si>
    <t>https://www.facebook.com/groups/221580229175240/posts/1489757765690807/</t>
  </si>
  <si>
    <t>https://www.facebook.com/groups/221580229175240/posts/1489753542357896/</t>
  </si>
  <si>
    <t>https://www.facebook.com/groups/221580229175240/posts/1489679635698620/</t>
  </si>
  <si>
    <t>https://www.facebook.com/groups/221580229175240/posts/1488938185772765/</t>
  </si>
  <si>
    <t>https://www.facebook.com/groups/221580229175240/posts/1488936862439564/</t>
  </si>
  <si>
    <t>https://www.facebook.com/profile.php?id=61576709524382</t>
  </si>
  <si>
    <t>Akun tersebut banyak mengunggah konten atau Pernyataan yang dapat menimbulkan sikap permusuhan kebencian berdasarkan SARA dan penistaan agama.</t>
  </si>
  <si>
    <t>https://www.facebook.com/groups/701407136043059/posts/767242186126220/</t>
  </si>
  <si>
    <t>https://www.facebook.com/groups/701407136043059/posts/767301482786957/</t>
  </si>
  <si>
    <t>https://www.facebook.com/groups/701407136043059/posts/766268989556873/</t>
  </si>
  <si>
    <t>tidak aktif</t>
  </si>
  <si>
    <r>
      <rPr>
        <rFont val="Arial"/>
        <color rgb="FF1155CC"/>
        <sz val="8.0"/>
        <u/>
      </rPr>
      <t>https://www.tiktok.com/@rom91681/video/7541029093970595078</t>
    </r>
  </si>
  <si>
    <t>Pengajuan tanggal 23 September (Belum ada surat rekomendasi)</t>
  </si>
  <si>
    <r>
      <rPr>
        <rFont val="Arial"/>
        <color rgb="FF1155CC"/>
        <sz val="8.0"/>
        <u/>
      </rPr>
      <t>https://www.tiktok.com/@jeme.kite858/video/7541719328597527815</t>
    </r>
  </si>
  <si>
    <r>
      <rPr>
        <rFont val="Arial"/>
        <color rgb="FF1155CC"/>
        <sz val="8.0"/>
        <u/>
      </rPr>
      <t>https://www.instagram.com/p/DOAi7gYktdI/</t>
    </r>
  </si>
  <si>
    <r>
      <rPr>
        <rFont val="Arial"/>
        <color rgb="FF1155CC"/>
        <sz val="8.0"/>
        <u/>
      </rPr>
      <t>https://www.instagram.com/p/DNyPrScZpmm/</t>
    </r>
  </si>
  <si>
    <r>
      <rPr>
        <rFont val="Arial"/>
        <color rgb="FF1155CC"/>
        <sz val="8.0"/>
        <u/>
      </rPr>
      <t>https://www.instagram.com/p/DN7aZZsE5aq/</t>
    </r>
  </si>
  <si>
    <r>
      <rPr>
        <rFont val="Arial"/>
        <color rgb="FF1155CC"/>
        <sz val="8.0"/>
        <u/>
      </rPr>
      <t>https://www.instagram.com/p/DN7C_qbiewh/</t>
    </r>
  </si>
  <si>
    <r>
      <rPr>
        <rFont val="Arial"/>
        <color rgb="FF1155CC"/>
        <sz val="8.0"/>
        <u/>
      </rPr>
      <t>https://www.instagram.com/p/DN6Gd2fkn5u/</t>
    </r>
  </si>
  <si>
    <r>
      <rPr>
        <rFont val="Arial"/>
        <color rgb="FF1155CC"/>
        <sz val="8.0"/>
        <u/>
      </rPr>
      <t>https://www.instagram.com/p/DN5-_Rnk_Zm/</t>
    </r>
  </si>
  <si>
    <r>
      <rPr>
        <rFont val="Arial"/>
        <color rgb="FF1155CC"/>
        <sz val="8.0"/>
        <u/>
      </rPr>
      <t>https://www.instagram.com/p/DOFrXOBAT94/</t>
    </r>
  </si>
  <si>
    <r>
      <rPr>
        <rFont val="Arial"/>
        <color rgb="FF1155CC"/>
        <sz val="8.0"/>
        <u/>
      </rPr>
      <t>https://www.instagram.com/p/DNsNiVpZEHV/?img_index=2</t>
    </r>
  </si>
  <si>
    <r>
      <rPr>
        <rFont val="Arial"/>
        <color rgb="FF1155CC"/>
        <sz val="8.0"/>
        <u/>
      </rPr>
      <t>https://www.facebook.com/groups/458566932000779/permalink/1512973433226785/?rdid=OwSJxjJjcJpcwoUS#</t>
    </r>
  </si>
  <si>
    <t>Dilaporkan telah melakukan tindak pidana provokasi membuat postingan media sosial dengan narasi Bubarkan 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</si>
  <si>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Pengajuan tanggal 24 September (Belum ada surat rekomendasi)</t>
  </si>
  <si>
    <r>
      <rPr>
        <rFont val="Arial"/>
        <color rgb="FF1155CC"/>
        <sz val="8.0"/>
        <u/>
      </rPr>
      <t>https://www.facebook.com/cahaya.permata.dwi/posts/pfbid023R6bg2whuVfH4ZN5owReYD1fYq3Apof2V4AEtZwqBAnTRCMcotmfveTYcJu9vNUUl?rdid=6SoiYOFdtyOGLEbL#</t>
    </r>
  </si>
  <si>
    <t>Dilaporkan telah melakukan tindak pidana provokasi membuat postingan media sosial dengan narasi DPR Beban negara Harus dibubarkanyang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</si>
  <si>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
        <color rgb="FF1155CC"/>
        <sz val="8.0"/>
        <u/>
      </rPr>
      <t>https://twitter.com/tulisanqila/status/1962334978798444877</t>
    </r>
  </si>
  <si>
    <t>Dilaporkan telah melakukan tindak pidana provokasi membuat postingan media sosial dengan tagar #RESETINDONESIA #BubarkanDPR #PolisiPembunuhRakyat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</si>
  <si>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
        <color rgb="FF1155CC"/>
        <sz val="8.0"/>
        <u/>
      </rPr>
      <t>https://twitter.com/Gus_Haddock/status/1962215349912523172</t>
    </r>
  </si>
  <si>
    <t>Dilaporkan telah melakukan tindak pidana provokasi membuat postingan media sosial dengan tagar #polisimusuhbersama #BubarkanDPR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</si>
  <si>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Times New Roman"/>
        <color rgb="FF1155CC"/>
        <sz val="8.0"/>
        <u/>
      </rPr>
      <t>https://www.facebook.com/permalink.php?story_fbid=pfbid033NBQAHpSBDmXbpjLpNxJGZdR4pN3dHa37GRLRd6dVxi11yeET3Eq8LskwUQ6EtAl&amp;id=61559511756401</t>
    </r>
  </si>
  <si>
    <t>Dilaporkan telah melakukan tindak pidana provokasi membuat postingan media sosial dengan tagar #dprkontol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</si>
  <si>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Times New Roman"/>
        <color rgb="FF1155CC"/>
        <sz val="8.0"/>
        <u/>
      </rPr>
      <t>https://www.facebook.com/rahmankurnia.illahi/posts/pfbid02mdv4JTNAjmU2BGTGX1dPNvWKpU3jUKtYGpM48ZV6xETsMx4UBZQ9oDyarJK1kofnl</t>
    </r>
  </si>
  <si>
    <t>Dilaporkan telah melakukan tindak pidana provokasi membuat postingan media sosial dengan tagar #dprasu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</si>
  <si>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Times New Roman"/>
        <color rgb="FF1155CC"/>
        <sz val="8.0"/>
        <u/>
      </rPr>
      <t>https://www.instagram.com/p/DOA0E99jOnz/</t>
    </r>
  </si>
  <si>
    <r>
      <rPr>
        <rFont val="Times New Roman"/>
        <color rgb="FF1155CC"/>
        <sz val="8.0"/>
        <u/>
      </rPr>
      <t>https://www.instagram.com/p/CLCAOLIA4l9/</t>
    </r>
  </si>
  <si>
    <t>https://www.facebook.com/groups/221580229175240/posts/1489807105685873/</t>
  </si>
  <si>
    <t>https://www.facebook.com/groups/221580229175240/posts/1489772715689312/</t>
  </si>
  <si>
    <t>https://www.facebook.com/groups/221580229175240/posts/1489764309023486/</t>
  </si>
  <si>
    <t>https://www.facebook.com/groups/221580229175240/posts/1489747709025146/</t>
  </si>
  <si>
    <t>https://www.facebook.com/groups/221580229175240/posts/1488615655805018/</t>
  </si>
  <si>
    <t>https://www.facebook.com/profile.php?id=61580541977378</t>
  </si>
  <si>
    <t>https://www.instagram.com/reel/DOhjOLjjeol/</t>
  </si>
  <si>
    <t>https://www.instagram.com/fjratupersiaaa/</t>
  </si>
  <si>
    <t>Akun tersebut mengunggah konten atau komentar yang dapat menimbulkan sikap permusuhan kebencian berdasarkan SARA dan penistaan agama.</t>
  </si>
  <si>
    <t xml:space="preserve">akun dengan pengikut besar (6253 followers), tidak ditemukan bukti pelanggaran
</t>
  </si>
  <si>
    <t>https://www.instagram.com/islamfuck/</t>
  </si>
  <si>
    <t>Akun tersebut mengandung unsur Pernyataan yang dapat menimbulkan sikap permusuhan kebencian berdasarkan SARA dan penistaan agama.</t>
  </si>
  <si>
    <t>https://www.instagram.com/islam.kontol/</t>
  </si>
  <si>
    <t>https://www.facebook.com/groups/221580229175240/posts/1490787868921130/</t>
  </si>
  <si>
    <t>https://www.facebook.com/groups/221580229175240/posts/1489132429086674/</t>
  </si>
  <si>
    <t>https://www.facebook.com/groups/221580229175240/posts/1488275895838994/</t>
  </si>
  <si>
    <t>https://www.facebook.com/profile.php?id=61580971751796</t>
  </si>
  <si>
    <t>URL (akun dan tidak ditemukan pelanggaran)</t>
  </si>
  <si>
    <t>https://www.tiktok.com/@tiaramika38/video/7482443545945656584?q=ISLAM%20ANJING%20SESAT&amp;t=1758784414700</t>
  </si>
  <si>
    <t>https://www.tiktok.com/@tiaramika38/video/7509141191133236487</t>
  </si>
  <si>
    <t>https://www.tiktok.com/@tiaramika38/video/7509138866427710728</t>
  </si>
  <si>
    <t>https://www.tiktok.com/@tiaramika38/video/7505437865766096135</t>
  </si>
  <si>
    <t>https://www.tiktok.com/@tiaramika38</t>
  </si>
  <si>
    <t>https://www.tiktok.com/@tiaramika38/video/7507695718845533447</t>
  </si>
  <si>
    <t>https://www.tiktok.com/@harryccpatty/video/7551871844912074002</t>
  </si>
  <si>
    <t>Konten ini diduga memuat narasi provokatif dengan narasi terkait buruknya program MBG dan menuntut Presiden Prabowo harus mundur dari jabatannya sebagai presiden karena melanggar UUD boros anggaran serta melanggar HAM melalui program MBG.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</si>
  <si>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ok</t>
  </si>
  <si>
    <t>https://www.tiktok.com/@riduan_s77/video/7545002401007291704</t>
  </si>
  <si>
    <t>Konten ini merupakan konten disinformasi berjenis misleading content (konten menyesatkan) yang diduga memuat narasi provokatif dan menuding Wakil Presiden Gibran memanfaatkan kuasa relasi presiden sebelumnya Mantan Presiden Jokowi untuk melanggengkan kuasa dan menginginkan atau menyuruh Presiden Prabowo mundur dari jabatan Presiden.
Penyebaran informasi yang mengandung unsur provokasi dan ujaran kebencian yang berpotensi menimbulkan keresahan dan kegaduhan di masyarakat telah melanggar UU Nomor 1 Tahun 2024 tentang Informasi dan Transaksi Elektronik pada Pasal 28 ayat (2), 28 ayat (3), Pasal 45A ayat (2), dan Pasal 45A ayat (3).</t>
  </si>
  <si>
    <t xml:space="preserve">akun besar 96k </t>
  </si>
  <si>
    <t>https://www.facebook.com/reel/665651522802612</t>
  </si>
  <si>
    <t>Konten disinformasi ini berjenis misleading content (konten menyesatkan) diduga mengandung unsur provokasi dengan cara menggabungkan potongan-potongan video menjadi satu video yang menampilkan narasi bahwa banyak anggota DPR tidak hadir dan mengajukan izin saat pembahasan RUU perampasan aset dan memprovokasi untuk membubarkan DPR. Narasi tersebut belum dapat dipastikan kebenarannya dan berpotensi menimbulkan interpretasi bahwa DPR merasa takut kekayaannya akan disita oleh negara dan menuntut untuk segera membubarkan DPR.
Penyebaran informasi yang mengandung unsur provokasi yang berpotensi menimbulkan keresahan dan kegaduhan di masyarakat telah melanggar UU Nomor 1 Tahun 2024 tentang Informasi dan Transaksi Elektronik pada Pasal 28 ayat (2), 28 ayat (3), Pasal 45A ayat (2), dan Pasal 45A ayat (3).</t>
  </si>
  <si>
    <t>https://www.facebook.com/reel/3691572544484617</t>
  </si>
  <si>
    <t>Konten ini diduga memuat provokasi dengan narasi fitnah yang ditujukan ke Ketua DPR RI Puan Maharani yang melarang semua fraksi membahas RUU perampasan aset. Selain itu, konten ini juga menyerukan ajakan untuk melakukan penyerangan dan penjarahan rumah Puan Maharani.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</si>
  <si>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https://www.facebook.com/reel/1462713348137369</t>
  </si>
  <si>
    <t>Konten ini diduga memuat provokasi dengan narasi bahwa Puan Maharani harus di copot dan DPR RI harus dibubarkan karena tidak berfungsi dan hanya menghabiskan anggaran APBN.
Penyebaran informasi yang mengandung unsur provokasi yang berpotensi menimbulkan keresahan dan kegaduhan di masyarakat telah melanggar UU Nomor 1 Tahun 2024 tentang Informasi dan Transaksi Elektronik pada Pasal 28 ayat (2), 28 ayat (3), Pasal 45A ayat (2), dan Pasal 45A ayat (3).</t>
  </si>
  <si>
    <t>https://www.tiktok.com/@biskut.coklat4/video/7553977437412019512</t>
  </si>
  <si>
    <t>Konten ini diduga mengandung unsur provokasi mengajak untuk “Menepalkan DPR” pada aksi demonstrasi tanggal 30 September 2025 karena tidak serius dalam pembahasan dan pengesahan RUU Perampasan Aset.
Penyebaran informasi yang mengandung unsur provokasi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</si>
  <si>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https://www.tiktok.com/@biyangtr2/video/7554134710847393031</t>
  </si>
  <si>
    <t>Konten ini diduga memuat narasi provokasi dengan mengajak aksi “nepalkan” dan menjarah rumah Puan.
Penyebaran informasi yang mengandung unsur provokasi dan separatisme yang berpotensi menimbulkan keresahan dan kegaduhan di masyarakat telah melanggar UU Nomor 1 Tahun 2024 tentang Informasi dan Transaksi Elektronik pada Pasal 28 ayat (2), 28 ayat (3), Pasal 45A ayat (2), dan Pasal 45A ayat (3).</t>
  </si>
  <si>
    <t>https://www.tiktok.com/@singlemoms300/video/7545144939378674945</t>
  </si>
  <si>
    <t>Konten disinformasi berupa fabricated content (konten buatan AI) menyajikan narasi mengenai reaksi tentara dan media asing terhadap aksi demonstrasi di Indonesia. Konten ini juga mengandung unsur provokatif dengan pernyataan bahwa jika anggota DPR RI tidak dibubarkan, tentara asing akan meluncurkan rudal balistik ke gedung parlemen tersebut.
Penyebaran informasi yang mengandung unsur provokasi dan separatisme yang berpotensi menimbulkan keresahan dan kegaduhan di masyarakat telah melanggar UU Nomor 1 Tahun 2024 tentang Informasi dan Transaksi Elektronik pada Pasal 28 ayat (2), 28 ayat (3), Pasal 45A ayat (2), dan Pasal 45A ayat (3).</t>
  </si>
  <si>
    <t>https://www.tiktok.com/@user606066633/video/7554076110972144908</t>
  </si>
  <si>
    <t>Konten ini diduga memuat narasi provokasi dengan seruan ajakan demonstrasi anarki pada tanggal 30 September seperti nepal dengan menargetkan Puan Maharani dan PDI.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</si>
  <si>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https://www.tiktok.com/@negara.konyol</t>
  </si>
  <si>
    <t>Akun ini diduga aktif mengunggah konten provokatif mengenai ajakan demo dengan narasi provokasi menepalkan Indonesia, membubarkan DPR, dan ajakan demo yang membuat kegaduhan dan gangguan keamanan di masyarakat.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</si>
  <si>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https://www.tiktok.com/@hermanofficial831/video/7554056882759945484?_r=1&amp;_t=ZS-903JwdeFloK</t>
  </si>
  <si>
    <t>Konten dengan narasi ajakan aksi penumpasan koruptor kepada mahasiswa yang akan dilakukan tanggal 30 September 2025.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</si>
  <si>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https://www.tiktok.com/@jatiwelahcanell/video/7553579001411931400?_r=1&amp;_t=ZS-903K58SL7dk</t>
  </si>
  <si>
    <t>Konten narasi provokasi untuk "Nepalkan" pada pejabat korup Indonesia.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</si>
  <si>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Akun besar follower 11.7K</t>
  </si>
  <si>
    <t>https://www.tiktok.com/@solehudi05/video/7553850325644496184?_r=1&amp;_t=ZS-903K863glDI</t>
  </si>
  <si>
    <t>Konten provokasi untuk melakukan aksi demonstrasi "Nepalkan" DPR dengan narasi aksi "30S" dimana pada konten tersebut dijelaskan alasan melakukan aksi karenan DPR dianggap tidak serius untuk mengesahkan UU Pemberantasan Asset.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</si>
  <si>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https://www.tiktok.com/@netizen.62_6/video/7552600153123851532?_r=1&amp;_t=ZS-903KIuZbnub</t>
  </si>
  <si>
    <t>Konten provokasi dengan ajakan melakukan demonstrasi aksi Jilid III pada bulan ke-9 tahun 2025 menggunakan video AI.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</si>
  <si>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https://www.tiktok.com/@track98antibanned9099/video/7554236015649623314?_r=1&amp;_t=ZS-903KO9HalIi</t>
  </si>
  <si>
    <t>Konten mengandung provokasi dengan narasi muak terhadap kebijakan DPR yang belum juga mengesahkan UU Pemberantasan Aset. Terdapat ancaman apabila pada tanggal 30 September 2025 belum ada keputusan, maka demonstran akan bersikap anarkis, meniru Nepal, dan membawa alat berat excavator menuju rumah pejabat.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</si>
  <si>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https://www.tiktok.com/@untuk.diri8/video/7553543064074161416</t>
  </si>
  <si>
    <t>Konten tersebut mengandung unsur disinformasi kategori misleading content dengan narasi bahwa Nusantara yang sebenarnya bukan Indonesia. Konglomerat, PNS, dan umat Islam dianggap penjajah.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</si>
  <si>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https://web.facebook.com/share/p/1A31mpNw7Q/</t>
  </si>
  <si>
    <t>Disinformasi dan Separatisme</t>
  </si>
  <si>
    <t>Konten mengandung unsur provokasi dengan narasi bahwa Papua harus bersatu untuk meruntuhkan tembok perpecahan yang diciptakan oleh penjajah kolonial Indonesia.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</si>
  <si>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https://x.com/gw_neena/status/1970446021122818414</t>
  </si>
  <si>
    <t>Konten mengandung unsur provokasi ajakan demonstrasi pada tanggal 25 dan 30 September 2025 dengan berbagai tuntutan, termasuk mengadili Joko Widodo dan memakzulkan Wakil Presiden Gibran.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</si>
  <si>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https://x.com/van88xier/status/1971538719552520290</t>
  </si>
  <si>
    <t>Provokatif, Disinformasi, dan Ujaran Kebencian</t>
  </si>
  <si>
    <t>Konten mengandung unsur provokatif dengan narasi menyinggung SARA dengan menyebutkan budaya Indonesia munafik dengan adanya wayang dan dalang. Pada konten yang diunggah terdapat narasi provokasi dimana daerah lebih baik berpisah dari Indonesia, kemudian menampilkan karikatur boneka marionette menyerupai Presiden Prabowo yang dimainkan oleh orang lain.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</si>
  <si>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https://web.facebook.com/share/v/1BQTogob5B/</t>
  </si>
  <si>
    <t>Konten mengandung unsur provokatif dengan narasi Semarang memanas menuju Nepal. Kemudian terdapat narasi penerus Abah Nuril Arifin melawan Gubernur Jawa Tengah Lutfi.
Penyebaran informasi yang mengandung unsur provokasi, separatisme, dan SARA yang berpotensi menimbulkan keresahan dan kegaduhan di masyarakat telah melanggar UU Nomor 1 Tahun 2024 tentang Informasi dan Transaksi Elektronik pada Pasal 28 ayat (2), 28 ayat (3), Pasal 45A ayat (2), dan Pasal 45A ayat (3) serta Kitab Undang-Undang Hukum Pidana (KUHP) pada Pasal 160, Pasal 170, dan Pasal 187.</t>
  </si>
  <si>
    <t xml:space="preserve">Akun Centang biru </t>
  </si>
  <si>
    <t>https://www.facebook.com/groups/184880179285868/?multi_permalinks=1426371648470042&amp;hoisted_section_header_type=recently_seen</t>
  </si>
  <si>
    <t xml:space="preserve">ok </t>
  </si>
  <si>
    <t>https://www.facebook.com/groups/1536579139944963/?multi_permalinks=4161465814122936&amp;hoisted_section_header_type=recently_seen</t>
  </si>
  <si>
    <t>https://www.facebook.com/groups/311162067239166/?multi_permalinks=1315760806779282&amp;hoisted_section_header_type=recently_seen</t>
  </si>
  <si>
    <t>https://www.facebook.com/groups/882222322392995/?multi_permalinks=1815164765765408&amp;hoisted_section_header_type=recently_seen</t>
  </si>
  <si>
    <t>https://www.facebook.com/groups/1536579139944963/?multi_permalinks=4143941255875392&amp;hoisted_section_header_type=recently_seen</t>
  </si>
  <si>
    <t>https://www.facebook.com/groups/311162067239166/?multi_permalinks=1334060844949278&amp;hoisted_section_header_type=recently_seen</t>
  </si>
  <si>
    <t>https://www.facebook.com/groups/311162067239166/posts/1348591553496207/</t>
  </si>
  <si>
    <t>https://www.facebook.com/groups/311162067239166/posts/1348585536830142/</t>
  </si>
  <si>
    <t>https://www.instagram.com/polimediasejahtera/</t>
  </si>
  <si>
    <t>DISINFORMASI, PROVOKASI</t>
  </si>
  <si>
    <r>
      <rPr>
        <rFont val="Arial"/>
        <sz val="8.0"/>
      </rPr>
      <t xml:space="preserve">Dilaporkan telah melakukan provokasi terkait BEM, hal ini akan berdampak semakin memicu tindakan mahasiswa, serta berpotensi menimbulkan kerusuhan dan keresahan masyarakat. Hal ini sudah melanggar undang-undang yang berlaku dalam negara Kesatuan Republik Indonesia, sehingga hal tersebut dapat menimbulkan keresahan di kalangan masyarakat di ruang digital.Berikut beberapa konten yang diunggah akun tersebut 
</t>
    </r>
    <r>
      <rPr>
        <rFont val="Arial"/>
        <color rgb="FF1155CC"/>
        <sz val="8.0"/>
        <u/>
      </rPr>
      <t>https://www.instagram.com/polimediasejahtera/p/DCOSTpZT_4t/</t>
    </r>
    <r>
      <rPr>
        <rFont val="Arial"/>
        <sz val="8.0"/>
      </rPr>
      <t xml:space="preserve"> 
</t>
    </r>
    <r>
      <rPr>
        <rFont val="Arial"/>
        <color rgb="FF1155CC"/>
        <sz val="8.0"/>
        <u/>
      </rPr>
      <t>https://www.instagram.com/polimediasejahtera/p/DOyh5RTkucb/</t>
    </r>
    <r>
      <rPr>
        <rFont val="Arial"/>
        <sz val="8.0"/>
      </rPr>
      <t xml:space="preserve"> 
</t>
    </r>
    <r>
      <rPr>
        <rFont val="Arial"/>
        <color rgb="FF1155CC"/>
        <sz val="8.0"/>
        <u/>
      </rPr>
      <t>https://www.instagram.com/p/DOyGMP_Evmj/</t>
    </r>
  </si>
  <si>
    <t>menyesatkan dan menimbulkan kerusuhan dikalangan mahasiswa dan ruang publik.</t>
  </si>
  <si>
    <t>akun</t>
  </si>
  <si>
    <t>https://www.instagram.com/p/DOpoknvgZgj/</t>
  </si>
  <si>
    <t>Mengunggah konten yang diduga provokasi terkait kerusuhan Papua, hal ini akan berdampak semakin memicu tindakan kerusuhan di ruang publik, serta berpotensi menimbulkan kerusuhan dan keresahan masyarakat Papua. Hal ini sudah melanggar undang-undang yang berlaku dalam negara Kesatuan Republik Indonesia, sehingga hal tersebut dapat menimbulkan keresahan di kalangan masyarakat di ruang digital.</t>
  </si>
  <si>
    <t>menyesatkan dan menimbulkan kerusuhan dikalangan masyarakat dan ruang publik.</t>
  </si>
  <si>
    <r>
      <rPr>
        <rFont val="Arial"/>
        <color rgb="FF1155CC"/>
        <sz val="8.0"/>
        <u/>
      </rPr>
      <t>https://www.instagram.com/p/DNr8rpHz7_O/</t>
    </r>
  </si>
  <si>
    <t>Dilaporkan telah melakukan tindak pidana provokasi membuat postingan media sosial dengan narasi CARA MEMBUBARKAN DPR, serta menggunakan tagar #bubarkandprri #bubarkandpr #HancurkanDPR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</si>
  <si>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
        <color rgb="FF1155CC"/>
        <sz val="8.0"/>
        <u/>
      </rPr>
      <t>https://www.facebook.com/mochamad.irvan.5/posts/pfbid0Q7s4WpnzbvUwfb8cRyU3tZmwVfPjqVDiyESWyY5E6TvskewPihJ7Hrxhk5vdsmPLl?rdid=ZVh4qc9GcvhpB10C#</t>
    </r>
  </si>
  <si>
    <t>Dilaporkan telah melakukan tindak pidana provokasi membuat postingan media sosial dengan narasi DPR seperti tikus di lumbung yang tidak bermanfaat, serta menggunakan tagar #bubarkanDPR #BakarDPR #HancurkanDPR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</si>
  <si>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sans-serif"/>
        <color rgb="FF1155CC"/>
        <sz val="8.0"/>
        <u/>
      </rPr>
      <t>https://vt.tiktok.com/ZSDpkQScs/</t>
    </r>
  </si>
  <si>
    <t xml:space="preserve">Konten tersebut diduga mengandung provokasi untuk mengadakan aksi pada 30 September 2025.  Kalimat "...RAMPAS TANK TNI GEMPUR GEDUNG DPR"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</si>
  <si>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A. 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        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B.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t>
  </si>
  <si>
    <t>https://vt.tiktok.com/ZSDpkprgK/</t>
  </si>
  <si>
    <t xml:space="preserve">Konten pada media sosial Tiktok mengunggah konten AI Generated yang menampilkan gedung DPR yang hancur. Konten ini bermuatan provokatif yaitu berupa ajakan untuk membubarkan DPR.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</si>
  <si>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r>
      <rPr>
        <rFont val="Arial,sans-serif"/>
        <color rgb="FF1155CC"/>
        <sz val="8.0"/>
        <u/>
      </rPr>
      <t>https://vt.tiktok.com/ZSDpBR3ds/</t>
    </r>
  </si>
  <si>
    <r>
      <rPr>
        <rFont val="Arial,sans-serif"/>
        <color rgb="FF1155CC"/>
        <sz val="8.0"/>
        <u/>
      </rPr>
      <t>https://vt.tiktok.com/ZSDpBNm2h/</t>
    </r>
  </si>
  <si>
    <t xml:space="preserve">Konten tersebut diduga mengandung provokasi untuk mengadakan aksi pada 30 September 2025.  Kalimat "Nepalkan DPR"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</si>
  <si>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r>
      <rPr>
        <rFont val="Arial,sans-serif"/>
        <color rgb="FF1155CC"/>
        <sz val="8.0"/>
        <u/>
      </rPr>
      <t>https://vt.tiktok.com/ZSDpB5FM4/</t>
    </r>
  </si>
  <si>
    <t xml:space="preserve">Konten tersebut diduga mengandung provokasi untuk mengadakan aksi pada 30 September 2025.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</si>
  <si>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r>
      <rPr>
        <rFont val="Arial,sans-serif"/>
        <color rgb="FF1155CC"/>
        <sz val="8.0"/>
        <u/>
      </rPr>
      <t>https://x.com/INRI2025/status/1971742508989534622</t>
    </r>
  </si>
  <si>
    <t xml:space="preserve">Konten tersebut diduga mengandung provokasi untuk mengadakan aksi pada 30 September 2025.  Tagar #AdiliJokowi, #MakzulkanGibran, #BubarkanDPR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</si>
  <si>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r>
      <rPr>
        <rFont val="Arial,sans-serif"/>
        <color rgb="FF1155CC"/>
        <sz val="8.0"/>
        <u/>
      </rPr>
      <t>https://x.com/suwoto1219169/status/1971749821087399942</t>
    </r>
  </si>
  <si>
    <t xml:space="preserve">Konten tersebut diduga mengandung provokasi untuk mengadakan aksi pada 30 September 2025.  Tagar #Makzulkan Fufufafa (Ditujukan kepada Wakil Presiden Gibran)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</si>
  <si>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r>
      <rPr>
        <rFont val="Arial,sans-serif"/>
        <color rgb="FF1155CC"/>
        <sz val="8.0"/>
        <u/>
      </rPr>
      <t>https://www.tiktok.com/@rusda.wati4/video/7554556129896942866?is_from_webapp=1&amp;sender_device=pc&amp;web_id=7498917195896882696</t>
    </r>
  </si>
  <si>
    <t xml:space="preserve">Konten pada media sosial Tiktok menunjukkan disinformasi bahwa Makan Bergizi Gratis sengaja diberikan racun. Kejadian ini disamakan dengan kejadian saat Gerwani PKI meracuni pemuda Anshor.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</si>
  <si>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https://vt.tiktok.com/ZSDpfpLM3/</t>
  </si>
  <si>
    <t xml:space="preserve">Konten Tiktok tersebut mengandung provokasi untuk mendesak pemecatan Puan Maharani sebagai ketua DPR.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</si>
  <si>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duplikat</t>
  </si>
  <si>
    <r>
      <rPr>
        <rFont val="Arial,sans-serif"/>
        <color rgb="FF1155CC"/>
        <sz val="8.0"/>
        <u/>
      </rPr>
      <t>https://vt.tiktok.com/ZSDpPu2fV/</t>
    </r>
  </si>
  <si>
    <t xml:space="preserve">Konten tersebut diduga mengandung provokasi untuk mengadakan aksi pada 30 September 2025.  Kalimat "Nepalkan DPR"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</si>
  <si>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https://vt.tiktok.com/ZSDsprgNL/</t>
  </si>
  <si>
    <t xml:space="preserve">Konten tersebut diduga mengandung provokasi untuk mengadakan aksi pada 30 September 2025.  Ajakan untuk geruduk Gedung DPR dan  turunkan Puan Maharani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</si>
  <si>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https://vt.tiktok.com/ZSDspboAr/</t>
  </si>
  <si>
    <t xml:space="preserve">Konten tersebut diduga mengandung provokasi untuk mengadakan aksi pada 30 September 2025.  Ajakan untuk membubarkan DPR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</si>
  <si>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https://vt.tiktok.com/ZSDsps1bv/</t>
  </si>
  <si>
    <t>https://vt.tiktok.com/ZSDssRb8X/</t>
  </si>
  <si>
    <t xml:space="preserve">Konten tersebut diduga mengandung provokasi menyebut Puan Maharani larang semua Fraksi DPR untuk bahas RUU Perampasan Aset.  Ajakan untuk "Nepalkan DPR"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</si>
  <si>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OK</t>
  </si>
  <si>
    <t>https://vt.tiktok.com/ZSDssM6Yy/</t>
  </si>
  <si>
    <t>https://vt.tiktok.com/ZSDG8CsEc/</t>
  </si>
  <si>
    <t xml:space="preserve">Konten tersebut diduga mengandung provokasi untuk   turunkan Puan Maharani dan tenggelamkan PDIP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</si>
  <si>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https://vt.tiktok.com/ZSDG89eRm/</t>
  </si>
  <si>
    <t>konten duplikat  dengan nomor 13,12</t>
  </si>
  <si>
    <t>https://www.tiktok.com/@mutiaraislami64/video/7554597027267562764</t>
  </si>
  <si>
    <t xml:space="preserve">Konten tersebut diduga mengandung provokasi untuk "Menepalkan DPR"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</si>
  <si>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https://vt.tiktok.com/ZSDGL4ypu/</t>
  </si>
  <si>
    <t xml:space="preserve">Konten tersebut diduga mengandung provokasi untuk "Menepalkan Para Pejabat"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</si>
  <si>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https://vt.tiktok.com/ZSDGLErsc/</t>
  </si>
  <si>
    <t xml:space="preserve">Konten tersebut diduga mengandung provokasi untuk "Menepalkan Bahlil dan Bakar SPBU"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</si>
  <si>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https://www.facebook.com/groups/221580229175240/posts/1492734455393138/</t>
  </si>
  <si>
    <t>https://www.facebook.com/groups/1536579139944963/posts/4161575920778592/</t>
  </si>
  <si>
    <t>https://www.facebook.com/groups/1536579139944963/posts/4161569137445937/</t>
  </si>
  <si>
    <t>https://www.facebook.com/groups/1536579139944963/posts/4161465814122936/</t>
  </si>
  <si>
    <t>https://www.facebook.com/groups/1536579139944963/posts/4161333004136217/</t>
  </si>
  <si>
    <t>https://www.facebook.com/groups/1536579139944963/posts/4161325777470273/</t>
  </si>
  <si>
    <t>https://www.facebook.com/groups/1536579139944963/posts/4161309564138561/</t>
  </si>
  <si>
    <t>https://www.facebook.com/groups/1536579139944963/posts/4160944290841755/</t>
  </si>
  <si>
    <t>https://www.facebook.com/groups/1536579139944963/posts/4160906547512196/</t>
  </si>
  <si>
    <t>https://www.facebook.com/groups/1536579139944963/posts/4160802477522603/</t>
  </si>
  <si>
    <r>
      <rPr>
        <rFont val="Arial"/>
        <color rgb="FF1155CC"/>
        <sz val="8.0"/>
        <u/>
      </rPr>
      <t>https://www.facebook.com/permalink.php?story_fbid=pfbid02UwDu8VnXcrh6UEmCiKVY712T3CTvgcjaEm6SWa145y4MUncSs33K6hCuuJxNnj3cl&amp;id=61565986896301&amp;rdid=gjTdoUyR84JdGodk#</t>
    </r>
  </si>
  <si>
    <t>Dilaporkan telah melakukan tindak pidana provokasi membuat postingan media sosial dengan narasi kepercayaan rakyat kepada pemerintahan sudah mulai memudar, serta menggunakan tagar #BubarkanDePeEr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</si>
  <si>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
        <color rgb="FF1155CC"/>
        <sz val="8.0"/>
        <u/>
      </rPr>
      <t>https://www.facebook.com/ziahcrewmust/posts/pfbid05W732keZLE5gxh3wNxwpppFGXsrR8Dd3b76hBpfUucbRPvTP7t5jWkEoKxzpybQZl?rdid=4hzlgyFdqdloskZC#</t>
    </r>
  </si>
  <si>
    <t>Dilaporkan telah melakukan tindak pidana provokasi membuat postingan media sosial dengan narasi Pancasila hanya simbol dan tidak terterapkan pada realita, serta menggunakan tagar #BubarkanDePeEr #lalatcoklat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</si>
  <si>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
        <color rgb="FF1155CC"/>
        <sz val="8.0"/>
        <u/>
      </rPr>
      <t>https://www.facebook.com/permalink.php?story_fbid=pfbid0XzuhrhH7M1yNojg3YzYiDrewuEZLcJaGFa7aVjgs7fxKWQLLFS2FSCXLkdnKm8YPl&amp;id=61577687862278&amp;rdid=Xw2AHXC6x7hMQnDg#</t>
    </r>
  </si>
  <si>
    <t>Dilaporkan telah melakukan tindak pidana provokasi membuat postingan media sosial dengan narasi KETIKA PARA PENGEMIS SUARA RAKYAT DIBERI PEKERJAAN TETAPI MALAH MENGKHIANATINYA, BUBARKAN !!, serta menggunakan tagar #HewanPengkhianatRakyat #gerombolanpengkhianat #bubarkandepeer #dewanunfaedah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</si>
  <si>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
        <color rgb="FF1155CC"/>
        <sz val="8.0"/>
        <u/>
      </rPr>
      <t>https://www.instagram.com/p/DNxFYC55OrI/</t>
    </r>
  </si>
  <si>
    <t>Dilaporkan telah melakukan tindak pidana provokasi membuat postingan media sosial dengan narasi DEWAN PERAMPOK RAKYAT, serta menggunakan tagar #bubarkandpr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</si>
  <si>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Times New Roman"/>
        <color rgb="FF1155CC"/>
        <sz val="8.0"/>
        <u/>
      </rPr>
      <t>https://www.tiktok.com/@nugrohosuryo12181n/video/7554844690298817804?_r=1&amp;_t=ZS-905o1nhq7FY</t>
    </r>
    <r>
      <rPr>
        <rFont val="Times New Roman"/>
        <sz val="8.0"/>
      </rPr>
      <t xml:space="preserve"> </t>
    </r>
  </si>
  <si>
    <t>Konten tersebut diduga mengandung provokasi untuk mengadakan aksi pada 30 September 2025.  Terdapat unsur provokatif untuk melakukan tindakan anarksi, yaitu ajakan untuk menyewa alat berat untuk menghancurkan gedung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</si>
  <si>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	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</si>
  <si>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t>https://www.tiktok.com/@banggery18/video/7554938971483081991?_r=1&amp;_t=ZS-905o8cys1Vx</t>
  </si>
  <si>
    <t xml:space="preserve">Konten tersebut diduga mengandung provokasi untuk mengadakan aksi pada 30 September 2025.  Kalimat "Ayo Kita Nepalkan Indonesia"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</si>
  <si>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https://twitter.com/OmJ_J3Nggott/status/1971875670637924627</t>
  </si>
  <si>
    <t xml:space="preserve">Konten tersebut diduga mengandung provokasi untuk mengadakan aksi pada 2 Oktober 2025 di gedung KPK untuk mengadili Jokowi.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</si>
  <si>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(akun verified, 48K follower)</t>
  </si>
  <si>
    <t>https://www.tiktok.com/@aderianiskandar31/video/7554797900950342923?_r=1&amp;_t=ZS-905odxSBaBF</t>
  </si>
  <si>
    <t xml:space="preserve">Konten tersebut diduga mengandung provokasi untuk mengadakan aksi pada 30 September 2025 dengan tuntutan pengesahan RUU Perampasan Aset, pemakzulan Gibran, mencopot Kapolri, dan mengadili keluarga Jokowi.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</si>
  <si>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https://www.tiktok.com/@ricky.jurnalklik.com/video/7554814428005403916?_r=1&amp;_t=ZS-905odxmNAHY</t>
  </si>
  <si>
    <t>Konten tersebut diduga mengandung provokasi untuk mengadakan aksi pada 30 September 2025 dengan tuntutan untuk membubarkan DPR RI.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</si>
  <si>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https://twitter.com/alisyarief/status/1972207406437617858</t>
  </si>
  <si>
    <t xml:space="preserve">Konten ini merupakan disinformasi berjenis misleading content (konten menyesatkan). Konten tersebut menampilkan situasi ruangan yang dipenuhi siswa yang diduga mengalami keracunan MBG, dengan caption “11 anak meninggal usai makan makanan dari program MBG”. Hingga saat ini belum ada pemberitaan mengenai korban meninggal karena keracunan MBG, sehingga informasi di video tersebut termasuk disinformasi. Konten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</si>
  <si>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r>
      <rPr>
        <rFont val="Times New Roman"/>
        <color rgb="FF1155CC"/>
        <sz val="8.0"/>
        <u/>
      </rPr>
      <t>https://www.tiktok.com/@yanyanyuana2021/video/7554998260650298631?_r=1&amp;_t=ZS-906LYxJZxp3</t>
    </r>
    <r>
      <rPr>
        <rFont val="Times New Roman"/>
        <sz val="8.0"/>
      </rPr>
      <t xml:space="preserve"> </t>
    </r>
  </si>
  <si>
    <t xml:space="preserve">Konten tersebut diduga mengandung provokasi untuk mengadakan aksi pada 30 September 2025 dengan tuntutan untuk membubarkan DPR.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</si>
  <si>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https://vt.tiktok.com/ZSDtw5tUS/</t>
  </si>
  <si>
    <t xml:space="preserve">Konten tersebut diduga mengandung provokasi untuk menyiksa pejabat korup di Indonesia agar sama seperti pejabat di Nepal.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</si>
  <si>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https://vt.tiktok.com/ZSDtw5pXT/</t>
  </si>
  <si>
    <t xml:space="preserve">Konten tersebut diduga mengandung provokasi untuk "menepalkan" nama nama pejabat negara dan tokoh politik yang ada di dalam list pada konten tersebut.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</si>
  <si>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https://vt.tiktok.com/ZSDtwm2D1/</t>
  </si>
  <si>
    <t>Konten tersebut diduga mengandung provokasi dengan menyebut DPR menantang rakyat lagi dan meminta untuk didatangi rumahnya.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</si>
  <si>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https://vt.tiktok.com/ZSDtwseTH/</t>
  </si>
  <si>
    <t xml:space="preserve">Konten tersebut diduga mengandung provokasi untuk "menepalkan" pejabat negara yang diduga korup.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</si>
  <si>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 xml:space="preserve">Konten tersebut diduga mengandung provokasi untuk "menepalkan" DPR RI.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</si>
  <si>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Duplikat dgn pengajuan di nomor 11</t>
  </si>
  <si>
    <t>https://vt.tiktok.com/ZSDtw3LMR/</t>
  </si>
  <si>
    <t xml:space="preserve">Konten tersebut diduga mengandung provokasi dengan menyebut 30 September adalah hari untuk menumpas DPR RI.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</si>
  <si>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https://vt.tiktok.com/ZSDnjhtkY/</t>
  </si>
  <si>
    <t>https://vt.tiktok.com/ZSDnjjLoS/</t>
  </si>
  <si>
    <t xml:space="preserve">Konten tersebut diduga mengandung provokasi untuk "menepalkan" Menteri ESDM Bahlil. Konten tersebut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</si>
  <si>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https://www.facebook.com/groups/221580229175240/?multi_permalinks=1489846972348553&amp;hoisted_section_header_type=recently_seen</t>
  </si>
  <si>
    <t>https://www.facebook.com/groups/221580229175240/?multi_permalinks=1491735242159726&amp;hoisted_section_header_type=recently_seen</t>
  </si>
  <si>
    <t>https://www.facebook.com/groups/1376765419280363/?multi_permalinks=3832000957090118&amp;hoisted_section_header_type=recently_seen</t>
  </si>
  <si>
    <t>https://www.facebook.com/groups/225157887497430/?multi_permalinks=9864953950184394&amp;hoisted_section_header_type=recently_seen</t>
  </si>
  <si>
    <t>https://www.facebook.com/groups/221580229175240/?multi_permalinks=1482996199700297&amp;hoisted_section_header_type=recently_seen</t>
  </si>
  <si>
    <t>https://www.facebook.com/groups/221580229175240/?multi_permalinks=1491594498840467&amp;hoisted_section_header_type=recently_seen</t>
  </si>
  <si>
    <t>https://www.facebook.com/groups/221580229175240/?multi_permalinks=1436697724330145&amp;hoisted_section_header_type=recently_seen</t>
  </si>
  <si>
    <t>https://www.facebook.com/groups/1364141841333887/posts/1424303755317695/</t>
  </si>
  <si>
    <t>https://www.facebook.com/groups/1364141841333887/posts/1424992445248826/</t>
  </si>
  <si>
    <t>https://www.facebook.com/groups/1499992370958626/?multi_permalinks=1616084299349432&amp;hoisted_section_header_type=recently_seen</t>
  </si>
  <si>
    <r>
      <rPr>
        <rFont val="Times New Roman"/>
        <color rgb="FF1155CC"/>
        <sz val="8.0"/>
        <u/>
      </rPr>
      <t>https://www.instagram.com/p/DNy-7dJ5hTg/</t>
    </r>
  </si>
  <si>
    <t>Dilaporkan telah melakukan tindak pidana provokasi membuat postingan mengajak untuk membubarkan 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</si>
  <si>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Times New Roman"/>
        <color rgb="FF1155CC"/>
        <sz val="8.0"/>
        <u/>
      </rPr>
      <t>https://www.facebook.com/nur.cahayaibrahimy/posts/pfbid0JZuykJPo8HTXmDafnu9vqop3nVQxSZ1VhRjmQe9haMuNdNt9Z8ogsNUS3RRKQW9Al</t>
    </r>
  </si>
  <si>
    <t>Dilaporkan telah melakukan tindak pidana provokasi membuat postingan media sosial mengajak menurunkan Presiden Prabowo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</si>
  <si>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Times New Roman"/>
        <color rgb="FF1155CC"/>
        <sz val="8.0"/>
        <u/>
      </rPr>
      <t>https://www.facebook.com/nur.cahayaibrahimy/posts/pfbid0JiDNqhkfgZLM6a27GoJUoWLx7QdFBNjZgN27gs5tru5FvKWocxAgBUpc7L12uYYdl</t>
    </r>
  </si>
  <si>
    <t>https://www.tiktok.com/@info.media.sumbar/video/7555068005818846475</t>
  </si>
  <si>
    <t>Konten tersebut diduga mengandung unsur provokatif dengan narasi untuk meninggalkan aktivitas masyarakat dan melaksanakan demo besar-besaran di seluruh Indonesia untuk membubarkan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</si>
  <si>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 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t>
  </si>
  <si>
    <r>
      <rPr>
        <rFont val="Arial"/>
        <color rgb="FF1155CC"/>
        <sz val="8.0"/>
        <u/>
      </rPr>
      <t>https://www.tiktok.com/@mutiaraislami64/video/7555201536226299147</t>
    </r>
  </si>
  <si>
    <t>Konten tersebut diduga mengandung unsur provokasi dengan narasi yang mendorong masyarakat untuk melakukan aksi demonstrasi besar-besaran pada tanggal 30 September 2025.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</si>
  <si>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136k followers</t>
  </si>
  <si>
    <r>
      <rPr>
        <rFont val="Arial"/>
        <color rgb="FF1155CC"/>
        <sz val="8.0"/>
        <u/>
      </rPr>
      <t>https://www.tiktok.com/@sahril9213/video/7555289338720881928</t>
    </r>
  </si>
  <si>
    <t>Konten ini diduga secara eksplisit memuat unsur provokatif untuk melakukan aksi demonstrasi di DPR RI pada tanggal 30 September 2025 dengan video yang menampilkan beberapa narasi provokatif seperti menepalkan DPR 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</si>
  <si>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
        <color rgb="FF1155CC"/>
        <sz val="8.0"/>
        <u/>
      </rPr>
      <t>https://www.tiktok.com/@rusli_756/video/7554976585695153420</t>
    </r>
  </si>
  <si>
    <t>Konten tersebut diduga mengandung unsur provokasi yang mengajak masyarakat untuk melakukan aksi demonstrasi besar-besaran pada tanggal 30 September 2025. Selain itu terdapat komentar negatif dan provokatif dengan narasi menepalkan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</si>
  <si>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
        <color rgb="FF1155CC"/>
        <sz val="8.0"/>
        <u/>
      </rPr>
      <t>https://www.tiktok.com/@srigala_terakhir5/video/7555242019560508683</t>
    </r>
  </si>
  <si>
    <t>Konten tersebut diduga mengandung unsur provokasi yang mengajak masyarakat untuk melakukan aksi demonstrasi disertai narasi menepalkan DPR RI yang merujuk pada tindakan anarkis seperti aksi demonstrasi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</si>
  <si>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
        <color rgb="FF1155CC"/>
        <sz val="8.0"/>
        <u/>
      </rPr>
      <t>https://www.tiktok.com/@keripiksingkong40/video/7555158914057227538</t>
    </r>
  </si>
  <si>
    <t>Konten ini diduga menampilkan visual demonstrasi disertai narasi konfrontatif dan provokatif yang bertujuan menggerakkan aksi demonstrasi pada 30 September 2025. Narasi tersebut tidak hanya berupa ajakan berunjuk rasa, tetapi juga termasuk bentuk hasutan langsung yang mendorong serangan dan ujaran kebencian terhadap pejabat publik dan lembaga negara.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</si>
  <si>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https://www.tiktok.com/@aktivisosmed.id/video/7555037432647929099</t>
    </r>
  </si>
  <si>
    <t>Konten ini diduga menampilkan ajakan konfrontatif dan provokatif yang secara eksplisit menghasut massa untuk melakukan perlawanan terhadap lembaga negara. Narasi ini bersifat mengadu domba, menimbulkan kebencian, dan berpotensi mengganggu ketertiban umum karena mendorong mobilisasi massa secara luas pada tanggal 30 September 2025.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</si>
  <si>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
        <color rgb="FF1155CC"/>
        <sz val="8.0"/>
        <u/>
      </rPr>
      <t>https://www.tiktok.com/@rudi.piono/video/7555301211969244434</t>
    </r>
  </si>
  <si>
    <t>Provokasi dan disinformasi</t>
  </si>
  <si>
    <t>Konten ini diduga memuat unsur provokatif yang mendorong pelaksanaan demonstrasi pada 30 September 2025 serta menghasut tindakan anarkis terhadap pejabat publik dan lembaga negara sebagai objek yang disertai narasi menepalkan DPR apabila tuntuan tidak dipenuhi. Selain itu, konten tersebut juga memuat seruan aksi pada 2 Oktober 2025 dengan tuntutan yang mengandung disinformasi.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</si>
  <si>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
        <color rgb="FF1155CC"/>
        <sz val="8.0"/>
        <u/>
      </rPr>
      <t>https://www.tiktok.com/@kamudihatiku98/video/7555380944048377100</t>
    </r>
  </si>
  <si>
    <t>Konten ini diduga memuat unsur provokatif yang mendorong pelaksanaan demonstrasi pada 30 September 2025 serta menghasut tindakan anarkis terhadap pejabat publik dan lembaga negara sebagai objek yang disertai narasi menepalkan gedung DPR apabila tuntuan tidak dipenuhi.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</si>
  <si>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
        <color rgb="FF1155CC"/>
        <sz val="8.0"/>
        <u/>
      </rPr>
      <t>https://x.com/secr3thm4nz56/status/1972559570385141860</t>
    </r>
  </si>
  <si>
    <t>Konten ini diduga memuat unsur provokatif yang mendorong pelaksanaan demonstrasi pada 30 September 2025 serta mendorong aksi anarkis disertai dengan narasi seruan "Nepal-kan" seperti aksi demonstrasi anarkis yang terjadi di Nepa jika tuntutan RUU perampasan aset koruptor tidak dipenuhi.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</si>
  <si>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
        <color rgb="FF1155CC"/>
        <sz val="8.0"/>
        <u/>
      </rPr>
      <t>https://x.com/in_hoping/status/1972644533172417002</t>
    </r>
  </si>
  <si>
    <t>Konten ini diduga memuat unsur provokatif yang mendorong tindakan anarkis, termasuk sabotase fasilitas publik seperti listrik, CCTV, dan jalan raya, disertai dengan narasi perbandingan “Nepal bisa, masa 300 juta orang Indonesia tidak bisa” untuk menggalang konsolidasi masyarakat, buruh dan mahasiswa dalam upaya menentang pemerintah.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</si>
  <si>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
        <color rgb="FF1155CC"/>
        <sz val="8.0"/>
        <u/>
      </rPr>
      <t>https://x.com/Ind1509/status/1972466481146560834</t>
    </r>
  </si>
  <si>
    <t>Konten ini bersifat provokatif dan mendorong penghancuran negara melalui pembuatan nuklir mandiri untuk mengebom "sarang tikus" yang dianggap korup, dalam konteks keresahan politik menjelang aksi 30 September 2025.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</si>
  <si>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
        <color rgb="FF1155CC"/>
        <sz val="8.0"/>
        <u/>
      </rPr>
      <t>https://www.tiktok.com/@mamanotoy456/video/7553940907519905031</t>
    </r>
  </si>
  <si>
    <t>Konten tersebut diduga mengandung unsur provokasi yang mengajak masyarakat untuk melakukan aksi demonstrasi besar-besaran pada tanggal 30 September 2025 disertai narasi negatif dan provokatif untuk menepalkan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</si>
  <si>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
        <color rgb="FF1155CC"/>
        <sz val="8.0"/>
        <u/>
      </rPr>
      <t>https://www.tiktok.com/@agu..1945/video/7554536463862369547</t>
    </r>
  </si>
  <si>
    <r>
      <rPr>
        <rFont val="Arial"/>
        <color rgb="FF1155CC"/>
        <sz val="8.0"/>
        <u/>
      </rPr>
      <t>https://www.tiktok.com/@zainal.abidin.824/video/7554296409172872466</t>
    </r>
  </si>
  <si>
    <r>
      <rPr>
        <rFont val="Arial"/>
        <color rgb="FF1155CC"/>
        <sz val="8.0"/>
        <u/>
      </rPr>
      <t>https://www.tiktok.com/@sibre805/video/7555490566482447628</t>
    </r>
  </si>
  <si>
    <r>
      <rPr>
        <rFont val="Arial"/>
        <color rgb="FF1155CC"/>
        <sz val="8.0"/>
        <u/>
      </rPr>
      <t>https://www.tiktok.com/@humairah.azzahra947/video/7552729124112993537</t>
    </r>
  </si>
  <si>
    <t>Konten ini diduga mengandung unsur provokasi disertai narasi untuk menepalkan dan menelanjangi pejabat publik apabila tuntutan terhadap pengesahan RUU perampasan aset tidak segera dilakukan.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</si>
  <si>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
        <color rgb="FF1155CC"/>
        <sz val="8.0"/>
        <u/>
      </rPr>
      <t>https://www.tiktok.com/@leo_salesman/video/7549465248848186630</t>
    </r>
  </si>
  <si>
    <t>akun besar</t>
  </si>
  <si>
    <t>https://www.facebook.com/groups/221580229175240/posts/1489188479081069/</t>
  </si>
  <si>
    <t>https://www.facebook.com/groups/221580229175240/posts/1479154463417804/</t>
  </si>
  <si>
    <t>https://www.facebook.com/groups/221580229175240/posts/1471205000879417/</t>
  </si>
  <si>
    <t>https://www.facebook.com/groups/221580229175240/posts/1469249881074929/</t>
  </si>
  <si>
    <t>https://www.facebook.com/profile.php?id=61551858520255</t>
  </si>
  <si>
    <t xml:space="preserve">Akun tersebut banyak mengunggah konten Pernyataan yang dapat menimbulkan sikap permusuhan kebencian berdasarkan SARA dan penistaan agama pada group FB.
1. https://www.facebook.com/groups/221580229175240/posts/1489188479081069/ 
2. https://www.facebook.com/groups/221580229175240/posts/1490743878925529/   
3. https://www.facebook.com/groups/221580229175240/posts/1471205000879417/  
4. https://www.facebook.com/groups/221580229175240/posts/1469249881074929/ </t>
  </si>
  <si>
    <t>Akun</t>
  </si>
  <si>
    <t>https://www.facebook.com/photo/?fbid=122262272762185356&amp;set=gm.4180864172143496&amp;idorvanity=3032108023685789</t>
  </si>
  <si>
    <t>https://www.facebook.com/photo/?fbid=122261619548185356&amp;set=gm.4176953179201262&amp;idorvanity=3032108023685789</t>
  </si>
  <si>
    <t>https://www.facebook.com/photo/?fbid=122261455364185356&amp;set=gm.4176326159263964&amp;idorvanity=3032108023685789</t>
  </si>
  <si>
    <t>https://www.facebook.com/photo/?fbid=122144868944796481&amp;set=gm.4122283548001559&amp;idorvanity=3032108023685789</t>
  </si>
  <si>
    <t>https://www.facebook.com/photo/?fbid=122154791762796481&amp;set=gm.4176582309238349&amp;idorvanity=3032108023685789</t>
  </si>
  <si>
    <t>https://www.facebook.com/nacher.rainawan/posts/pfbid0KnaDrfM5d7VXQRBB4Nm8weH4xnLi8B5iZAUGHyPK9hRMaoWpYxbTNqUokuNNgFpgl</t>
  </si>
  <si>
    <t>Dilaporkan telah melakukan tindak pidana provokasi membuat postingan media sosial mengajak membubarkan DPR dan menurunkan Presiden Prabowo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</si>
  <si>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
        <color rgb="FF1155CC"/>
        <sz val="8.0"/>
        <u/>
      </rPr>
      <t>https://www.facebook.com/permalink.php?story_fbid=pfbid0HMN6TNqPQ8jiYQuP7X8AfgQtESvRHk1PWRHyQaUzE1RFCnq1mEHKN3YkGv85TQWVl&amp;id=100091700327996</t>
    </r>
  </si>
  <si>
    <t>Dilaporkan telah melakukan tindak pidana provokasi membuat postingan media sosial mengajak menuntut Presiden Prabowo dan menurunkan Kapolri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</si>
  <si>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https://www.instagram.com/reel/DN-_hzXCh_f/</t>
  </si>
  <si>
    <t>Dilaporkan telah melakukan tindak pidana provokasi membuat postingan mengajak membubarkan 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</si>
  <si>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Arial,sans-serif"/>
        <color rgb="FF1155CC"/>
        <sz val="8.0"/>
        <u/>
      </rPr>
      <t>https://www.tiktok.com/@paramex_870/video/7555578888655539468</t>
    </r>
  </si>
  <si>
    <t>Konten tersebut diduga mengandung unsur provokatif dengan narasi mendukung kemerdekaan Aceh. Hal ini bentuk dari kemarahan warga Aceh terhadap kebijakan Gubernur Sumatera Utara, Bobby Nasution.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</si>
  <si>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https://www.tiktok.com/@bubarkandpr.02/video/7555557095089704203</t>
    </r>
  </si>
  <si>
    <t>Konten tersebut diduga mengandung unsur provokasi dengan narasi yang mendorong masyarakat untuk melakukan aksi demonstrasi dengan tuntutan membubarkan DPR atau membubarkan negara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</si>
  <si>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https://www.tiktok.com/@rudi.piono/video/7555512599010430216</t>
    </r>
  </si>
  <si>
    <r>
      <rPr>
        <rFont val="Arial,sans-serif"/>
        <color rgb="FF1155CC"/>
        <sz val="8.0"/>
        <u/>
      </rPr>
      <t>https://www.tiktok.com/@rehanyaay/video/7555469057546292491</t>
    </r>
  </si>
  <si>
    <t>Konten tersebut diduga mengandung unsur provokasi yang mengajak masyarakat untuk melakukan aksi demonstrasi besar-besaran pada tanggal 30 September 2025. Selain itu terdapat komentar negatif dan provokatif dengan narasi melakukan tindakan anarkis.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</si>
  <si>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https://www.facebook.com/reel/4287478511576401</t>
    </r>
  </si>
  <si>
    <t>Konten tersebut diduga mengandung unsur provokasi yang mengajak masyarakat untuk melakukan aksi penjarahan ke rumah Menteri ESDM, Bahlil Lahadalia.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</si>
  <si>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https://www.tiktok.com/@notime_for_lv/video/7555463570880875783</t>
  </si>
  <si>
    <t>Konten tersebut diduga mengandung unsur provokatif dengan narasi mendukung kemerdekaan Aceh. Hal ini sebagai bentuk dari kemarahan warga Aceh terhadap kebijakan Gubernur Sumatera Utara, Bobby Nasution.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</si>
  <si>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https://www.tiktok.com/@bruuue_/photo/7555459185018686727</t>
    </r>
  </si>
  <si>
    <t>Konten tersebut diduga mengandung unsur provokasi karena narasi yang dibangun menekankan bahwa pemberian fasilitas, pendidikan, dan kenyamanan bukanlah bentuk bantuan tulus, melainkan strategi untuk "meninabobokan" atau melemahkan pihak tertentu. Penyampaian seperti ini berpotensi menimbulkan kecurigaan, rasa tidak percaya, serta perpecahan antar kelompok dengan menggiring opini bahwa ada motif tersembunyi di balik kebijakan atau bantuan yang diberikan. Alih-alih mendorong dialog positif, video ini justru bisa memicu emosi negatif, sentimen anti-pihak tertentu, serta konflik sosial di masyarakat.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</si>
  <si>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https://www.tiktok.com/@_alfatieh_/video/7555696811248241938</t>
    </r>
  </si>
  <si>
    <t>Konten ini diduga memuat unsur provokatif yang mendorong pelaksanaan demonstrasi pada 30 September 2025.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</si>
  <si>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https://www.tiktok.com/@dagingkurban_/photo/7555674377518386488</t>
  </si>
  <si>
    <t>onten yang menampilkan pemasangan billboard Prabowo di Israel diduga bersifat provokatif karena menempatkan simbol politik Indonesia di luar konteks yang semestinya, terutama di wilayah yang sensitif secara geopolitik. Narasi tersebut diduga berpotensi memicu spekulasi, kecurigaan, maupun kemarahan publik, seolah terdapat hubungan tersembunyi atau kepentingan khusus antara tokoh politik Indonesia dengan negara lain yang kontroversial. Akibatnya, konten ini diduga dapat memengaruhi opini publik secara negatif, menimbulkan sentimen anti-pemerintah atau anti-tokoh tertentu, serta memperkeruh suasana politik domestik.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</si>
  <si>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https://www.tiktok.com/@freakind.official/photo/7555454618663259404</t>
  </si>
  <si>
    <t>media informasi</t>
  </si>
  <si>
    <r>
      <rPr>
        <rFont val="Arial,sans-serif"/>
        <color rgb="FF1155CC"/>
        <sz val="8.0"/>
        <u/>
      </rPr>
      <t>https://www.facebook.com/reel/24915575234764917</t>
    </r>
  </si>
  <si>
    <t>Konten ini diduga mengandung unsur provokatif dengan narasi mendukung kemerdekaan Aceh. Hal ini bentuk dari kemarahan warga Aceh terhadap kebijakan Gubernur Sumatera Utara, Bobby Nasution.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</si>
  <si>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https://www.tiktok.com/@q.roylpc/video/7555686244903046407</t>
    </r>
  </si>
  <si>
    <t>Konten ini diduga memuat unsur provokatif yang mendorong tindakan anarkis dengan narasi “...Kita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</si>
  <si>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https://www.tiktok.com/@musadhek6/video/7555777619401133319</t>
    </r>
  </si>
  <si>
    <t>Konten ini diduga memuat unsur provokatif yang mendorong tindakan anarkis dengan narasi Menepalkan DPR pada aksi demonstrasi 30 September 2025.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</si>
  <si>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https://x.com/SuhardiSuh66239/status/1972855751287898488</t>
  </si>
  <si>
    <t>Konten tersebut diduga mengandung unsur provokasi yang mengajak masyarakat untuk melakukan aksi demonstrasi besar-besaran, dengan narasi “Nepalkan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</si>
  <si>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https://x.com/ArtaN7707/status/1972991149087588580</t>
  </si>
  <si>
    <t>onten ini diduga bersifat provokatif dan mendorong tindakan anarkis dengan menyerukan pembubaran Polri karena dianggap melindungi dugaan kejahatan terkait ijazah palsu mantan Presiden Jokowi. Konten tersebut juga menyertakan video yang menuduh kepolisian bersikap bias dan tidak menjalankan hukum secara adil, terutama dalam konteks peringatan peristiwa G30S/PKI pada 30 September 2025.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</si>
  <si>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https://x.com/DedehN29552/status/1973036389261516998</t>
  </si>
  <si>
    <t>Konten ini diduga bersifat provokatif dan mendorong tindakan anarkis dengan menyerukan gerakan 'menepalkan' terhadap pemerintah atau tokoh terkait isu perubahan plat kendaraan di Sumatera Utara, yang dianggap kontroversial.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</si>
  <si>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https://x.com/didiek_murdock/status/1973028980367544418</t>
  </si>
  <si>
    <t>Konten ini diduga bersifat provokatif dan mendorong tindakan anarkis melalui seruan gerakan 'Menepalkan' dan 'Tindakan kekerasan secara massal' terhadap figur politik, termasuk Wakil Presiden Gibran dan keluarganya.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</si>
  <si>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https://x.com/VerenaSusilowa1/status/1973023060308672681</t>
  </si>
  <si>
    <t>Konten ini diduga bersifat provokatif dan mendorong tindakan anarkis melalui seruan 'Menepalkan' yang menargetkan figur politik Bobby Nasution. Konten tersebut diduga menampilkan narasi yang merendahkan sekaligus memberikan tuduhan adanya perlindungan terhadap figur bersangkutan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</si>
  <si>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https://www.instagram.com/lembagapelopor2024/</t>
  </si>
  <si>
    <r>
      <rPr>
        <rFont val="Arial"/>
        <sz val="8.0"/>
      </rPr>
      <t xml:space="preserve">Akun ini diduga secara aktif menyebarkan konten disinformasi, provokatif, dan ujaran kebencian dengan disertai narasi penangkapan terhadap Jokowi dan pemakzulan wakil presiden Gibran. Akun ini menggunakan beberapa thumbnail yang diduga disertai narasi ujaran kebencian dan disinformasi yang ditujukan kepada Wakil Presiden Gibran Rakabuming Raka.
Seperti pada tautan konten berikut:
</t>
    </r>
    <r>
      <rPr>
        <rFont val="Arial"/>
        <color rgb="FF1155CC"/>
        <sz val="8.0"/>
        <u/>
      </rPr>
      <t>https://www.instagram.com/p/DPNIqAvEgKY/
https://www.instagram.com/p/DPHLdfCD-Nq/
https://www.instagram.com/p/DO-C_U1D2eY/
https://www.instagram.com/p/DOxjCDwD6Hd/</t>
    </r>
    <r>
      <rPr>
        <rFont val="Arial"/>
        <sz val="8.0"/>
      </rPr>
      <t xml:space="preserve">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r>
  </si>
  <si>
    <t>Url Akun</t>
  </si>
  <si>
    <t>https://www.instagram.com/p/DPEaDUGE1eJ/</t>
  </si>
  <si>
    <t>Hoax</t>
  </si>
  <si>
    <r>
      <rPr>
        <rFont val="Arial"/>
        <sz val="8.0"/>
      </rPr>
      <t xml:space="preserve">Konten ini diduga merupakan hoaks yang menyebarkan informasi tidak benar terkait adanya 11 korban meninggal dunia akibat program Makan Bergizi Gratis (MBG). BGN menegaskan bahwa informasi yang beredar adalah hoaks dan meminta masyarakat untuk tidak mudah terprovokasi
Tautan Debunking:
</t>
    </r>
    <r>
      <rPr>
        <rFont val="Arial"/>
        <color rgb="FF1155CC"/>
        <sz val="8.0"/>
        <u/>
      </rPr>
      <t>https://health.detik.com/berita-detikhealth/d-8135471/viral-narasi-11-orang-meninggal-di-jabar-akibat-keracunan-mbg-bgn-pastikan-hoax?utm_source=chatgpt.com</t>
    </r>
    <r>
      <rPr>
        <rFont val="Arial"/>
        <sz val="8.0"/>
      </rPr>
      <t xml:space="preserve">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</si>
  <si>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https://www.tiktok.com/@paijokusumo6/video/7555891194107006219</t>
  </si>
  <si>
    <t>Konten ini diduga memuat unsur provokatif yang mendorong tindakan anarkis melalui narasi 'nepalkan', dengan menargetkan figur politik Puan Maharani. Narasi tersebut mengacu pada aksi anarkis yang terjadi dalam demonstrasi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</si>
  <si>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Konten ini diduga memuat unsur provokatif yang mendorong tindakan anarkis melalui narasi “menepalkan DPR”. Narasi tersebut mengacu pada aksi anarkis yang terjadi dalam demonstrasi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</si>
  <si>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https://www.tiktok.com/@athaleta_a_odelina/video/7555745553502457099</t>
  </si>
  <si>
    <t>Konten ini diduga memuat unsur provokatif yang mendorong tindakan anarkis melalui narasi “menepalkan DPR” dan menggiring opini publik dengan narasi memfitnah ketua DPR RI membuat ulah dengan mengesahkan peraturan bahwa DPR bisa melakukan pencopotan pimpinan KPK, MK, hingga Polri. Narasi tersebut mengacu pada aksi anarkis yang terjadi dalam demonstrasi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</si>
  <si>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https://www.tiktok.com/@hermanofficial831/video/7553916056385899832</t>
  </si>
  <si>
    <t>https://www.tiktok.com/@hellenabasri/video/7553914179585903928</t>
  </si>
  <si>
    <t>Konten ini diduga memuat unsur provokatif yang mendorong tindakan anarkis melalui narasi “menepalkan DPR dan anggota DPR”. Narasi tersebut mengacu pada aksi anarkis yang terjadi dalam demonstrasi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</si>
  <si>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https://www.instagram.com/jonatannapitu676/</t>
  </si>
  <si>
    <t>https://www.instagram.com/islamgajelas/</t>
  </si>
  <si>
    <t>https://www.instagram.com/anjingislam/</t>
  </si>
  <si>
    <t>https://www.instagram.com/pembenci_islam/</t>
  </si>
  <si>
    <t>https://www.instagram.com/palestinebabi/</t>
  </si>
  <si>
    <t>https://www.instagram.com/reel/DMm3n1kS7tk/</t>
  </si>
  <si>
    <t>akun tersebut mengunggah konten tentang razia kepada warga daerah Medan.</t>
  </si>
  <si>
    <t xml:space="preserve"> (akun besar 43.7K, media informasi)</t>
  </si>
  <si>
    <t>https://www.instagram.com/reel/DN5z7lZEkrz/</t>
  </si>
  <si>
    <t>PROVOKASI, UJARAN KEBENCIAN</t>
  </si>
  <si>
    <t>Dilaporkan telah melakukan unggahan ujaran kebencian dan provokasi untuk menurunkan Citra Polri, hal ini akan berdampak semakin memicu tindakan kericuhan,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</si>
  <si>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Konten dapat menimbulkan ketidakpercayaan masyarakat terhadap citra Polri dan dapat memicu dampak negatif pada masyarakat dan memicu kericuhan di ruang publik.</t>
  </si>
  <si>
    <t>https://x.com/didiek_murdock/status/1984513707960123768</t>
  </si>
  <si>
    <t>Konten tersebut diduga mengandung unsur provokatif dengan ajakan untuk melakukan tindak anarkis dengan narasi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</si>
  <si>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https://x.com/mariadi63425147/status/1984471111699255398</t>
  </si>
  <si>
    <t>Konten tersebut diduga mengandung unsur provokatif dengan ajakan untuk melakukan tindak anarkis dengan narasi “nepalkan dan bakar kantor DPRD”.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</si>
  <si>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https://x.com/JoppieMagai/status/1984432324239638713</t>
  </si>
  <si>
    <t>Konten tersebut diduga mengandung unsur provokatif dengan ajakan untuk melakukan tindak anarkis dengan narasi “nepalkan semua anggora DPRD Pati”.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</si>
  <si>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https://x.com/PEOPLEOFTHELIE4/status/1984521777377394973</t>
  </si>
  <si>
    <t>Konten tersebut diduga mengandung unsur provokatif dengan ajakan untuk melakukan tindak anarkis dengan narasi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</si>
  <si>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https://x.com/AzkaZaffa/status/1984498797683384572</t>
  </si>
  <si>
    <t>Konten tersebut diduga mengandung unsur provokatif dengan ajakan untuk melakukan tindak anarkis dengan narasi “Kita Nepalkan mulai dari Pati”.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</si>
  <si>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Times New Roman"/>
        <color rgb="FF1155CC"/>
        <sz val="8.0"/>
        <u/>
      </rPr>
      <t>https://www.facebook.com/share/r/1CGXaE9n89/</t>
    </r>
    <r>
      <rPr>
        <rFont val="Times New Roman"/>
        <sz val="8.0"/>
      </rPr>
      <t xml:space="preserve"> </t>
    </r>
  </si>
  <si>
    <t>https://www.facebook.com/share/r/1BeZwYjqUY/</t>
  </si>
  <si>
    <r>
      <rPr>
        <rFont val="Times New Roman"/>
        <color rgb="FF1155CC"/>
        <sz val="8.0"/>
        <u/>
      </rPr>
      <t>https://x.com/TheUncleDee/status/1984603279742157284</t>
    </r>
  </si>
  <si>
    <t>Konten ini diduga memuat unsur provokatif dengan narasi aksi anarkis terhadap DPRD pati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</si>
  <si>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Times New Roman"/>
        <color rgb="FF1155CC"/>
        <sz val="8.0"/>
        <u/>
      </rPr>
      <t>https://x.com/SeriDianawati/status/1984570042911244499</t>
    </r>
  </si>
  <si>
    <t>Konten ini diduga memuat unsur provokatif dengan narasi ancaman akan aksi anarkis terhadap para pejabat di Republik Indonesia, dan konten ini merupakan sebuah komentar dari sebuah unggahan terkait Bupati Pati,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</si>
  <si>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Times New Roman"/>
        <color rgb="FF1155CC"/>
        <sz val="8.0"/>
        <u/>
      </rPr>
      <t>https://www.facebook.com/share/r/19xgGuhZMw/</t>
    </r>
  </si>
  <si>
    <t>Konten ini memprovokasi untuk melakukan aksi anarkis terhadap Bahlil serta pejabat RI lainnya.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</si>
  <si>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Times New Roman"/>
        <color rgb="FF1155CC"/>
        <sz val="8.0"/>
        <u/>
      </rPr>
      <t>https://www.instagram.com/p/DOKTdVQE6Vn/</t>
    </r>
  </si>
  <si>
    <t>Dilaporkan telah melakukan tindak pidana provokasi membuat postingan media sosial mengajak menurunkan Presiden Presiden menuntut hal-hal lain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</si>
  <si>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r>
      <rPr>
        <rFont val="Times New Roman"/>
        <color rgb="FF1155CC"/>
        <sz val="8.0"/>
        <u/>
      </rPr>
      <t>https://www.instagram.com/p/DOuev4WkqWA/</t>
    </r>
  </si>
  <si>
    <r>
      <rPr>
        <rFont val="Times New Roman"/>
        <color rgb="FF1155CC"/>
        <sz val="8.0"/>
        <u/>
      </rPr>
      <t>https://www.facebook.com/reel/782469754460122</t>
    </r>
  </si>
  <si>
    <r>
      <rPr>
        <rFont val="Times New Roman"/>
        <color rgb="FF1155CC"/>
        <sz val="8.0"/>
        <u/>
      </rPr>
      <t>https://www.facebook.com/reel/706475545756625</t>
    </r>
  </si>
  <si>
    <t>https://www.facebook.com/eva.christiana.167/videos/1470770977150641</t>
  </si>
  <si>
    <t>https://www.facebook.com/photo/?fbid=791585763376633&amp;set=a.334812955720585</t>
  </si>
  <si>
    <t>https://www.facebook.com/groups/1010933189941887/posts/1353993962302473/</t>
  </si>
  <si>
    <t xml:space="preserve">Belum ada surat </t>
  </si>
  <si>
    <t>https://www.facebook.com/groups/1010933189941887/posts/1345953039773232/</t>
  </si>
  <si>
    <t>https://www.facebook.com/groups/1010933189941887/posts/1304756497226220/</t>
  </si>
  <si>
    <r>
      <rPr>
        <rFont val="Times New Roman"/>
        <color rgb="FF1155CC"/>
        <sz val="8.0"/>
        <u/>
      </rPr>
      <t>https://x.com/Sh4dowBone__/status/1984802407998767541</t>
    </r>
  </si>
  <si>
    <r>
      <rPr>
        <rFont val="Times New Roman"/>
        <color rgb="FF1155CC"/>
        <sz val="8.0"/>
        <u/>
      </rPr>
      <t>https://x.com/Sh4dowBone__/status/1984833991493775469</t>
    </r>
  </si>
  <si>
    <t>Konten tersebut diduga mengandung unsur provokatif dengan ajakan untuk melakukan tindak anarkis dengan narasi “GANTUNG MATI KORUPTOR” dan “NEPALKAN GENG SOLO”.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</si>
  <si>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Times New Roman"/>
        <color rgb="FF1155CC"/>
        <sz val="8.0"/>
        <u/>
      </rPr>
      <t>https://web.facebook.com/share/p/17Ubbu2zDo/</t>
    </r>
  </si>
  <si>
    <t>Konten tersebut diduga mengandung unsur provokatif dengan ajakan untuk melakukan tindak anarkis dengan narasi “NEPAL KAN JOKOWI GIBRAN MUSUH RAKYAT”.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</si>
  <si>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Times New Roman"/>
        <color rgb="FF1155CC"/>
        <sz val="8.0"/>
        <u/>
      </rPr>
      <t>https://x.com/Kamikaze87654/status/1984863734528164019</t>
    </r>
  </si>
  <si>
    <t>Konten tersebut diduga mengandung unsur provokatif dengan ajakan untuk melakukan tindak anarkis dengan narasi “NEPALKAN GENG SOLO”.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</si>
  <si>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Times New Roman"/>
        <color rgb="FF1155CC"/>
        <sz val="8.0"/>
        <u/>
      </rPr>
      <t>https://www.facebook.com/groups/229441697196157/permalink/3435191676621127/?rdid=NXc9ecLq4glCJZJC#</t>
    </r>
  </si>
  <si>
    <t>Konten tersebut diduga mengandung disinformasi yang menimbulkan provokasi yaitu dalam narasi “tak peduli terhadap manusia Papua (SDM), mainkan sumber daya alamnya (SDA)”. Konten ini dapat menimbulkan perpecahan di dalam masyarakat hingga bisa berujung pada separatisme.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</si>
  <si>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Times New Roman"/>
        <color rgb="FF1155CC"/>
        <sz val="8.0"/>
        <u/>
      </rPr>
      <t>https://x.com/jalagut/status/1984980900543906052</t>
    </r>
  </si>
  <si>
    <t>Konten tersebut diduga mengandung unsur provokatif dengan ajakan untuk melakukan tindak anarkis dengan narasi “ayo nepalkan” terhadap Gubernur Pati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</si>
  <si>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Times New Roman"/>
        <color rgb="FF1155CC"/>
        <sz val="8.0"/>
        <u/>
      </rPr>
      <t>https://x.com/Bi_ma_bima/status/1984855324923453719</t>
    </r>
  </si>
  <si>
    <t>Konten tersebut diduga mengandung unsur provokatif dengan ajakan untuk melakukan tindak anarkis dengan narasi “nepalkan” terhadap Gubernur Pati dan DPRD Pati.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</si>
  <si>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Times New Roman"/>
        <color rgb="FF1155CC"/>
        <sz val="8.0"/>
        <u/>
      </rPr>
      <t>https://www.facebook.com/share/p/14KxDLKNPNP/</t>
    </r>
  </si>
  <si>
    <t>Konten ini diduga memuat unsur provokatif dengan narasi yang memprovokasi masyarakat Pati akan aksi anarkis terhadap Bupati Pati,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</si>
  <si>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Times New Roman"/>
        <color rgb="FF1155CC"/>
        <sz val="8.0"/>
        <u/>
      </rPr>
      <t>https://www.facebook.com/share/v/16n4X1Fm6z/</t>
    </r>
  </si>
  <si>
    <t>Konten ini memprovokasi untuk melakukan aksi anarkis terhadap Joko Widodo dan menyinggung aksi 1998 sebagai referensi akan aksi yang akan dilakukan.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</si>
  <si>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Times New Roman"/>
        <color rgb="FF1155CC"/>
        <sz val="8.0"/>
        <u/>
      </rPr>
      <t>https://www.facebook.com/share/p/1aXQACNwCd/</t>
    </r>
  </si>
  <si>
    <t>Konten ini diduga memuat unsur provokatif dengan narasi aksi anarkis terhadap Joko Widodo dan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</si>
  <si>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https://vt.tiktok.com/ZSySFkxEH/</t>
  </si>
  <si>
    <t>Ditemukan konten pada media sosial TikTok yang bermuatan provokasi kepada masyarakat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</si>
  <si>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</si>
  <si>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t>https://vt.tiktok.com/ZSySFHE3r/</t>
  </si>
  <si>
    <t>Ditemukan konten pada media sosial TikTok yang bermuatan provokasi kepada masyarakat untuk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</si>
  <si>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https://vt.tiktok.com/ZSySF4fRs/</t>
  </si>
  <si>
    <t>https://vt.tiktok.com/ZSySFPFa3/</t>
  </si>
  <si>
    <t>https://vt.tiktok.com/ZSySFxo72/</t>
  </si>
  <si>
    <t>https://x.com/cilayuwu/status/1985231130560507924</t>
  </si>
  <si>
    <t>Ditemukan konten pada media sosial Twitter yang diduga bermuatan ujaran kebencian dengan menggunakan bahasa jawa yang ditujukan untuk Menteri ESDM Bahlil Lahdalia yang dibuat dengan menggunakan Artificial Intelligence.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</si>
  <si>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https://x.com/YGundero35921/status/1985352182800203898</t>
  </si>
  <si>
    <t>Ditemukan konten pada media sosial Twitter yang diduga bermuatan provokasi untuk memakzulkan Wakil Presiden Gibran Rakabuming Raka.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</si>
  <si>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https://www.tiktok.com/@rozyfadhila91/video/7550310472189250821</t>
  </si>
  <si>
    <t>Ditemukan konten yang dibuat dengan menggunakan AI pada media sosial TikTok yang diduga bermuatan provokasi untuk mengajak masyarakat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</si>
  <si>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https://www.tiktok.com/@ayah_bellvandra/video/7568393655891905799</t>
  </si>
  <si>
    <t>Provokatif dan Fitnah</t>
  </si>
  <si>
    <t>Telah ditemukan konten di platform TikTok yang diduga dibuat dengan bantuan teknologi AI, berisi narasi provokatif dan fitnah yang menyudutkan DPR dan para anggotanya, terkait anggapan bahwa RUU Perampasan Aset berjalan lambat dan belum kunjung disahkan.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</si>
  <si>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https://www.tiktok.com/@bolank_905/video/7566907432807484679</t>
  </si>
  <si>
    <t>Telah ditemukan konten di platform TikTok yang diduga berisi narasi provokatif untuk membubarkan DPR dan menuntut Ketua DPR Puan Maharani untuk turun (lengser) jika RUU Perampasan Aset tidak disahkan.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</si>
  <si>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https://www.tiktok.com/@bolank_905/video/7567002867979128072</t>
  </si>
  <si>
    <t>Telah ditemukan konten di platform TikTok yang diduga berisi narasi provokatif untuk membubarkan DPR dengan tuntutan segera mengesahkan RUU Perampasan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</si>
  <si>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https://www.facebook.com/permalink.php?story_fbid=pfbid0hvU48NHzMapVAXMDzNQFbhCKqikMLWtXsozd68TiRT1Kboknq1dGmN7UAc71ULJzl&amp;id=61582344170839</t>
  </si>
  <si>
    <t>https://www.facebook.com/permalink.php?story_fbid=pfbid02cZ7EHLeN9NRhEHGZcM3JMChT29nKqDa6fDLDRCAsvz2gKbHiog6JmdtdeeoreWHnl&amp;id=61582344170839</t>
  </si>
  <si>
    <t>https://www.facebook.com/permalink.php?story_fbid=pfbid034opnj8uzQ87gsocyGGgzyLJUtirvin9YPC8VfuezaEUR3jz6djvaR8qJY84ZSvwbl&amp;id=61582344170839</t>
  </si>
  <si>
    <t>https://www.facebook.com/permalink.php?story_fbid=pfbid0rpGR7ZuZ3ZrmPW7p8qd67ND9v43q6yU3WkHruz26gvYSzg6Nr27jYncjaVxF1HNEl&amp;id=61582344170839</t>
  </si>
  <si>
    <t>https://www.facebook.com/permalink.php?story_fbid=pfbid0n6hHBtJ7UoYYmZpjSvxd22DMThFhXA4Sp6ipLQ5omPf5iXtJ5g2uhUvZmkzaUApFl&amp;id=61582344170839</t>
  </si>
  <si>
    <r>
      <rPr>
        <rFont val="Arial,sans-serif"/>
        <color rgb="FF1155CC"/>
        <sz val="8.0"/>
        <u/>
      </rPr>
      <t>https://www.facebook.com/reel/1122895423348875</t>
    </r>
  </si>
  <si>
    <t>https://www.facebook.com/reel/1333572581800104</t>
  </si>
  <si>
    <r>
      <rPr>
        <rFont val="Arial,sans-serif"/>
        <color rgb="FF1155CC"/>
        <sz val="8.0"/>
        <u/>
      </rPr>
      <t>https://www.facebook.com/reel/779122588460079</t>
    </r>
  </si>
  <si>
    <t>https://www.instagram.com/p/DN0KiVk5Gz8/</t>
  </si>
  <si>
    <t>Dilaporkan telah melakukan tindak pidana provokasi membuat postingan media sosial dengan narasi "Seribu Alasan Untuk mengganti Pemerintahan Prabowo-Gibran" serta menggunakan tagar #indonesiagelap, #indonesiacemas, #turunkanprabowo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</si>
  <si>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 xml:space="preserve">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 </t>
  </si>
  <si>
    <t>https://www.facebook.com/groups/3788219251217098/posts/25256582940620752/</t>
  </si>
  <si>
    <t>https://www.facebook.com/groups/3788219251217098/posts/25246821201596926/</t>
  </si>
  <si>
    <t>https://www.facebook.com/groups/3788219251217098/posts/25047969671482081/</t>
  </si>
  <si>
    <r>
      <rPr>
        <rFont val="Arial,sans-serif"/>
        <color rgb="FF1155CC"/>
        <sz val="8.0"/>
        <u/>
      </rPr>
      <t>https://www.facebook.com/reel/1122895423348875</t>
    </r>
  </si>
  <si>
    <r>
      <rPr>
        <rFont val="Arial,sans-serif"/>
        <color rgb="FF1155CC"/>
        <sz val="8.0"/>
        <u/>
      </rPr>
      <t>https://www.facebook.com/reel/779122588460079</t>
    </r>
  </si>
  <si>
    <t>https://vt.tiktok.com/ZSyDGUmgV/</t>
  </si>
  <si>
    <t xml:space="preserve">Ditemukan konten pada media sosial TikTok yang diduga bermuatan provokasi kepada masyarakat untuk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</si>
  <si>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https://vt.tiktok.com/ZSyDth2fA/</t>
  </si>
  <si>
    <t>https://vt.tiktok.com/ZSyDGvAen/</t>
  </si>
  <si>
    <t>https://vt.tiktok.com/ZSyDGWKNa/</t>
  </si>
  <si>
    <t>https://vt.tiktok.com/ZSyDGcwV7/</t>
  </si>
  <si>
    <t>https://www.tiktok.com/@gajadompak7/video/7568634320185855240</t>
  </si>
  <si>
    <t>Ditemukan konten pada media sosial TikTok yang dibuat menggunakan AI dan diduga memuat narasi provokasi untuk memakzulkan Wakil Presiden Gibran Rakabuming Raka dan menangkap mantan Presiden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</si>
  <si>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https://x.com/secr3thm4nz56/status/1985559168649216445</t>
  </si>
  <si>
    <t>Ditemukan konten pada media sosial X (Twitter) yang diduga memuat narasi provokatif terkait upaya pemakzulan Wakil Presiden Gibran. Konten tersebut menggabungkan peristiwa warga Pati yang mengepung DPRD Pati untuk memakzulkan Bupati, disertai video aksi demonstrasi, dengan narasi yang memprovokasi: “Jika warga Pati bisa, mengapa warga Jakarta tidak bisa memakzulkan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</si>
  <si>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https://x.com/AlinaliViral/status/1985710042432319831</t>
  </si>
  <si>
    <t>Ditemukan konten pada media sosial X (Twitter) yang diduga memuat narasi provokatif yang menyerukan perlunya “menepalkan” Indonesia agar dapat ditata ulang karena menurutnya Presiden selalu membela pengkhianat bangsa.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</si>
  <si>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https://www.facebook.com/groups/369201070241516/?multi_permalinks=2243368502824754</t>
  </si>
  <si>
    <t>Ditemukan konten pada media sosial Facebook yang diduga memuat narasi provokatif dan menyerukan untuk warga Solo untuk memakzulkan Wakil Presiden Gibran dan adili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</si>
  <si>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https://www.facebook.com/reel/809280585149687</t>
  </si>
  <si>
    <t>Provokatif
dan Hoax</t>
  </si>
  <si>
    <t>Ditemukan konten pada media sosial Facebook yang diduga memuat narasi provokatif dan hoaks dengan menampilkan video kerusuhan aksi demonstrasi yang dinarasikan terjadi di Surabaya dan akan terjadinperistiwa serupa tahun 1998. Konten tersebut diduga digunakan untuk menyebarkan narasi adili mantan Presiden Jokowi dan memakzulkan Wakil Presiden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</si>
  <si>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https://www.facebook.com/ashabul.ashabul.16144/videos/24598249439871472</t>
  </si>
  <si>
    <t>Ditemukan konten pada media sosial Facebook yang diduga memuat narasi ujaran kebencian dan provokatif terkait upaya pemakzulan Wakil Presiden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</si>
  <si>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https://x.com/Molekul_Ceria/status/1982783545908040103</t>
  </si>
  <si>
    <t>Ujaran Kebencian dan Pencemaran Nama Baik</t>
  </si>
  <si>
    <t>Ditemukan konten pada media sosial X (Twitter) yang diduga memuat ujaran kebencian dan pencemaran nama baik berupa meme yang dibuat menggunakan AI, yang ditujukan kepada Bahlil Lahadalia.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</si>
  <si>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https://www.instagram.com/p/DN7NbgmASQQ/</t>
    </r>
  </si>
  <si>
    <t>Dilaporkan telah melakukan tindak pidana provokasi membuat postingan media sosial dengan narasi "Turunkan Prabowo!" serta menyatakan bahwa Presiden Prabowo telah mengorbankan keselamatan rakyat, diikuti dengan tagar #Turunkanprabowo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</si>
  <si>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https://www.facebook.com/share/r/1D7aNMMXAX/</t>
  </si>
  <si>
    <t>Ditemukan konten pada media sosial Facebook yang diduga bermuatan provokatif ajakan untuk pembubaran DPR karena dianggap hanya merampas hak rakyat dan hak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</si>
  <si>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Undang-Undang Nomor 1 Tahun 2024 tentang Perubahan Kedua Atas Undang-Undang Nomor 11 Tahun 2008 tentang Informasi dan Transaksi Elektronik pada Pasal 28 ayat (3) dan Pasal 45A ayat (3), Pasal 28 ayat (2) dan Pasal 45A ayat (2).</t>
  </si>
  <si>
    <t>https://www.facebook.com/share/r/1Eu545Q8ji/</t>
  </si>
  <si>
    <t>Ditemukan konten Facebook diduga ajakan provokatif yang memaparkan uraian pendapatan anggota DPR dan mengatakan bahwa DPR hanya peduli anggaran.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</si>
  <si>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https://www.facebook.com/share/r/1D2sGw8D2d/</t>
  </si>
  <si>
    <t>Ditemukan konten pada media sosial Facebook diduga berisi ajakan provokatif yang mentebutkan bahwa DPR merupakan mafia dan ajakan pembubaran DPR.</t>
  </si>
  <si>
    <t>https://www.facebook.com/share/r/1PyHke33cB/</t>
  </si>
  <si>
    <t>Ditemukan konten pada media sosial Facebook yang berisi ajakan provokatif yang mengajak menepalkan dan membubarkan DPR.</t>
  </si>
  <si>
    <t>https://www.facebook.com/share/r/1FweHjkiGm/</t>
  </si>
  <si>
    <t>Ditemukan konten pada media sosial Facebook diduga menyebarkan ajakan provokatif untuk pembubaran DPR dan menepalkan para pejabat.</t>
  </si>
  <si>
    <t>https://www.facebook.com/share/r/1Cfx21bf3g/</t>
  </si>
  <si>
    <t>Ditemukan konten pada media sosial Facebook yang berisi ajakan diduga provokasi pembubaran DPR.</t>
  </si>
  <si>
    <t>https://www.facebook.com/100069334488513/posts/1129991065988699</t>
  </si>
  <si>
    <t>Hoaks</t>
  </si>
  <si>
    <t xml:space="preserve">Beredar sebuah Postingan di media sosial Facebook yang mengeklaim narasi bahwa; Keponakan luhut pakai dana danantara untuk judi saham.
Faktanya, klaim tersebut adalah tidak benar. Dilansir dari turnbackhoax.id, Faktanya, keponakan Luhut sebagai investment officer Danantara menggunakan sebagian dana dividen BUMN untuk membeli obligasi pemerintah.
Unggahan berisi klaim “Dana Danantara Dipakai Buat Judi Saham Oleh Ponakan Luhut” merupakan konten yang menyesatkan (misleading content).
Link Counter:
https://turnbackhoax.id/2025/10/30/salah-keponakan-luhut-pakai-dana-danantara-untuk-judi-saham/ </t>
  </si>
  <si>
    <t xml:space="preserve">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t>
  </si>
  <si>
    <t>https://www.facebook.com/kata2kotakita/posts/1210896637750835/</t>
  </si>
  <si>
    <r>
      <rPr>
        <rFont val="Arial"/>
        <sz val="8.0"/>
      </rPr>
      <t xml:space="preserve">Beredar sebuah Postingan di media sosial Facebook yang mengeklaim narasi bahwa; BGN Benarkan Baki Program MBG Mengandung Lemak Babi.
Faktanya, dilansir dari turnbackhoax.id, Faktanya, BGN membantah klaim baki program MBG mengandung lemak babi. Tim Pemeriksa Fakta Mafindo (TurnBackHoax) memasukkan kata kunci “BGN benarkan baki makan bergizi gratis mengandung lemak babi” ke mesin pencari Google.
Penelusuran teratas mengarah ke sejumlah artikel yang membantah klaim, beberapa di antaranya adalah:
tempo.co “Keliru: BGN Akui Ompreng MBG Mengandung Minyak Babi” tayang pada Kamis (25/9/2025), dan
idntimes.com “CEK FAKTA: BGN Pernah Akui Ompreng MBG Mengandung Minyak Babi?” tayang pada Selasa (30/9/2025).
Dilansir dari kedua artikel tersebut, BGN telah membantah adanya pemakaian minyak babi di baki makan MBG. Kepala BGN Dadan Hindayana menyatakan baki makan MBG menggunakan plastik dan sama sekali tidak memakai minyak. Klaim ini didasarkan dari kunjungan Dadan pada Selasa (23/9/2025) ke pabrik pembuatan baki makan MBG di Bekasi.
Link Counter:
https://turnbackhoax.id/2025/10/31/salah-bgn-benarkan-baki-program-mbg-mengandung-lemak-babi/
https://www.tempo.co/cekfakta/keliru-bgn-akui-ompreng-mbg-mengandung-minyak-babi-2073179
</t>
    </r>
    <r>
      <rPr>
        <rFont val="Arial"/>
        <color rgb="FF1155CC"/>
        <sz val="8.0"/>
        <u/>
      </rPr>
      <t>https://www.idntimes.com/news/indonesia/cek-fakta-bgn-pernah-akui-ompreng-mbg-mengandung-minyak-babi-00-bbwlv-0bbyx5</t>
    </r>
  </si>
  <si>
    <t>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t>
  </si>
  <si>
    <t>https://www.facebook.com/photo/?fbid=1374305630984512&amp;set=g.436927017440797</t>
  </si>
  <si>
    <t>https://www.facebook.com/photo/?fbid=1374963670918708&amp;set=gm.1569572657509555&amp;idorvanity=436927017440797</t>
  </si>
  <si>
    <t>https://www.facebook.com/photo/?fbid=1379299137151828&amp;set=gm.1574031070397047&amp;idorvanity=436927017440797</t>
  </si>
  <si>
    <t>https://www.facebook.com/photo/?fbid=122185112588467281&amp;set=g.436927017440797</t>
  </si>
  <si>
    <t>https://www.facebook.com/photo/?fbid=122173915112467281&amp;set=gm.1491228588677296&amp;idorvanity=436927017440797</t>
  </si>
  <si>
    <t>https://www.facebook.com/photo/?fbid=122152821632467281&amp;set=gm.1385383282595161&amp;idorvanity=436927017440797</t>
  </si>
  <si>
    <t>https://www.facebook.com/groups/1170692676668615/posts/2054304001640807/</t>
  </si>
  <si>
    <t>https://www.facebook.com/groups/1170692676668615/posts/2050046048733269/</t>
  </si>
  <si>
    <t>https://www.facebook.com/groups/1170692676668615/posts/2050033238734550/</t>
  </si>
  <si>
    <t>https://www.facebook.com/groups/1170692676668615/posts/2050032085401332/</t>
  </si>
  <si>
    <t>https://www.facebook.com/groups/1170692676668615/posts/2048315212239686/</t>
  </si>
  <si>
    <t>https://www.facebook.com/permalink.php?story_fbid=pfbid02KjkjdVJg57WQnUyBzHPKGreoXPPVLVEaQyoPCTHwZEPydPauXh4eiJYw67vYg114l&amp;id=100082486474090</t>
  </si>
  <si>
    <t>Ditemukan konten pada media sosial Facebook yang diduga bermuatan provokatif berupa ajakan untuk membubarkan DPR disertai dengan video yang tertaut pada platform youtube.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</si>
  <si>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https://www.youtube.com/shorts/oOFP9W8HqVE</t>
  </si>
  <si>
    <t>Ditemukan konten video demonstrasi yang dibuat dengan menggunakan teknologi AI pada media sosial Youtube yang diduga berisi orasi dan ajakan provokasi pembubaran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</si>
  <si>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https://www.facebook.com/reel/693028646799440</t>
  </si>
  <si>
    <t>Ditemukan konten di media sosial Facebook yang diduga bermuatan provokatif, berisi ajakan untuk membubarkan DPR dengan narasi yang memframing ketimpangan antara gaji rakyat kecil yang pas-pasan dan gaji anggota DPR yang besar, disertai sorotan terhadap kenaikan pajak dan harga BBM dan beras.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</si>
  <si>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15k follower (hanya kritik)</t>
  </si>
  <si>
    <t>https://x.com/Bacoleng/status/1981204553984070044</t>
  </si>
  <si>
    <t>Ditemukan konten pada media sosial twittter yang diduga memiliki muatan provokatif untuk memakzulkan Wakil Presiden Gibran Rakabuming Raka dan mengadili mantan Presdiden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</si>
  <si>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https://www.tiktok.com/@bolank_905/video/7568034225153117447</t>
  </si>
  <si>
    <t>Ditemukan konten pada media sosial Tiktok yang diduga bermuatan provokatif berupa ajakan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</si>
  <si>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https://www.tiktok.com/@joys1233/video/7539600654441008389</t>
  </si>
  <si>
    <t>Ditemukan konten pada media sosial Tiktok yang diduga bermuatan provokatif berupa ajakan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</si>
  <si>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https://www.facebook.com/r.neno.2025/posts/pfbid02s6ycPXgQrWUcd8v4XbsBGCepKajYaXNEhNtbUMj9mAWfwe7W22EK9Th8R6Yecczdl</t>
  </si>
  <si>
    <t xml:space="preserve">Ditemukan konten pada media sosial Facebook yang diduga memiliki muatan provokatif untuk memakzulkan Wakil Presiden Gibran Rakabuming Raka dan mengadili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</si>
  <si>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https://x.com/JoppieMagai</t>
  </si>
  <si>
    <t>Ditemukan sebuah akun yang kerap menyebarkan konten yang sama, yaitu mengenai tudingan bahwa Menteri Agraria dan Tata Ruang merampas tanah milik rakyat. Unsur provokatif disampaikan dengan narasi “nepalkan” yang berulang kali diposting oleh akun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</si>
  <si>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https://web.facebook.com/share/p/16JPPZW9sz/</t>
  </si>
  <si>
    <t>Konten tersebut merupakan kutipan atas sebuah video Rismon dengan narasi “Nepalkan Indonesia yang akan dimulai dari Solo”.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</si>
  <si>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https://web.facebook.com/share/r/1HHatZ7n8U/</t>
  </si>
  <si>
    <t>Konten tersebut diduga mengandung unsur provokatif dengan narasi “Jika pejabat Indonesia belum pernah di Nepal kan, tidak akan berubah !!!”, yang diduga mendukung perubahan dengan tindakan anarkis.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</si>
  <si>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Ditemukan konten pada media sosial X yang diduga memiliki muatan provokatif untuk menepalkan Gibran, Bahlil dan Luhut.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</si>
  <si>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</si>
  <si>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t>https://x.com/ArtaN7707/status/1986615371445756409</t>
  </si>
  <si>
    <t xml:space="preserve">Ditemukan konten pada media sosial facebook yang diduga memiliki muatan provokatif untuk menghancurkan Dedi Mulyadi.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</si>
  <si>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https://www.facebook.com/syaeful.ibrahim.3/posts/pfbid0kKpbm9Xv9tTkvUaAvHr7ur5MQ7J7RFD1tRrTqtwNTHXeWhC5oRaYS8uX7sWFgDgql</t>
  </si>
  <si>
    <t>Ditemukan konten pada media sosial facebook yang diduga memiliki muatan provokatif dan ujaran kebencian terhadap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</si>
  <si>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https://www.facebook.com/reel/751150587938276</t>
  </si>
  <si>
    <t xml:space="preserve">Ditemukan konten pada media sosial facebook yang diduga memiliki muatan provokatif untuk menjelekan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</si>
  <si>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Akun besar, 169.5 Pengikut</t>
  </si>
  <si>
    <t>https://x.com/OjolNyambi/status/1986298229181587723</t>
  </si>
  <si>
    <t xml:space="preserve">Ditemukan konten pada media sosial X yang diduga memiliki muatan provokatif yang menyamakan pemerintah sebagai oligarki yang menyengsarakan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</si>
  <si>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https://x.com/Bi_ma_bima/status/1985906453157462034</t>
  </si>
  <si>
    <t xml:space="preserve">Ditemukan konten pada media sosial X yang diduga memiliki muatan provokatif dengan narasi untuk membuang Ahmad Sahroni ke laut.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</si>
  <si>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https://vt.tiktok.com/ZSyHqGbuX/</t>
  </si>
  <si>
    <t xml:space="preserve">Ditemukan konten pada media sosial facebook yang diduga memiliki muatan provokatif untuk memakzulkan Wakil Presiden Gibran Rakabuming Raka.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</si>
  <si>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Akun besar, 24.4 Pengikut</t>
  </si>
  <si>
    <t>https://vt.tiktok.com/ZSyHqsJWw/</t>
  </si>
  <si>
    <t xml:space="preserve">Ditemukan konten pada media sosial facebook yang diduga memiliki muatan provokatif untuk memakzulkan Wakil Presiden Gibran Rakabuming Raka.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</si>
  <si>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https://vt.tiktok.com/ZSyHqQKyF/</t>
  </si>
  <si>
    <t>Akun besar, 14.4 Pengikut</t>
  </si>
  <si>
    <t>https://vt.tiktok.com/ZSyHqCv2k/</t>
  </si>
  <si>
    <t>https://vt.tiktok.com/ZSyHqqmP7/</t>
  </si>
  <si>
    <t>https://vt.tiktok.com/ZSyHqgtBM/</t>
  </si>
  <si>
    <t>https://vt.tiktok.com/ZSyHqaTaM/</t>
  </si>
  <si>
    <t>https://www.facebook.com/share/p/1G6yLb8x7N/</t>
  </si>
  <si>
    <t>Ditemukan konten pada media sosial Facebook yang diduga bermuatan provokatif berupa ajakan untuk membubarkan DPR karena demo yang dilakukan oleh masyarakat dianggap sia-sia dan tuntutan untuk pengesahan RUU Perampasan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</si>
  <si>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https://www.facebook.com/share/r/1FivoRq8UP/</t>
  </si>
  <si>
    <t>Ditemukan konten pada Facebook yang diduga merupakan ajakan provokatif untuk membubarkan DPR karena selama ini penyebab kerusuhan di Indonesia adalah DPR, meskipun telah terjadi pergantian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</si>
  <si>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https://www.facebook.com/share/r/1KSTKtSZbv/</t>
  </si>
  <si>
    <t>Ditemukan konten di media sosial Facebook yang diduga bermuatan provokatif, berisi ajakan untuk membubarkan DPR dengan narasi yang mengatakan bahwa DPR sudah kehilangan fungsinya karena tidak terdapat tanda perubahan. Selain itu pada video tersebut disebutkan bahwa rakyat Indonesia dijajah oleh negaranya sendiri.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</si>
  <si>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https://www.facebook.com/share/r/17Rbu14rQW/</t>
  </si>
  <si>
    <t>Ditemukan konten pada media sosial Facebook yang mengajak untuk membubarkan DPR dan MPR.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</si>
  <si>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https://www.facebook.com/share/r/1MVhtmv3FX/</t>
  </si>
  <si>
    <t>Ditemukan konten pada media sosial Facebook yang diduga bermuatan konten provokatif yang mengajak masyarakat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</si>
  <si>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https://www.facebook.com/share/v/19vcrRYBzm/</t>
  </si>
  <si>
    <t>Ditemukan konten pada media sosial Facebook yang diduga bermuatan provokatif berupa ajakan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</si>
  <si>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https://www.facebook.com/share/p/1XyhxG98Zj/</t>
  </si>
  <si>
    <t>Ditemukan konten pada media sosial Facebook yang diduga bermuatan provokatif berupa ajakan untuk membubarkan DPR karena dianggap DPR tidak dibutuhkan lagi karena tidak dapat mewakili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</si>
  <si>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https://vt.tiktok.com/ZSyQS5Upc/</t>
  </si>
  <si>
    <t>"Ditemukan konten pada media sosial TikTok yang diduga bermuatan konten provokatif yang mengajak masyarakat untuk memakzilkan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</si>
  <si>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https://vt.tiktok.com/ZSyQSmc2C/</t>
  </si>
  <si>
    <t>https://vt.tiktok.com/ZSyQSkST3/</t>
  </si>
  <si>
    <t>https://vt.tiktok.com/ZSyQSN65g/</t>
  </si>
  <si>
    <t>https://vt.tiktok.com/ZSyQSBrXk/</t>
  </si>
  <si>
    <t xml:space="preserve">https://www.facebook.com/reel/711322921440440 </t>
  </si>
  <si>
    <t xml:space="preserve">Beredar sebuah unggahan video yang mengeklaim bahwa Presiden Republik Indonesia Prabowo Subianto menyebut Komisi Pemberantasan Korupsi (KPK) dinilai lamban dalam menangani kasus.
Faktanya, dilansir dari turnbackhoax.id, tidak ditemukan informasi kredibel mengenai informasi tersebut. Konteks asli dalam video tersebut adalah momen debat keempat Prabowo Subianto sebagai calon presiden dalam Pemilihan Presiden (Pilpres) 2019.
Link Counter :
https://turnbackhoax.id/2025/11/05/salah-prabowo-sebut-kpk-lamban-dalam-menangani-kasus/ </t>
  </si>
  <si>
    <t xml:space="preserve">https://www.facebook.com/groups/1160774992036525/?multi_permalinks=1557622215685132&amp;hoisted_section_header_type=recently_seen </t>
  </si>
  <si>
    <t xml:space="preserve">Beredar sebuah unggahan video di media sosial Facebook yang mengeklaim Ali Ngabalin meminta Komisi Pemberantasan Korupsi (KPK) untuk memeriksa Menteri Keuangan (Menkeu) Purbaya.
Faktanya, klaim tersebut adalah tidak benar. Dilansir dari turnbackhoax.id, tidak ditemukan informasi dari sumber kredibel yang membenarkan klaim Ali Ngabalin minta KPK periksa Menkeu Purbaya. Lebih lanjut, ditemukan artikel yang diterbitkan oleh fajar.co.id berjudul “Ngabalin Diserang E-flyer Palsu Soal Purbaya: Banyak yang Kepanasan Takut Kejahatannya Terbongkar” berisi tanggapan Ali Ngabalin sebagai politisi dari Partai Golkar tentang poster bernarasi “Anda tidak pantas duduk di kursi Menkeu”. Ia menegaskan bahwa poster tersebut merupakan hoaks.
Link Counter :
https://turnbackhoax.id/2025/10/30/salah-ali-ngabalin-minta-kpk-periksa-menkeu-purbaya/ 
https://fajar.co.id/2025/10/16/ngabalin-diserang-e-flyer-palsu-soal-purbaya-banyak-yang-kepanasan-takut-kejahatannya-terbongkar/ 
</t>
  </si>
  <si>
    <r>
      <rPr>
        <rFont val="Arial,sans-serif"/>
        <color rgb="FF1155CC"/>
        <sz val="8.0"/>
        <u/>
      </rPr>
      <t>https://www.facebook.com/share/p/1C3VzGMzfw/</t>
    </r>
  </si>
  <si>
    <t>Konten tersebut diduga mengandung unsur provokatif dengan ajakan untuk melakukan tindak anarkis dengan narasi “NEPAL KAN JOKOWI GIBRAN PENGHIANAT ”.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</si>
  <si>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https://www.facebook.com/share/p/1D9kvqPdRJ/</t>
    </r>
  </si>
  <si>
    <t>Konten tersebut diduga mengandung unsur provokatif dengan ajakan untuk melakukan tindak anarkis dengan narasi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</si>
  <si>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https://www.facebook.com/share/r/17enf9FMYz/</t>
    </r>
  </si>
  <si>
    <t>Konten tersebut diduga mengandung unsur provokatif dengan ajakan untuk melakukan tindak anarkis dengan narasi “Sudah waktunya di Nepal kan negara ini.”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</si>
  <si>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https://www.facebook.com/share/p/16UpcGPazE/</t>
    </r>
  </si>
  <si>
    <t xml:space="preserve">Konten tersebut diduga mengandung unsur provokasi berupa ajakan untuk melakukan tindakan anarkis di Indonesia pada 10 November 2025, yaitu disampaikan dengan narasi “NEPAL’kan…! Guncang Ibu Kota.”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</si>
  <si>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r>
      <rPr>
        <rFont val="Arial,sans-serif"/>
        <color rgb="FF1155CC"/>
        <sz val="8.0"/>
        <u/>
      </rPr>
      <t>https://x.com/affanaffa12/status/1987408635010621795</t>
    </r>
  </si>
  <si>
    <t>Konten tersebut diduga mengandung unsur provokatif dengan ajakan untuk melakukan tindak anarkis dengan narasi “nepalkan” yang disertai dengan tagar #keluargaPKIsolo, tagar ini merujuk kepada keluarga Joko Widodo dan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</si>
  <si>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https://x.com/PEOPLEOFTHELIE4/status/1987381788587729338</t>
    </r>
  </si>
  <si>
    <t>Konten ini diduga memuat unsur provokatif disertai dengan narasi kasar yang memprovokasi akan aksi anarkis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</si>
  <si>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https://x.com/JoppieMagai/status/1987345405626228972</t>
    </r>
  </si>
  <si>
    <t>Konten ini diduga memuat unsur provokatif dengan narasi yang memprovokasi masyarakat akan aksi anarkis terhadap Menteri Agraria dan Tata Ruang, Nusron Wahid.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</si>
  <si>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https://x.com/RepublikKecoak_/status/1987240235881869822</t>
    </r>
  </si>
  <si>
    <t>Konten ini memprovokasi untuk melakukan aksi anarkis terhadap keluarga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</si>
  <si>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https://x.com/yanisam375/status/1987151286278758915</t>
    </r>
  </si>
  <si>
    <t>Konten ini diduga memuat unsur provokatif dengan narasi aksi anarkis terhadap Indonesia seperti yang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</si>
  <si>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https://x.com/MasNur2416/status/1987137994831372433</t>
    </r>
  </si>
  <si>
    <t>Konten ini diduga memuat unsur provokatif dengan narasi aksi anarkis terhadap Bapak Prabowo Subianto dan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</si>
  <si>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https://x.com/TheUncleDee/status/1987023742200054060</t>
    </r>
  </si>
  <si>
    <t>Konten ini diduga memuat unsur provokatif dengan narasi aksi anarkis terhadap para pejabat di Indonesia serta menyerukan aksi untuk melengserkan Prabowo Subianto.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</si>
  <si>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https://www.facebook.com/share/p/14Pcq2aUZNB/</t>
    </r>
  </si>
  <si>
    <t>Konten ini memprovokasi untuk melakukan aksi anarkis terhadap keluarga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</si>
  <si>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https://www.facebook.com/share/v/17JZT5W41R/</t>
    </r>
  </si>
  <si>
    <t>Konten ini diduga memuat unsur provokatif dengan narasi aksi anarkis terhadap Indonesia seperti yang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</si>
  <si>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https://www.facebook.com/reel/1993488178137814</t>
  </si>
  <si>
    <r>
      <rPr>
        <rFont val="Arial"/>
        <sz val="8.0"/>
      </rPr>
      <t xml:space="preserve">Beredar di media sosial Facebook unggahan video yang bernarasikan “DPR pejabat tamak! Kena batu sendiri! RASAIN!!SALAH SENDIRI DPR TIDAK MAU NGESAHIN UU PERAMPASAN ASET!! Jaksa agung akhirnya turun tangan miskinkan DPR yg Korupsi. Rakyat setuju?”.
Faktanya, klaim tersebut tidak benar. Setelah dilakukan penelusuran dengan mengetikkan kata kunci “Jaksa Agung miskinkan DPR yang korupsi” di mesin pencarian Google. Tidak ditemukan informasi kredibel yang mendukung klaim. Penelusuran teratas merujuk pada artikel tempo.co berjudul “Jaksa Agung Ancam Miskinkan Koruptor karena Penjara Saja Belum Cukup”. Artikel tersebut mengulas tentang Jaksa Agung ST Burhanuddin yang menyatakan ancaman untuk memiskinkan koruptor dengan mengejar aset-aset hasil tindak pidana korupsi yang telah merugikan perekonomian negara. Namun, pernyataan itu tidak ada hubungannya dengan RUU Perampasan Aset.
Link Counter :
</t>
    </r>
    <r>
      <rPr>
        <rFont val="Arial"/>
        <color rgb="FF1155CC"/>
        <sz val="8.0"/>
        <u/>
      </rPr>
      <t>https://turnbackhoax.id/2025/11/07/salah-jaksa-agung-miskinkan-dpr-yang-korupsi-karena-tak-mau-sahkan-ruu-perampasan-aset/</t>
    </r>
    <r>
      <rPr>
        <rFont val="Arial"/>
        <sz val="8.0"/>
      </rPr>
      <t xml:space="preserve">  
</t>
    </r>
    <r>
      <rPr>
        <rFont val="Arial"/>
        <color rgb="FF1155CC"/>
        <sz val="8.0"/>
        <u/>
      </rPr>
      <t>https://www.tempo.co/hukum/jaksa-agung-ancam-miskinkan-koruptor-karena-penjara-saja-belum-cukup-151014</t>
    </r>
    <r>
      <rPr>
        <rFont val="Arial"/>
        <sz val="8.0"/>
      </rPr>
      <t xml:space="preserve"> 
</t>
    </r>
  </si>
  <si>
    <t xml:space="preserve">https://www.facebook.com/reel/4115370118704260 </t>
  </si>
  <si>
    <t xml:space="preserve">Beredar unggahan di media sosial Facebook berisi narasi yang mengeklaim Raja Yordania Abdullah II bin Al-Hussein ingatkanPresiden Prabowo agar tak kirim pasukan ke Palestina. Faktanya, klaim tersebut adalah tidak benar. Dilansir dari turnbackhoax.id, setelah menelusuri tangkapan layar dari foto melaluiGoogle Lens, hasil pencarian mengarah ke pemberitaan antaranews.com berjudul “Raja Yordania tekankan pentingnya gencatansenjata komprehensif Gaza”, yang tayang Senin, 24 Mei 2021. Foto tersebut merupakan momen Raja Yordania Abdullah ketikamemberikan sambutan pada pembukaan sidang umum keempat Parlemen ke-18 di Amman, Yordania pada Minggu, 10 November 2019. Sepanjang penelusuran, tidak ditemukan informasi dari sumber kredibel yang membenarkan klaim dalam unggahantersebut. Link Counter :
-https://turnbackhoax.id/2025/11/06/salah-raja-yordania-ingatkan-prabowo-agar-tak-kirim-pasukan-ke-palestina/ 
-https://jatim.antaranews.com/berita/487186/raja-yordania-tekankan-pentingnya-gencatan-senjata-komprehensif-gaza 
</t>
  </si>
  <si>
    <t>https://www.facebook.com/share/r/1GNBtVDyYc</t>
  </si>
  <si>
    <t xml:space="preserve">Ditemukan konten pada media sosial yang diduga memiliki muatan provokatif dan ujaran kebencian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</si>
  <si>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Pasal 28 ayat (2) UU 1/2024 tentang Informasi dan Transaksi Elektronik (UU ITE)Setiap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t>
  </si>
  <si>
    <t>Munculnya akun dan/atau konten provokatif, ujaran kebencian, SARA menyebabkan meningkatkan persebaran manipulasi dan disinformasi, Dapat menimbulkan kegaduhan di publik serta ketegangan sosial yang berdampak pada gangguan keamanan dan ketertiban dikalangan masyarakat, mengganggu stabilitas dan integrasi nasional.</t>
  </si>
  <si>
    <t>https://www.facebook.com/naim.naim.sulkar/posts/pfbid0RjNdjyiyhj55MmziyPQ4hf3scVpRehqhL21ERzY7UcGyqTM7trKrdLGFjRjg7Qy6l</t>
  </si>
  <si>
    <t>https://x.com/michiavelly04/status/1987697788118073734</t>
  </si>
  <si>
    <t>https://x.com/PaterStellae/status/1987735784242511953</t>
  </si>
  <si>
    <t>https://www.facebook.com/share/r/16yogoYiCd/</t>
  </si>
  <si>
    <t>https://www.facebook.com/share/p/17Qz5ngucC/</t>
  </si>
  <si>
    <t>https://x.com/PEOPLEOFTHELIE4/status/1987381788587729338</t>
  </si>
  <si>
    <t>https://x.com/jihananwar_/status/1987549613851844778</t>
  </si>
  <si>
    <t>https://x.com/ochidzz/status/1987739492598608085</t>
  </si>
  <si>
    <t>https://x.com/ArdieSuhardi321/status/1987735977062985900</t>
  </si>
  <si>
    <t>https://x.com/YGundero35921/status/1987695564700754333</t>
  </si>
  <si>
    <t>https://x.com/Mustopa4646113/status/1987044731910848617</t>
  </si>
  <si>
    <t>https://x.com/PngAdilnR4kyt/status/1987741545639170471/video/1</t>
  </si>
  <si>
    <t>https://x.com/anakbrahman/status/1986701787328619013</t>
  </si>
  <si>
    <t>https://x.com/bulepotanx/status/1961795888827027818</t>
  </si>
  <si>
    <t>https://www.instagram.com/reel/DQGsN-eiKVW</t>
  </si>
  <si>
    <t>https://www.facebook.com/groups/1000621682260695/posts/1137996101856585/</t>
  </si>
  <si>
    <t>https://www.facebook.com/groups/1000621682260695/posts/1137340345255494/</t>
  </si>
  <si>
    <t>https://www.facebook.com/groups/1000621682260695/posts/1137169171939278/</t>
  </si>
  <si>
    <t>https://www.facebook.com/groups/1000621682260695/posts/1136514008671461/</t>
  </si>
  <si>
    <t>https://www.facebook.com/groups/1000621682260695/posts/1135147572141438/</t>
  </si>
  <si>
    <t>https://www.facebook.com/groups/225157887497430/posts/25583797664540103/</t>
  </si>
  <si>
    <t>https://www.facebook.com/groups/225157887497430/posts/25548950938024776/</t>
  </si>
  <si>
    <t>https://www.facebook.com/groups/225157887497430/?multi_permalinks=25570575172529019&amp;hoisted_section_header_type=recently_seen</t>
  </si>
  <si>
    <r>
      <rPr>
        <rFont val="Arial,sans-serif"/>
        <color rgb="FF1155CC"/>
        <sz val="8.0"/>
        <u/>
      </rPr>
      <t>https://www.facebook.com/reel/845410134494561</t>
    </r>
  </si>
  <si>
    <t xml:space="preserve">Beredar unggahan di media sosial Facebook berisi narasi yang mengeklaim bahwa Puan Maharani akan gandeng Anies Baswedan pada Pemilu 2029 dan meyakini akan meraih 68 persen suara.
Faktanya, klaim tersebut adalah tidak benar. Dilansir dari saberhoaks.jabarprov.go.id, tidak ditemukan pernyataan resmi dari sosial media Puan Maharani maupun Anies Baswedan yang menyebut bahwa Puan akan menggandeng Anies pada Pemilu 2029. Foto yang digunakan dalam unggahan tersebut ternyata diambil dari pemberitaan kompas.com berjudul “Pidato Lengkap Puan di Sidang Tahunan MPR: Singgung One Piece hingga Nyanyi”. Dengan demikian, konteks asli foto tersebut adalah saat Puan Maharani menyampaikan pidato politik di Sidang Tahunan MPR, membahas isu-isu demokrasi, politik, sosial, ekonomi, dan ketatanegaraan. Tidak ada pernyataan sama sekali yang menyinggung soal kerja sama politik atau rencana menggandeng Anies Baswedan di Pemilu 2029.
Link Counter:
https://saberhoaks.jabarprov.go.id/v2/klarifikasi/detail/PTN003943/PUAN-AKAN-GANDENG-ANIES-DI-PEMILU-2029 </t>
  </si>
  <si>
    <r>
      <rPr>
        <rFont val="Arial,sans-serif"/>
        <color rgb="FF1155CC"/>
        <sz val="8.0"/>
        <u/>
      </rPr>
      <t>https://www.facebook.com/reel/1209487647904131</t>
    </r>
  </si>
  <si>
    <t xml:space="preserve">Beredar sebuah unggahan di media sosial Facebook yang mengeklaim bahwa Gubernur Riau meminta Komisi Pemberantasan Korupsi (KPK) untuk memeriksa Joko Widodo (Jokowi).
Faktanya, klaim tersebut adalah tidak benar. Dilansir dari kompas.com, tidak ditemukan informasi yang kredibel terkait isu tersebut, bahkan foto asli unggahan tersebut merupakan rekayasa manipulasi artikel berita gelora.co yang berjudul "KPK Dalami Aliran Duit Pemerasan Rp 2 Miliar yang Disimpan Orang Kepercayaan Gubernur Riau Abdul Wahid." Artikel itu memuat pernyataan Plt Deputi Penindakan dan Eksekusi KPK Asep Guntur Rahayu terkait adanya dugaan aliran dana korupsi Abdul Wahid ke Partai Kebangkitan Bangsa (PKB).
Link Counter:
https://www.kompas.com/cekfakta/read/2025/11/07/161600182/-hoaks-gubernur-riau-minta-kpk-periksa-jokowi 
https://www.gelora.co/2025/11/kpk-dalami-aliran-duit-pemerasan-rp-2.html?m=1 </t>
  </si>
  <si>
    <t>https://vt.tiktok.com/ZSypRRmSd/</t>
  </si>
  <si>
    <t xml:space="preserve">Ditemukan konten pada media sosial TokTok yang diduga memiliki muatan provokatif untuk memakzulkan Wakil Presiden Gibran Rakabuming Raka.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</si>
  <si>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https://vt.tiktok.com/ZSypRFD4X/</t>
  </si>
  <si>
    <t>https://vt.tiktok.com/ZSypRButt/</t>
  </si>
  <si>
    <t>https://vt.tiktok.com/ZSypRrnMR/</t>
  </si>
  <si>
    <t>https://vt.tiktok.com/ZSypRbhbt/</t>
  </si>
  <si>
    <t>https://web.facebook.com/share/r/1DuPKiWyBe/</t>
  </si>
  <si>
    <t xml:space="preserve">Ditemukan konten pada media sosial Facebook yang diduga berisi ajakan provokatif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</si>
  <si>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r>
      <rPr>
        <rFont val="Arial,sans-serif"/>
        <color rgb="FF1155CC"/>
        <sz val="8.0"/>
        <u/>
      </rPr>
      <t>https://web.facebook.com/share/r/19vv1NhWgx/</t>
    </r>
  </si>
  <si>
    <r>
      <rPr>
        <rFont val="Arial,sans-serif"/>
        <color rgb="FF1155CC"/>
        <sz val="8.0"/>
        <u/>
      </rPr>
      <t>https://web.facebook.com/share/r/17rCLrYUEG/</t>
    </r>
  </si>
  <si>
    <r>
      <rPr>
        <rFont val="Arial,sans-serif"/>
        <color rgb="FF1155CC"/>
        <sz val="8.0"/>
        <u/>
      </rPr>
      <t>https://web.facebook.com/share/r/16asDSPpNi/</t>
    </r>
  </si>
  <si>
    <r>
      <rPr>
        <rFont val="Arial,sans-serif"/>
        <color rgb="FF1155CC"/>
        <sz val="8.0"/>
        <u/>
      </rPr>
      <t>https://web.facebook.com/share/r/1AB1LLyhsC/</t>
    </r>
  </si>
  <si>
    <t>https://web.facebook.com/share/r/1DbrEaU56H/</t>
  </si>
  <si>
    <r>
      <rPr>
        <rFont val="Arial"/>
        <color rgb="FF1155CC"/>
        <sz val="8.0"/>
        <u/>
      </rPr>
      <t>https://www.facebook.com/watch/?v=1850046492617297&amp;rdid=pgFH3ylw8zI4YQhr</t>
    </r>
    <r>
      <rPr>
        <rFont val="Arial"/>
        <sz val="8.0"/>
      </rPr>
      <t xml:space="preserve"> 
</t>
    </r>
  </si>
  <si>
    <r>
      <rPr>
        <rFont val="Arial"/>
        <sz val="8.0"/>
      </rPr>
      <t xml:space="preserve">Beredar sebuah unggahan video di media sosial yang mengeklaim Menteri Keuangan Purbaya Yudhi Sadewa memberikan bantuan uang tunai senilai Rp10 juta hingga Rp50 juta kepada masyarakat.
Faktanya, video Purbaya memberikan bantuan uang tunai senilai Rp10 juta hingga Rp50 juta merupakan hoaks. Dilansir dari kompas.com, setelah dilakukan penelusuran menggunakan Hive Moderation menunjukkan video tersebut terdeteksi dihasilkan Artificial Intelligence (AI). Konten tersebut memanipulasi foto Purbaya dari laman kaltimpost.jawapos.com. Peristiwa dalam video itu adalah momen ketika Purbaya menyampaikan arah kebijakan awalnya sebagai Menteri Keuangan pada Senin, 8 September 2025. Purbaya tidak pernah mengumumkan pemberian bantuan uang tunai Rp10 juta hingga Rp50 juta.
Link Counter :
</t>
    </r>
    <r>
      <rPr>
        <rFont val="Arial"/>
        <color rgb="FF1155CC"/>
        <sz val="8.0"/>
        <u/>
      </rPr>
      <t>https://www.kompas.com/cekfakta/read/2025/11/06/183800882/-hoaks-video-purbaya-beri-bantuan-uang-tunai-rp-10-juta-hingga-rp-50</t>
    </r>
    <r>
      <rPr>
        <rFont val="Arial"/>
        <sz val="8.0"/>
      </rPr>
      <t xml:space="preserve"> 
</t>
    </r>
    <r>
      <rPr>
        <rFont val="Arial"/>
        <color rgb="FF1155CC"/>
        <sz val="8.0"/>
        <u/>
      </rPr>
      <t>https://kaltimpost.jawapos.com/bisnis/2386547139/purbaya-yudhi-sadewa-resmi-jadi-menkeu-ihgs-turun-13-persen</t>
    </r>
    <r>
      <rPr>
        <rFont val="Arial"/>
        <sz val="8.0"/>
      </rPr>
      <t xml:space="preserve"> 
</t>
    </r>
  </si>
  <si>
    <r>
      <rPr>
        <rFont val="Arial"/>
        <color rgb="FF1155CC"/>
        <sz val="8.0"/>
        <u/>
      </rPr>
      <t>https://www.facebook.com/reel/789136100415457</t>
    </r>
    <r>
      <rPr>
        <rFont val="Arial"/>
        <sz val="8.0"/>
      </rPr>
      <t xml:space="preserve"> </t>
    </r>
  </si>
  <si>
    <t xml:space="preserve">Beredar sebuah unggahan video di media sosial Facebook yang mengeklaim adanya informasi bahwa Susi Pudjiastuti maju jadi ketua Komisi Pemberantasan Korupsi (KPK), siap tenggelamkan koruptor.
Faktanya, klaim tersebut adalah tidak benar. Dilansir dari turnbackhoax.id, setelah dilakukan penelusuran di mesin pencarian Google dengan menggunakan kata kunci “Susi Pudjiastuti maju jadi ketua KPK”, tidak ditemukan informasi yang valid dan relevan mengenai klaim sesuai pemberitaan tersebut. Berdasarkan informasi kompas.com, belum ada kabar mengenai pemilihan Ketua KPK yang baru. Sementara berdasarkan pemberitaan dari tempo.com, saat ini Susi Pudjiastuti menjabat sebagai Ketua Pandu Laut Nusantara, Penasehat Pemerintah Provinsi Jawa Barat untuk isu kelautan dan perikanan, serta mengelola bisnis di bidang penerbangan yakni Susi Air.
Link Counter :
https://turnbackhoax.id/2025/11/06/salah-susi-pudjiastuti-maju-jadi-ketua-kpk-siap-tenggelamkan-koruptor/ 
https://www.kompas.com/cekfakta/read/2025/11/07/134200282/-klarifikasi-tidak-ada-pernyataan-susi-pudjiastuti-bersedia-jadi-ketua 
https://www.tempo.co/ekonomi/susi-pudjiastuti-genap-berusia-58-tahun-kabar-terkininya--229314 </t>
  </si>
  <si>
    <t>https://vt.tiktok.com/ZSyt1Exoj/</t>
  </si>
  <si>
    <t>Ditemukan konten pada media sosial TokTok yang diduga memiliki muatan provokatif untuk memakzulkan Wakil Presiden Gibran Rakabuming Raka.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</si>
  <si>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https://vt.tiktok.com/ZSyt1wSTL/</t>
  </si>
  <si>
    <t>https://vt.tiktok.com/ZSyt1GeEN/</t>
  </si>
  <si>
    <t>https://vt.tiktok.com/ZSytJ1AUm/</t>
  </si>
  <si>
    <t>https://vt.tiktok.com/ZSytJ1QcY/</t>
  </si>
  <si>
    <t>https://www.facebook.com/share/r/17kx4zN65s/</t>
  </si>
  <si>
    <t>Ditemukan konten pada media sosial Facebook yang diduga mengajak masyarakat untuk me-”Nepalkan”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</si>
  <si>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https://www.facebook.com/share/v/1BgT75nvpQ/</t>
  </si>
  <si>
    <t>https://www.facebook.com/share/r/1ZkQPvLb8H/</t>
  </si>
  <si>
    <t>Ditemukan konten pada media sosial Facebook yang diduga mengajak masyarakat untuk membubarkan DPR agar rakyat tidak hidup dalam kesulitan ekonomi dan pajak yang tinggi.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</si>
  <si>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https://www.facebook.com/share/r/1AFijXcAKL/</t>
  </si>
  <si>
    <t>Ditemukan konten pada media sosial Facebook yang diduga mengajak masyarakat untuk membubarkan DPR dan himbauan untuk berhati-hati saat demo karena terdapat sniper yang berpotensi untuk menembaki demonstran.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</si>
  <si>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https://www.facebook.com/share/r/1F2Xe7Csw1/</t>
  </si>
  <si>
    <t>Ditemukan konten pada media sosial Facebook yang diduga menyebutkan bahwa Indonesia siap dibubarkan dan TNI-POLRI akan mendukung kemerdekaan Papua.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</si>
  <si>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https://www.facebook.com/reel/1325223339166037</t>
  </si>
  <si>
    <t>https://www.facebook.com/groups/643962145669763/?multi_permalinks=24671428129163162&amp;hoisted_section_header_type=recently_seen</t>
  </si>
  <si>
    <t>https://www.facebook.com/ridho.rahman.7946/posts/pfbid01KMbjRUGJQ1LtLt3TDpspmxbHZUVQEeN1HuuVvdf82uS94jR61PSqSi1S6D8Z99Zl</t>
  </si>
  <si>
    <t>https://www.facebook.com/groups/1194490485129602/?multi_permalinks=1502986134280034&amp;hoisted_section_header_type=recently_seen</t>
  </si>
  <si>
    <t>https://www.tiktok.com/@keep.silent832/video/7543159640394157320?q=polisi%20korup&amp;t=1762841614741</t>
  </si>
  <si>
    <t>https://www.tiktok.com/@kolabhubdigital/video/7562933657984306450?q=polisi%20korup&amp;t=1762841614741</t>
  </si>
  <si>
    <t>https://www.tiktok.com/@garda_islam/video/7383425880460397829?q=polisi%20korup&amp;t=1762841614741</t>
  </si>
  <si>
    <t>https://x.com/badthinx/status/1988105180228055242</t>
  </si>
  <si>
    <t>https://x.com/AGAnostic/status/1966719285746897228</t>
  </si>
  <si>
    <t>https://www.facebook.com/reel/1168189505226413</t>
  </si>
  <si>
    <t>https://x.com/starrrfucks/status/1961062816263389606</t>
  </si>
  <si>
    <t>https://www.facebook.com/satria.ababil234/posts/pfbid02zYo8cHjtfQLeSbXfzzQ4xxnKm1m9XmgdCR13oHy5GwT1QktAKJ7gefsz6pbgXiYUl</t>
  </si>
  <si>
    <t>https://www.facebook.com/groups/171940866308646/posts/3273887799447255/</t>
  </si>
  <si>
    <t>https://www.facebook.com/groups/171940866308646/posts/3273416049494430/</t>
  </si>
  <si>
    <t>https://www.facebook.com/groups/171940866308646/posts/3273313649504670/</t>
  </si>
  <si>
    <t>https://www.facebook.com/groups/171940866308646/posts/3262678503901518/</t>
  </si>
  <si>
    <t>https://www.facebook.com/groups/171940866308646/posts/3261546470681388/</t>
  </si>
  <si>
    <t>https://www.facebook.com/groups/225157887497430/posts/25581733801413156</t>
  </si>
  <si>
    <t>https://www.facebook.com/groups/225157887497430/posts/25581607814759088</t>
  </si>
  <si>
    <t>https://www.facebook.com/groups/225157887497430/posts/25562431356676734</t>
  </si>
  <si>
    <t>https://www.facebook.com/groups/225157887497430/posts/25558498440403359</t>
  </si>
  <si>
    <t>https://www.facebook.com/groups/372644750084407/posts/1758049721543896/</t>
  </si>
  <si>
    <t>https://www.facebook.com/groups/372644750084407/posts/1758049118210623/</t>
  </si>
  <si>
    <t>https://www.facebook.com/groups/372644750084407/posts/1758048894877312/</t>
  </si>
  <si>
    <t>https://www.facebook.com/photo/?fbid=10163348005194757&amp;set=g.436927017440797</t>
  </si>
  <si>
    <t>https://www.facebook.com/photo/?fbid=10163359604184757&amp;set=gm.1577311040069050&amp;idorvanity=436927017440797</t>
  </si>
  <si>
    <t>https://www.facebook.com/photo/?fbid=10163352040524757&amp;set=gm.1575778096889011&amp;idorvanity=436927017440797</t>
  </si>
  <si>
    <t>https://www.facebook.com/photo/?fbid=122187629438471265&amp;set=g.436927017440797</t>
  </si>
  <si>
    <t>https://www.facebook.com/photo/?fbid=122125352168471265&amp;set=gm.1297196428080514&amp;idorvanity=436927017440797</t>
  </si>
  <si>
    <t>https://www.facebook.com/100089504973623/videos/1549262663194316/</t>
  </si>
  <si>
    <t xml:space="preserve">Beredar unggahan video di media sosial Facebook yang mengeklaim adanya informasi bahwa wakil presiden Gibran resmi dimakzulkan.
Faktanya klaim tersebut tidak benar. Sepanjang penelusuran, tidak ditemukan informasi dari sumber kredibel yang membenarkan klaim “Wapres Gibran resmi dimakzulkan. Lebih lanjut, laman setkab.go.id milik Sekretariat Kabinet Republik Indonesia, hingga saat ini Gibran Rakabuming masih menjabat sebagai Wakil Presiden RI masa bakti Oktober 2024-Oktober 2029.
Link Counter:
https://turnbackhoax.id/2025/11/11/salah-wapres-gibran-resmi-dimakzulkan/ 
https://setkab.go.id/profil-kabinet/ </t>
  </si>
  <si>
    <t>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t>
  </si>
  <si>
    <t>https://www.facebook.com/watch/?v=859655943294521</t>
  </si>
  <si>
    <t>https://www.facebook.com/satria.pergata.52/posts/pfbid02abyJvCR4RiqqKdT1qjPx87TxhmeNceDyQXTdcG5iTgp6vwTqD9dVMm8gbAGj27vVl?rdid=qvIiQDTb5qjlk8Ul#</t>
  </si>
  <si>
    <t>https://www.facebook.com/watch/?v=1220262399911906</t>
  </si>
  <si>
    <t>https://x.com/ZurfamiJ5777/status/1988330666212397178</t>
  </si>
  <si>
    <t>Konten ini mengandung unsur provokatif gerakan separatisme Aceh Merdeka dengan narasi “Aceh bagus merdeka sendiri seperti Timor Leste” serta pernyataan kontroversial terkait Warga Negara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</si>
  <si>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https://x.com/BagindoSati74/status/1988795535273390490</t>
    </r>
  </si>
  <si>
    <t>Konten tersebut diduga mengandung unsur provokatif dengan ajakan untuk melakukan tindak anarkis dengan narasi “NEPALKAN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</si>
  <si>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https://x.com/PEOPLEOFTHELIE4/status/1988786139793436675</t>
    </r>
  </si>
  <si>
    <t>Konten tersebut diduga mengandung unsur provokatif dengan ajakan untuk melakukan tindak anarkis dengan narasi “Nepalkan”, yang merujuk pada unggahan terkait Menteri ESDM, Bahlil Lahadalia.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</si>
  <si>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https://x.com/Juhari02168742/status/1988727848023257169</t>
    </r>
  </si>
  <si>
    <t>Konten tersebut diduga mengandung unsur provokatif dengan ajakan untuk melakukan tindak anarkis dengan narasi “Perlu di nepalkan!!”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</si>
  <si>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https://x.com/BelaRakyatPIK2/status/1988591439044112715</t>
  </si>
  <si>
    <t>Konten tersebut diduga mengandung unsur provokasi berupa ajakan untuk melakukan tindakan anarkis dengan narasi “NEPALKAN GENG SOLO”, yang merujuk terhadap Joko Widodo dan keluarga.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</si>
  <si>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https://x.com/alfatih212426/status/1988565673627500636</t>
    </r>
  </si>
  <si>
    <t>Konten tersebut diduga mengandung unsur provokatif dengan ajakan untuk melakukan tindak anarkis dengan narasi “Solusinya Nepalkan” yang ditujukan kepada Joko Widodo dan keluarga.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</si>
  <si>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https://www.facebook.com/share/v/17SUeCPa38/</t>
    </r>
  </si>
  <si>
    <t>Konten tersebut diduga mengandung unsur provokatif dengan ajakan untuk melakukan tindak anarkis dengan narasi “Jangan salahkan rakyat jika di NEPALKAN” yang ditujukan kepada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</si>
  <si>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https://www.facebook.com/share/p/1AHL8Ey1xU/</t>
    </r>
  </si>
  <si>
    <t>Konten ini diduga memuat unsur provokatif untuk melakukan tindakan anarkis dengan narasi “NEPALKAN SAJA” yang ditujukan kepada Polda Metro Jaya dan Polri.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</si>
  <si>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https://www.facebook.com/share/p/1DivhCvUFE/</t>
    </r>
  </si>
  <si>
    <t>Konten ini diduga memuat unsur provokatif untuk melakukan tindakan anarkis dengan narasi “benar-benar harus di nepalkan” yang ditujukan kepada Polri.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</si>
  <si>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https://www.facebook.com/share/r/1A6kbWMbUq/</t>
    </r>
  </si>
  <si>
    <t>Konten ini mengandung unsur provokatif gerakan separatisme Aceh Merdeka dengan membalas unggahan terkait pengibaran bendera Papua Merdeka dengan narasi “Papua bisa, masa Aceh tidak bisa”.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</si>
  <si>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https://www.facebook.com/share/r/1EhyWztAge/</t>
    </r>
  </si>
  <si>
    <t>Konten ini mengandung unsur provokatif gerakan separatisme ‘Papua Merdeka’ dengan narasi “Kristen Indonesia berhak mendukung Papua Merdeka”.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</si>
  <si>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https://www.facebook.com/share/r/17LiddZECa/</t>
  </si>
  <si>
    <t>Konten ini mengandung unsur provokatif gerakan separatisme yang memuat foto bendera OPM dengan narasi “Free West Papua”.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</si>
  <si>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https://www.facebook.com/share/p/1G17ZuUTyP/</t>
  </si>
  <si>
    <t>Konten tersebut mengandung unsur provokatif berupa ajakan untuk melakukan demonstrasi disertai dengan tindakan anarkis, yaitu disampaikan dengan narasi “Kita siap revolusi total dan Nepal 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</si>
  <si>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https://www.facebook.com/share/p/1HNxKVrv9k/</t>
  </si>
  <si>
    <t>Konten ini diduga memuat unsur provokatif untuk melakukan tindakan anarkis dengan narasi “NEPALKAN SAJA”.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</si>
  <si>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https://www.facebook.com/100058502340776/posts/1294447395848660/?rdid=CyxBFgXe20CeyLhK#</t>
  </si>
  <si>
    <t xml:space="preserve">Ditemukan konten pada media sosial yang diduga memiliki muatan provokatif dan ujaran kebencian
Penyebaran informasi yang mengandung unsur provokatif yang berpotensi menimbulkan kegaduhan, mengganggu keamanan, serta mengancam stabilitas negara diatur dalam Pasal 160 KUHP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t>
  </si>
  <si>
    <t>ajakan yang menyebabkan dampak kerusuhan</t>
  </si>
  <si>
    <t>https://www.facebook.com/reel/1999564254230472</t>
  </si>
  <si>
    <t>https://www.facebook.com/reel/1372144177630708</t>
  </si>
  <si>
    <t>*IDENTITAS JOKOWI TERBONGKAR DARI MULUTNYA SENDIRI' BAHWA DIA ADALAH ANAK NOTO MIHARDJO, TOKOH PKI 1965 PENGAWAL DN. AIDIT. ITULAH SEBABNYA, KENAPA BANGSA INI DISURUH MINTA MAAF SAMA PKI*😡😡(Tugas kita Katakan yg Haq adalah Haq &amp; Bathil adalah Bathil)*#HUKUM MATI, NEPALKAN, EKSEKUSI GANTUNG JOKOWI PKI KETURUNAN CHINA KOMUNIS, PENGHIANAT BANGSA DAN NEGARA, PERUSAK HUKUM &amp; KONSTITUSI, PENGHANCUR NKRI, PENGGARONG UANG RAKYAT 11.000 TRILYUN, BOS MAFIA PERAMPOK SDA, TAMBANG &amp; MIGAS, KORUPTOR KCIC WHOOSH 73,5 TRILYUN DAN DANA BANSOS 500 TRILYUN, PENJAHAT BENGIS DAN BIADAB, BANDIT BURONAN RAKYAT, JONGOS OLIGARKI, PEMBOHONG &amp; PENIPU RAKYAT, IJAZAH PALSU PLONGA PLONGO**#MAKZULKAN GIBRAN PSIKOPAT, TAK WARAS &amp; TAK TAHU MALU, WAPRES ILLEGAL PELANGGAR HUKUM &amp; KONSTITUSI, BOCAH TOLOL ODGJ CUMA LULUSAN SD, PECANDU NARKOBA &amp; SITUS PORNO, TERSANGKA KORUPSI DANA BANSOS &amp; KORUPSI DI PT. SRITEX**#RAKYAT MUAK &amp; JIJIK MELIHAT KEJAHATAN BANDIT JOKOWI DAN KELUARGANYA, RAJA KORUPSI, KOLUSI &amp; NEPOTISME</t>
  </si>
  <si>
    <t>https://www.facebook.com/story.php?story_fbid=1208360294692363&amp;id=100065552113945&amp;rdid=i0hJn32ZPkvKUFjB#</t>
  </si>
  <si>
    <t>https://www.facebook.com/reel/739572908393553</t>
  </si>
  <si>
    <t>#Nepalkan_Adili Joko Widodo JOKOWI MAKIN REPRESIF, PRABOWO MENERUSKAN LEGACY KRIMINALIASI? https://youtu.be/JiYkgl5Rs_g?si=uU-kVFW0dQJDf-hD Kriminalisasi pada rakyat, adalah karakter kepemimpinan Jokowi. Sayangnya, hal itu nampaknya berlanjut di era Prabowo.Sejumlah akademisi dan aktivis ditetapkan sebagai tersangka. Roy Suryo dkk, akan diperiksa hari ini Kamis 13/11/2025 Bagaimana Reaksi Rakyat, Beranikah NEPALkan Jokowi, people power atau revolusi? Pernyataan Sikap KNPRI..</t>
  </si>
  <si>
    <t>https://www.facebook.com/reel/820203744131049</t>
  </si>
  <si>
    <t>https://www.facebook.com/groups/276774466702481/permalink/1525246738521908/?rdid=iryg1OZDOgJWUKhW#</t>
  </si>
  <si>
    <t>https://www.facebook.com/reel/847193124630774</t>
  </si>
  <si>
    <t>https://www.facebook.com/groups/1490531638038128/permalink/2297152260709391/?rdid=Gg7XKV93CEO26kjC#</t>
  </si>
  <si>
    <t>https://www.facebook.com/story.php?story_fbid=1372587204499163&amp;id=100052436900085&amp;post_id=100052436900085_1372587204499163&amp;rdid=rhGKMmgKT2GvUPOW#</t>
  </si>
  <si>
    <t>https://www.facebook.com/watch/?v=1510895767026188</t>
  </si>
  <si>
    <t>Beredar unggahan di media sosial Facebook berisi narasi yang mengeklaim bahwa Puan Maharani akan gandeng Anies Baswedan pada Pemilu 2029 dan meyakini akan meraih 68 persen suara.
Faktanya, klaim tersebut adalah tidak benar. Dilansir dari saberhoaks.jabarprov.go.id, tidak ditemukan pernyataan resmi dari sosial media Puan Maharani maupun Anies Baswedan yang menyebut bahwa Puan akan menggandeng Anies pada Pemilu 2029. Foto yang digunakan dalam unggahan tersebut ternyata diambil dari pemberitaan kompas.com berjudul “Pidato Lengkap Puan di Sidang Tahunan MPR: Singgung One Piece hingga Nyanyi”. Dengan demikian, konteks asli foto tersebut adalah saat Puan Maharani menyampaikan pidato politik di Sidang Tahunan MPR, membahas isu-isu demokrasi, politik, sosial, ekonomi, dan ketatanegaraan. Tidak ada pernyataan sama sekali yang menyinggung soal kerja sama politik atau rencana menggandeng Anies Baswedan di Pemilu 2029.
Link Counter:
https://saberhoaks.jabarprov.go.id/v2/klarifikasi/detail/PTN003943/PUAN-AKAN-GANDENG-ANIES-DI-PEMILU-2029</t>
  </si>
  <si>
    <t>https://www.facebook.com/watch/?v=1347034406547011</t>
  </si>
  <si>
    <r>
      <rPr>
        <rFont val="Arial,sans-serif"/>
        <color rgb="FF1155CC"/>
        <sz val="8.0"/>
        <u/>
      </rPr>
      <t>https://www.facebook.com/share/p/17Xr8tX34d/</t>
    </r>
  </si>
  <si>
    <t>Konten ini diduga memuat unsur provokatif untuk melakukan tindakan anarkis dengan narasi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</si>
  <si>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https://www.facebook.com/share/r/1M3rt14yMi/</t>
    </r>
  </si>
  <si>
    <r>
      <rPr>
        <rFont val="Arial,sans-serif"/>
        <color rgb="FF1155CC"/>
        <sz val="8.0"/>
        <u/>
      </rPr>
      <t>https://x.com/hasni33064/status/1989166277076873548</t>
    </r>
  </si>
  <si>
    <t>Konten tersebut diduga mengandung unsur provokatif dengan ajakan untuk melakukan tindak anarkis dengan narasi “Nepalkan” terhadap Indonesia sebagai jalan satu-satunya untuk revolusi.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</si>
  <si>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https://x.com/Strata388594/status/1989159862589399511</t>
    </r>
  </si>
  <si>
    <t>Konten tersebut diduga mengandung unsur provokatif dengan ajakan untuk melakukan tindak anarkis dengan kalimat kasar dan narasi “OTAK KRIMINAL YANG WAJIB DINEPALKAN”.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</si>
  <si>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https://x.com/VirgoMan333/status/1989153787416854598</t>
    </r>
  </si>
  <si>
    <r>
      <rPr>
        <rFont val="Arial,sans-serif"/>
        <color rgb="FF1155CC"/>
        <sz val="8.0"/>
        <u/>
      </rPr>
      <t>https://x.com/RepublikKecoak_/status/1989151876684890269</t>
    </r>
  </si>
  <si>
    <t>Konten tersebut diduga mengandung unsur provokatif dengan ajakan untuk melakukan tindak anarkis dengan narasi “NEPALKAN SEKERAS-KERASNYA” yang ditujukan kepada Joko Widodo dan keluarga.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</si>
  <si>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https://x.com/PuisiP4hit_/status/1989184159311679998</t>
    </r>
  </si>
  <si>
    <t>Konten tersebut diduga mengandung unsur provokatif dengan ajakan untuk melakukan tindak anarkis dengan narasi “NEPALKAN GENG SOLO” yang ditujukan kepada Joko Widodo dan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</si>
  <si>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https://x.com/PuisiP4hit_/status/1989195822303703491</t>
    </r>
  </si>
  <si>
    <t>Konten ini diduga memuat unsur provokatif untuk melakukan tindakan anarkis dengan narasi “Rakyat siap nepalkan geng solo” yang ditujukan kepada Joko Widodo dan Keluarga.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</si>
  <si>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https://www.facebook.com/share/p/17icqaD9Am/</t>
    </r>
  </si>
  <si>
    <t>Konten ini diduga memuat unsur provokatif untuk melakukan tindakan anarkis dengan narasi “Jogja Solo Siap Nepalkan Jokowi”.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</si>
  <si>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https://www.facebook.com/share/r/1BeyHgw47C/</t>
    </r>
  </si>
  <si>
    <t>Konten ini mengandung unsur provokatif gerakan separatisme Aceh Merdeka dengan narasi “Bangsa Aceh sudah bulat tekat MERDEKA”.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</si>
  <si>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https://www.facebook.com/share/p/19iAazqKqU/</t>
    </r>
  </si>
  <si>
    <t>Konten ini mengandung unsur provokatif gerakan separatisme ‘Aceh Merdeka’ disertai dengan gambar bendera GAM dengan narasi yang memprovokasi aksi yang akan diselenggarakan pada 4 Desember 2025.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</si>
  <si>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https://www.facebook.com/share/p/1Cxd5ViqrU/</t>
  </si>
  <si>
    <t>Konten ini mengandung unsur provokatif gerakan separatisme “Aceh Merdeka” serta memprovokasi aksi yang akan diselenggarakan pada 4 Desember 2025.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</si>
  <si>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https://www.facebook.com/share/p/1BTDuFmfba/</t>
  </si>
  <si>
    <t xml:space="preserve">Konten tersebut mengandung unsur provokatif yaitu dukungan atas gerakan separatisme Papua Merdeka.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</si>
  <si>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https://x.com/RON1N3535/status/1989330059782476128?s=20</t>
  </si>
  <si>
    <t xml:space="preserve">Konten tersebut mengandung provokasi yaitu berupa ajakan untuk bertindak anarkis dengan narasi “NEPALKAN GENG SOLO”.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</si>
  <si>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r>
      <rPr>
        <rFont val="Arial,sans-serif"/>
        <color rgb="FF1155CC"/>
        <sz val="8.0"/>
        <u/>
      </rPr>
      <t>https://www.tiktok.com/@hady_262/video/7571968262053825810</t>
    </r>
  </si>
  <si>
    <t>Ditemukan konten pada Tiktok yang diduga merupakan ajakan provokatif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</si>
  <si>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https://www.tiktok.com/@nazarethislam/video/7572770360853286152</t>
    </r>
  </si>
  <si>
    <t>Ditemukan konten di media sosial Tiktok yang diduga bermuatan provokatif, berisi ajakan untuk membubarkan DPR apabila DPR tidak mengesahkan RUU Perampasan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</si>
  <si>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https://www.tiktok.com/@kangsaprud/video/7571090934218181906</t>
    </r>
  </si>
  <si>
    <t>Ditemukan konten pada media sosial Tiktok yang mengajak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</si>
  <si>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https://www.tiktok.com/@arumkituyo/video/7572388007785794823</t>
    </r>
  </si>
  <si>
    <t>Ditemukan konten pada media sosial Tiktok yang diduga bermuatan konten provokatif yang mengajak masyarakat untuk membubarkan DPR dengan cara tidak memilih anggota legislatif di pemilu mendatang dan mengosongkan kotak suara.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</si>
  <si>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https://vt.tiktok.com/ZSyK1wF6R/</t>
  </si>
  <si>
    <t>Ditemukan konten pada media sosial Tiktok yang diduga bermuatan konten provokatif yang mengajak masyarakat untuk mengadili Jokowi dan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</si>
  <si>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https://vt.tiktok.com/ZSyKJAV7a/</t>
  </si>
  <si>
    <t>https://vt.tiktok.com/ZSyKJyrqL/</t>
  </si>
  <si>
    <t>https://vt.tiktok.com/ZSyKJXLuC/</t>
  </si>
  <si>
    <t>https://vt.tiktok.com/ZSyKJmkeu/</t>
  </si>
  <si>
    <r>
      <rPr>
        <rFont val="Arial,sans-serif"/>
        <color rgb="FF1155CC"/>
        <sz val="8.0"/>
        <u/>
      </rPr>
      <t>https://www.facebook.com/share/p/1ASPohALY7/</t>
    </r>
  </si>
  <si>
    <t>Ditemukan konten pada media sosial Facebook yang diduga bermuatan provokatif berupa ajakan tidak memilih anggota legislatif di pemilu selanjutnya.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</si>
  <si>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https://www.facebook.com/share/p/1DFj9SarPP/</t>
    </r>
  </si>
  <si>
    <t>Ditemukan konten pada Facebook yang diduga merupakan ajakan provokatif untuk membubarkan DPR dan melengserkan Puan Maharani.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</si>
  <si>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https://www.facebook.com/share/r/1CyLfzLxoX/</t>
    </r>
  </si>
  <si>
    <t>Ditemukan konten di media sosial Facebook yang diduga bermuatan provokatif, berisi ajakan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</si>
  <si>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https://www.facebook.com/share/p/1BR9MACRHv/</t>
    </r>
  </si>
  <si>
    <t>Ditemukan konten pada media sosial Facebook yang mengajak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</si>
  <si>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https://www.facebook.com/share/v/1BqH7zJCSM/</t>
    </r>
  </si>
  <si>
    <t>https://vt.tiktok.com/ZSyoUbgr3/</t>
  </si>
  <si>
    <t>Ditemukan konten di media sosial TikTok yang diduga bermuatan provokatif, berisi ajakan untuk mengadili Jokowi dan 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</si>
  <si>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https://vt.tiktok.com/ZSyoUuKVu/</t>
  </si>
  <si>
    <t>https://vt.tiktok.com/ZSyoUCnEX/</t>
  </si>
  <si>
    <t>https://vt.tiktok.com/ZSf1eJPEX/</t>
  </si>
  <si>
    <t>https://vt.tiktok.com/ZSyoydG2Y/</t>
  </si>
  <si>
    <t>https://twitter.com/supratmanareaky/status/1990324811525210342?s=20</t>
  </si>
  <si>
    <t xml:space="preserve">Konten tersebut merupakan respon atas cuitan berupa kutipan bahwa wakil DPR tidak membutuhkan ahli gizi. Konten tersebut diduga mengandung provokasi kepada Persagi (Persatuan Ahli Gizi Indonesia) untuk melakukan protes disertai dengan tindakan anarkis.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</si>
  <si>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https://twitter.com/OjolNyambi/status/1990337938790756599?s=20</t>
  </si>
  <si>
    <t xml:space="preserve">Konten tersebut diduga mengandung unsur provokatif dengan ajakan untuk melakukan tindak anarkis dengan narasi “AYO REVOLUSI”.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</si>
  <si>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r>
      <rPr>
        <rFont val="Arial"/>
        <color rgb="FF1155CC"/>
        <sz val="8.0"/>
        <u/>
      </rPr>
      <t>https://twitter.com/OjolNyambi/status/1990307844135215261?s=20</t>
    </r>
    <r>
      <rPr>
        <rFont val="Arial"/>
        <sz val="8.0"/>
      </rPr>
      <t xml:space="preserve"> </t>
    </r>
  </si>
  <si>
    <t>Konten tersebut diduga mengandung unsur provokatif dengan ajakan untuk melakukan tindak anarkis dengan narasi “ REVOLUSI SEGERA”.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</si>
  <si>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https://twitter.com/akhmadsoderi2/status/1990307819879534808?s=20</t>
  </si>
  <si>
    <t>Konten tersebut diduga mengandung unsur provokatif dengan ajakan untuk melakukan tindak anarkis dengan narasi “ REVOLUSI”.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</si>
  <si>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https://twitter.com/balamvin/status/1990287947535671633</t>
    </r>
  </si>
  <si>
    <t>Konten tersebut diduga mengandung unsur provokasi berupa ajakan untuk melakukan tindakan anarkis terhadap Wakil Ketua DPR, yang merujuk terhadap pernyataan kontroversial pada Rapat Konsolidasi SPPG.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</si>
  <si>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https://twitter.com/KiYang4343/status/1990283034852262080</t>
    </r>
  </si>
  <si>
    <t>Konten tersebut diduga mengandung unsur provokatif dengan ajakan untuk melakukan tindak anarkis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</si>
  <si>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https://twitter.com/Andrie80079584/status/1990124312771310026</t>
    </r>
  </si>
  <si>
    <t>Konten tersebut diduga mengandung unsur provokatif dengan ajakan untuk melakukan tindak anarkis dengan narasi “nepalkan” yang merujuk kepada keluarga Joko Widodo dan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</si>
  <si>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https://twitter.com/JatmikaAj2712/status/1989932520746754437</t>
    </r>
  </si>
  <si>
    <t>Konten ini diduga memuat unsur provokatif disertai dengan narasi kasar yang memprovokasi akan aksi anarkis terhadap DPR yang menyinggung terkait polemik Dana Reses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</si>
  <si>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https://www.facebook.com/share/r/1Ch8HgmRVA/</t>
    </r>
  </si>
  <si>
    <t>Konten ini diduga memuat unsur provokatif dengan narasi yang memprovokasi masyarakat akan aksi separatisme dengan narasi “Aceh Wajib Merdeka”, konten ini juga memuat foto bendera GAM.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</si>
  <si>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https://www.facebook.com/share/p/1LM8zNDfRf/</t>
    </r>
  </si>
  <si>
    <t>Konten ini diduga memuat unsur provokatif dengan narasi yang memprovokasi masyarakat akan aksi separatisme dengan narasi “Aceh Merdeka”, konten ini juga memuat foto pengibaran bendera GAM.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</si>
  <si>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https://www.facebook.com/share/p/1BvemPshRV/</t>
    </r>
  </si>
  <si>
    <t>Provokatif, Disinformasi, dan SARA</t>
  </si>
  <si>
    <t>Konten ini diduga memuat unsur provokatif dan disinformasi dengan narasi separatisme “Prediksi Bank Dunia,.. Aceh akan merdeka. Bahkan Papua, Maluku dan daerah2 lainnya juga akan menyusul …”.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</si>
  <si>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https://www.facebook.com/share/v/1Aknqm9fJj/</t>
    </r>
  </si>
  <si>
    <t>Konten tersebut diduga mengandung unsur provokatif dengan ajakan untuk melakukan tindak anarkis dengan narasi “nepalkan” yang merujuk kepada keluarga Joko Widodo dan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</si>
  <si>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https://www.facebook.com/share/p/14NT9wU9AKX/</t>
    </r>
  </si>
  <si>
    <t>https://twitter.com/didiek_murdock/status/1990590880080933335?s=20</t>
  </si>
  <si>
    <t>Konten tersebut diduga mengandung unsur provokatif yaitu ajakan untuk melakuan tindakan protes disertai dengan tindak anarkis terhadap Mendagri, Polri, dan Wapres Gibran.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</si>
  <si>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https://twitter.com/Galaxsackti63/status/1990661983834980777?s=20</t>
  </si>
  <si>
    <t>Konten tersebut diduga mengandung unsur provokatif dengan ajakan untuk melakukan tindak anarkis untuk membubarkan DPR dengan narasi “Nepalkan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</si>
  <si>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https://twitter.com/LettaSel78823/status/1990669463210111000?s=20</t>
  </si>
  <si>
    <t>Konten tersebut diduga mengandung unsur provokatif dengan ajakan untuk melakukan tindak anarkis untuk membubarkan DPR dengan narasi “Emang kudu di bubarkan DPR . pejabat di gantung”.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</si>
  <si>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https://twitter.com/PEOPLEOFTHELIE4/status/1990632041520771540?s=20</t>
  </si>
  <si>
    <t xml:space="preserve">Konten tersebut diduga mengandung unsur provokatif dengan ajakan untuk melakukan tindak anarkis dengan narasi “Sudahi DEMOKRASI.  REVOLUSI…”.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</si>
  <si>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https://twitter.com/rexeleration/status/1990739678379598216?s=20</t>
  </si>
  <si>
    <t xml:space="preserve">Konten tersebut diduga mengandung unsur provokasi berupa ajakan untuk melakukan tindakan anarkis yaitu pembakaran gedung DPR, berkenaan dengan disahkannya RUU KUHAP.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</si>
  <si>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r>
      <rPr>
        <rFont val="Arial,sans-serif"/>
        <color rgb="FF1155CC"/>
        <sz val="8.0"/>
        <u/>
      </rPr>
      <t>https://twitter.com/Dirgahayu394/status/1990715573320245645</t>
    </r>
  </si>
  <si>
    <t>Konten tersebut diduga mengandung unsur provokatif dengan ajakan untuk melakukan tindak anarkis dengan narasi “nepalkan” yang merujuk kepada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</si>
  <si>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https://twitter.com/jedhot5/status/1990692884526563480</t>
  </si>
  <si>
    <t>Konten ini diduga memuat unsur provokatif dengan narasi “nepalkan” dan memuat foto dengan tagar #RESETINDONESIA.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</si>
  <si>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https://twitter.com/jemmy81485936/status/1990607742768459987</t>
    </r>
  </si>
  <si>
    <t>Konten tersebut diduga mengandung unsur provokatif dengan ajakan untuk melakukan tindak anarkis dengan narasi “nepalkan” yang merujuk kepada Wakil Ketua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</si>
  <si>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https://www.facebook.com/share/v/17zr8idboe/</t>
    </r>
  </si>
  <si>
    <t>Konten tersebut diduga mengandung unsur provokatif dengan ajakan untuk melakukan tindak anarkis dengan narasi “nepalkan” yang merujuk kepada Bapak Prabowo Subianto.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</si>
  <si>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https://twitter.com/fransis74201222/status/1990058224570311017</t>
  </si>
  <si>
    <t>https://twitter.com/mirzafahleviG/status/1990622977269117316</t>
  </si>
  <si>
    <t>https://twitter.com/mirzafahleviG/status/1989601220261286350</t>
  </si>
  <si>
    <t>https://www.facebook.com/groups/523183267134157/posts/824692440316570/</t>
  </si>
  <si>
    <t>https://www.facebook.com/groups/523183267134157/posts/813522041433610/</t>
  </si>
  <si>
    <r>
      <rPr>
        <rFont val="Arial"/>
        <color rgb="FF1155CC"/>
        <sz val="8.0"/>
        <u/>
      </rPr>
      <t>https://www.facebook.com/photo/?fbid=1856196561965911&amp;set=gm.1015554747397252&amp;idorvanity=472499775036088</t>
    </r>
  </si>
  <si>
    <t xml:space="preserve">Beredar sebuah unggahan Foto di media sosial yang mengeklaim Perdana Menteri Israel Benjamin Netanyahu, dan kemudian mengaitkannya dengan isu Papua. Unggahan tersebut berisi narasi “Indonesia: Prabowo Subianto Membantu Palestina. Israel: Netanyahu juga punya hak membantu Bangsa Papua.”
Faktanya, Konten memuat narasi Netanyahu memiliki hak untuk membantu bangsa Papua merupakan hoaks. Dilansir dari kompas.com, setelah dilakukan penelusuran menggunakan reverse image search, hasilnya mengarahkan ke unggahan akun X tvOnenews @tvOneNews pada 25 September 2025, yang mengabarkan soal kecaman Netanyahu kepada para pemimpin yang mengakui Israel. Kecaman tersebut disampaikan pada Kamis, 25 September 2025 sebelum bertemu Presiden Amerika Serikat Donald Trump di Gedung Putih dan berpidato di Majelis Umum PBB. Namun, tidak ada pernyataan atau pemberitaan yang memuat dukungan Netanyahu terhadap bangsa Papua di Indonesia.
Link Counter :
https://www.kompas.com/cekfakta/read/2025/11/10/132600882/-hoaks-konten-memuat-narasi-netanyahu-berhak-membantu-bangsa-papua?page=2 
https://asiapacificreport.nz/2025/10/21/netanyahu-praises-papua-new-guinea-with-deep-gratitude-for-backing-israel/ </t>
  </si>
  <si>
    <t>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t>
  </si>
  <si>
    <r>
      <rPr>
        <rFont val="Arial"/>
        <color rgb="FF1155CC"/>
        <sz val="8.0"/>
        <u/>
      </rPr>
      <t>https://www.facebook.com/photo/?fbid=797685606366851&amp;set=pcb.2054376545330964</t>
    </r>
  </si>
  <si>
    <r>
      <rPr>
        <rFont val="Arial"/>
        <color rgb="FF1155CC"/>
        <sz val="8.0"/>
        <u/>
      </rPr>
      <t>https://www.facebook.com/photo.php?fbid=1859185158333718&amp;set=a.100918624160389&amp;type=3</t>
    </r>
  </si>
  <si>
    <r>
      <rPr>
        <rFont val="Arial"/>
        <color rgb="FF1155CC"/>
        <sz val="8.0"/>
        <u/>
      </rPr>
      <t>https://www.facebook.com/reel/1896934270887345</t>
    </r>
  </si>
  <si>
    <t xml:space="preserve">Beredar unggahan video di media sosial Facebook yang mengeklaim bahwa Menteri Keuangan (Menkeu) Purbaya akan membongkar penyebab dari kerugian yang dialami oleh Badan Usaha Milik Negara (BUMN).
Faktanya, klaim tersebut adalah tidak benar. Dilansir dari turnbackhoax.id, setelah dilakukan pengamatan dari video yang beredar, adanya ketidaksesuaian dari gerakan mulut Menkeu Purbaya Yudhi Sadewa dengan audio yang dihasilkan. Kemudian dilakukan penelusuran menggunakan alat pendeteksi Artificial Intelligence (AI), Hive Moderation, diketahui konten tersebut merupakan hasil rekayasa kecerdasan buatan, probabilitas atau kemungkinannya mencapai 99,9 persen. Lebih lanjut, pencarian menggunakan Google Lens dengan memasukan tangkapan layar, hasilnya mengarah ke kanal YouTube milik Sekretariat Presiden berjudul “Keterangan Pers Menteri Keuangan Purbaya Yudhi Sadewa, Jakarta, 10 September 2025”, tayang Rabu, 10 September 2025. Konteks asli video adalah momen wawancara Menkeu Purbaya setelah melakukan pembahasan rancangan Anggaran Pendapatan dan Belanja Negara (APBN) bersama DPR.
Link Counter :
https://turnbackhoax.id/articles/30084 
https://www.youtube.com/watch?v=gDWnZ8czb28 </t>
  </si>
  <si>
    <r>
      <rPr>
        <rFont val="Arial"/>
        <color rgb="FF1155CC"/>
        <sz val="8.0"/>
        <u/>
      </rPr>
      <t>https://www.facebook.com/photo.php?fbid=32399412436373580&amp;set=a.152645038143738&amp;type=3</t>
    </r>
  </si>
  <si>
    <r>
      <rPr>
        <rFont val="Arial"/>
        <color rgb="FF1155CC"/>
        <sz val="8.0"/>
        <u/>
      </rPr>
      <t>https://www.facebook.com/photo.php?fbid=24797204833306472&amp;set=a.128040910649540&amp;type=3</t>
    </r>
  </si>
  <si>
    <t xml:space="preserve">Beredar unggahan video di media sosial Facebook yang mengeklaim bahwa Menteri Keuangan (Menkeu) Purbaya akan membongkar penyebab dari kerugian yang dialami oleh Badan Usaha Milik Negara (BUMN).
Faktanya, klaim tersebut adalah tidak benar. Dilansir dari turnbackhoax.id, setelah dilakukan pengamatan dari video yang beredar, adanya ketidaksesuaian dari gerakan mulut Menkeu Purbaya Yudhi Sadewa dengan audio yang dihasilkan. Kemudian dilakukan penelusuran menggunakan alat pendeteksi Artificial Intelligence (AI), Hive Moderation, diketahui konten tersebut merupakan hasil rekayasa kecerdasan buatan, probabilitas atau kemungkinannya mencapai 99,9 persen. Lebih lanjut, pencarian menggunakan Google Lens dengan memasukan tangkapan layar, hasilnya mengarah ke kanal YouTube milik Sekretariat Presiden berjudul “Keterangan Pers Menteri Keuangan Purbaya Yudhi Sadewa, Jakarta, 10 September 2025”, tayang Rabu, 10 September 2025. Konteks asli video adalah momen wawancara Menkeu Purbaya setelah melakukan pembahasan rancangan Anggaran Pendapatan dan Belanja Negara (APBN) bersama DPR.
Link Counter :
https://turnbackhoax.id/articles/30084 
https://www.youtube.com/watch?v=gDWnZ8czb28 </t>
  </si>
  <si>
    <r>
      <rPr>
        <rFont val="Arial,sans-serif"/>
        <color rgb="FF1155CC"/>
        <sz val="8.0"/>
        <u/>
      </rPr>
      <t>https://www.facebook.com/groups/600655398635239/posts/1218477716853001/</t>
    </r>
  </si>
  <si>
    <t>https://twitter.com/Baseng1146525/status/1898786032579145748</t>
  </si>
  <si>
    <t>https://twitter.com/Nagakayu11/status/1911947106786693559</t>
  </si>
  <si>
    <r>
      <rPr>
        <rFont val="Arial,sans-serif"/>
        <color rgb="FF1155CC"/>
        <sz val="8.0"/>
        <u/>
      </rPr>
      <t>https://www.tiktok.com/@jalan.hitam7/video/7573561685701692690</t>
    </r>
  </si>
  <si>
    <t>Ditemukan konten yang memperlihatkan ajakan aksi demo jilid 2 pada 20 November nanti di istana dan kemenhub. Pada postingan tersebut menggunakan ajakan dengan tagar #bubarkandpr. Pada konten tersebut, memperlihatkan gedung-gedung tinggi beserta pasukan demo dan memperlihatkan kobaran api, kebakaran dengan suasana yang mencekam. Konten ini dapat memiliki arti lain apabila dilihat oleh pengguna lainnya dengan masing-masing perspektif yang berbeda, salah satunya dapat menggambarkan kerusuhan ketika menyampaikan pendapat.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</si>
  <si>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Munculnya akun dan/atau konten provokatif, ujaran kebencian, SARA menyebabkan meningkatkan persebaran manipulasi dan disinformasi, menimbulkan kegaduhan di publik, ruang menciptakan polarisasi sosial, meningkatkan ketegangan sosial yang berdampak pada gangguan keamanan dan ketertiban masyarakat serta mengganggu stabilitas dan integrasi nasional.
</t>
  </si>
  <si>
    <r>
      <rPr>
        <rFont val="Arial,sans-serif"/>
        <color rgb="FF1155CC"/>
        <sz val="8.0"/>
        <u/>
      </rPr>
      <t>https://www.tiktok.com/@rom91681/video/7541029093970595078</t>
    </r>
  </si>
  <si>
    <t>Ditemukan konten yang diduga merupakan ajakan provokatif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</si>
  <si>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https://www.facebook.com/share/r/1CoQBiBMBn/</t>
    </r>
  </si>
  <si>
    <t>Ditemukan konten di media sosial Facebook yang diduga bermuatan provokatif, berisi ajakan untuk me-’Nepalkan’ Indonesia karena isu tentang kepalsuan ijazah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</si>
  <si>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https://www.facebook.com/share/r/17SAtD6NRh/</t>
    </r>
  </si>
  <si>
    <t>Ditemukan konten di media sosial Facebook yang diduga bermuatan provokatif, berisi ajakan untuk me-’Nepalkan’ Indonesia karena isu tentang kepalsuan ijazah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</si>
  <si>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https://www.tiktok.com/@moch.asyieq/video/7553061420947098892</t>
    </r>
  </si>
  <si>
    <t>Ditemukan konten pada media sosial Tiktok yang diduga bermuatan konten provokatif yang mengajak masyarakat untuk membubarkan DPR dan menepalkan Indonesia, kemudian merampas semua aset para pengkhianat rakyat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</si>
  <si>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https://www.tiktok.com/@shoheh53/video/7567566728302120199</t>
    </r>
  </si>
  <si>
    <t>Ditemukan konten pada media sosial Tiktok yang diduga bermuatan konten provokatif yang mengajak masyarakat untuk menepalkan Indonesia dimulai dari Mimbar Bebas Solo.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</si>
  <si>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https://vt.tiktok.com/ZSfNf1Mqh/</t>
  </si>
  <si>
    <t xml:space="preserve">Ditemukan konten pada media sosial Tiktok yang diduga bermuatan konten provokatif yang mengajak masyarakat untuk mengadili Jokowi dan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</si>
  <si>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https://vt.tiktok.com/ZSfNfjTh6/</t>
  </si>
  <si>
    <t>https://vt.tiktok.com/ZSfNfNVqK/</t>
  </si>
  <si>
    <t>https://vt.tiktok.com/ZSfNfL3gR/</t>
  </si>
  <si>
    <t>https://vt.tiktok.com/ZSfNfba63/</t>
  </si>
  <si>
    <t xml:space="preserve">https://www.facebook.com/photo/?fbid=24982614934736105&amp;set=a.831566043600998 
</t>
  </si>
  <si>
    <t>Beredar sebuah unggahan Foto di media sosial yang mengeklaim Menteri Energi dan Sumber Daya Mineral (ESDM) Bahlil Lahadalia bersalaman dengan seorang pria berpakaian hijau toska yang diklaim sebagai ahli gizi dari India yang didatangkan pemerintah Indonesia untuk membantu meningkatkan kualitas program Makan Bergizi Gratis (MBG).
Faktanya, Dilansir dari Tempo. Tempo memverifikasi gambar tersebut melalui analisis manual, penelusuran di sejumlah situs kredibel, dan pemeriksaan dengan pendeteksi gambar berbasis akal imitasi (AI). Hasilnya, meski Indonesia memang berencana merekrut konsultan gizi dari India, foto yang beredar merupakan hasil buatan akal imitasi.
Berdasarkan analisis manual, Tempo menemukan sejumlah kejanggalan pada foto tersebut. Pertama, beberapa kameramen dan fotografer tampak membelakangi objek, hal yang tidak lazim dalam peliputan karena jurnalis biasanya mengambil posisi di depan. Kedua, pencahayaan pada wajah Bahlil terlihat jauh lebih terang dibanding pria di sampingnya.
Ketiga, poster dalam foto itu mencantumkan sumber dari situs www.fantasyworld.com yang tidak dapat diakses. Keempat, Kementerian ESDM bukan pelaksana program Makan Bergizi Gratis. Program prioritas Presiden Prabowo itu dijalankan oleh Badan Gizi Nasional (BGN).
Setelah analisis manual, Tempo memeriksa foto tersebut dengan tiga alat pendeteksi akal imitasi. Hasilnya berbeda-beda secara persentase, namun seluruhnya menunjukkan adanya kemungkinan kuat keterlibatan akal imitasi dalam pembuatan gambar.
Link Counter :
https://cekfakta.tempo.co/fakta/3927/keliru-foto-bahlil-sambut-ahli-gizi-mbg-asal-india</t>
  </si>
  <si>
    <t>https://www.facebook.com/eki.suprianto.3/photos/mantap-ga-tuh-ahli-gizi-aja-dri-india-berarti-di-indonesia-nih-orangnya-ga-bisa-/25766464046275249/</t>
  </si>
  <si>
    <t>Beredar sebuah unggahan Foto di media sosial yang mengeklaim Menteri Energi dan Sumber Daya Mineral (ESDM) Bahlil Lahadalia bersalaman dengan seorang pria berpakaian hijau toska yang diklaim sebagai ahli gizi dari India yang didatangkan pemerintah Indonesia untuk membantu meningkatkan kualitas program Makan Bergizi Gratis (MBG).
Faktanya, Dilansir dari Tempo. Tempo memverifikasi gambar tersebut melalui analisis manual, penelusuran di sejumlah situs kredibel, dan pemeriksaan dengan pendeteksi gambar berbasis akal imitasi (AI). Hasilnya, meski Indonesia memang berencana merekrut konsultan gizi dari India, foto yang beredar merupakan hasil buatan akal imitasi.
Berdasarkan analisis manual, Tempo menemukan sejumlah kejanggalan pada foto tersebut. Pertama, beberapa kameramen dan fotografer tampak membelakangi objek, hal yang tidak lazim dalam peliputan karena jurnalis biasanya mengambil posisi di depan. Kedua, pencahayaan pada wajah Bahlil terlihat jauh lebih terang dibanding pria di sampingnya.
Ketiga, poster dalam foto itu mencantumkan sumber dari situs www.fantasyworld.com yang tidak dapat diakses. Keempat, Kementerian ESDM bukan pelaksana program Makan Bergizi Gratis. Program prioritas Presiden Prabowo itu dijalankan oleh Badan Gizi Nasional (BGN).
Setelah analisis manual, Tempo memeriksa foto tersebut dengan tiga alat pendeteksi akal imitasi. Hasilnya berbeda-beda secara persentase, namun seluruhnya menunjukkan adanya kemungkinan kuat keterlibatan akal imitasi dalam pembuatan gambar.
Link Counter :
https://cekfakta.tempo.co/fakta/3927/keliru-foto-bahlil-sambut-ahli-gizi-mbg-asal-india</t>
  </si>
  <si>
    <t>https://www.facebook.com/reel/1344433620617492</t>
  </si>
  <si>
    <t xml:space="preserve">Beredar di media sosial Facebook unggahan sebuah video berisi narasi “Presiden Prabowo Berencana Jadikan Titiek Soeharto Sebagai Ketua DPR RI. Lan9kah Ini Diambil Pre5iden Prab0w0 A9ar RUU Perampa5an A5eT 5egera Di5ahkan Untuk Memba5mi Para K0rupt0r Y9 Suka Bermain Di Lemba9a Pemerint4han Dan Y9 5elalu M4lin9 Uan9 RAKYAT”.
Faktanya, klaim tersebut tidak benar. Setelah dilakukan penelusuran lebih lanjut dengan mengetikkan kata kunci “Prabowo berencana jadikan Titiek Soeharto sebagai Ketua DPR RI” di mesin pencarian Google, tidak ditemukan informasi kredibel mengenai klaim pada narasi. Kemudian dilakukan penelusuran terhadap foto yang digunakan dalam unggahan menggunakan Google Lens, hasilnya merujuk pada artikel gerindra.id dengan judul “Titiek Soeharto: Pertanian Harus Fokus pada Produksi Domestik dan Kesejahteraan Petani” yang tidak ada hubungannya sama sekali terhadap klaim.
Link Counter :
https://gerindra.id/2025/07/08/titiek-soeharto-pertanian-harus-fokus-pada-produksi-domestik-dan-kesejahteraan-petani/ </t>
  </si>
  <si>
    <r>
      <rPr>
        <rFont val="Arial,sans-serif"/>
        <color rgb="FF1155CC"/>
        <sz val="8.0"/>
        <u/>
      </rPr>
      <t>https://www.facebook.com/groups/734515222685845/posts/816432141160819/</t>
    </r>
  </si>
  <si>
    <r>
      <rPr>
        <rFont val="Arial,sans-serif"/>
        <color rgb="FF1155CC"/>
        <sz val="8.0"/>
        <u/>
      </rPr>
      <t>https://www.facebook.com/groups/734515222685845/posts/816421991161834/</t>
    </r>
  </si>
  <si>
    <r>
      <rPr>
        <rFont val="Arial,sans-serif"/>
        <color rgb="FF1155CC"/>
        <sz val="8.0"/>
        <u/>
      </rPr>
      <t>https://www.facebook.com/groups/734515222685845/posts/816373097833390/</t>
    </r>
  </si>
  <si>
    <r>
      <rPr>
        <rFont val="Calibri,sans-serif"/>
        <color rgb="FF1155CC"/>
        <sz val="8.0"/>
        <u/>
      </rPr>
      <t>https://www.facebook.com/groups/2378433292339269/posts/3076545945861330/</t>
    </r>
  </si>
  <si>
    <r>
      <rPr>
        <rFont val="Calibri,sans-serif"/>
        <color rgb="FF1155CC"/>
        <sz val="8.0"/>
        <u/>
      </rPr>
      <t>https://www.facebook.com/groups/2378433292339269/posts/3070925276423397/</t>
    </r>
  </si>
  <si>
    <r>
      <rPr>
        <rFont val="Arial,sans-serif"/>
        <color rgb="FF1155CC"/>
        <sz val="8.0"/>
        <u/>
      </rPr>
      <t>https://www.facebook.com/groups/2378433292339269/posts/3070920273090564/</t>
    </r>
  </si>
  <si>
    <r>
      <rPr>
        <rFont val="Arial,sans-serif"/>
        <color rgb="FF1155CC"/>
        <sz val="8.0"/>
        <u/>
      </rPr>
      <t>https://www.facebook.com/groups/2378433292339269/posts/3070391146476810/</t>
    </r>
  </si>
  <si>
    <r>
      <rPr>
        <rFont val="Arial,sans-serif"/>
        <color rgb="FF1155CC"/>
        <sz val="8.0"/>
        <u/>
      </rPr>
      <t>https://www.facebook.com/groups/2378433292339269/posts/3064089803773611/</t>
    </r>
  </si>
  <si>
    <r>
      <rPr>
        <rFont val="Arial,sans-serif"/>
        <color rgb="FF1155CC"/>
        <sz val="8.0"/>
        <u/>
      </rPr>
      <t>https://www.facebook.com/groups/2479676585560598/posts/2981072738754311</t>
    </r>
  </si>
  <si>
    <t>https://www.facebook.com/groups/2479676585560598/posts/2981062928755292</t>
  </si>
  <si>
    <r>
      <rPr>
        <rFont val="Arial,sans-serif"/>
        <color rgb="FF1155CC"/>
        <sz val="8.0"/>
        <u/>
      </rPr>
      <t>https://www.facebook.com/groups/2479676585560598/posts/2981035672091351</t>
    </r>
  </si>
  <si>
    <r>
      <rPr>
        <rFont val="Arial,sans-serif"/>
        <color rgb="FF1155CC"/>
        <sz val="8.0"/>
        <u/>
      </rPr>
      <t>https://www.facebook.com/share/r/1SpDhd8SbP/</t>
    </r>
  </si>
  <si>
    <t>Ditemukan konten yang diduga merupakan ajakan provokatif untuk membubarkan satgas PKH, kantor kejati, dan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</si>
  <si>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https://www.facebook.com/share/r/1ARZdAKcbe/</t>
    </r>
  </si>
  <si>
    <t>Ditemukan konten di media sosial Facebook yang diduga bermuatan provokatif untuk membubarkan DPR karena dianggap sudah tidak ada gunanya.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</si>
  <si>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https://www.facebook.com/share/v/195gq1xo7n/</t>
    </r>
  </si>
  <si>
    <t>Ditemukan konten pada media sosial Facebook yang diduga bermuatan konten provokatif yang mengajak masyarakat untuk membubarkan DPR. Pada video tersebut disebutkan bahwa ketua umum DPR disebut rakus yang membuat rakyat terbebani karena ulahnya.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</si>
  <si>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https://www.facebook.com/share/r/1CSsAxvswb/</t>
    </r>
  </si>
  <si>
    <t>Ditemukan konten pada media sosial Facebook yang diduga bermuatan konten provokatif yang mengajak masyarakat untuk membubarkan DPR serta partai-partai karena dianggap menghancurkan kedaultan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</si>
  <si>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https://twitter.com/PEOPLEOFTHELIE4/status/1991690484998369684</t>
    </r>
  </si>
  <si>
    <t>Konten ini diduga memuat unsur provokatif untuk melakukan tindakan anarkis dengan narasi kasar “NEPALKAN para PEJABAT BANGSAT”.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</si>
  <si>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https://twitter.com/ur_comrades/status/1991665657189134795</t>
    </r>
  </si>
  <si>
    <t>Konten ini diduga memuat unsur provokatif untuk melakukan tindakan anarkis dengan narasi “NEPALKAN” terhadap keluarga Joko Widodo dan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</si>
  <si>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https://twitter.com/PEOPLEOFTHELIE4/status/1991487167269597327</t>
    </r>
  </si>
  <si>
    <t>Konten tersebut diduga mengandung unsur provokatif dengan ajakan untuk melakukan tindak anarkis dengan narasi “Nepalkan”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</si>
  <si>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https://twitter.com/B4sm1Oligarki/status/1991424377678889455</t>
    </r>
  </si>
  <si>
    <t>Konten tersebut diduga mengandung unsur provokatif dengan ajakan untuk melakukan tindak anarkis dengan kalimat kasar dan narasi “Wajib di NEPALKAN rakyat”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</si>
  <si>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https://twitter.com/B4sm1Oligarki/status/1991423706200174887</t>
    </r>
  </si>
  <si>
    <r>
      <rPr>
        <rFont val="Arial,sans-serif"/>
        <color rgb="FF1155CC"/>
        <sz val="8.0"/>
        <u/>
      </rPr>
      <t>https://www.facebook.com/share/v/16nF68qvDe/</t>
    </r>
  </si>
  <si>
    <t>Konten tersebut diduga mengandung unsur provokatif gerakan separatisme dengan narasi “Free West Papua” disertai dengan foto bendera OPM.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</si>
  <si>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https://www.tiktok.com/@martunis_15/video/7574775277310577940?_r=1&amp;_t=ZS-91ah3rJzwob</t>
  </si>
  <si>
    <t>Konten tersebut mengandung provokasi dan narasi separatisme Aceh Merdeka disertai dengan video aksi mengibarkan bendera GAM.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</si>
  <si>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https://www.tiktok.com/@acehdarussalam07/video/7574263065458314514?_r=1&amp;_t=ZS-91ah5PsP8Vt</t>
  </si>
  <si>
    <t>Konten tersebut mengandung unsur provokasi dan separatisme dengan narasi bahwa bangsa Aceh asli tidak tunduk kepada pemerintah, yang dalam hal ini disebut Penjajahan Hindusia oleh pengunggah konten. Ditampilkan juga video Teungku Abdullah Syafii yang merupakan mantan Panglima GAM.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</si>
  <si>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https://www.facebook.com/groups/1695525427952688/permalink/2120401268798433/?rdid=k2JWNBy669qX7hiN#</t>
  </si>
  <si>
    <t>Konten tersebut mengandung provokasi dengan narasi negara Indonesia, yang dalam hal ini disebut sebagai Indomi, akan menghadapi Amerika Serikat dan Israel, yang mendukung kemerdekaan Papua.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</si>
  <si>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https://www.facebook.com/reel/1508692983700152</t>
  </si>
  <si>
    <r>
      <rPr>
        <rFont val="Arial"/>
        <color theme="1"/>
        <sz val="8.0"/>
      </rPr>
      <t xml:space="preserve">Konten tersebut merupakan disinformasi dengan kategori </t>
    </r>
    <r>
      <rPr>
        <rFont val="Arial"/>
        <i/>
        <color theme="1"/>
        <sz val="8.0"/>
      </rPr>
      <t xml:space="preserve">fabricated content </t>
    </r>
    <r>
      <rPr>
        <rFont val="Arial"/>
        <color theme="1"/>
        <sz val="8.0"/>
      </rPr>
      <t>(konten palsu). Terdapat sebuah video AI berisi narasi masyarakat Indonesia mendukung kemerdekaan Papua.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r>
  </si>
  <si>
    <t>https://www.facebook.com/reel/3375223822631667</t>
  </si>
  <si>
    <t>Konten tersebut mengandung unsur provokasi dengan narasi ajakan menepalkan DPR. Narasi tersebut dihubungkan dengan isu pengesahan UU KUHAP.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</si>
  <si>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https://www.facebook.com/story.php?story_fbid=122149915994722556&amp;id=61571676690760&amp;rdid=rsEezv1zAwK5By3E#</t>
  </si>
  <si>
    <t>Konten tersebut mengandung unsur provokasi dengan mengangkat isu RUU Pemberantasan Aset yang belum disahkan. Narasi yang dibuat oleh akun facebook tersebut berupa tinggal menghitung hari terjadinya demonstrasi seperti di Nepal. Terdapat ajakan untuk pulang kampung dengan dalih akan ada peristiwa lautan api.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</si>
  <si>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https://www.facebook.com/story.php?story_fbid=10230766536934473&amp;id=1456565538&amp;rdid=7N839e9kXXEPqRro#</t>
  </si>
  <si>
    <t>Konten tersebut berisi provokasi terhadap masyarakat dengan narasi ajakan untuk membuat people power. Terdapat ajakan untuk menepalkan Indonesia dan melakukan revolusi.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</si>
  <si>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https://x.com/ahlinaceh001/status/1992016802432581972</t>
  </si>
  <si>
    <t>Ditemukan unggahan konten yang diduga memuat narasi provokatif yang tidak hanya berisi narasi ajakan untuk “menepalkan DPR”, tetapi juga mendorong tindakan anarkis dan kekerasan yang secara spesifik menargetkan anggota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dan Kitab Undang-Undang Hukum Pidana (KUHP) pada pasal 160 dan 170.</t>
  </si>
  <si>
    <t xml:space="preserve">https://www.tiktok.com/@husni.nyinyir/video/7567917008763866389
</t>
  </si>
  <si>
    <t>Ditemukan unggahan konten yang diduga memuat narasi provokatif untuk mengaja “menepalkan” dan menggeruduk rumah mantan Presiden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dan Kitab Undang-Undang Hukum Pidana (KUHP) pada pasal 160 dan 170.</t>
  </si>
  <si>
    <t>https://www.facebook.com/asep.suryanto.811604/posts/pfbid0h5E1EKBML7sQBry53LnQtj7LrBA43Zu4FUz8MsTV2KiYGZAGckZLNBRicQ4ZBHXEl</t>
  </si>
  <si>
    <t>Fitnah
Dan
Provokatif</t>
  </si>
  <si>
    <t>Ditemukan konten di media sosial Facebook yang diduga bermuatan narasi fitnah yang menuduh Ketua DPR RI Puan Maharani melarang dan menggalkan pembahasan RUU perampasan Aset. Selain itu, didalam konten tersebut diduga memiliki narasi provokatif untuk menepalkan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dan Kitab Undang-Undang Hukum Pidana (KUHP) pada pasal 160 dan 170.</t>
  </si>
  <si>
    <t>https://www.facebook.com/groups/selatpanjang/posts/24993567170286005</t>
  </si>
  <si>
    <t>Ditemukan unggahan di platform Facebook yang diduga memuat narasi provokatif yang mendorong masyarakat untuk membentuk kekuatan people power dan menepalkan Provinsi Riau.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</si>
  <si>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https://x.com/Nobetrayer/status/1992060872223842384</t>
  </si>
  <si>
    <t>Ditemukan unggahan di media sosial Twitter yang diduga memuat narasi fitnah dengan menuduh mantan Presiden Jokowi memiliki bunker penyimpanan uang untuk melakukan tindakan sewenang - wenang terhadap negara. Selain itu, konten tersebut juga diduga mengandung ajakan provokatif untuk memakzulkan Wakil Presiden Gibran serta mendorong tindakan penekan terhadap pejabat dan anggota keluarga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</si>
  <si>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https://www.facebook.com/groups/1914419445514497/?multi_permalinks=4262085737414511</t>
  </si>
  <si>
    <t>Ditemukan konten pada media sosial Facebook yang diduga mengandung narasi provokatif bernuansa SARA serta gerakan separatisme Aceh Merdeka dengan membandingkan simbol bendera Aceh Merdeka dan mengaitkannya dengan sejarah Provinsi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</si>
  <si>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https://x.com/_luv_0499/status/1992257697497117044</t>
  </si>
  <si>
    <t>Disinformasi
dan 
Provokatif</t>
  </si>
  <si>
    <t>Ditemukan unggahan di media sosial Twitter yang diduga memuat disinformasi dengan menyatakan bahwa DPR menolak program redenominasi rupiah, serta mengaitkannya dengan tuduhan bahwa praktik suap dan sogokan kepada anggota DPR dilakukan dalam bentuk uang tunai yang disimpan di dalam koper. Selain itu, diduga terdapat narasi yang bermuatan unsur provokatif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</si>
  <si>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https://pomf2.lain.la/f/hgoo2u1p.mp4</t>
  </si>
  <si>
    <t>SARA dan Penistaan Agama</t>
  </si>
  <si>
    <t>Ditemukan unggahan pada sebuah tautan situs web yang diduga memuat konten pornografi, provokatif, bernuansa SARA, serta mengandung unsur penistaan agama, berupa tayangan seorang perempuan tanpa busana yang meludahi kitab suci Al-Qur’an..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</si>
  <si>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https://vt.tiktok.com/ZSfS2mfnL/</t>
  </si>
  <si>
    <t>Ditemukan unggahan pada sebuah konten pada media sosial TikTok yang diduga memuat konten provokatif dengan narasi untuk memakzulkan Gibran dan adili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</si>
  <si>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https://vt.tiktok.com/ZSfS2vdae/</t>
  </si>
  <si>
    <t>https://vt.tiktok.com/ZSfS2uWTM/</t>
  </si>
  <si>
    <t>https://vt.tiktok.com/ZSfS2gnMQ/</t>
  </si>
  <si>
    <t>https://vt.tiktok.com/ZSfSjRbSc/</t>
  </si>
  <si>
    <t>https://www.tiktok.com/@j2_aps/video/7552754976779504914</t>
  </si>
  <si>
    <t>Konten ini memuat ajakan provokatif untuk melawan Presiden dan pejabat negara. Narasi ini memicu kebencian dengan menggambarkan Indonesia seolah dijajah Jokowi-Gibran, sehingga mendorong masyarakat agar bersatu melakukan perlawanan seperti demonstrasi yang anarkis seperti yang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</si>
  <si>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https://www.tiktok.com/@dahliatoto_7/video/7553838826456698130</t>
  </si>
  <si>
    <t>Konten menampilkan visual kebakaran dengan narasi kasar dan ajakan provokatif yang menghasut masyarakat untuk melakukan tindakan anarkis terhadap gedung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</si>
  <si>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https://x.com/Sh4dowBone__/status/1973175021121184000</t>
  </si>
  <si>
    <t>Konten ini memuat ajakan provokatif yang mendorong masyarakat melakukan tindakan kekerasan anarkis terhadap mantan Presiden Indonesia.Hal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</si>
  <si>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https://x.com/AlisaJiwan265/status/1973030597032612255</t>
  </si>
  <si>
    <t>Konten ini memuat narasi provokasi separatis yang menghasut publik untuk mendukung pemisahan Aceh dari NKRI, memanfaatkan sentimen agama dan penderitaan, serta mendelegitimasi pemerintah.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</si>
  <si>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https://x.com/arikprJFS/status/1973226886240280999</t>
  </si>
  <si>
    <t>Konten ini menyindir seolah-olah Aceh sudah menjadi negara terpisah dari Indonesia, sehingga untuk bepergian ke Medan diperlukan paspor. Meski dikemas dengan gaya bercanda, narasi ini tetap berisi provokasi separatis karena memuat skenario Aceh yang keluar dari NKRI.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</si>
  <si>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https://x.com/fransis74201222/status/1972929448875004158</t>
  </si>
  <si>
    <t>Konten ini memuat ajakan provokatif separatis yang menolak kedaulatan NKRI dan berpotensi menimbulkan konflik serta disintegrasi bangsa. Selain itu, penyebutan pemerintah Indonesia sebagai pihak yang “zholim” merupakan framing negatif yang memperkuat kebencian publik terhadap negara.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</si>
  <si>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https://www.tiktok.com/@karnotinanding10/video/7553448474633587988</t>
  </si>
  <si>
    <t>Konten ini memuat narasi disinformas manipulated content / palsu terkait pernyataan TNI yang akan mendukung aksi demonstrasi yang anarkis seperti situasi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</si>
  <si>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https://www.tiktok.com/@edhie9984/video/7554780024952392972</t>
  </si>
  <si>
    <t>Konten tersebut diduga mengandung unsur provokasi yang mengajak masyarakat untuk melakukan aksi demonstrasi besar-besaran, dengan narasi “Nepalkan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</si>
  <si>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https://www.tiktok.com/@hermanofficial831/video/7553916056385899832?</t>
  </si>
  <si>
    <t>https://x.com/PEOPLEOFTHELIE4/status/1973215033745437010</t>
  </si>
  <si>
    <t>Konten ini memprovokasi tindakan anarkis seperti yang terjadi di Nepal terhadap Gubernur Sumatera Utara.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</si>
  <si>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https://x.com/ahirnyapulang/status/1973232330186858647</t>
  </si>
  <si>
    <t>https://x.com/susiloyhu/status/1973088341253038465</t>
  </si>
  <si>
    <t>Konten tersebut diduga mengandung unsur provokasi yang mengajak masyarakat untuk melakukan aksi demonstrasi besar-besaran, dengan narasi “Nepalkan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</si>
  <si>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https://www.facebook.com/share/p/1BhKUMGnGx/</t>
  </si>
  <si>
    <t>Konten ini diduga bersifat provokatif dan mendorong tindakan anarkis dengan menyerukan ancaman gerakan 'menepalkan'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</si>
  <si>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https://www.facebook.com/share/p/1Jdd81hqNB/</t>
  </si>
  <si>
    <t>Konten ini diduga bersifat provokatif dan mendorong tindakan anarkis melalui seruan gerakan 'Menepalkan' dan 'Tindakan kekerasan secara massal' terhadap figur politik.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</si>
  <si>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https://www.facebook.com/share/p/1FVG6haEz9/</t>
  </si>
  <si>
    <t>Konten ini diduga bersifat provokatif dan mendorong tindakan anarkis melalui seruan 'Menepalkan' yang menargetkan figur politik Wakil Presiden RI dan keluarganya. Konten tersebut diduga menampilkan narasi yang merendahkan sekaligus memberikan tuduhan terhadap figur bersangkutan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</si>
  <si>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https://vt.tiktok.com/ZSDTAo7S9/</t>
  </si>
  <si>
    <t>Konten tersebut diduga mengandung unsur provokasi yang mengajak masyarakat untuk melakukan aksi demonstrasi untuk membubarkan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</si>
  <si>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https://vt.tiktok.com/ZSDTDh6Ee/</t>
  </si>
  <si>
    <t>Konten tersebut diduga mengandung unsur provokasi yang mengajak untuk melengserkan orang orang dekat Jokowi dan menyebutnya sebagai PKI”.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</si>
  <si>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https://vt.tiktok.com/ZSDTDNsp2/</t>
  </si>
  <si>
    <t>Konten tersebut diduga mengandung unsur provokasi yang mengajak untuk melengserkan Puan Maharani”.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</si>
  <si>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https://vt.tiktok.com/ZSDTDNyMX/</t>
  </si>
  <si>
    <t>https://vt.tiktok.com/ZSDTDhKmo/</t>
  </si>
  <si>
    <t>https://vt.tiktok.com/ZSDTDgk1E/</t>
  </si>
  <si>
    <t>https://www.facebook.com/marcus.simin.cely</t>
  </si>
  <si>
    <t>PROVOKASI, SEPARATISME</t>
  </si>
  <si>
    <t xml:space="preserve">Konten mengandung unsur provokasi,Pernyataan yang dapat menimbulkan gejolak dimasyarakat karena dukungan terhadap negara israel dan ingin mendirikan negara untuk Papua yang diposting pada link sebagai berikut :
1.https://www.facebook.com/share/164HnTyWPV/ 
2.https://www.facebook.com/share/p/17LwnzQZj6/ </t>
  </si>
  <si>
    <t>https://www.facebook.com/abu.hazim.906/posts/pfbid0bajje5TXZ6Sdb7wRtqZrEPX7QJvsQfY1298JmpoMEwaUPVFocu7NkwBEGEM5Nd7pl</t>
  </si>
  <si>
    <t>Konten mengandung unsur provokasi dan separatisme terkait khilafah. Sehingga, dapat menimbulkan keonaran dikalangan umat beragama</t>
  </si>
  <si>
    <t>https://www.facebook.com/abu.hazim.906/posts/pfbid0pKes8Zdkjskppjy6K6oLBAxv3zzWkMgNvPSEVXqUFRojxmANTKtrHRektM6UwmqTl</t>
  </si>
  <si>
    <t>https://www.facebook.com/abu.hazim.906</t>
  </si>
  <si>
    <t>https://www.facebook.com/permalink.php?story_fbid=pfbid0HBD6AEZeaYh8LqPr6vivYQbaQrswpJcywGHhX6127XfcyarpKmTBmmGJKNvCoeaRl&amp;id=100091700327996</t>
  </si>
  <si>
    <t>Dilaporkan telah melakukan tindak pidana provokasi membuat postingan media sosial mengajak tuntut Presiden Prabowo, turunkan Kapolri, dan pemakzulan Wapres Gibran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</si>
  <si>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https://x.com/Linatsub/status/1973526500252258625</t>
  </si>
  <si>
    <t>Konten ini merupakan komentar yang memuat ajakan aksi anarkis seperti situasi di Nepal terhadap Luhut.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</si>
  <si>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https://x.com/ArtaN7707/status/1973423375675695340</t>
  </si>
  <si>
    <t>Konten ini memuat narasi “Lembaga dan Pejabat Yang 'Menghalangi' Pemakzulan Gibran, Layak di-Nepalkan!” yang mengancam serta memprovokasi masyarakat untuk melakukan tindakan anarkis bagi lembaga yang melindungi Wakil Presiden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</si>
  <si>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https://x.com/van88xier/status/1973384348314263888</t>
  </si>
  <si>
    <t>Konten ini memuat ajakan provokatif yang mendorong masyarakat melakukan tindakan kekerasan anarkis di Indonesia dengan tagar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</si>
  <si>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https://x.com/baladejaka/status/1973330576817135810</t>
  </si>
  <si>
    <t>Konten ini memuat narasi provokasi tindakan anarkis “Nepalkan” terhadap Puan Maharani.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</si>
  <si>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https://www.tiktok.com/@mr.bejo.wage/video/7556389980570979595</t>
  </si>
  <si>
    <t>Konten ini memuat narasi provokatif “Nepalkan” yang merujuk kepada aksi demonstrasi 2 Oktober 2025 yang anarkis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</si>
  <si>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https://www.tiktok.com/@user4838708932528/video/7552947938830470411</t>
  </si>
  <si>
    <t>Konten ini memuat narasi provokatif “DPR wajib di Nepalkan” yang merupakan ajakan untuk melakukan tindakan anarkis terhadap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</si>
  <si>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https://www.tiktok.com/@joedohmue77/video/7554767599255555340</t>
  </si>
  <si>
    <t>Konten ini memuat ajakan provokatif untuk melakukan aksi yang anarkis seperti situasi di Nepal yang menargetkan DPR dan Puan Maharani..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</si>
  <si>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https://www.tiktok.com/@deniden410/video/7556032915260312839</t>
  </si>
  <si>
    <t>Konten ini memuat narasi provokatif dan ancaman akan aksi yang anarkis terhadap DPR jika tuntutan demonstrasi tidak dikabulkan.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</si>
  <si>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https://x.com/harnadiDw/status/1972268065611223493</t>
  </si>
  <si>
    <t>Konten tersebut diduga mengandung unsur provokasi yang mengajak masyarakat untuk melakukan aksi demonstrasi besar-besaran, dengan ancaman “Nepalkan” terhadap Kementerian ESDM dan Pertamina dikarenakan kebijakan yang dinilai menyusahkan rakyat.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</si>
  <si>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https://x.com/MichelAdam1515/status/1971409648923406660</t>
  </si>
  <si>
    <t>Konten tersebut menampilkan video terkait kebijakan pemerintah dalam pengadaan BBM serta mengandung unsur provokatif dengan narasi “Nepalkan Bahlil”.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</si>
  <si>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https://www.tiktok.com/@_attacker.cr_/video/7555785645898222856</t>
  </si>
  <si>
    <t>Konten ini merupakan disinformasi berupa fabricated content yang memuat tangkapan layar media berita CNN dan video AI dari Bahlil dengan berita palsu terkait pernyataan Menteri ESDM serta narasi provokatif untuk menggelar aksi anarkis dengan narasi “Nepalkan Bahlil”.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</si>
  <si>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https://www.tiktok.com/@dimaskapuk1/video/7553995091266784524</t>
  </si>
  <si>
    <t>Konten menampilkan berita Tempo terkait Menteri Investasi Bahlil Lahadalia yang kemudian dipelintir dengan narasi “Gempar 250 juta rakyat geram alan demo rumah Bahlil, serukan pecat Bahlil, Nepalkan semua pom bensin…”. Narasi tambahan ini jelas merupakan provokasi karena menyerukan demo besar-besaran hingga ajakan ekstrem menyerang fasilitas publik (SPBU) dan pribadi pejabat negara.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</si>
  <si>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https://www.tiktok.com/@rakyat.kecil402/video/7555016682100526348</t>
  </si>
  <si>
    <t>https://www.tiktok.com/@indonesiaupdate.news/video/7556436869307763976</t>
  </si>
  <si>
    <t>Provokatif, SARA, dan Disinformasi</t>
  </si>
  <si>
    <t>Konten ini merupakan disinformasi berupa fabricated content dengan narasi yang memprovokasi gerakan separatisme terkait Gerakan Aceh Merdeka. Konten tersebut memuat video yang dihasilkan oleh AI dengan narasi “Aceh Merdeka Disuarakan di Depan PBB di Hadapan Media Internasional New York”.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</si>
  <si>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https://www.facebook.com/share/p/16An6cRQvQ/</t>
  </si>
  <si>
    <t>Konten ini menyebarkan narasi bahwa sebuah aliansi bernama “GLADIATOR” akan mengepung KPK dan menuntut penangkapan serta pengadilan Presiden Jokowi. Narasi diperkuat dengan ajakan “jangan salahkan jika rakyat me-Nepal-kan KPK”, yang jelas merupakan provokasi untuk melakukan perlawanan anarkis terhadap lembaga negara.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</si>
  <si>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https://www.facebook.com/share/r/19t4Dz5Afq/</t>
  </si>
  <si>
    <t>Konten ini Konten menampilkan poster “Seruan Aksi Selamatkan Indonesia, Gedung KPK, Kamis 02 Oktober 2025” dengan tambahan caption provokatif “Tangkap Jokowi, adili Jokowi kalau tidak rakyat Nepalkan Jokowi PKI dan seluruh keluarganya sampai ke anak cucunya kita kejar”. Narasi ini bukan sekadar ajakan demonstrasi, tetapi juga mengandung hasutan ekstrem berupa ancaman terhadap Mantan Presiden RI dan keluarganya.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</si>
  <si>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https://www.facebook.com/share/v/19dR8GRFr7/</t>
  </si>
  <si>
    <t>Konten ini diduga bersifat provokatif dan mendorong tindakan anarkis melalui seruan 'Menepalkan' yang menargetkan Mantan Presiden RI dan keluarganya. Konten tersebut diduga menampilkan narasi yang merendahkan sekaligus memberikan tuduhan terhadap figur bersangkutan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</si>
  <si>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https://www.facebook.com/share/p/14LoFXamUFt/</t>
  </si>
  <si>
    <t>Konten ini memuat ajakan provokatif berupa “Kita Nepalkan KPK klo tidak berani tangkap Jokowi, bila perlu rumahnya di Solo kita geruduk dan jarah semua hasil korupsinya”. Narasi tersebut jelas merupakan hasutan untuk melakukan tindakan anarkis berupa penyerangan dan penjarahan ke rumah Joko Widodo, serta aksi anarkis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</si>
  <si>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https://www.facebook.com/share/p/16C2PDznH4/</t>
  </si>
  <si>
    <t>Konten tersebut diduga mengandung unsur provokasi dengan ajakan aksi anarkis dengan narasi “Nepalkan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</si>
  <si>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https://www.facebook.com/share/p/1B5JAibRAe/</t>
  </si>
  <si>
    <t>Konten tersebut diduga mengandung unsur provokasi yang mengajak masyarakat untuk melakukan aksi demonstrasi besar-besaran, dengan narasi “Nepalkan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</si>
  <si>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https://www.facebook.com/share/p/1BNwVP6whj/</t>
  </si>
  <si>
    <t>https://x.com/BagindoSati74/status/1973739609592103174</t>
  </si>
  <si>
    <t xml:space="preserve">Konten tersebut diduga mengandung provokasi yang mengajak masyarakat untuk melakukan demonstrasi dengan narasi “Nepalkan semua pejabat Pertamina”.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</si>
  <si>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https://www.tiktok.com/@mama_ara_23/video/7551145242716540166?_r=1&amp;_t=ZS-90DWXONGjsP</t>
  </si>
  <si>
    <t>Konten tersebut merupakan protes terhadap kebijakan terbaru Kementerian ESDM. Narasi “Nepalkan” mengandung provokasi kepada masyarakat untuk melakukan tindakan anarkis.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</si>
  <si>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https://www.tiktok.com/@sutamayasa224/video/7556628051157667128?_r=1&amp;_t=ZS-90DWb97T5cX</t>
  </si>
  <si>
    <t>Disinformasi dan provokatif</t>
  </si>
  <si>
    <t xml:space="preserve">Konten tersebut merupakan disinformasi dengan kategori misleading content tentang DPR yang melarang semua fraksi DPR membahas RUU Perampasan Aset. Disinformasi ini juga mengandung provokasi di mana akan terjadi penggiringan opini dan akan memperburuk citra instansi tertentu.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</si>
  <si>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https://www.tiktok.com/@adili.jokowi6/video/7556581744594472203?q=demo%20dpr&amp;t=1759421130602</t>
  </si>
  <si>
    <t xml:space="preserve">Konten tersebut berisikan seruan aksi pada 10 Oktober 2025 di gedung DPR dengan tuntutan pengesahan RUU Perampasan Aset dan penurunan ketua DPR, Puan Maharani.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</si>
  <si>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https://www.tiktok.com/@adili.jokowi6/video/7556639690963619084</t>
  </si>
  <si>
    <t xml:space="preserve">Konten tersebut berisikan seruan aksi pada 10 Oktober 2025 di gedung DPR dengan tuntutan pengesahan RUU Perampasan Aset dan pemakzulan wakil presiden Gibran.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</si>
  <si>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https://www.facebook.com/groups/221580229175240/?multi_permalinks=1497807728219144&amp;hoisted_section_header_type=recently_seen</t>
  </si>
  <si>
    <t>https://www.facebook.com/groups/221580229175240/posts/1493641961969054/</t>
  </si>
  <si>
    <t>https://www.facebook.com/groups/221580229175240/posts/1440437713956146/</t>
  </si>
  <si>
    <t>https://www.facebook.com/masykur.bhother/posts/pfbid02cdZthSs8k724wD1cBeHXwWihHSwSYFyAYwuSFN5Aa5z4XDyyJFVMtxzpkjZ3CKRJl</t>
  </si>
  <si>
    <t>https://www.facebook.com/groups/225157887497430/?multi_permalinks=9865082703504852&amp;hoisted_section_header_type=recently_seen</t>
  </si>
  <si>
    <t>https://www.facebook.com/groups/225157887497430/?multi_permalinks=7412672678745879&amp;hoisted_section_header_type=recently_seen</t>
  </si>
  <si>
    <t>https://www.instagram.com/reel/DN9OfI4AVhG/</t>
  </si>
  <si>
    <t>https://www.facebook.com/reel/1965651593839106</t>
  </si>
  <si>
    <t>https://www.facebook.com/reel/793804386523007</t>
  </si>
  <si>
    <t>Dilaporkan telah melakukan tindak pidana provokasi membuat postingan media sosial mengajak turunkan Presiden Prabowo dan Wapres Gibran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</si>
  <si>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https://vt.tiktok.com/ZSDo9nxck/</t>
  </si>
  <si>
    <t xml:space="preserve">Konten pada media sosial TikTok tersebut menggiring opini bahwa DPR adalah wakil partai dan bukan wakil rakyat serta menyampaikan seruan bubarkan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</si>
  <si>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A. 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 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B.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t>
  </si>
  <si>
    <t>0k</t>
  </si>
  <si>
    <t>https://vt.tiktok.com/ZSDoxr1Lj/</t>
  </si>
  <si>
    <t>https://vt.tiktok.com/ZSDoxNmWo/</t>
  </si>
  <si>
    <t xml:space="preserve">Konten pada media sosial TikTok tersebut menggiring opini dan melakukan provokasi untuk menepalkan mantan Presiden Ke 7 RI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</si>
  <si>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https://vt.tiktok.com/ZSDox5fKQ/</t>
  </si>
  <si>
    <t>https://vt.tiktok.com/ZSDoxC2m8/</t>
  </si>
  <si>
    <t xml:space="preserve">Konten pada media sosial TikTok tersebut menggiring opini dan melakukan provokasi untuk menepalkan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</si>
  <si>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https://vt.tiktok.com/ZSDoQtLv3/</t>
  </si>
  <si>
    <t>https://vt.tiktok.com/ZSDoQW7dw/</t>
  </si>
  <si>
    <t>https://vt.tiktok.com/ZSDoCCUGf/</t>
  </si>
  <si>
    <t>https://vt.tiktok.com/ZSDoXMmPA/</t>
  </si>
  <si>
    <t xml:space="preserve">Konten pada media sosial TikTok tersebut menggiring opini dan melakukan provokasi untuk menurunkan Puan Maharani.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</si>
  <si>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https://www.facebook.com/share/r/1Hpdeq2yUj/</t>
  </si>
  <si>
    <t>Konten pada media sosial Facebook tersebut memperlihatkan pengibaran bendera bulan bintang untuk ulang tahun Gerakan Aceh Merdeka (GAM) yang ke-46.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</si>
  <si>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https://www.facebook.com/share/r/1FgpAiHJmK/</t>
  </si>
  <si>
    <t>Konten pada media sosial Facebook tersebut memperlihatkan pengibaran bendera bulan bintang dan kemerdekaan Aceh.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</si>
  <si>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https://www.facebook.com/reel/1432559707702401</t>
  </si>
  <si>
    <t>Konten pada media sosial Facebook tersebut memperlihatkan pengibaran bendera bulan bintang untuk ulang tahun Gerakan Aceh Merdeka (GAM) yang ke-48.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</si>
  <si>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https://www.facebook.com/reel/453135390370685</t>
  </si>
  <si>
    <t>Konten pada media sosial Facebook tersebut memperlihatkan sekelompok masyarakat yang menyanyikan lagu hymne Aceh Merdeka.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</si>
  <si>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https://www.facebook.com/reel/1121264346529514</t>
  </si>
  <si>
    <t>Konten pada media sosial Facebook tersebut memperlihatkan sekelompok masyarakat yang terlihat sedang berdemo dan mengibarkan bendera bulan bintang. Selain itu terdapat seruan Aceh Merdeka dan Indonesia Sampah.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</si>
  <si>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Konten pada media sosial Instagram tersebut merupakan seruan aksi untuk pembubaran DPR yang digunakan untuk aksi pada tanggal 28 Agustus 2025 lalu.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</si>
  <si>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https://www.facebook.com/groups/552746553018601/?multi_permalinks=1307683470858235&amp;hoisted_section_header_type=recently_seen</t>
  </si>
  <si>
    <t>Ok</t>
  </si>
  <si>
    <t>https://www.facebook.com/groups/1499992370958626/?multi_permalinks=1620532982237897&amp;hoisted_section_header_type=recently_seen</t>
  </si>
  <si>
    <t>https://www.facebook.com/groups/221580229175240/?multi_permalinks=1487641515902432&amp;hoisted_section_header_type=recently_seen</t>
  </si>
  <si>
    <t>https://www.facebook.com/groups/221580229175240/?multi_permalinks=1493751131958137&amp;hoisted_section_header_type=recently_seen</t>
  </si>
  <si>
    <t>https://www.facebook.com/ini.raja.suku.maya/posts/pfbid0P1YVq3Hr2UoDF6NXt4e5i1sq4aDkrF2GRtpFuhTtz2aK1zCaxyncKhA8i5Yx7pZEl</t>
  </si>
  <si>
    <t>https://www.facebook.com/groups/221580229175240/posts/1498351848164732/</t>
  </si>
  <si>
    <t>https://www.facebook.com/groups/221580229175240/posts/1498341338165783/</t>
  </si>
  <si>
    <t>https://www.facebook.com/groups/221580229175240/posts/1498288438171073/</t>
  </si>
  <si>
    <t>https://www.facebook.com/groups/221580229175240/posts/1498275491505701/</t>
  </si>
  <si>
    <t>https://www.facebook.com/groups/221580229175240/posts/1498184728181444/</t>
  </si>
  <si>
    <t>https://www.facebook.com/dae.atu.9/posts/pfbid04bMpckEDeGguVjuZMwD7Zz9QT7gtgpcdeZYS1jd4u4akYhNeJp1uzq4AztpGUz7al</t>
  </si>
  <si>
    <t xml:space="preserve">Belim ada surat rekomendasi </t>
  </si>
  <si>
    <t>https://www.facebook.com/martarizal.2025/posts/pfbid0yK8gL1QuE7nDAqEQhbpszqVrJPX2xqurhouGVYoTPocEJgUMB7wDbGNK8dt4qgDgl</t>
  </si>
  <si>
    <t>Dilaporkan telah melakukan tindak pidana provokasi membuat postingan media sosial mengajak menurunkan Presiden Prabowo , Wapres Gibran, dan menteri-menteri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</si>
  <si>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https://www.instagram.com/reel/DN9jiUoCfqu/</t>
  </si>
  <si>
    <t>https://www.instagram.com/reel/DNqe3aTy9GM/</t>
  </si>
  <si>
    <t>https://vt.tiktok.com/ZSUe1qbJ8/</t>
  </si>
  <si>
    <t>Konten pada media sosial TikTok tersebut menggiring opini dan melakukan provokasi untuk membubarkan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</si>
  <si>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Undang-Undang Nomor 1 Tahun 2024 (UU ITE) pada Pasal 28 ayat (3) dan Pasal 45A ayat (3), Pasal 28 ayat (2) dan Pasal 45A ayat (2).</t>
  </si>
  <si>
    <t>https://vt.tiktok.com/ZSUe18h2D/</t>
  </si>
  <si>
    <t>(akun besar)</t>
  </si>
  <si>
    <t>https://vt.tiktok.com/ZSUe1F1JE/</t>
  </si>
  <si>
    <t>https://vt.tiktok.com/ZSUe1DHFN/</t>
  </si>
  <si>
    <t>https://vt.tiktok.com/ZSUe1SHHG/</t>
  </si>
  <si>
    <t>https://vt.tiktok.com/ZSUe1M4WC/</t>
  </si>
  <si>
    <t>https://vt.tiktok.com/ZSUJoEeMg/</t>
  </si>
  <si>
    <t>https://vt.tiktok.com/ZSUJCKSXw/</t>
  </si>
  <si>
    <t>Konten pada media sosial TikTok tersebut menggiring opini dan melakukan provokasi untuk menurunkan Puan Maharani.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</si>
  <si>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https://vt.tiktok.com/ZSUJCuqbL/</t>
  </si>
  <si>
    <t>Konten pada media sosial TikTok tersebut menggiring opini dan melakukan provokasi untuk menepalkan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</si>
  <si>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https://vt.tiktok.com/ZSUJC5M6f/</t>
  </si>
  <si>
    <t>https://www.facebook.com/reel/1341822334187498</t>
  </si>
  <si>
    <t>Konten provokatif yang memperlihatkan kode perpisahan Aceh dari Indonesia. Hal ini berpotensi menimbulkan kegaduhan, mengganggu keamanan, serta mengancam stabilitas negara diatur dalam Undang-Undang Nomor 1 Tahun 2024 (UU ITE) pada Pasal 28 ayat (3) dan Pasal 45A ayat (3), Pasal 28 ayat (2) dan Pasal 45A ayat (2).</t>
  </si>
  <si>
    <t>https://www.facebook.com/share/p/17VG1C4spk/</t>
  </si>
  <si>
    <t>Konten provokatif yang menyampaikan bahwa Aceh bukan bagian dari Indonesia. Hal ini berpotensi menimbulkan kegaduhan, mengganggu keamanan, serta mengancam stabilitas negara diatur dalam Undang-Undang Nomor 1 Tahun 2024 (UU ITE) pada Pasal 28 ayat (3) dan Pasal 45A ayat (3), Pasal 28 ayat (2) dan Pasal 45A ayat (2).</t>
  </si>
  <si>
    <t>https://www.facebook.com/PamerYmn/videos/1334768341346807</t>
  </si>
  <si>
    <t>https://www.facebook.com/reel/2613297099005275</t>
  </si>
  <si>
    <t>Konten provokatif yang menyampaikan bahwa Aceh Merdeka. Hal ini berpotensi menimbulkan kegaduhan, mengganggu keamanan, serta mengancam stabilitas negara diatur dalam Undang-Undang Nomor 1 Tahun 2024 (UU ITE) pada Pasal 28 ayat (3) dan Pasal 45A ayat (3), Pasal 28 ayat (2) dan Pasal 45A ayat (2).</t>
  </si>
  <si>
    <t>https://www.facebook.com/reel/1317323106529176</t>
  </si>
  <si>
    <t>Konten provokatif yang menyampaikan bahwa Aceh Merdeka hasil dari referendum Aceh di PBB. Hal ini berpotensi menimbulkan kegaduhan, mengganggu keamanan, serta mengancam stabilitas negara diatur dalam Undang-Undang Nomor 1 Tahun 2024 (UU ITE) pada Pasal 28 ayat (3) dan Pasal 45A ayat (3), Pasal 28 ayat (2) dan Pasal 45A ayat (2).</t>
  </si>
  <si>
    <t>https://www.facebook.com/ari.azhari.519311/videos/1298070212118450</t>
  </si>
  <si>
    <t>Konten provokatif yang menyampaikan bahwa Aceh sedang berjuang untuk kemerdekaannya. Hal ini berpotensi menimbulkan kegaduhan, mengganggu keamanan, serta mengancam stabilitas negara diatur dalam Undang-Undang Nomor 1 Tahun 2024 (UU ITE) pada Pasal 28 ayat (3) dan Pasal 45A ayat (3), Pasal 28 ayat (2) dan Pasal 45A ayat (2).</t>
  </si>
  <si>
    <t>https://www.tiktok.com/@acengjamiat/video/7540105873864068370</t>
  </si>
  <si>
    <t>Konten provokatif yang menyampaikan bahwa pada tahun 2030 Indonesia bubar dan Aceh merdeka. Hal ini berpotensi menimbulkan kegaduhan, mengganggu keamanan, serta mengancam stabilitas negara diatur dalam Undang-Undang Nomor 1 Tahun 2024 (UU ITE) pada Pasal 28 ayat (3) dan Pasal 45A ayat (3), Pasal 28 ayat (2) dan Pasal 45A ayat (2).</t>
  </si>
  <si>
    <t>https://www.tiktok.com/@pawang7049/video/7308662734969670913</t>
  </si>
  <si>
    <t>Konten provokatif yang menyampaikan kemerdekaan Aceh. Hal ini berpotensi menimbulkan kegaduhan, mengganggu keamanan, serta mengancam stabilitas negara diatur dalam Undang-Undang Nomor 1 Tahun 2024 (UU ITE) pada Pasal 28 ayat (3) dan Pasal 45A ayat (3), Pasal 28 ayat (2) dan Pasal 45A ayat (2).</t>
  </si>
  <si>
    <t>https://www.tiktok.com/@karlong2007/video/7552503867053853970</t>
  </si>
  <si>
    <t>Konten provokatif yang menyampaikan kemerdekaan Aceh pada tahun 2025 dan memperlihatkan bakal calon Presiden negara Aceh. Hal ini berpotensi menimbulkan kegaduhan, mengganggu keamanan, serta mengancam stabilitas negara diatur dalam Undang-Undang Nomor 1 Tahun 2024 (UU ITE) pada Pasal 28 ayat (3) dan Pasal 45A ayat (3), Pasal 28 ayat (2) dan Pasal 45A ayat (2).</t>
  </si>
  <si>
    <t>https://www.tiktok.com/@anf.internasional/video/7542433810571382072</t>
  </si>
  <si>
    <t>Konten provokatif yang menyampaikan kemerdekaan Aceh dan DPR RI sudah dibubarkan oleh rakyat. Hal ini berpotensi menimbulkan kegaduhan, mengganggu keamanan, serta mengancam stabilitas negara diatur dalam Undang-Undang Nomor 1 Tahun 2024 (UU ITE) pada Pasal 28 ayat (3) dan Pasal 45A ayat (3), Pasal 28 ayat (2) dan Pasal 45A ayat (2).</t>
  </si>
  <si>
    <t>https://www.tiktok.com/@sultanmalikull/video/7545116106306997509</t>
  </si>
  <si>
    <t>Konten provokatif yang memperlihatkan demo yang dilakukan oleh masyarakat yang mengibarkan bendera bulan bintang. Hal ini berpotensi menimbulkan kegaduhan, mengganggu keamanan, serta mengancam stabilitas negara diatur dalam Undang-Undang Nomor 1 Tahun 2024 (UU ITE) pada Pasal 28 ayat (3) dan Pasal 45A ayat (3), Pasal 28 ayat (2) dan Pasal 45A ayat (2).</t>
  </si>
  <si>
    <t>https://www.tiktok.com/@singa.belang/video/7309117831566707973</t>
  </si>
  <si>
    <t>Konten provokatif yang memperlihatkan pengibaran bendera bulan bintang. Hal ini berpotensi menimbulkan kegaduhan, mengganggu keamanan, serta mengancam stabilitas negara diatur dalam Undang-Undang Nomor 1 Tahun 2024 (UU ITE) pada Pasal 28 ayat (3) dan Pasal 45A ayat (3), Pasal 28 ayat (2) dan Pasal 45A ayat (2).</t>
  </si>
  <si>
    <t>https://www.facebook.com/photo.php?fbid=122140671104861861&amp;set=pb.61575855843585.-2207520000&amp;type=3</t>
  </si>
  <si>
    <t>Pasal 28 ayat (2) Undang-Undang Nomor 1 tahun 2024 tentang perubahan kedua atas Undang-Undang Nomor 11 tahun 2008 tentang Informasi dan Transaksi ElektronikPasal 156 a KUHP</t>
  </si>
  <si>
    <t>https://www.facebook.com/photo/?fbid=122133677312861861&amp;set=pb.61575855843585.-2207520000</t>
  </si>
  <si>
    <t>https://www.facebook.com/photo/?fbid=122131475510861861&amp;set=pb.61575855843585.-2207520000</t>
  </si>
  <si>
    <t>https://www.facebook.com/permalink.php?story_fbid=pfbid0EyyqVqDWYpNfjhfDAWYwgCZL3yU7m7Br7s6gnwQTFFje5YUkPaxdCGoHtvFWKWoBl&amp;id=61575855843585</t>
  </si>
  <si>
    <t>https://www.facebook.com/permalink.php?story_fbid=pfbid03Sjy77qhLjqTCWDLmXCDvJn4z7hmA3ptDqhaQNUzjR6Y6qMwAU2QqJds3mg1y1S8l&amp;id=61575855843585</t>
  </si>
  <si>
    <t>https://www.facebook.com/permalink.php?story_fbid=pfbid0FTwQvx4v3yF5J5jYfxTPBj4wjt2FFcKLFWUM8ecZeTeFS14z6Tqjry25TKsoY6q7l&amp;id=61575855843585</t>
  </si>
  <si>
    <t>https://www.instagram.com/p/DODMMlhkjlc/</t>
  </si>
  <si>
    <t>Dilaporkan telah melakukan tindak pidana provokasi membuat postingan media sosial dengan tagar #bubarkandpr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</si>
  <si>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https://www.instagram.com/p/DNvtdri3j8D/</t>
  </si>
  <si>
    <t>Dilaporkan telah melakukan tindak pidana provokasi membuat postingan media sosial dengan tagar #dpranjing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</si>
  <si>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https://www.facebook.com/reel/4209116229323626</t>
  </si>
  <si>
    <t>akun besar, followers 44K</t>
  </si>
  <si>
    <t>https://www.facebook.com/reel/1764214477626448</t>
  </si>
  <si>
    <t>Dilaporkan telah melakukan tindak pidana provokasi membuat postingan media sosial dengan seruan untuk bubarkan 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</si>
  <si>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akun besar followers 15K</t>
  </si>
  <si>
    <t>https://www.tiktok.com/@mr..melancolis.905/video/7557400681921940747</t>
  </si>
  <si>
    <t>Konten tersebut mengandung provokasi yang ditandai dengan seruan demonstrasi mahasiswa yang menuntuk untuk pemakzulan Wakil Presiden Gibran Rakabuming, dengan narasi “MAKZULKAN GIBRAN”.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</si>
  <si>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 UU Nomor 1 Tahun 2024 tentang Informasi dan Transaksi Elektronik
1.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 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2.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3.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B. Kitab Undang-Undang Hukum Pidana (KUHP)
1.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t>
  </si>
  <si>
    <t>https://www.tiktok.com/@pecat_puan/video/7557297846865677579</t>
  </si>
  <si>
    <t>https://www.tiktok.com/@pecat_puan/video/7557354970891193611</t>
  </si>
  <si>
    <t>Konten tersebut menampilkan video masyarakat Suku Dayak yang sedang melakukan demonstrasi ke gedung pemerintahan dengan narasi “PASUKAN MERAH TURUN GUNUNG SIAP BUBARKAN DPR”. Narasi tersebut menyesatkan karena tidak sesuai dengan konteks sebenarnya, sehingga dapat memicu kesalahpahaman dan memperkeruh situasi. Konten ini termasuk bentuk disinformasi provokatif yang berpotensi mengadu domba masyarakat dengan lembaga negara.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</si>
  <si>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https://www.tiktok.com/@kak.niki/video/7557164605923970305</t>
  </si>
  <si>
    <t>Konten tersebut berisikan disinformasi berupa fabricated content yaitu video generate AI yang menampilkan sebuah truk yang dihentikan oleh dua orang polisi dan ditolong oleh seorang tentara. Video ini mengadu domba antara dua instansi yaitu TNI dan Polri, yang berpotensi menimbulkan polarisasi di tengah masyarakat.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</si>
  <si>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https://www.facebook.com/share/r/17JW4HAmTj/</t>
  </si>
  <si>
    <t>Konten tersebut merupakan disinfomasi kategori fabricated content berupa generated AI yang membenturkan TNI dan POLRI. Video ini mengadu domba antara dua instansi yaitu TNI dan Polri, yang berpotensi menimbulkan polarisasi di tengah masyarakat.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</si>
  <si>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https://www.tiktok.com/@rajaclipper11/video/7557283379817860364</t>
  </si>
  <si>
    <t>Konten tersebut mengandung provokasi dengan narasi ajakkan melakukan aksi anarkis seperti di Nepal dan Maroko.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</si>
  <si>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https://www.facebook.com/share/p/16wb4NNFvj/</t>
  </si>
  <si>
    <t>Konten ini mengandung provokasi dan SARA, yaitu bentuk dukungan atas kemerdekaan Papua Barat dan mendapatkan dukungan internasional.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</si>
  <si>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https://www.facebook.com/reel/1520695505730330</t>
  </si>
  <si>
    <t xml:space="preserve">Konten tersebut merupakan disinformasi berupa fabricated content yang menampilkan video generated AI dengan narasi dukungan terhadap kemerdekaan Aceh.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</si>
  <si>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https://www.facebook.com/share/r/1AZDt4S98M/</t>
  </si>
  <si>
    <t>https://www.facebook.com/share/v/1DQ8oHRD9o/</t>
  </si>
  <si>
    <t>https://x.com/MuhammadIkhtid5/status/1974737673450602657</t>
  </si>
  <si>
    <t>Konten ini memuat unsur provokatif terkait aksi yang anarkis terhadap DPR dan MPR dengan narasi “Nepalkan DPR /MPR”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</si>
  <si>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https://x.com/putrisakera/status/1974643380811649341</t>
  </si>
  <si>
    <t>Konten ini memuat gambar seorang demonstran yang memegang poster dengan narasi “KPK Panggil Jokowi atau Rakyat Nepalkan”. Narasi pada poster tersebut memuat unsur provokatif untuk melakukan aksi anarkis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</si>
  <si>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https://x.com/Gonzalesgozin46/status/1974683890544767404</t>
  </si>
  <si>
    <t>Konten ini memuat unsur provokatif terkait aksi anarkis terhadap DPR dengan narasi “DPR itu memang pantas diNepalkan”.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</si>
  <si>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https://x.com/bendot219/status/1974239566925037758</t>
  </si>
  <si>
    <t>Konten berupa komentar ini memuat unsur provokatif karena berisikan narasi yang memprovokasi masyarakat untuk melakukan aksi yang anarkis terhadap DPR dengan narasi “NEPALKAN gedung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</si>
  <si>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https://x.com/Taufik_I_Smile/status/1973743082693857562</t>
  </si>
  <si>
    <t>Konten berupa komentar terhadap berita terkait Menteri ESDM dengan unsur provokatif untuk melakukan aksi anarkis terhadap Bapak Bahlil dengan narasi “Nepalkan Bahlil”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</si>
  <si>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https://x.com/BenguOktov57594/status/1974816416307257491</t>
  </si>
  <si>
    <t>Konten berupa komentar terhadap berita terkait Menteri ESDM dengan unsur provokatif untuk melakukan aksi anarkis terhadap Bapak Bahlil dengan narasi “Bahlil layak di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</si>
  <si>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https://www.tiktok.com/@story190625/video/7552092684622548231</t>
  </si>
  <si>
    <t>Konten ini memuat unsur provokatif dani ancaman akan aksi anarkis seperti yang terjadi di Nepal terhadap Menteri ESDM.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</si>
  <si>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https://www.tiktok.com/@januardibangde/video/7549437845623082246</t>
  </si>
  <si>
    <t>instagram</t>
  </si>
  <si>
    <t>https://www.tiktok.com/@attacker.cr/video/7553713206632418568</t>
  </si>
  <si>
    <t>Konten berupa komentar terhadap berita terkait Menteri ESDM dengan unsur provokatif untuk melakukan aksi anarkis terhadap Bapak Bahlil dengan narasi “Nepalkan Bahlil”. Narasi tersebut mengacu pada aksi anarkis yang terjadi dalam demonstrasi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</si>
  <si>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https://www.tiktok.com/@pecat_puan/video/7556121896194952460</t>
  </si>
  <si>
    <t>Konten ini diduga memuat unsur provokatif yang mendorong tindakan anarkis melalui narasi “apa harus di Nepalkan DPR ini?”. Narasi tersebut mengacu pada aksi anarkis yang terjadi dalam demonstrasi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</si>
  <si>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https://www.tiktok.com/@nusa_bangsa010/video/7555070093172935944</t>
  </si>
  <si>
    <t>https://www.facebook.com/share/r/1X68h1wdAE/</t>
  </si>
  <si>
    <t>https://www.facebook.com/share/p/17DB16YATq/</t>
  </si>
  <si>
    <t>Konten ini diduga memuat unsur provokatif yang mendorong tindakan anarkis melalui narasi “Nepalkan DPR”. Narasi tersebut mengacu pada aksi anarkis yang terjadi dalam demonstrasi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</si>
  <si>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https://www.facebook.com/share/p/1BeFE7jKTt/</t>
  </si>
  <si>
    <t>https://www.facebook.com/share/p/19RVMh3cqA/</t>
  </si>
  <si>
    <t>Konten ini diduga memuat unsur provokatif yang mendorong tindakan anarkis melalui narasi “DPR tidak bisa bubar kecuali di Nepalkan”. Narasi tersebut mengacu pada aksi anarkis yang terjadi dalam demonstrasi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</si>
  <si>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https://www.facebook.com/share/p/1CMGMAyKW1/</t>
  </si>
  <si>
    <t>Konten tersebut mengandung provokasi yang narasi “Target Operasi Untuk di Nepalkan" terhadap DPR. Narasi tersebut mengacu kepada aksi anarkis seperti yang telah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</si>
  <si>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 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t>
  </si>
  <si>
    <t>Grup tersebut adalah grup SARA yang menggaungkan kemerdekaan Aceh.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</si>
  <si>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https://www.facebook.com/reel/1305031857405482</t>
  </si>
  <si>
    <t>Konten tersebut merupakan disinformasi berupa fabricated content yang menampilkan video generated AI dengan narasi dukungan terhadap kemerdekaan Aceh dari Presiden Rusia.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</si>
  <si>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https://www.tiktok.com/@pecat_puan/video/7557814651984088376</t>
  </si>
  <si>
    <t>Konten tersebut mengandung provokasi yang ditandai dengan seruan demonstrasi mahasiswa yang menuntuk untuk pemakzulan Ketua DPR Puan Maharani.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</si>
  <si>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https://www.facebook.com/reel/1863475261189030</t>
  </si>
  <si>
    <t>Konten tersebut merupakan disinformasi berupa fabricated content yang menampilkan video generated AI dengan narasi dukungan terhadap kemerdekaan Aceh di forum PBB.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</si>
  <si>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https://x.com/freedomlan5555/status/1975006025981038769</t>
  </si>
  <si>
    <t>Konten tersebut mengandung provokasi yang narasi “Tangkap, Adili dan Vonis mati Jokowi.”.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</si>
  <si>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https://x.com/mas_oo25/status/1974987982764675506</t>
  </si>
  <si>
    <t>Konten tersebut mengandung provokasi yang narasi “Bubarkan DPR, atau kita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</si>
  <si>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https://www.facebook.com/groups/400746080766288</t>
  </si>
  <si>
    <t>https://x.com/nakula2801/status/1975037398624198698</t>
  </si>
  <si>
    <t>Konten tersebut mengandung provokasi yang narasi “Ayok Nepalkan kejaksaan.”.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</si>
  <si>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https://www.tiktok.com/@nainunis_879/video/7557934810786794760</t>
  </si>
  <si>
    <t>Konten tersebut mengutip sebuah berita, dengan narasi menyesatkan “Gibran tak lama lagi sudah dimakzulkan??”. Narasi tersebut berpotensi menggiring opini masyarakat dan menciptakan polarisasi antara pendukung Presiden Prabowo dan pendukung Wakil Presiden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</si>
  <si>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https://x.com/Strata388594/status/1975043989196935648</t>
  </si>
  <si>
    <t>Konten tersebut merupakan kritik yang mengandung unsur provokasi dan ujaran kebencian terhadap mantan presiden Joko Widodo, dengan narasi “Wajib dinepalkan” dan “Ijazah palsu”.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</si>
  <si>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https://www.facebook.com/share/p/1BQMXVdk7N/</t>
  </si>
  <si>
    <t>Konten ini mengandung unsur provokatif dengan narasi “DPR itu di Nepalkan saja” yang mengacu pada aksi anarkis yang terjadi di Nepal terhadap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</si>
  <si>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https://www.facebook.com/share/r/1a3vfegbsW/</t>
  </si>
  <si>
    <t>Konten ini mengandung unsur provokatif dengan narasi “DPR Wajib di Nepalkan” yang mengacu pada aksi demonstrasi yang anarkis yang terjadi di Nepal terhadap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</si>
  <si>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https://www.facebook.com/share/v/17SiMqmyME/</t>
  </si>
  <si>
    <t>Konten ini mengandung unsur provokatif dengan narasi ancaman dan mengajak masyarakat untuk melakukan aksi anarkis terhadap keluarga Joko Widodo “*#AYO RAKYAT, NEPALKAN JOKOWI, GERUDUK, KEPUNG DAN RAMPAS RUMAH JOKOWI”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</si>
  <si>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https://www.facebook.com/share/p/1ZCC4aD9Z5/</t>
  </si>
  <si>
    <t>Konten ini mengandung unsur provokatif dengan narasi “Bubarkan DPR dan Nepalkan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</si>
  <si>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https://www.facebook.com/share/r/17Y87wXKcb/</t>
  </si>
  <si>
    <t>Konten ini mengandung unsur provokatif dengan narasi yang memprovokasi masyarakat untuk melakukan aksi anarkis terhadap DPR dan Polri. Narasi yang tertulis adalah “Nepalkan saja semua DPR dan Polri”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</si>
  <si>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https://www.facebook.com/share/r/1CUDz1rUWB/</t>
  </si>
  <si>
    <t>Konten tersebut bersifat provokatif karena menampilkan foto Joko Widodo dengan teks “KPK PANGGIL JOKOWI ATAU MASYARAKAT YANG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</si>
  <si>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https://www.facebook.com/share/r/1Ga9Ztzom2/</t>
  </si>
  <si>
    <t>Konten ini mengandung unsur provokatif dan mengancam untuk melakukan aksi anarkis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</si>
  <si>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https://www.facebook.com/share/p/1CLPypVZ5w/</t>
  </si>
  <si>
    <t>Konten ini mengandung unsur provokatif dan mengancam untuk melakukan aksi anarkis terhadap KPK dan Kejaksaan 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</si>
  <si>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https://x.com/mustthumb/status/1975179740396114040</t>
  </si>
  <si>
    <t>Konten ini mengandung unsur provokatif dan mengancam untuk melakukan aksi anarkis terhadap Menteri ESDM dan DPR RI disertai dengan kata-kata kasar.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</si>
  <si>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https://x.com/TraderCoinCrypt/status/1975000950491508753</t>
  </si>
  <si>
    <t>Konten ini mengandung unsur provokatif dengan narasi ancaman tindakan anarkis terhadap Bapak Presiden Prabowo Subianto.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</si>
  <si>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https://x.com/MukaniRudi8970/status/1974889935657468199</t>
  </si>
  <si>
    <t>Konten ini mengandung unsur provokatif dengan narasi ancaman terhadap Joko Widodo “Ayo Rakyat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</si>
  <si>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https://x.com/SumutNews_AI21/status/1974843507513966726</t>
  </si>
  <si>
    <t>Konten ini mengandung unsur provokatif dengan narasi ancaman akan aksi yang anarkis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</si>
  <si>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https://x.com/Anfieldbreath/status/1974649454067437758</t>
  </si>
  <si>
    <t>Konten ini bersifat provokatif dengan kata-kata kasar serta narasi yang memprovokasi terhadap Presiden Prabowo Subianto.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</si>
  <si>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https://www.tiktok.com/@herususila8/video/7554219580961377554</t>
  </si>
  <si>
    <t>Konten ini bersifat provokatif dengan narasi tindakan anarkis terhadap Kepala BGN.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</si>
  <si>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https://www.tiktok.com/@nuke.achmad/video/7552374202330828040</t>
  </si>
  <si>
    <t>Konten tersebut bersifat provokatif dengan narasi yang mengancam Wakil Presiden RI Gibran Rakabuming “Mending Mundur Saja lah Gibran Daripada Di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</si>
  <si>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https://www.facebook.com/groups/221580229175240/posts/1498472311486019/</t>
  </si>
  <si>
    <t>https://www.facebook.com/groups/221580229175240/posts/1500540801279170/</t>
  </si>
  <si>
    <t>https://www.facebook.com/groups/221580229175240/posts/1498423258157591/</t>
  </si>
  <si>
    <t>https://www.facebook.com/groups/221580229175240/posts/1497975841535666/</t>
  </si>
  <si>
    <t>https://www.facebook.com/groups/221580229175240/posts/1501627207837196/</t>
  </si>
  <si>
    <t>https://www.facebook.com/groups/221580229175240/posts/1502401327759784/</t>
  </si>
  <si>
    <t>https://www.facebook.com/groups/221580229175240/posts/1502012471132003/</t>
  </si>
  <si>
    <t>https://www.facebook.com/groups/221580229175240/posts/1498966418103275/</t>
  </si>
  <si>
    <t>https://www.facebook.com/groups/221580229175240/posts/1496823041650946/</t>
  </si>
  <si>
    <t>https://www.facebook.com/groups/225157887497430/posts/25243499055236634/</t>
  </si>
  <si>
    <t>https://www.facebook.com/groups/225157887497430/posts/25243133858606487/</t>
  </si>
  <si>
    <t>https://www.facebook.com/groups/225157887497430/posts/25187751857478021/</t>
  </si>
  <si>
    <t>https://www.facebook.com/groups/225157887497430/posts/25179722001614340/</t>
  </si>
  <si>
    <t>https://www.facebook.com/groups/225157887497430/posts/25153983307521543/</t>
  </si>
  <si>
    <t>https://www.instagram.com/muhammad_anjing_bastard/</t>
  </si>
  <si>
    <t>https://www.facebook.com/permalink.php?story_fbid=pfbid02fSqebr2oh7nKVrBpEDxTLpYZmiVFRR4JAY8o3AQDuZ1Nho7rcEcTsJz1EBR9HK2kl&amp;id=100054514064148</t>
  </si>
  <si>
    <t>https://www.facebook.com/permalink.php?story_fbid=pfbid0rP2Jaj38KvfTYkCeTRCtuCX26UcLxvPRrQi4r21uQYesw5gnLXZRa5S12hBk867Bl&amp;id=100054514064148</t>
  </si>
  <si>
    <t>https://www.facebook.com/permalink.php?story_fbid=pfbid02BiwQ8jRsU8oTB7Q2brBjw9vzjtVuC5LN2oiZqXLpE5JaaCKHAnFKDazbdww81R9ul&amp;id=100054514064148</t>
  </si>
  <si>
    <t xml:space="preserve">https://www.facebook.com/reel/1358022435975846
</t>
  </si>
  <si>
    <t>Dilaporkan telah melakukan tindak pidana provokasi membuat postingan media sosial mengajak masyarakat menggunakan tagar #bubarkandpr menurunkan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</si>
  <si>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Belum Ada surat</t>
  </si>
  <si>
    <t>https://www.facebook.com/frontmudarevolusioner/posts/pfbid02nJh3HhFa4YtdDNbVKAgLLvTo3FnPqKxBBn3Pv4rELzSwcrtPkss8w5o8Qsp9qj55l</t>
  </si>
  <si>
    <t>Dilaporkan telah melakukan tindak pidana provokasi membuat postingan media sosial mengajak menurunkan Presiden Prabowo , dan membubarkan 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</si>
  <si>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https://www.facebook.com/reel/1765379061010402</t>
  </si>
  <si>
    <t>https://www.facebook.com/reel/3024589881061984</t>
  </si>
  <si>
    <t>https://www.instagram.com/p/DN9NvJaEuaP/</t>
  </si>
  <si>
    <t>https://www.instagram.com/p/DN8XJleEol1/</t>
  </si>
  <si>
    <t>Dilaporkan telah melakukan tindak pidana provokasi membuat postingan mengajak membubarkan DPR dan membubarkan polisi,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</si>
  <si>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https://www.instagram.com/p/DN_pMuJE-zX/</t>
  </si>
  <si>
    <t>Dilaporkan telah melakukan tindak pidana provokasi membuat postingan media sosial dengan tagar #polisianjing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</si>
  <si>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https://www.tiktok.com/@sn.filosofi__/video/7544821803647094034</t>
  </si>
  <si>
    <t>Provokatif dan separatisme</t>
  </si>
  <si>
    <t xml:space="preserve">Konten pada akun Tiktok dengan nama pengguna @sn.filosofi__
teridentifikasi mengunggah video bermuatan provokatif tentang kemerdekaan Aceh dan Aceh tidak akan mengakui negara Indonesia.
</t>
  </si>
  <si>
    <t>https://www.facebook.com/photo/?fbid=1252398723567998</t>
  </si>
  <si>
    <t>Akun Facebook Aster Matuanak mengunggah foto bahwa perjuangan melawan Indonesia sebagai penjajah masih terus berlanjut demi kemerdekaan Aceh, Maluku, dan Papua Barat.</t>
  </si>
  <si>
    <t>https://www.facebook.com/photo/?fbid=1543350553348409</t>
  </si>
  <si>
    <t>Sebuah akun mengunggah konten mengenai Aceh merdeka.</t>
  </si>
  <si>
    <t>https://www.facebook.com/photo/?fbid=122254491338192692</t>
  </si>
  <si>
    <t>Provokator dan Separatisme</t>
  </si>
  <si>
    <t>Sebuah akun yang mengunggah konten bernuansa provokatif yang memperlihatkan sekelompok masyarakat yang mengibarkan bendera bulan bintang dan narasi untuk kemerdekaan Aceh yang bukan merupakan bagian dari Indonesia.</t>
  </si>
  <si>
    <t>https://www.facebook.com/photo/?fbid=821483690440771</t>
  </si>
  <si>
    <t xml:space="preserve">Sebuah akun yang mengunggah konten bernuansa provokatif yang memperlihatkan potret upacara pengibaran bendera bulan bintang.
</t>
  </si>
  <si>
    <t>https://www.facebook.com/photo?fbid=1439884234803808</t>
  </si>
  <si>
    <t xml:space="preserve">Sebuah akun yang mengunggah konten bernuansa provokatif yang memperlihatkan keaktifan perwakilan Aceh di PBB yang mencari suara untuk kemerdekaan Aceh.
</t>
  </si>
  <si>
    <t>https://www.facebook.com/watch/?v=1760788781300334</t>
  </si>
  <si>
    <t xml:space="preserve">Sebuah akun yang mengunggah video berisi pernyataan sikap Jaringan Aneuk Syuhada Aceh (JASA) Kabupaten Bireuen mengenai “Yang benar tetap didukung, yang salah bersiap untuk dikritik. Perjuangan Aceh bukan milik satu orang saja, melainkan milik seluruh bangsa Aceh dan generasi Aceh di masa depan.”
</t>
  </si>
  <si>
    <t>https://www.facebook.com/photo/?fbid=2283264092108198</t>
  </si>
  <si>
    <t xml:space="preserve">Sebuah akun yang memperlihatkan pasukan elit Aceh menuju kemerdekaan.
</t>
  </si>
  <si>
    <t>https://www.facebook.com/reel/2574354102923506</t>
  </si>
  <si>
    <t xml:space="preserve">Sebuah akun yang memperlihatkan pengibaran bendera bulan bintang untuk kemerdekaan Aceh.
</t>
  </si>
  <si>
    <t>https://www.facebook.com/watch/?v=992055446402415</t>
  </si>
  <si>
    <t xml:space="preserve">Sebuah akun yang memperlihatkan pengibaran bendera bulan bintang dirumah warga untuk kemerdekaan Aceh.
</t>
  </si>
  <si>
    <t>https://www.facebook.com/photo/?fbid=1253737963434074</t>
  </si>
  <si>
    <t xml:space="preserve">Sebuah akun yang menyampaikan keinginan untuk kemerdekaan dan kebebasan Aceh.
</t>
  </si>
  <si>
    <t>https://www.facebook.com/groups/103999743103665/</t>
  </si>
  <si>
    <t>Ditemukan sebuah grup dengan nama Gerakan Aceh Merdeka yang memiliki 7200 anggota grup yang masih aktif hingga sekarang.</t>
  </si>
  <si>
    <t>https://vt.tiktok.com/ZSUYdReM7/</t>
  </si>
  <si>
    <t>Detemukan konten pada media sosial TikTok yang mengunggah konten provokasi berupa ajakan untuk menepalkan Tito Karnavian</t>
  </si>
  <si>
    <t>https://vt.tiktok.com/ZSUYdJpQv/</t>
  </si>
  <si>
    <t>Detemukan konten pada media sosial TikTok yang mengunggah konten provokasi berupa ajakan untuk menepalkan Jokowi</t>
  </si>
  <si>
    <t>https://vt.tiktok.com/ZSUYe7P47/</t>
  </si>
  <si>
    <t>Detemukan konten pada media sosial TikTok yang mengunggah konten provokasi berupa ajakan untuk menangkap Jokowi  dan Luhut Binsar Pandjaitan</t>
  </si>
  <si>
    <t>https://vt.tiktok.com/ZSUYdPBL1/</t>
  </si>
  <si>
    <t>Detemukan konten pada media sosial TikTok yang mengunggah konten provokasi berupa ajakan untuk membubarkan DPR</t>
  </si>
  <si>
    <t>https://vt.tiktok.com/ZSUYdjuGA/</t>
  </si>
  <si>
    <t>Detemukan konten pada media sosial TikTok yang mengunggah konten provokasi berupa ajakan untuk menduduki Gedung  DPR</t>
  </si>
  <si>
    <t>https://vt.tiktok.com/ZSUYdp7S8/</t>
  </si>
  <si>
    <t>Detemukan konten pada media sosial TikTok yang mengunggah konten provokasi berupa ajakan untuk menghukum mati Puan Maharani</t>
  </si>
  <si>
    <t>https://vt.tiktok.com/ZSUYdtjVr/</t>
  </si>
  <si>
    <t>Detemukan konten pada media sosial TikTok yang mengunggah konten provokasi berupa ancaman akan mengulang peristiwa 1998.</t>
  </si>
  <si>
    <t>https://www.facebook.com/permalink.php?story_fbid=pfbid02GLHWg6fFxM3rYknSmcYHBfALzyLS9nUx4A2f2P1dZFAzthFjUzXE8j4kmtRjonU9l&amp;id=61577297644442</t>
  </si>
  <si>
    <t>konten OK, namun belum ada surat</t>
  </si>
  <si>
    <t>https://www.facebook.com/permalink.php?story_fbid=pfbid02f6xoVj2itYnisasP85i1UTpbozKQ8buovp7coao3zSJUUxgvDSLPKAHGCDVkiqPgl&amp;id=61577297644442</t>
  </si>
  <si>
    <t>https://www.facebook.com/photo.php?fbid=122135926184909921&amp;set=pb.61577297644442.-2207520000&amp;type=3</t>
  </si>
  <si>
    <t>https://www.facebook.com/photo.php?fbid=122135926172909921&amp;set=pb.61577297644442.-2207520000&amp;type=3</t>
  </si>
  <si>
    <t>https://www.facebook.com/photo?fbid=122135926088909921&amp;set=pb.61577297644442.-2207520000</t>
  </si>
  <si>
    <t>https://www.facebook.com/groups/221580229175240/posts/1501599991173251/</t>
  </si>
  <si>
    <t>https://www.facebook.com/groups/221580229175240/posts/1491746332158617/</t>
  </si>
  <si>
    <t>https://www.facebook.com/groups/221580229175240/posts/1500742364592347/</t>
  </si>
  <si>
    <t>https://www.facebook.com/groups/221580229175240/posts/1501619284504655/</t>
  </si>
  <si>
    <t>https://www.facebook.com/groups/221580229175240/posts/1502601851073065/</t>
  </si>
  <si>
    <t>https://www.facebook.com/YanzID21/posts/pfbid024U9od65LJK1KACUpqYqcrrc3NbLuT9DcN6r8FrUqyU8moB1xcjLwW9qe1EK212Jzl</t>
  </si>
  <si>
    <t>https://www.facebook.com/reel/1313657716802535</t>
  </si>
  <si>
    <t>https://www.facebook.com/share/v/1CWmZWtBzm/</t>
  </si>
  <si>
    <t>Konten pada akun Facebook yang mengatakan bahwa usebelum membentuk Provinsi 2, Aceh harus merdeka.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</si>
  <si>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https://www.facebook.com/photo/?fbid=1017383066410661</t>
  </si>
  <si>
    <t>Provokatif, SARA, dan Separatisme</t>
  </si>
  <si>
    <t>Sebuah akun Facebook yang mengunggah gambar berisi tentang orang Jawa yang mengatakan apabila Papua, Riau, Aceh, dan Maluku merdeka, maka orang Jawa tidak dapat membuat cerita dongeng atau bohong untuk generasi selanjutnya. Selain itu, unggahan tersebut juga mengharapkan agar Papua, Maluku, Aceh, dan Riau segerakeluar dari NKRI.</t>
  </si>
  <si>
    <t>https://www.facebook.com/profile.php?id=61578835137884</t>
  </si>
  <si>
    <t>https://www.facebook.com/reel/1283361680143310</t>
  </si>
  <si>
    <t>Provokator, SARA, dan Separatisme</t>
  </si>
  <si>
    <t>Ditemukan sebuah grup Facebook dengan nama Gerakan Pasundan Merdeka yang masih aktif mengajak kemerdekaan Pasundan dan cuitan SARA yang mengatakan bahwa musuh sebenarnya adalah ‘Jawa’ yang bertanggung jawab atas kerusakan Tatanan Sosial dan memicu luka sejarah.</t>
  </si>
  <si>
    <t>https://www.facebook.com/reel/1192630746230029</t>
  </si>
  <si>
    <t>https://www.facebook.com/reel/1666657200697985</t>
  </si>
  <si>
    <t>Sebuah akun yang mengunggah konten mengenai isu SARA dengan narasi penjajahan yang dilakukan oleh mantan presiden, SBY yang merupakan orang Jawa terhadap rakyat Aceh. Selain itu, terdapat seruan untuk Aceh merdeka.</t>
  </si>
  <si>
    <t>https://www.facebook.com/reel/690639776813330</t>
  </si>
  <si>
    <t>https://www.facebook.com/reel/840944678398145</t>
  </si>
  <si>
    <t>Sebuah akun yang mengunggah konten bernuansa provokatif yang menyampaikan solusi agar Aceh merdeka tanpa pertumpahan darah.</t>
  </si>
  <si>
    <t>https://www.facebook.com/reel/1749918699060717</t>
  </si>
  <si>
    <t>https://www.facebook.com/reel/1847571189525676</t>
  </si>
  <si>
    <t>Sebuah akun yang mengunggah konten bernuansa provokatif yang memperlihatkan aksi demo yang dilakukan oleh sekeompok masyarakat dengan menuntut pembubaran NKRI serta Papua merdeka, Maluku merdeka, dan Aceh merdeka.</t>
  </si>
  <si>
    <t>https://www.facebook.com/reel/1286044543252021</t>
  </si>
  <si>
    <t>https://www.facebook.com/reel/1067528225294433</t>
  </si>
  <si>
    <t>Sebuah akun yang mengunggah videoyang memperlihatkan aksi massa demo masyarakat yang membawa bendera bulan bintang yang menyampaikan tidak ada keraguan bagi Aceh untuk mendeklarasikan kemerdekaannya karena perlakuan pejabat Indonesia yang sudah diluar batas dan semena-mena kepada rakyat Aceh.</t>
  </si>
  <si>
    <t>https://vt.tiktok.com/ZSUjUFeLe/</t>
  </si>
  <si>
    <t>Konten pada media sosial TikTok yang memuat narasi provokatif untuk membubarkan DPR</t>
  </si>
  <si>
    <t xml:space="preserve">https://vt.tiktok.com/ZSUjUKG41/
</t>
  </si>
  <si>
    <t>Konten pada media sosial TikTok yang memuat narasi provokatif untuk menepalkan Luhut Binsar Pandjaitan</t>
  </si>
  <si>
    <t>https://www.facebook.com/share/r/1DhRZYj4Wg/</t>
  </si>
  <si>
    <t>https://www.facebook.com/watch?ref=search&amp;v=1149327543801596&amp;external_log_id=bfa9d774-0018-4eb7-b898-38f66edd20f4&amp;q=nepalkan</t>
  </si>
  <si>
    <t>Konten pada media sosial TikTok yang memuat narasi provokatif untuk menepalkan Pejabat Korup</t>
  </si>
  <si>
    <t>https://www.facebook.com/watch/?ref=search&amp;v=2268497203621130&amp;external_log_id=bfa9d774-0018-4eb7-b898-38f66edd20f4&amp;q=nepalkan</t>
  </si>
  <si>
    <t>Konten pada media sosial TikTok yang memuat narasi provokatif untuk menepalkan DPR</t>
  </si>
  <si>
    <t>https://www.facebook.com/watch?ref=search&amp;v=1512582070021672&amp;external_log_id=bfa9d774-0018-4eb7-b898-38f66edd20f4&amp;q=nepalkan</t>
  </si>
  <si>
    <t>Konten pada media sosial TikTok yang memuat narasi provokatif untuk menepalkan Jokowi</t>
  </si>
  <si>
    <t>https://www.facebook.com/watch/?ref=search&amp;v=1253634406451740&amp;external_log_id=bfa9d774-0018-4eb7-b898-38f66edd20f4&amp;q=nepalkan</t>
  </si>
  <si>
    <t>https://www.facebook.com/groups/3629814654003492/posts/4124544661197153/</t>
  </si>
  <si>
    <t>https://www.facebook.com/groups/3629814654003492/posts/4124542767864009/</t>
  </si>
  <si>
    <t>https://www.facebook.com/groups/3629814654003492/posts/4123543997963886/</t>
  </si>
  <si>
    <t>https://www.facebook.com/groups/3629814654003492/posts/4114641378854148/</t>
  </si>
  <si>
    <t>https://www.facebook.com/groups/3629814654003492/posts/4104592906525662/</t>
  </si>
  <si>
    <t>https://www.facebook.com/photo/?fbid=122168504324516535&amp;set=gm.4099412956955285&amp;idorvanity=3032108023685789</t>
  </si>
  <si>
    <t>https://www.facebook.com/photo/?fbid=122168999030516535&amp;set=g.3032108023685789</t>
  </si>
  <si>
    <t>https://www.facebook.com/photo/?fbid=122171318522516535&amp;set=gm.4113205422242705&amp;idorvanity=3032108023685789</t>
  </si>
  <si>
    <t>https://www.facebook.com/photo/?fbid=122212166258259175&amp;set=g.3032108023685789</t>
  </si>
  <si>
    <t>https://www.facebook.com/photo/?fbid=122207176040259175&amp;set=gm.4156989734530940&amp;idorvanity=3032108023685789</t>
  </si>
  <si>
    <t>https://www.facebook.com/photo/?fbid=122210346614259175&amp;set=gm.4177042225859024&amp;idorvanity=3032108023685789</t>
  </si>
  <si>
    <t>https://www.instagram.com/p/DNwoV6wQk4k/</t>
  </si>
  <si>
    <t>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t>
  </si>
  <si>
    <t>https://x.com/OjolNyambi/status/1975542891499168119</t>
  </si>
  <si>
    <t>Konten tersebut mengandung provokasi yang narasi “#NepalkanKPKSontoloyo" terhadap KPK dan Geng Solo. Narasi tersebut mengacu kepada aksi anarkis seperti yang telah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</si>
  <si>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https://x.com/Ind1509/status/1976092761913995427</t>
  </si>
  <si>
    <t>Konten tersebut mengandung provokasi yang narasi “Nepalkan Kader Kader di DPR". Narasi tersebut mengacu kepada aksi anarkis seperti yang telah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</si>
  <si>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https://x.com/SeriDianawati/status/1976077878057107777</t>
  </si>
  <si>
    <t>Konten tersebut mengandung provokasi yang narasi “Nepalkan Orang Ini" terhadap Luhut. Narasi tersebut mengacu kepada aksi anarkis seperti yang telah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</si>
  <si>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https://x.com/Bons631/status/1975939854522610165</t>
  </si>
  <si>
    <t>Konten tersebut mengandung provokasi berupa komentar dari konten disinformasi fabricated content Menteri ESDM dengan narasi “Nepalkan Saja". Narasi tersebut mengacu kepada aksi anarkis seperti yang telah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</si>
  <si>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https://x.com/atiroh07/status/1975937202468364755</t>
  </si>
  <si>
    <t>Konten ini merupakan disinformasi berupa fabricated content dengan foto Syahroni hasil dari AI serta narasi yang memprovokasi massa untuk menggelar aksi yang anarkis.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</si>
  <si>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https://x.com/Bi_ma_bima/status/1975925734846747037</t>
  </si>
  <si>
    <t>Konten tersebut mengandung unsur provokatif akan aksi anarkis dengan narasi kasar terhadap Kepala BGN.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</si>
  <si>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https://x.com/Mulyadisae03/status/1975919540270928128</t>
  </si>
  <si>
    <t>Konten tersebut mengandung unsur provokatif dengan kata-kata kasar “Pejabat-pejabat keparat perlu dinepalkan”.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</si>
  <si>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https://x.com/van88xier/status/1975902392509219010</t>
  </si>
  <si>
    <t>Konten tersebut mengandung unsur provokatif dengan tagar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</si>
  <si>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https://x.com/Subur0204/status/1975865791221477391</t>
  </si>
  <si>
    <t>Konten tersebut mengandung unsur provokatif dengan narasi “perlu di NEPALKAN” terhadap Wakil Ketua DPRD I Kabupaten Bima.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</si>
  <si>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https://x.com/santo52194/status/1975852470921502835</t>
  </si>
  <si>
    <t>Konten tersebut mengandung unsur provokatif dengan narasi “perlu di nepalkan” terhadap Gubernur Jawa Tengah.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</si>
  <si>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https://x.com/skirkshirk92798/status/1975814347114107235</t>
  </si>
  <si>
    <t>Konten ini merupakan disinformasi berupa manipulated content yang memuat narasi provokatif aksi anarkis dan disertai dengan berita yang tidak kredibel terkait Wakil Presiden Republik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</si>
  <si>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https://x.com/dre_f2/status/1975805132769219056</t>
  </si>
  <si>
    <t>Konten tersebut merupakan kritik yang mengandung unsur provokasi dan ujaran kebencian terhadap mantan presiden Joko Widodo, dengan narasi “lebih baik dinepalkan”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</si>
  <si>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https://x.com/PembuatSistem/status/1975824066029494707</t>
  </si>
  <si>
    <t>Konten ini mengandung unsur provokatif dengan narasi “bongkar atau nepalkan” terhadap Luhut dan Joko Widodo. Narasi tersebut mengacu pada aksi anarkis yang terjadi di Nepal terhadap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</si>
  <si>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https://www.facebook.com/share/p/1Hv14doaou/</t>
  </si>
  <si>
    <t>Konten ini mengandung unsur provokatif dengan ancaman “mau dinepalkan?” terhadap Direktur Utama BPJS. Ancaman tersebut mengacu pada aksi demonstrasi yang anarkis yang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</si>
  <si>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https://www.facebook.com/share/p/171JtP85iK/</t>
  </si>
  <si>
    <t>Konten ini mengandung unsur provokatif terkait aksi demonstrasi di Kantor Bupati Buol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</si>
  <si>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https://www.facebook.com/share/p/1692BJxNn3/</t>
  </si>
  <si>
    <t>Konten ini mengandung unsur provokatif dengan narasi “nepalkan saja”. Narasi tersebut mengacu terhadap aksi anarkis yang terjadi di Nepal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</si>
  <si>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https://www.facebook.com/share/v/1GdSRUY4e9/</t>
  </si>
  <si>
    <t>Konten ini mengandung unsur provokatif dengan narasi yang memprovokasi masyarakat untuk melakukan aksi anarkis terhadap Joko Widodo. Narasi tersebut adalah “*#AYO RAKYAT, NEPALKAN JOKOWI, GERUDUK, KEPUNG DAN RAMPAS RUMAH JOKOWI”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</si>
  <si>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https://www.tiktok.com/@sahkepo490/video/7558326419202395404</t>
  </si>
  <si>
    <t>Konten ini merupakan disinformasi berupa misleading content dengan narasi yang menyebarkan berita menyesatkan terkait penculikan aktivis dan massa aksi demonstrasi pada 1-10 Oktober 2025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</si>
  <si>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https://www.tiktok.com/@tua.gila04/video/7558918048854379788</t>
  </si>
  <si>
    <t>Konten ini mengandung unsur provokatif dengan tagar “Nepalkansaja” terhadap Menteri ESDM”.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</si>
  <si>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https://www.tiktok.com/@officialofficial350/video/7557003459220737288</t>
  </si>
  <si>
    <t>Konten ini merupakan disinformasi berupa manipulated content dengan narasi yang memprovokasi massa untuk melakukan aksi yang anarkis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</si>
  <si>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https://x.com/puankelana98/status/1976283873471549870</t>
  </si>
  <si>
    <t>Konten tersebut mengandung unsur provokatif dengan kata-kata kasar “Semoga seluruh pejabat DPR ini segera di Nepalkan, aamiin ya rabb!”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</si>
  <si>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https://x.com/PutriNisa1983/status/1976121647620051434</t>
  </si>
  <si>
    <t>Konten tersebut merupakan disinformasi dengan jenis misleading content yang juga mengandung provokasi dukungan untuk membubarkan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</si>
  <si>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https://x.com/OjolNyambi/status/1976155436182310996</t>
  </si>
  <si>
    <t>Konten tersebut mengandung unsur provokatif dengan kata-kata kasar “ADILI JOKOWI !!
HUKUM MATI JOKOWI !!!
BARU RAKYAT BISA BERHENTI BERSPEKULASI !!!”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</si>
  <si>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https://x.com/MsRaharusun/status/1975586222665044255</t>
  </si>
  <si>
    <t>Konten tersebut mengandung provokasi yang mendukung pemakzulan Wakil Presiden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</si>
  <si>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https://x.com/abinandar2003/status/1975877948369674655</t>
  </si>
  <si>
    <t>Konten tersebut mengandung provokasi untuk melakukan demo dan melengserkan Presiden Prabowo.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</si>
  <si>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https://www.facebook.com/groups/221580229175240/posts/1505784670754783/</t>
  </si>
  <si>
    <t>https://www.facebook.com/groups/221580229175240/posts/1504173934249190/</t>
  </si>
  <si>
    <t>https://www.facebook.com/groups/221580229175240/posts/1504161414250442/</t>
  </si>
  <si>
    <t>https://www.facebook.com/groups/221580229175240/posts/1502876161045634/</t>
  </si>
  <si>
    <t>https://www.facebook.com/groups/221580229175240/posts/1501508111182439/</t>
  </si>
  <si>
    <t>https://www.facebook.com/photo/?fbid=789252703907038&amp;set=g.3629814654003492</t>
  </si>
  <si>
    <t>https://www.facebook.com/photo/?fbid=789265053905803&amp;set=gm.4157991301185822&amp;idorvanity=3629814654003492</t>
  </si>
  <si>
    <t>https://www.facebook.com/photo/?fbid=788801570618818&amp;set=gm.4157427747908844&amp;idorvanity=3629814654003492</t>
  </si>
  <si>
    <t>https://www.facebook.com/photo/?fbid=122184797318352826&amp;set=g.3629814654003492</t>
  </si>
  <si>
    <t>https://www.facebook.com/photo/?fbid=122184515840352826&amp;set=gm.4155340714784214&amp;idorvanity=3629814654003492</t>
  </si>
  <si>
    <t>https://www.facebook.com/photo/?fbid=122184693284352826&amp;set=gm.4156979064620379&amp;idorvanity=3629814654003492</t>
  </si>
  <si>
    <t>https://www.tiktok.com/@muhammadyusran145/video/7555159764112526604</t>
  </si>
  <si>
    <t>Dilaporkan telah melakukan tindak pidana provokasi Seruan untuk aksi Nepalkan DPR yang merujuk pada situasi pemerintahan nepal saat ini,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</si>
  <si>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https://www.facebook.com/reel/1105260868263403</t>
  </si>
  <si>
    <t>Dilaporkan telah melakukan tindak pidana provokasi Seruan untuk aksi tagar Nepalkan indonesia yang merujuk pada situasi nepal saat ini,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</si>
  <si>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https://www.facebook.com/reel/1778009756157101</t>
  </si>
  <si>
    <t>https://x.com/Srik4ndiMuslim2/status/1975397793142603893</t>
  </si>
  <si>
    <t>Konten tersebut mengandung provokasi yang narasi “#NepalkanKPKSontoloyo" terhadap KPK dan Geng Solo. Narasi tersebut mengacu kepada aksi anarkis seperti yang telah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</si>
  <si>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https://x.com/meantarza/status/1976458878729744783</t>
  </si>
  <si>
    <t>Konten tersebut mengandung provokasi berupa komentar dengan narasi “Nepalkan". Narasi tersebut mengacu kepada aksi anarkis seperti yang telah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</si>
  <si>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https://x.com/darah_revolusi/status/1976313690686443591</t>
  </si>
  <si>
    <t>Konten tersebut mengandung provokasi kasar dan ancaman dengan narasi “Minta di nepalkan". Narasi tersebut mengacu kepada aksi anarkis seperti yang telah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</si>
  <si>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https://x.com/syamh45/status/1976293889603699075</t>
  </si>
  <si>
    <t>Konten tersebut mengandung provokasi berupa komentar dengan narasi “Kami Nepalkan". Narasi tersebut mengacu kepada aksi anarkis seperti yang telah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</si>
  <si>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https://x.com/syamh45/status/1976292393503932429</t>
  </si>
  <si>
    <t>Konten ini mengandung unsur provokatif serta narasi yang memprovokasi massa untuk menggelar aksi yang anarkis.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</si>
  <si>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https://x.com/KayadiMur/status/1976271927095537720</t>
  </si>
  <si>
    <t>Konten tersebut mengandung unsur provokatif akan aksi anarkis.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</si>
  <si>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https://x.com/Strata388594/status/1975783765449580751</t>
  </si>
  <si>
    <t>Konten tersebut mengandung unsur provokatif dengan kata-kata kasar terkait aksi anarkis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</si>
  <si>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https://x.com/mistadi_lawyer/status/1976224270025167116</t>
  </si>
  <si>
    <t>Konten tersebut mengandung unsur provokatif dengan narasi “Nepalkan saja atau bubarkan saja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</si>
  <si>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https://x.com/Gonzalesgozin46/status/1975541017261863320</t>
  </si>
  <si>
    <t>Konten tersebut mengandung unsur provokatif dengan narasi “KPK harus di nepalkan” yang mengacu terhadap aksi anarkis yang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</si>
  <si>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https://x.com/freedomlan5555/status/1975370451447841198</t>
  </si>
  <si>
    <t>Konten tersebut mengandung unsur provokatif dengan narasi “Nepalkan KPK Sontoloyo”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</si>
  <si>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https://x.com/ArtaN7707/status/1975579708252459209</t>
  </si>
  <si>
    <t>Konten ini mengandung unsur provokatif dengan tagar “#NepalkanKPKSontoloyo” yang menargetkan Wakil Presiden 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</si>
  <si>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https://x.com/affanaffa12/status/1975076574333735275</t>
  </si>
  <si>
    <t>Konten tersebut merupakan kritik yang mengandung unsur provokasi dan ancaman terhadap Wakil Presiden RI dan keluargadengan narasi “Gibran turun atau dinepalkan seluruh keluarga”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</si>
  <si>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https://www.tiktok.com/@attacker.cr/video/7556864874807135495</t>
  </si>
  <si>
    <t>Konten ini mengandung unsur provokatif dengan narasi “Nepalkan Jokowi. Narasi tersebut mengacu pada aksi anarkis yang terjadi di Nepal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</si>
  <si>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https://www.facebook.com/idrisofficialtv</t>
  </si>
  <si>
    <t>Akun ini kerap mengunggah konten provokatif yang bersifat SARA serta separatisme terhadap Gerakan Aceh Merdeka.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</si>
  <si>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https://www.facebook.com/share/p/1Ee7pzJo7w/</t>
  </si>
  <si>
    <t>Konten ini mengandung unsur SARA serta separatisme yang memuat bendera GAM dan OPM.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</si>
  <si>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https://www.facebook.com/share/v/1CJ1qN5D1G/</t>
  </si>
  <si>
    <t>Konten ini mengandung unsur provokatif dengan narasi “Listyo memang harus dinepalkan””. Narasi tersebut mengacu terhadap aksi anarkis yang terjadi di Nepal terhadap Kapolri.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</si>
  <si>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https://www.facebook.com/share/p/14M63KdfBX6/</t>
  </si>
  <si>
    <t>Konten ini mengandung unsur provokatif dan SARA yang memuat ajakan massa untuk mendukung gerakan separatisme bagi Papua, Aceh, dan Maluku.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</si>
  <si>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https://www.facebook.com/share/p/15RKZHu44fr/</t>
  </si>
  <si>
    <t>Konten ini mengandung unsur provokatif dengan narasi “KPK Tangkap Jokowi atau Rakyat Nepalkan” Narasi tersebut mengacu pada aksi anarkis yang terjadi di Nepal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</si>
  <si>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https://www.tiktok.com/@infokabarrakyatindonesia/video/7556506240877120824</t>
  </si>
  <si>
    <t>Konten ini merupakan disinformasi berupa fabricated content yang memuat video AI dari Menteri ESDM dengan narasi provokatif “Yuk Nepalkan Bahlil”.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</si>
  <si>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https://x.com/MuhammadIkhtid5/status/1976539925546926342</t>
  </si>
  <si>
    <t>https://x.com/salehali2019/status/1976576665368334523</t>
  </si>
  <si>
    <t>https://x.com/arnoldeffendy27/status/1975742886856802589</t>
  </si>
  <si>
    <t>https://x.com/onyon_jebag/status/1976631289060212996</t>
  </si>
  <si>
    <t>https://x.com/WidodoMarshel/status/1976054058755788867</t>
  </si>
  <si>
    <t>https://x.com/M17522147/status/1976642171404263901</t>
  </si>
  <si>
    <t>https://www.instagram.com/diluarnurul18/reel/DPToJ_2iQc4/</t>
  </si>
  <si>
    <t>Dilaporkan telah melakukan tindak pidana provokasi Seruan untuk aksi Nepalkan DPR yang merujuk pada situasi nepal saat ini,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</si>
  <si>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https://www.facebook.com/reel/812219191306803</t>
  </si>
  <si>
    <t>https://www.facebook.com/reel/1317817982677237</t>
  </si>
  <si>
    <t>Dilaporkan telah melakukan tindak pidana provokasi Seruan untuk aksi Nepalkan  yang merujuk pada situasi pemerintahan nepal saat ini,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</si>
  <si>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https://www.facebook.com/share/p/1DDc4qgwN9/</t>
  </si>
  <si>
    <t>Konten pada media sosial Facebook tersebut mengandung muatan provokatif untuk membubarkan DPR.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</si>
  <si>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https://www.facebook.com/share/p/1BV6fxYSjs/</t>
  </si>
  <si>
    <t>https://www.facebook.com/share/r/19nwPxrFDQ/</t>
  </si>
  <si>
    <t>https://www.facebook.com/share/r/1Y9vbrbEY5/</t>
  </si>
  <si>
    <t>https://vt.tiktok.com/ZSUBE76sJ/</t>
  </si>
  <si>
    <t>https://vt.tiktok.com/ZSUBou93M/</t>
  </si>
  <si>
    <t>Konten pada media sosial Facebook tersebut mengandung muatan provokatif untuk membubarkan DPR.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</si>
  <si>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https://vt.tiktok.com/ZSUBoT1cA/</t>
  </si>
  <si>
    <t>Konten pada media sosial Facebook tersebut mengandung muatan provokatif untuk mengadili Jokowi dan makzulkan Gibran.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</si>
  <si>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https://vt.tiktok.com/ZSUS1YkSe/</t>
  </si>
  <si>
    <t>https://vt.tiktok.com/ZSUS1MpRK/</t>
  </si>
  <si>
    <t>https://vt.tiktok.com/ZSUS1hM4w/</t>
  </si>
  <si>
    <t>https://vt.tiktok.com/ZSUS1RoF6/</t>
  </si>
  <si>
    <t>https://www.facebook.com/share/r/17YjkczJVH/</t>
  </si>
  <si>
    <t>Konten provokatif berupa ajakan untuk bubarkan DPR karena menjual kursi Purbaya seharga 900 M yang gagal menjadi Gubernur Bank Indonesia.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</si>
  <si>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https://www.facebook.com/share/r/1A6zsedbq4/</t>
  </si>
  <si>
    <t>Konten pada media sosial TikTok yang memuat narasi provokatif untuk membubarkan DPR karena merupakan parasit APBN.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</si>
  <si>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https://www.facebook.com/share/r/1QFbUk4saf/</t>
  </si>
  <si>
    <t>Konten pada media sosial Facebook berupa ajakan untuk pembubaran DPR RI.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</si>
  <si>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https://www.facebook.com/share/r/1E2xsmurWa/</t>
  </si>
  <si>
    <t>Konten pada media sosial Facebook berupa ajakan untuk pembubaran DPR.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</si>
  <si>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https://www.facebook.com/share/r/19aUJkkTWs/</t>
  </si>
  <si>
    <t>Konten pada media sosial Facebook berupa pembubaran DPR.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</si>
  <si>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https://x.com/BoyYunanda37774/status/1977305681352151404</t>
  </si>
  <si>
    <t>Konten tersebut diduga mengandung unsur provokatif denga narasi ajakan untuk membubarkan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</si>
  <si>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https://x.com/T_AndriSugiarto/status/1977253627065668001</t>
  </si>
  <si>
    <t>https://x.com/afrizalsamsir/status/1977208875888918892</t>
  </si>
  <si>
    <t>Konten tersebut berisikan dukungan terhadap pembubaran DPR, yang dinyatakan dengan narasi bahwa Indonesia sudah memenuhi 4 unsur terbentuknya sebuah negara, sehingga DPR layak untuk dibubarkan. Konten tersebut diduga mengandung unsur provokasi atas pembubaran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</si>
  <si>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https://x.com/self_rem1nd/status/1977131756416647439</t>
  </si>
  <si>
    <t>Konten tersebut diduga mengandung unsur provokasi mengenai dukungan pembubaran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</si>
  <si>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https://www.facebook.com/reel/1442693433482299</t>
  </si>
  <si>
    <t>Konten tersebut berisikan disinformasi dengan narasi bahwa Presiden Prabowo akan mengeluarkan dekret terkait pembubaran DPR, yang juga mengandung provokasi agar masyarakat mendukung pembubaran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</si>
  <si>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https://www.facebook.com/reel/4130763447180369</t>
  </si>
  <si>
    <t>Konten tersebut mengandung informasi yang menyesatkan (misleading content) dengan narasi “Presiden Prabowo sudah 2 kali di4ncam oleh Jokowi”. Narasi ini berpotensi menimbulkan polarisasi di antara masyarakat antara pendukung Mantan Presiden Joko Widodo dan Presiden Subianto.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</si>
  <si>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https://www.facebook.com/reel/1829617424612481</t>
  </si>
  <si>
    <t>Konten tersebut mengandung kritik atas isu kenaikan reses DPR RI, yang diakhiri dengan narasi provokatif “Bubarkan DPR, Koruptor semua pejabatnya”.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</si>
  <si>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https://www.facebook.com/reel/656007963972223</t>
  </si>
  <si>
    <t>Konten tersebut mengandung disinformasi mengenai ucapan tokoh-tokoh di antaranya Hotman Paris, Rocky Gerung, dan Mantan Presiden Gusdur mengenai dekrit presiden tentang pembubaran DPR. Konten tersebut mengandung provokasi dukungan terhadap pembubaran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</si>
  <si>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https://www.facebook.com/reel/728088533568980</t>
  </si>
  <si>
    <t>Konten tersebut berisikan foto Kapolri Listyo Sigit, dengan caption “AKHIRNYA DPR TAK JADI DIBUBARKAN TAPI INDONESIA BISA BUBARKAN POLISI GAK YA? #percumalaporpolisi”. Narasi tersebut mengandung memperkuat persepsi negatif dan mengundang publik untuk ikut marah atau menentang polisi, bukan sekadar mengkritik. Selain itu, konten seperti ini juga berpotensi menimbulkan polarisasi di tengah masyarakat.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</si>
  <si>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https://www.facebook.com/watch/?v=4259649100960176&amp;rdid=ZEPYfiunewbBSLfE</t>
  </si>
  <si>
    <t>Konten tersebut diduga mengandung unsur provokatif dengan narasi “Indonesia memanggil segera Nepalkan jilid 2🇮🇩” yang mendukung kritik terhadap pemerintah dengan diikuti tindakan anarkis seperti yang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</si>
  <si>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https://x.com/buzerman18/status/1976945462516367785?t=IJEsiNjfRpkOfaimA0COEQ&amp;s=19</t>
  </si>
  <si>
    <t>Konten tersebut berisikan kritik terhadap pemerintahan Presiden Prabowo dan DPR yang menaikkan reses DPR. Konten tersebut diduga mengandung unsur provokatif dengan narasi “Sudah saatnya Rakyat turun ke DPR untuk gagalkan DANA RESES ini”.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</si>
  <si>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https://x.com/hnirankara/status/1977211317766570434</t>
  </si>
  <si>
    <t>Konten ini diduga memuat unsur provokatif yang mendorong tindakan anarkis dengan narasi seolah ajakan dan hasutan untuk membakar gedung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</si>
  <si>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https://x.com/alfatih212426/status/1977251674369802561</t>
  </si>
  <si>
    <t>Konten tersebut diduga mengandung unsur provokasi yang mengajak masyarakat untuk melakukan aksi demonstrasi besar-besaran, dengan narasi “Nepalkan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</si>
  <si>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https://x.com/fransis74201222/status/1977285162695278686</t>
  </si>
  <si>
    <t>Konten tersebut merupakan kritik terhadap program pemerintah yang disampaikan dengan kata-kata kasar dan makian, yang menjadi narasi provokasi terhadap program pemerintah.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</si>
  <si>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https://x.com/M17522147/status/1976985259175813592</t>
  </si>
  <si>
    <t>Konten ini diduga bersifat provokatif dan mendorong tindakan anarkis dengan menyerukan pembubaran instansi negara yaitu Polri, yang diungkapkan dengan kata-kata kasar. Konten ini berpotensi menimbulkan polarisasi dan konflik di dalam masyarakat dan menyudutkan instansi pemerintah.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</si>
  <si>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https://web.facebook.com/reel/1330197625130100</t>
  </si>
  <si>
    <t>Konten ini diduga bersifat provokatif dan mendorong tindakan anarkis melalui seruan Nepalkan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</si>
  <si>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https://web.facebook.com/share/p/1DJfzsurPG/</t>
  </si>
  <si>
    <t>Konten ini diduga bersifat provokatif dan separatisme yang menyerukan Aceh Merdeka.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</si>
  <si>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https://web.facebook.com/share/r/1ExP2ZfvTD/</t>
  </si>
  <si>
    <t>https://web.facebook.com/share/v/1D468yTXGo/</t>
  </si>
  <si>
    <t>https://www.facebook.com/watch/?v=1880653469383160</t>
  </si>
  <si>
    <t>https://www.instagram.com/p/DN337PWkzeH/</t>
  </si>
  <si>
    <t>Dilaporkan telah melakukan tindak pidana provokasi membuat postingan pembubaran 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</si>
  <si>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https://www.instagram.com/p/DN8Lwk-Eym9/</t>
  </si>
  <si>
    <t>https://www.instagram.com/p/DNryN7XQqGa/</t>
  </si>
  <si>
    <t>https://www.facebook.com/share/v/1Eko1dDXat/</t>
  </si>
  <si>
    <t>Konten tersebut diduga mengandung unsur provokatif dengan narasi untuk mengadili Mantan Presiden Joko Widodo dan memakzulkan Wakil Presiden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</si>
  <si>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https://www.facebook.com/share/v/1A13Po37Sd/</t>
  </si>
  <si>
    <t>Konten tersebut mengambil cuplikan video Indonesia Lawyer Club yang menyatakan bahwa putusan MK dibuat dengan cepat dan seolah ada yang direkayasa. Video tersebut ditambahkan dengan caption "Gibran tidak memenuhi syarat, wajib dimakzulkan", yang menggiring opini masyarakat bahwa wakil presiden terpilih Gibran Rakabuming menyalahi aturan pemilu dan tidak memenuhi syarat sebagai wakil presiden, sehingga pantas untuk dimakzulkan. Faktanya, putusan MK terkait syarat presiden dan wakil presiden Indonesia sudah ditetapkan dan MK menolak gugatan atas putusan tersebut, sehingga secara hukum Gibran Rakabuming memenuhi syarat sebagai wakil presiden pada 2024. Video dan caption dari konten tersebut menimbulkan provokasi dan berpotensi menimbulkan polarisasi di tengah masyarakat.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</si>
  <si>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https://x.com/supriyanto45086/status/1977462259535548865</t>
  </si>
  <si>
    <t>Konten menampilkan cuplikan diskusi yang melibatkan Kapolri Listyo Sigit, dengan narasi yang diduga mengandung unsur provokatif, yaitu “Copot Kapolri, dan Segera bubarkan POLRI”.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</si>
  <si>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https://x.com/Enov_Jkt/status/1977589864054075569</t>
  </si>
  <si>
    <t>Konten tersebut mengandung disinformasi yang berpotensi menimbulkan provokasi di tengah masyarakat.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</si>
  <si>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https://x.com/Andrie80079584/status/1977632951845507442</t>
  </si>
  <si>
    <t>Konten tersebut mengandung provokasi untuk mengkritik pejabat negara dengan tindakan yang anarkis.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</si>
  <si>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https://x.com/AndoFernan50737/status/1977618984032928050</t>
  </si>
  <si>
    <t xml:space="preserve">Konten tersebut diduga mengandung unsur provokatif yang dapat menimbulkan polarisasi di tengah masyarakat antara pendukung Presiden Prabowo VS Wakil Presiden Gibran.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</si>
  <si>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https://x.com/aiki_samurai/status/1977664634267292023</t>
  </si>
  <si>
    <t>Konten tersebut mengandung unsur provokatif dengan narasi “Nepalkan Polri” yang mengacu terhadap aksi anarkis yang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</si>
  <si>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https://x.com/akhmadsoderi2/status/1977569794804342868</t>
  </si>
  <si>
    <t>Konten ini diduga memuat unsur provokatif yang mendorong tindakan anarkis dengan narasi seolah ajakan dan hasutan untuk menggelar aksi anarkis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</si>
  <si>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https://x.com/afrizalsamsir/status/1977646710508974123</t>
  </si>
  <si>
    <t>Konten tersebut diduga mengandung unsur provokasi yang mengajak masyarakat untuk melakukan aksi anarkis, dengan narasi “Nepalkan gerombolan mereka semua” terhadap Joko Widodo dan keluarga.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</si>
  <si>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https://x.com/syamh45/status/1977384529472975297</t>
  </si>
  <si>
    <t>Konten tersebut mengandung unsur provokatif dengan narasi “Nepalkan Jokowi dan Geng Solo”, hal ini mengacu terhadap aksi anarkis yang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</si>
  <si>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https://www.facebook.com/share/p/16BUS2SUUH/</t>
  </si>
  <si>
    <t>Konten ini diduga bersifat provokatif dan mendorong tindakan anarkis dengan menyerukan pembubaran instansi negara yaitu Polri. Konten ini berpotensi menimbulkan polarisasi dan konflik di dalam masyarakat dan menyudutkan instansi pemerintah.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</si>
  <si>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https://x.com/Che_thovic/status/1977526660632289367</t>
  </si>
  <si>
    <t>Konten ini diduga bersifat provokatif dan mendorong tindakan anarkis melalui seruan “Nepalkan”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</si>
  <si>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https://www.facebook.com/groups/221580229175240/posts/1510181020315148/</t>
  </si>
  <si>
    <t>https://www.facebook.com/groups/221580229175240/posts/1504689100864340/</t>
  </si>
  <si>
    <t>https://www.facebook.com/groups/221580229175240/posts/1504418057558111/</t>
  </si>
  <si>
    <t>https://www.facebook.com/groups/221580229175240/posts/1505008354165748/</t>
  </si>
  <si>
    <t>https://www.facebook.com/groups/221580229175240/posts/1504587940874456/</t>
  </si>
  <si>
    <t>https://www.facebook.com/groups/221580229175240/posts/1504585320874718/</t>
  </si>
  <si>
    <t>https://www.facebook.com/groups/221580229175240/posts/1504563620876888/</t>
  </si>
  <si>
    <t>https://www.facebook.com/groups/221580229175240/?multi_permalinks=1498766701456580</t>
  </si>
  <si>
    <t>https://www.facebook.com/photo/?fbid=4015928138719544&amp;set=g.436927017440797</t>
  </si>
  <si>
    <t>https://www.facebook.com/photo/?fbid=122135288210876568&amp;set=g.436927017440797</t>
  </si>
  <si>
    <t>https://www.facebook.com/groups/221580229175240/posts/1507999823866601/</t>
  </si>
  <si>
    <t>https://www.facebook.com/groups/221580229175240/posts/1505430167456900/</t>
  </si>
  <si>
    <t>https://www.facebook.com/groups/221580229175240/posts/1504910450842205/</t>
  </si>
  <si>
    <t>https://x.com/f22pinkfalcon/status/1977607006455558643</t>
  </si>
  <si>
    <t>Konten tersebut merupakan komentar atas kejadian penolakan pembangunan bangunan ibadah (gereja) di Depok. Komentar yang disampaikan mengandung unsur provokasi yang berbau SARA, yaitu mendiskreditkan kelompok minoritas dan menyebut kelompok minoritas sebagai beban negara.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</si>
  <si>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https://x.com/daffiriffi/status/1977708724316676409</t>
  </si>
  <si>
    <t>Konten tersebut merupakan komentar atas postingan yang menyatakan bahwa Presiden Prabowo tidak mau membantu dalam isu ijazah palsu yang menimpa Wakil Presiden Gibran Rakabuming, yang disampaikan dengan kata-kata kasar. Konten tersebut mengandung unsur provokasi yang dapat menimbulkan konflik dan polarisasi di tengah masyarakat antara pendukung Presiden Prabowo dan Wakil Presiden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</si>
  <si>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https://x.com/ssenabluu/status/1977952645353791567</t>
  </si>
  <si>
    <t>Konten tersebut merupakan komentar terhadap postingan media Israel yang menyebarkan isu bahwa Presiden Prabowo akan tiba di Israel hari ini, 14 Oktober 2025. Isu tersebut sudah dibantah oleh Menteri Luar Negeri, Sugiono. 
Konten tersebut mengungkapkan komentar dengan kata-kata kasar, dan berpotensi menimbulkan penggiringan opini sehingga masyarakat masih percaya dengan propaganda yang disebarkan oleh media Israel.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</si>
  <si>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https://x.com/happiestyas/status/1977950149726056702</t>
  </si>
  <si>
    <t>Konten tersebut merupakan komentar terhadap postingan media Israel yang menyebarkan isu bahwa Presiden Prabowo akan tiba di Israel hari ini, 14 Oktober 2025. Isu tersebut sudah dibantah oleh Menteri Luar Negeri, Sugiono. 
Konten tersebut mengungkapkan tuduhan terhadap Presiden Prabowo, yang menyebut “antek asing” dan “zionist”, dan berpotensi menimbulkan penggiringan opini sehingga masyarakat masih percaya dengan propaganda yang disebarkan oleh media Israel.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</si>
  <si>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https://x.com/waduhx/status/1977994238752411780</t>
  </si>
  <si>
    <t>Konten tersebut berisikan disinformasi mengenai Presiden Prabowo yang dituding berpindah agama dan menyium tembok (merujuk pada tembok ratapan di Yerusalem). Disinformasi ini dapat menggiring opini publik dan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</si>
  <si>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https://x.com/faza_iwan74302/status/1977987463294394380</t>
  </si>
  <si>
    <t>Konten diduga mengandung unsur provokatif dengan narasi “nepalkan” yang bermaksud untuk mendukung pembubaran DPR dengan tindakan anarkis.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</si>
  <si>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https://www.facebook.com/share/p/1F3ffmAmsd/</t>
  </si>
  <si>
    <t>https://x.com/pak26177/status/1977842868992798762</t>
  </si>
  <si>
    <t>Konten tersebut mengandung unsur provokasi yaitu seruan untuk membubarkan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</si>
  <si>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https://x.com/PresidentKorup/status/1978005589411450910</t>
  </si>
  <si>
    <t>Konten tersebut memuat tuduhan terhadap Presiden Prabowo, dengan menyebutkan bahwa Presiden Prabowo adalah seorang pro zionis dan pelanggar HAM berat. Konten tersebut berpotensi menimbulkan provokasi dan polarisasi di tengah masyarakat.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</si>
  <si>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https://x.com/alfatih212426/status/1977928167114310029</t>
  </si>
  <si>
    <t>Konten tersebut diduga mengandung unsur provokatif dengan narasi “Yok Nepalkan Indonesia” yang mendukung kritik terhadap pemerintah dengan diikuti tindakan anarkis seperti yang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</si>
  <si>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https://x.com/Sekai180845/status/1977767400834740569</t>
  </si>
  <si>
    <t>Konten tersebut diduga mengandung unsur provokatif dengan narasi “TANGKAP LUHUT, ATAU RAKYAT YG AKAN NEPALKAN” yang mendukung kritik terhadap Luhut dengan diikuti tindakan anarkis seperti yang terjadi di Nepal.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</si>
  <si>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https://x.com/bebeqkapaz/status/1977943586181124205</t>
  </si>
  <si>
    <t>Konten tersebut menanggapi berita hoax terkait kunjungan Prabowo ke Israel disertai dengan kata-kata kasar.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</si>
  <si>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https://x.com/BerisikMedsos/status/1977986289778778399</t>
  </si>
  <si>
    <t>Konten ini diduga memuat unsur provokatif yang mendorong tindakan anarkis dengan narasi seolah ajakan dan hasutan untuk ‘Menepalkan’ Wakil Presiden 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</si>
  <si>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https://x.com/B4sm1Oligarki/status/1977983168763642089</t>
  </si>
  <si>
    <t>Konten tersebut diduga mengandung unsur provokasi yang mengajak masyarakat untuk melakukan aksi demonstrasi besar-besaran, dengan narasi “Gibran ingin di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</si>
  <si>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https://x.com/Joxplalong/status/1975954776321122545</t>
  </si>
  <si>
    <t>Konten tersebut memprovokasi aksi yang anarkis dengan narasi “Gibran wajib dimakzulkan atau rakyat yang akan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</si>
  <si>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https://x.com/samosir_frengki/status/1978074212372722164</t>
  </si>
  <si>
    <t>Konten ini menanggapi kebijakan dana reses serta mengandung unsur provokatif dengan narasi “Nepalkan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</si>
  <si>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https://www.facebook.com/share/p/1CyCWbPxzi/</t>
  </si>
  <si>
    <t>Konten ini diduga bersifat provokatif dan mendorong tindakan anarkis melalui seruan Nepalkan Joko Widodo serta mengkritisi program pemerintah.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</si>
  <si>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https://www.facebook.com/share/r/1DUnPB5qXP/</t>
  </si>
  <si>
    <t>Konten ini mengandung unsur provokatif dengan menyerukan aksi yang anarkis terhadap Puan Maharani.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</si>
  <si>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https://www.facebook.com/share/p/18gyvrPY4L/</t>
  </si>
  <si>
    <t>Konten ini bersifat provokatif dan menyerukan Wakil Presiden RI harus mundur atau di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</si>
  <si>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https://www.facebook.com/share/p/17qJpnoQVJ/</t>
  </si>
  <si>
    <t>https://www.facebook.com/groups/221580229175240/?multi_permalinks=1495751765091407&amp;hoisted_section_header_type=recently_seen</t>
  </si>
  <si>
    <t>https://www.facebook.com/groups/221580229175240/?multi_permalinks=1507342873932296&amp;hoisted_section_header_type=recently_seen</t>
  </si>
  <si>
    <t>https://www.facebook.com/groups/1741509276367978/posts/2192827294569505/</t>
  </si>
  <si>
    <t>https://www.facebook.com/groups/225157887497430/?multi_permalinks=7672219009457910&amp;hoisted_section_header_type=recently_seen</t>
  </si>
  <si>
    <t>https://www.facebook.com/photo/?fbid=1224150603069684</t>
  </si>
  <si>
    <t>Konten Tiktok yang mengajak masyarakat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</si>
  <si>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https://www.facebook.com/photo/?fbid=1261518749322662</t>
  </si>
  <si>
    <t>Akun Facebook mengunggah konten Aceh Merdeka.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</si>
  <si>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https://www.facebook.com/reel/1496900144681873</t>
  </si>
  <si>
    <t>Beredar konten video ajakan untuk tidak memilih calon legislatif saat pemilu nanti, dengan begitu untuk membubarkan DPR tidak perlu melalui demo.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</si>
  <si>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https://www.facebook.com/reel/1532668754401015</t>
  </si>
  <si>
    <t>Provokator</t>
  </si>
  <si>
    <t>Sebuah akun yang mengajak untuk membubarkan DPR.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</si>
  <si>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https://www.facebook.com/reel/2632794013758036</t>
  </si>
  <si>
    <t>Sebuah akun yang mengunggah konten bernuansa provokatif untuk mengajak pembubaran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</si>
  <si>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https://www.facebook.com/reel/1467752604443984</t>
  </si>
  <si>
    <t>Sebuah akun yang mengunggah konten bernuansa provokatif untuk melawan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</si>
  <si>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https://www.facebook.com/reel/2654987671519976</t>
  </si>
  <si>
    <t>Sebuah akun yang mengunggah video provokatif berupa ajakan untuk “Nepalkan Indonesia”.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</si>
  <si>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https://www.facebook.com/share/v/1VTSj9ys2w/</t>
  </si>
  <si>
    <t>Sebuah akun yang mengajak untuk mereformasi DPR.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</si>
  <si>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https://www.facebook.com/share/r/1A86xv6L16/</t>
  </si>
  <si>
    <t>Sebuah akun yang mengunggah video untuk menepalkan para pejabat.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</si>
  <si>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https://www.facebook.com/reel/1066111742105799</t>
  </si>
  <si>
    <t>Sebuah akun yang mengajak untuk menepalkan pejabat.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</si>
  <si>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https://www.facebook.com/share/v/1A8CokXZBB/</t>
  </si>
  <si>
    <t>Sebuah akun yang menyampaikan keinginan untuk kemerdekaan dan kebebasan Aceh.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</si>
  <si>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https://www.facebook.com/share/r/196tGN5HYX/</t>
  </si>
  <si>
    <t>Ditemukan sebuah grup dengan nama Gerakan Aceh Merdeka yang memiliki 7200 anggota grup yang masih aktif hingga sekarang.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</si>
  <si>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https://www.facebook.com/share/r/17LMqU5Deu/</t>
  </si>
  <si>
    <t>Ditemukan konten pada media sosial Facebook yang mengunggah konten Aceh Merdeka.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</si>
  <si>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https://www.facebook.com/share/r/17DJMPnetb/</t>
  </si>
  <si>
    <t>Ditemukan konten yang memperlihatkan bendera bulan bintang di rumah warga dan Aceh Merdeka.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</si>
  <si>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https://www.facebook.com/share/r/1TUqugR5jM/</t>
  </si>
  <si>
    <t>Ditemukan konten mengajak Aceh Merdeka.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</si>
  <si>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https://www.facebook.com/groups/2386029115037553/posts/3156549077985549/</t>
  </si>
  <si>
    <t>https://www.facebook.com/groups/2386029115037553/posts/3156522254654898/</t>
  </si>
  <si>
    <t>https://www.facebook.com/groups/2386029115037553/posts/3156503911323399/</t>
  </si>
  <si>
    <t>https://www.facebook.com/groups/2386029115037553/posts/3155914054715718/</t>
  </si>
  <si>
    <t>https://www.facebook.com/groups/2386029115037553/posts/3155909488049508/</t>
  </si>
  <si>
    <t>https://www.facebook.com/groups/169768088223041/?multi_permalinks=1306799517853220</t>
  </si>
  <si>
    <t>https://www.facebook.com/groups/193757581677575/?multi_permalinks=1487403568979630</t>
  </si>
  <si>
    <t>https://www.facebook.com/groups/298513263542390/permalink/24820935074206868/?rdid=3jV9dXCuJze1pJ5o#</t>
  </si>
  <si>
    <t>Dilaporkan telah melakukan tindak pidana provokasi membuat postingan media sosial dengan narasi "KPK panggil Jokowi atau rakyat Nepalkan"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</si>
  <si>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https://www.facebook.com/groups/2025jokowi/permalink/2106895340103857/?rdid=0N15LcJlIKhWg4oe#</t>
  </si>
  <si>
    <t>Dilaporkan telah melakukan tindak pidana provokasi membuat postingan media sosial dengan narasi "KPK panggil Jokowi atau rakyat Nepalkan" serta caption "NEPALKAN PARA BAJINGAN"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</si>
  <si>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https://www.instagram.com/p/DOAHOb_kr99/</t>
  </si>
  <si>
    <t>Dilaporkan telah melakukan tindak pidana provokasi Seruan untuk aksi Bubarkan DPR,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</si>
  <si>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https://www.instagram.com/p/DPFU_GEEz19/</t>
  </si>
  <si>
    <t>Dilaporkan telah melakukan tindak pidana provokasi membuat postingan media sosial dengan narasi "Negara ini butuh di nepalkan"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</si>
  <si>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https://www.instagram.com/reel/DPf5d31jFWo/</t>
  </si>
  <si>
    <t>Dilaporkan telah melakukan tindak pidana provokasi membuat postingan media sosial dengan narasi "Oh... nantang Rakyat... Nepalkan"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</si>
  <si>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https://www.facebook.com/share/v/14MhqZamw72/</t>
  </si>
  <si>
    <t>Konten provokatif berupa ajakan untuk menepalkan sekelompok yang dianggap mengacaukan Indonesia.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</si>
  <si>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https://www.facebook.com/share/v/17NCQddsCC/</t>
  </si>
  <si>
    <t>Konten provokatif yang membahas tentang pernyataan dari Menkeu Purbaya kemudian terdapat ajakan untuk menepalkan Indonesia.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</si>
  <si>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https://www.facebook.com/reel/703583418781602</t>
  </si>
  <si>
    <t>Sebuah akun mengunggah konten mengenai dana reses DPR dan menepalkan Indonesia.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</si>
  <si>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https://www.facebook.com/share/r/17Cx9H3FGU/</t>
  </si>
  <si>
    <t>Sebuah akun yang mengunggah konten bernuansa provokatif yang menjelaskan keuntungan apabila DPR dibubarkan.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</si>
  <si>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https://x.com/syamh45/status/1978505896914293120</t>
  </si>
  <si>
    <t>Konten provokatif yang berisi ajakan untuk membubarkan DPR.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</si>
  <si>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https://x.com/BoyYunanda37774/status/1978403638432198965</t>
  </si>
  <si>
    <t>https://x.com/wondo_shati/status/1978136978961973742</t>
  </si>
  <si>
    <t>Konten provokatif yang mengajak pembubaran DPR serta Indonesia berubah menjadi negara yang memiliki Perdana Menteri sebagai pemimpin tertinggi dan DPD diisi oleh raja Nusantara.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</si>
  <si>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https://x.com/BoyYunanda37774/status/1977690233035764111</t>
  </si>
  <si>
    <t>https://x.com/BoyYunanda37774/status/1977688873955393913</t>
  </si>
  <si>
    <t>https://x.com/Jaga5_sila/status/1977193805351944235</t>
  </si>
  <si>
    <t>https://x.com/BoyYunanda37774/status/1977695509117600030</t>
  </si>
  <si>
    <t>https://vt.tiktok.com/ZSU9USNFb/</t>
  </si>
  <si>
    <t>https://vt.tiktok.com/ZSU9Uv5Mk/</t>
  </si>
  <si>
    <t>Konten provokatif yang berisi ajakan untuk lengserkan Puan Maharani.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</si>
  <si>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https://vt.tiktok.com/ZSU9yJAGa/</t>
  </si>
  <si>
    <t>Konten provokatif yang berisi ajakan untuk adili Jokowi.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</si>
  <si>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https://vt.tiktok.com/ZSU9ySGxk/</t>
  </si>
  <si>
    <t>Konten provokatif yang berisi ajakan untuk makzulkan Gibran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</si>
  <si>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https://vt.tiktok.com/ZSU9y53b2/</t>
  </si>
  <si>
    <t>https://www.facebook.com/groups/732699413011048/posts/788822670732055/</t>
  </si>
  <si>
    <t>https://www.facebook.com/groups/732699413011048/posts/787832817497707/</t>
  </si>
  <si>
    <t>https://www.facebook.com/groups/732699413011048/posts/786066531007669/</t>
  </si>
  <si>
    <t>https://www.facebook.com/groups/732699413011048/posts/784056817875307/</t>
  </si>
  <si>
    <t>https://www.facebook.com/groups/732699413011048/posts/777624045185251/</t>
  </si>
  <si>
    <t>https://www.facebook.com/groups/199908090907381/posts/1914502032781303/</t>
  </si>
  <si>
    <t>https://www.facebook.com/groups/199908090907381/posts/1902053124026194/</t>
  </si>
  <si>
    <t>https://www.facebook.com/groups/199908090907381/posts/1879013252996848/</t>
  </si>
  <si>
    <t>https://www.facebook.com/groups/408880947019124/permalink/1496778611562680/?rdid=NZ5pOvbye00jNK3H#</t>
  </si>
  <si>
    <t>Dilaporkan telah melakukan tindak pidana provokasi membuat postingan media sosial dengan narasi "NEPALKAN JOKOWI BUKAN SEKEDAR KOAR KOAR PASTI AKAN TERJADI"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</si>
  <si>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https://www.instagram.com/reel/DPHSv2lD3p0/</t>
  </si>
  <si>
    <t>Dilaporkan telah melakukan tindak pidana provokasi membuat postingan media sosial dengan narasi "Nepalkan polisi yang model begini"serta caption "NEPALKAN"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</si>
  <si>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https://www.instagram.com/reel/DOqbgb9E02P/</t>
  </si>
  <si>
    <t>Dilaporkan telah melakukan tindak pidana provokasi membuat postingan media sosial dengan narasi " Siapa Nih Pejabatnya? Sangat Layak Di Nepalkan"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</si>
  <si>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https://x.com/supriyanto45086/status/1979081977572577648</t>
  </si>
  <si>
    <t>Konten tersebut diduga mengandung unsur provokatif tindakan anarkis serta membawa unsur SARA.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</si>
  <si>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https://x.com/MarioIs_MyName/status/1979067642049704154</t>
  </si>
  <si>
    <t>Konten tersebut diduga mengandung unsur provokatif untuk melakukan tindakan anarkis terhadap Keluarga Joko Widodo dengan narasi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</si>
  <si>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https://x.com/rirah24/status/1979050042435502274</t>
  </si>
  <si>
    <t>Konten tersebut adalah komentar provokatif tindakan anarkis terkait kenaikan dana reses dengan narasi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</si>
  <si>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https://x.com/Beritaviraltwit/status/1979036495454302396</t>
  </si>
  <si>
    <t>Konten tersebut merupakan sebuah komentar dari berita terkait pernyataan Luhut dengan narasi provokatif aksi anarkis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</si>
  <si>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https://x.com/van88xier/status/1978624380620927482</t>
  </si>
  <si>
    <t>Konten ini merupakan disinformasi berupa fabricated content yang menampilkan gambar hasil rekayasa AI terhadap Joko Widodo dan Prabowo Subianto dengan narasi provokatif tindakan anarkis dengan tagar #Nepalkan”. Konten ini berpotensi menimbulkan konflik dan polarisasi di dalam masyarakat, sehingga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</si>
  <si>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https://x.com/BMasyroni/status/1979022350357016765</t>
  </si>
  <si>
    <t>Konten tersebut mengandung provokatif tindakan anarkis terhadap Gubernur Banten.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</si>
  <si>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https://www.facebook.com/share/p/19oK5BDKxX/</t>
  </si>
  <si>
    <t>Konten tersebut diduga mengandung unsur provokatif terhadap Erick Thohir dengan narasi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</si>
  <si>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https://www.facebook.com/share/p/16LGtfWpjd/</t>
  </si>
  <si>
    <t>Konten tersebut mengandung unsur provokatif tindakan anarkis terhadap Luhut dan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</si>
  <si>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Konten ini merupakan disinformasi berupa fabricated content yang menampilkan gambar hasil rekayasa AI terhadap Joko Widodo memakai baju tahanan dengan narasi provokatif tindakan anarkis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</si>
  <si>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https://www.facebook.com/share/v/1FQMjuKWWZ/</t>
  </si>
  <si>
    <t>Konten tersebut mengandung unsur provokatif dengan narasi “Nepalkan” terhadap Gibran Rakabuming, Joko Widodo, dan Luhut.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</si>
  <si>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https://www.facebook.com/share/p/1GCz2YSBju/</t>
  </si>
  <si>
    <t xml:space="preserve">Konten tersebut diduga mengandung unsur provokatif berupa seruan untuk mendukung pemakzulan Wakil Presiden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</si>
  <si>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https://www.facebook.com/share/v/1Dpz8Kccpr/</t>
  </si>
  <si>
    <t xml:space="preserve">Konten tersebut diduga mengandung unsur provokatif berupa seruan untuk mendukung pemakzulan Wakil Presiden Gibran Rakabuming, disertai "ancaman" bahwa rakyat akan bergejolak (berdemonstrasi) untuk menurunkan Wakil Presiden Gibran secara paksa.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</si>
  <si>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https://www.tiktok.com/@independent4038/photo/7559516904361069836?_r=1&amp;_t=ZS-90dCIVG1la9</t>
  </si>
  <si>
    <t>Konten tersebut diduga mengandung unsur provokatif dan menyinggung SARA dengan narasi Malaysia yang dipimpin etnis Melayu lebih maju dibanding Indonesia yang dipimpin etnis Jawa.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</si>
  <si>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https://www.tiktok.com/@blackcobra8482/video/7532156829137259782?_r=1&amp;_t=ZS-90dD6Qpcplc</t>
  </si>
  <si>
    <t>Konten tersebut diduga mengandung unsur separatisme untuk mendukung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serta Undang-Undang KUHP pasal 160, 170, dan 187.</t>
  </si>
  <si>
    <t>https://www.facebook.com/photo/?fbid=122265184250185356&amp;set=g.436927017440797</t>
  </si>
  <si>
    <t>https://www.facebook.com/photo/?fbid=122260494068185356&amp;set=gm.1529093088224179&amp;idorvanity=436927017440797</t>
  </si>
  <si>
    <t>https://www.facebook.com/photo/?fbid=122259445970185356&amp;set=gm.1524827918650696&amp;idorvanity=436927017440797</t>
  </si>
  <si>
    <t>https://www.facebook.com/photo/?fbid=1340532530771702&amp;set=gm.1555793698887451&amp;idorvanity=436927017440797</t>
  </si>
  <si>
    <t>https://www.facebook.com/photo/?fbid=1340523604105928&amp;set=g.436927017440797</t>
  </si>
  <si>
    <t>https://www.facebook.com/photo/?fbid=1339502514208037&amp;set=gm.1554757478991073&amp;idorvanity=436927017440797</t>
  </si>
  <si>
    <t>https://x.com/TheUncleDee/status/1979355757763305826</t>
  </si>
  <si>
    <t>Luhut</t>
  </si>
  <si>
    <t>Konten ini adalah komentar terhadap pemberitaan mengenai Luhut yang meminta suntikan dana kepada Purbaya, komentar tersebut mengandung unsur provokatif aksi yang anarkis dengan narasi “Nepalkan” terhadap Luhut.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</si>
  <si>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https://x.com/affanaffa12/status/1979321518225264965</t>
  </si>
  <si>
    <t>Polemik Ijazah Gibran</t>
  </si>
  <si>
    <t>Konten ini adalah komentar dari pemberitaan terkait polemik ijazah Gibran Rakabuming dengan narasi provokatif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</si>
  <si>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https://x.com/DenBagus91276/status/1979219967951409227</t>
  </si>
  <si>
    <t>DPR</t>
  </si>
  <si>
    <t>Konten ini adalah komentar dari pemberitaan terkait penyataan DPR terhadap Purbaya dengan narasi provokatif dan ancaman “Kayaknya DPR perlu dinepalkan”.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</si>
  <si>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https://x.com/mokudesuka/status/1978744481647055061</t>
  </si>
  <si>
    <t>Gerakan Aceh Merdeka</t>
  </si>
  <si>
    <t>Konten ini Konten ini merupakan disinformasi berupa fabricated content yang menampilkan foto hasil rekayasa AI yang mengandung unsur provokatif separatisme, yaitu paspor Aceh Darussalam.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</si>
  <si>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https://x.com/adenseoyeon/status/1978894668172792115</t>
  </si>
  <si>
    <t>Konten ini merupakan komentar dari unggahan fabricated content paspor Aceh Darussalam dengan seruan provokatif gerakan separatisme.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</si>
  <si>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https://x.com/BoyYunanda37774/status/1979377303177310472</t>
  </si>
  <si>
    <t>Konten ini merupakan komentar dari pemberitaan terkait pernyataan Ketua PPATK bahwa 1.000 anggota DPR terlibat dalam aktivitas judi online, komentar ini disertai narasi yang memprovokasi pembubaran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</si>
  <si>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https://x.com/FirdausyMuh/status/1979381735038292239</t>
  </si>
  <si>
    <t>Konten ini mengandung unsur provokatif dengan kata-kata kasar dan memprovokasi masyarakat untuk melakukan aksi yang anarkis dengan narasi “Seharusnya DPR di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</si>
  <si>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https://www.facebook.com/share/p/1EtaTntjKE/</t>
  </si>
  <si>
    <t>Dana Reses</t>
  </si>
  <si>
    <t>Konten ini merupakan komentar dari pernyataan DPR terkait kurangnya dana reses dengan narasi yang memprovokasi tindakan dan aksi yang anarkis terhadap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</si>
  <si>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https://www.facebook.com/share/p/1NwDTRKnFH/</t>
  </si>
  <si>
    <t>https://www.facebook.com/share/v/19dDawX1oq/</t>
  </si>
  <si>
    <t>Kebijakan Sri Mulyani dan Luhut</t>
  </si>
  <si>
    <t>Konten ini mengandung unsur provokatif tindakan yang anarkis dengan narasi “Nepalkan” terhadap Sri Mulyani dan Luhut.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</si>
  <si>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https://www.facebook.com/share/v/19v4PnPVcw/</t>
  </si>
  <si>
    <t>Konten ini memuat unsur provokatif tindakan anarkis dengan narasi “Nepalkan” dan menyerukan tuntutan untuk membubarkan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</si>
  <si>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https://www.facebook.com/share/r/1AMf5SS7Bp/</t>
  </si>
  <si>
    <t>Konten ini adalah komentar terhadap pemberitaan mengenai Luhut, komentar tersebut mengandung unsur provokatif aksi yang anarkis dengan narasi “Nepalkan” terhadap Luhut.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</si>
  <si>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https://www.tiktok.com/@si.manis5397/video/7556918783911267592</t>
  </si>
  <si>
    <t>Dugaan Korupsi Joko Widodo</t>
  </si>
  <si>
    <t>Konten ini mengandung unsur provokatif tindakan aksi yang anarkis terhadap Joko Widodo dengan narasi “Nepalkan Jokowi”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</si>
  <si>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https://www.instagram.com/p/DL1i1QBN5Q9/</t>
  </si>
  <si>
    <t>Provokatif, Disinformasi, dan Separatisme</t>
  </si>
  <si>
    <t>https://www.tiktok.com/@putdhi/photo/7555841122631748920</t>
  </si>
  <si>
    <t>https://www.tiktok.com/@azilul.nazirnatiro/photo/7530207520841829638?lang=sw</t>
  </si>
  <si>
    <t xml:space="preserve">https://x.com/ade_rusmaya/status/1979483229364289577 </t>
  </si>
  <si>
    <t>Polemik Keluarga Joko Widodo</t>
  </si>
  <si>
    <t>Konten tersebut merupakan komentar dari postingan mengenai wawancara mantan presiden Joko Widodo di UGM. Konten tersebut mengandung unsur provokasi dengan narasi "tangkap adili Jokowi dan makzulkan Gibran".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</si>
  <si>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https://vt.tiktok.com/ZSUVp71e5/</t>
  </si>
  <si>
    <t>Ditemukan konten pada media sosial Tiktok yang bermuatan provokasi untuk membubarkan DPR</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</si>
  <si>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</si>
  <si>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t>https://vt.tiktok.com/ZSUVpPyFg/</t>
  </si>
  <si>
    <t>https://vt.tiktok.com/ZSUVppfR8/</t>
  </si>
  <si>
    <t>https://vt.tiktok.com/ZSUVpuX9u/</t>
  </si>
  <si>
    <t>https://vt.tiktok.com/ZSUVpnhM1/</t>
  </si>
  <si>
    <t>https://vt.tiktok.com/ZSUVsd2Rh/</t>
  </si>
  <si>
    <t>https://vt.tiktok.com/ZSUVpEsYB/</t>
  </si>
  <si>
    <t>Ditemukan konten pada media sosial Tiktok yang bermuatan provokasi untuk memakzulkan Gibran</t>
  </si>
  <si>
    <t>https://vt.tiktok.com/ZSUVsCySh/</t>
  </si>
  <si>
    <t xml:space="preserve">https://www.tiktok.com/@grogollica.barat/video/7562673244466154770
</t>
  </si>
  <si>
    <t>Ditemukan sebuah konten pada platform media sosial TikTok yang diduga mengandung unsur provokatif yang dapat memicu ajakan atau dorongan untuk membubarkan DPR RI dan menepalkan pejabat</t>
  </si>
  <si>
    <t>https://www.tiktok.com/@paman.doblang496/video/7562107997388868881</t>
  </si>
  <si>
    <t>Konten ini merupakan disinformasi berupa misleading content, dengan menampilkan cuplikan video seorang anggota DPR yang tampak menggebrak meja saat sidang untuk menolak RUU Perampasan Aset. Namun, setelah ditelusuri, video tersebut merupakan rekaman lama yang diunggah pada tahun 2016, yang sebenarnya memperlihatkan kericuhan dalam Sidang Paripurna DPD, bukan sidang pembahasan RUU Perampasan Aset. Unggahan konten tersebut juga memiliki unsur provokatif yang berisi ajakan untuk membubarkan DPR dan menepalkan pejabat.
Tautan debunking/klarifikasi:
https://turnbackhoax.id/2025/09/24/salah-anggota-dpr-gebrak-meja-saat-sidang-menolak-ruu-perampasan-aset/</t>
  </si>
  <si>
    <t>https://www.tiktok.com/@mr..melancolis.905/video/7562385279223467271</t>
  </si>
  <si>
    <t>Ditemukan sebuah konten pada platform media sosial TikTok yang diduga mengandung unsur provokatif yang dapat memicu ajakan atau dorongan untuk membubarkan DPR RI.</t>
  </si>
  <si>
    <t>https://www.tiktok.com/@4lf4c1n1/video/7561099578200575244</t>
  </si>
  <si>
    <t>Ditemukan sebuah konten pada platform media sosial TikTok yang diduga mengandung unsur provokatif yang dapat memicu ajakan atau dorongan untuk membubarkan dan menepalkan DPR RI.</t>
  </si>
  <si>
    <t>https://www.facebook.com/permalink.php?story_fbid=pfbid0SuqT8uXzEyvK9PC2DycidqrXDbK7UfzZjcD93dFPsdmKAx6LX7PdzjqEniQxpBNDl&amp;id=100015383077307</t>
  </si>
  <si>
    <t>Ditemukan sebuah konten pada platform media sosial Facebook yang diduga mengandung unsur provokatif yang dapat memicu ajakan atau dorongan untuk membubarkan DPR dan menepalkan Puan Maharani dengan ancaman tindakan anarkis seperti Nepal.</t>
  </si>
  <si>
    <t>https://www.tiktok.com/@khodijah_nm/video/7553551790818594056</t>
  </si>
  <si>
    <t>Ditemukan sebuah konten pada platform media sosial Tiktok yang diduga mengandung unsur provokatif yang dapat memicu ajakan atau dorongan yang berpotensi memicu ajakan atau dorongan untuk menyerang serta menargetkan Puan Maharani dan Luhut Binsar Pandjaitan untuk dinepalkan.</t>
  </si>
  <si>
    <t>https://www.tiktok.com/@terimo.ingpandum/video/7562908965483400466</t>
  </si>
  <si>
    <t>https://www.facebook.com/wellem.wellem.3998/posts/pfbid0oSmkczvJ7MVpN1aBBJnFuw2TCW4fvJQuJZkd6CoE6sBNEcbzcdynbeHz84bNTLuVl</t>
  </si>
  <si>
    <t>Ditemukan sebuah konten pada platform media sosial TikTok yang diduga mengandung unsur provokatif yang dapat memicu ajakan atau dorongan untuk menepalkan dan membuat tindak kekerasan terhadap Wakil Anggota DPR RI Dasco dan anggota DPR lainnya.</t>
  </si>
  <si>
    <t>https://www.tiktok.com/@mr..melancolis.905/video/7558030252467817740</t>
  </si>
  <si>
    <t xml:space="preserve">Ditemukan sebuah konten pada platform media sosial TikTok yang diduga mengandung unsur provokatif yang dapat memicu ajakan atau dorongan untuk demonstrasi anarkis dengan tujuan untuk  membubarkan DPR RI. Selain itu, konten ini juga memuat disinformasi berupa misleading content, dengan menampilkan cuplikan video seorang anggota DPR yang tampak menggebrak meja saat sidang untuk menolak RUU Perampasan Aset. Namun, setelah ditelusuri, video tersebut merupakan rekaman lama yang diunggah pada tahun 2016, yang sebenarnya memperlihatkan kericuhan dalam Sidang Paripurna DPD, bukan sidang pembahasan RUU Perampasan Aset. Unggahan konten tersebut juga memiliki unsur provokatif yang berisi ajakan untuk membubarkan DPR dan menepalkan pejabat.
Tautan debunking/klarifikasi:
https://turnbackhoax.id/2025/09/24/salah-anggota-dpr-gebrak-meja-saat-sidang-menolak-ruu-perampasan-aset/
</t>
  </si>
  <si>
    <t>https://www.facebook.com/reel/1107276291162446</t>
  </si>
  <si>
    <t>Konten ini merupakan disinformasi berupa misleading content, dengan menampilkan cuplikan video seorang anggota DPR yang tampak menggebrak meja saat sidang untuk menolak RUU Perampasan Aset. Namun, setelah ditelusuri, video tersebut merupakan rekaman lama yang diunggah pada tahun 2016, yang sebenarnya memperlihatkan kericuhan dalam Sidang Paripurna DPD, bukan sidang pembahasan RUU Perampasan Aset. Unggahan konten tersebut juga memiliki unsur provokatif yang berisi ajakan untuk membubarkan DPR dan menepalkan pejabat.
Tautan debunking/klarifikasi:
https://turnbackhoax.id/2025/09/24/salah-anggota-dpr-gebrak-meja-saat-sidang-menolak-ruu-perampasan-aset/</t>
  </si>
  <si>
    <t>https://vt.tiktok.com/ZSUbwJ47x/</t>
  </si>
  <si>
    <t>Ditemukan konten pada media sosial TikTok yang bermuatan provokasi untuk membubarkan Dewan Perwakilan Rakyat</t>
  </si>
  <si>
    <t>https://vt.tiktok.com/ZSUbwhhxQ/</t>
  </si>
  <si>
    <t>https://vt.tiktok.com/ZSUbwRD1H/</t>
  </si>
  <si>
    <t>https://vt.tiktok.com/ZSUbwtkGj/</t>
  </si>
  <si>
    <t>https://vt.tiktok.com/ZSUbwfcHr/</t>
  </si>
  <si>
    <t>https://vt.tiktok.com/ZSUbwxhcB/</t>
  </si>
  <si>
    <t>Ditemukan konten pada media sosial TikTok yang bermuatan provokasi untuk memakzulkan Gibran</t>
  </si>
  <si>
    <t>https://www.tiktok.com/@mr..melancolis.905/video/7563246435530018055</t>
  </si>
  <si>
    <t>Ditemukan sebuah konten pada platform media sosial TikTok yang diduga mengandung unsur provokatif yang dapat memicu ajakan atau dorongan untuk membubarkan DPR RI disertai dengan video unjuk rasa yang berlangsung pada 20 Oktober 2025.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</si>
  <si>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https://www.facebook.com/reel/1283577666858044</t>
  </si>
  <si>
    <t>Ditemukan sebuah konten pada platform media sosial Facebook yang diduga mengandung unsur provokatif yang dapat memicu ajakan atau dorongan untuk demonstrasi anarkis dengan tujuan untuk membubarkan DPR RI. Selain itu, konten ini juga memuat disinformasi berupa misleading content, dengan menampilkan cuplikan video seorang anggota DPR yang tampak menggebrak meja saat sidang untuk menolak RUU Perampasan Aset. Namun, setelah ditelusuri, video tersebut merupakan rekaman lama yang diunggah pada tahun 2016, yang sebenarnya memperlihatkan kericuhan dalam Sidang Paripurna DPD, bukan sidang pembahasan RUU Perampasan Aset. Unggahan konten tersebut juga memiliki unsur provokatif yang berisi ajakan untuk membubarkan DPR dan menepalkan pejabat.
Tautan debunking/klarifikasi:
https://turnbackhoax.id/2025/09/24/salah-anggota-dpr-gebrak-meja-saat-sidang-menolak-ruu-perampasan-aset/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</si>
  <si>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https://www.facebook.com/syanti.simon/posts/pfbid0SE5qENT89oCSEnYC1M9P1N8b5Pb4ThKGXTXLqUuBhEoTA9NS4q44Sc55f71nHFFgl</t>
  </si>
  <si>
    <t>Ditemukan sebuah konten pada platform media sosial Facebook yang diduga mengandung unsur provokatif yang dapat memicu ajakan atau dorongan untuk membubarkan DPR dan menepalkan Puan Maharani dengan ancaman tindakan anarkis seperti Nepal.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</si>
  <si>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https://www.facebook.com/reel/1299637938626564</t>
  </si>
  <si>
    <t>https://www.facebook.com/dananjayay/posts/pfbid02wtFZkc2DJqwCCBgvU9A8UJsDTm9B5TB6Y8EcvSgUMJd66kjVc3PWQh8UxZwRUHrcl</t>
  </si>
  <si>
    <t>Ditemukan sebuah konten pada platform media sosial Facebook yang diduga mengandung unsur provokatif yang dapat memicu ajakan atau dorongan untuk demonstrasi anarkis dengan tujuan untuk membubarkan DPR RI. Selain itu, konten ini juga memuat disinformasi berupa misleading content, dengan menampilkan cuplikan video seorang anggota DPR yang tampak menggebrak meja saat sidang untuk menolak RUU Perampasan Aset. Namun, setelah ditelusuri, video tersebut merupakan rekaman lama yang diunggah pada tahun 2016, yang sebenarnya memperlihatkan kericuhan dalam Sidang Paripurna DPD, bukan sidang pembahasan RUU Perampasan Aset. Unggahan konten tersebut juga memiliki unsur provokatif yang berisi ajakan untuk membubarkan DPR dan menepalkan pejabat.
Tautan debunking/klarifikasi:
https://turnbackhoax.id/2025/09/24/salah-anggota-dpr-gebrak-meja-saat-sidang-menolak-ruu-perampasan-aset/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</si>
  <si>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https://www.facebook.com/budi.lestari.anes/posts/pfbid02KYc5a5kas9xZQfpMBdp8tFT45eyPY9LgafhuwfRjSERUKt8BsQJrNU6RCPbc4RK4l</t>
  </si>
  <si>
    <t>https://www.facebook.com/permalink.php?story_fbid=pfbid0aFKSYVywAmacCMY56eSc451ACkWFvbF9RepkXeeVFZxfSCo7UkurAowjMkTJwknHl&amp;id=61581796691672</t>
  </si>
  <si>
    <t>Ditemukan sebuah konten pada platform media sosial Facebook yang diduga mengandung unsur provokatif yang dapat memicu ajakan atau dorongan untuk membubarkan DPR RI dan POLRI.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</si>
  <si>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https://www.facebook.com/reel/4309304829348516</t>
  </si>
  <si>
    <t>https://www.facebook.com/profile.php?id=100063487669863</t>
  </si>
  <si>
    <t>Ditemukan sebuah akun Facebook yang diduga mengandung unsur provokatif dan separatisme yang dapat memicu ajakan atau dorongan untuk memisahkan diri dari NKRI dengan gerakan Aceh Merdeka.
Penyebaran informasi yang mengandung unsur provokatif dan separatisme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Tautan konten pendukung yang menunjukkan bahwa akun tersebut menyebarkan konten provokatif:
https://www.facebook.com/reel/2926577274195977
https://www.facebook.com/reel/801604499708545
https://www.facebook.com/reel/1507605563571492
https://www.facebook.com/profile.php?id=100063487669863</t>
  </si>
  <si>
    <t>https://www.facebook.com/groups/732699413011048/posts/774045078876481/</t>
  </si>
  <si>
    <t>https://www.facebook.com/share/p/17EDrkYgPH/</t>
  </si>
  <si>
    <t>https://www.facebook.com/groups/732699413011048/posts/773344112279911/</t>
  </si>
  <si>
    <t>https://www.facebook.com/groups/732699413011048/posts/773334242280898/</t>
  </si>
  <si>
    <t>https://www.facebook.com/groups/732699413011048/posts/773332592281063/</t>
  </si>
  <si>
    <t>https://www.facebook.com/reel/1347688340102217</t>
  </si>
  <si>
    <t>Dilaporkan telah melakukan tindak pidana provokasi membuat postingan media sosial dengan Caption "Negara yang Penuh kepalsuan. harus dirombak total sebelum di Nepalkan!!"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</si>
  <si>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https://www.facebook.com/azizahnisa.847981/posts/pfbid02LbKe4QzGeNTpa4KWsZVvHmRhAgb4gXzsiaRho8vGseALDkKngstAJGSuA4Gks8T8l?rdid=xZHmgy1BAOKQCVkd#</t>
  </si>
  <si>
    <t>Dilaporkan telah melakukan tindak pidana provokasi membuat postingan media sosial dengan Caption "Rakyat dprak para biawak. Dahlah udah ga ada obat ini. Mending nepalkan!"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</si>
  <si>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https://www.facebook.com/reel/2278092009288397</t>
  </si>
  <si>
    <t>Dilaporkan telah melakukan tindak pidana provokasi membuat postingan media sosial mengajak menurunkan Presiden Presiden dan Wapres dan menuntut hal-hal lain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</si>
  <si>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https://www.facebook.com/groups/anies.baswedan.presiden/permalink/24461795943491761/?rdid=nD5D2RVswueJeu5T#</t>
  </si>
  <si>
    <t>Dilaporkan telah melakukan tindak pidana provokasi membuat postingan media sosial dengan narasi DPR Babi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</si>
  <si>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https://www.facebook.com/groups/2445616692313429/permalink/3054281928113566/?rdid=bwHfGUuatGRJz8BW#</t>
  </si>
  <si>
    <t>Dilaporkan telah melakukan tindak pidana provokasi membuat postingan media sosial dengan seruan DPR Babi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</si>
  <si>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https://www.instagram.com/p/CF_lRuWBJyf/</t>
  </si>
  <si>
    <t>Dilaporkan telah melakukan tindak pidana provokasi membuat postingan memaki Pemerintah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</si>
  <si>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https://www.instagram.com/p/CGE_p34jYSY/</t>
  </si>
  <si>
    <t>Dilaporkan telah melakukan tindak pidana provokasi membuat postingan meme menghina 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</si>
  <si>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https://www.instagram.com/p/CGGyRNBDRC5/</t>
  </si>
  <si>
    <t>Dilaporkan telah melakukan tindak pidana provokasi membuat postingan media sosial dengan narasi DPR Bangsat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</si>
  <si>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https://www.instagram.com/p/DObD3mujROB/</t>
  </si>
  <si>
    <t>Dilaporkan telah melakukan tindak pidana provokasi membuat postingan media sosial dengan narasi "DPR dan Pemerintah Sepakat RUU Perampasan Aset Rampung 2025" diikuti dengan caption "Segera Segera Segera, Sebelum kalian di Nepalkan!!!"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</si>
  <si>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https://www.instagram.com/asep_elreal/reel/DOEVgKDkr48/</t>
  </si>
  <si>
    <t>https://www.tiktok.com/@fakta.dunia116/video/7562355356945419538?_r=1&amp;_t=ZS-90jGPyqAP01</t>
  </si>
  <si>
    <t>Ditemukan sebuah konten pada platform media sosial TikTok yang diduga mengandung unsur provokatif dan disinformasi yang memuat pemberitaan palsu melibatkan tokoh masyarakat dan pejabat pemerintahan yang dapat memicu ajakan atau dorongan untuk membubarkan DPR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</si>
  <si>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https://www.facebook.com/share/p/1AsBEXEZgY/</t>
  </si>
  <si>
    <t>Ditemukan sebuah konten pada platform media sosial X (Twitter) yang diduga mengandung unsur provokatif dengan narasi menuntut pembubaran Polri, narasi ujaran kebencian dengan Organisasi Masyarakat PWI-LS, dan tuntutan yang mengarah kepada ujaran kebencian dengan menyebut "Prabowo Antek Jokodok Kafir"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</si>
  <si>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https://x.com/anies_imin/status/1980591926685700295</t>
  </si>
  <si>
    <t>Ditemukan sebuah konten pada platform media sosial Facebook yang diduga mengandung unsur provokatif yang dapat memicu ajakan atau dorongan untuk melakukan aksi anarkis dengan turun ke jalan dan membakar gedung dengan tujuan menyampaikan tuntutan kepada DPR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</si>
  <si>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https://www.tiktok.com/@mzabdl.kata/video/7559107019710467335</t>
  </si>
  <si>
    <t>Ditemukan sebuah konten pada platform media sosial Facebook yang diduga mengandung unsur provokatif dan separatisme dengan narasi bahwa Indonesia menduduki Aceh tanpa legalitas. Selain itu, narasi provokasi yang disampaikan yaitu dengan membandingkan pemerintahan Indonesia yang dianggap lebih buruk dibanding Snouck Hurgronje.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</si>
  <si>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https://x.com/yusuf_my1/status/1980402141606084715</t>
  </si>
  <si>
    <t>Ditemukan sebuah konten pada platform media sosial Facebook yang diduga mengandung unsur provokatif dengan narasi tuntutan pembubaran Polri dan digabung dengan Satpol PP di bawah naungan Pemda setempat.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</si>
  <si>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https://www.tiktok.com/@aneuk_aceh767/video/7561355783045172491?_r=1&amp;_t=ZS-90kyHoOarvI</t>
  </si>
  <si>
    <t>Provokasi, Separatisme, dan Disinformasi</t>
  </si>
  <si>
    <t>Ditemukan sebuah konten di platform Tiktok yang mengandung unsur provokasi, separatisme, dan disinformasi. Konten ini merupakan disinformasi jenis misleading content dengan informasi yang keliru yang menampilkan konvoi mobil pasukan perdamaian PBB namun dengan keterangan narasi bahwa konvoi tersebut merupakan persiapan Aceh untuk merdeka dari Indonesia. Konten ini dapat memicu timbulnya gerakan-gerakan separatisme terhadap NKRI.</t>
  </si>
  <si>
    <t>https://www.tiktok.com/@mr..melancolis.905/video/7563862792898366728?_r=1&amp;_t=ZS-90ky1GE6Ear</t>
  </si>
  <si>
    <t xml:space="preserve">Ditemukan sebuah konten pada platform media sosial TikTok yang diduga mengandung unsur provokatif berisi narasi ajakan demonstrasi pada tanggal 25 Oktober 2025 di Gedung DPR RI. Narasi juga berisi ancaman apabila DPR tidak bisa dibubarkan maka FBR yang akan membubarkan sehingga memicu ajakan atau dorongan untuk melakukan aksi secara anarkis terhadap DPR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</si>
  <si>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https://www.tiktok.com/@kakcekarie/video/7562371147250158866?_r=1&amp;_t=ZS-90lPUetksY1</t>
  </si>
  <si>
    <t>Provokasi, Disinformasi</t>
  </si>
  <si>
    <t xml:space="preserve">Ditemukan sebuah akun di platform Tiktok yang mengunggah konten bermuatan provokasi dan disinformasi. Konten disinformasi yang diungah berjenis fabricated content (konten palsu) berisi narasi Susi Pudjiastuti menggaungkan tuntutan untuk mencopot Puan Maharani sebagai Ketua DPR RI yang dapat memicu ajakan atau dorongan untuk terjadinya perselisihan antara tokoh masyarakat dengan pejabat pemerintahan.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</si>
  <si>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https://www.tiktok.com/@putrapanjalu2432/video/7563972985766415624?_r=1&amp;_t=ZS-90lPVh9uiVo</t>
  </si>
  <si>
    <t>https://www.tiktok.com/@rayan.tama5758/video/7563336725133528338?_r=1&amp;_t=ZS-90lPcbOwE3I</t>
  </si>
  <si>
    <t xml:space="preserve">Ditemukan sebuah akun di platform Tiktok yang mengunggah konten bermuatan provokasi dan disinformasi. Konten disinformasi berikut berjenis Misleading Content (Konten menyesatkan) dengan menampilkan video demonstrasi terhadap DPRD namun di-framing dengan narasi demonstrasi warga melakukan demonstrasi di Gedung DPRD Cilacap karena tidak terima Amar Zoni ditahan di Lapas Nusakambangan.
</t>
  </si>
  <si>
    <t>https://www.tiktok.com/@umyzaleha2909/video/7563632246469479698?_t=ZS-90lPe3mS7JV&amp;_r=1</t>
  </si>
  <si>
    <t>Ditemukan sebuah akun di platform Tiktok yang mengunggah konten bermuatan provokasi dan disinformasi. Konten disinformasi berikut berjenis Misleading Content (Konten menyesatkan) dengan menampilkan video demonstrasi terhadap DPRD namun di-framing dengan narasi demonstrasi warga melakukan demonstrasi di Gedung DPRD Cilacap karena tidak terima Amar Zoni ditahan di Lapas Nusakambangan.</t>
  </si>
  <si>
    <t>https://x.com/Yudisti13531295/status/1980903234454843775</t>
  </si>
  <si>
    <t>Ditemukan konten pada platform X (Twitter) dengan narasi untuk membubarkan DPR atau menepalkan DPR.</t>
  </si>
  <si>
    <t>https://www.facebook.com/photo/?fbid=122164078046398109&amp;set=g.436927017440797</t>
  </si>
  <si>
    <t>https://www.facebook.com/photo/?fbid=122163933656398109&amp;set=gm.1558749308591890&amp;idorvanity=436927017440797</t>
  </si>
  <si>
    <t>https://www.facebook.com/photo/?fbid=122251233224239572&amp;set=g.436927017440797</t>
  </si>
  <si>
    <t>https://www.facebook.com/photo/?fbid=122176826792239572&amp;set=gm.1284624269337730&amp;idorvanity=436927017440797</t>
  </si>
  <si>
    <t>https://www.facebook.com/photo/?fbid=122177878262239572&amp;set=gm.1288799105586913&amp;idorvanity=436927017440797</t>
  </si>
  <si>
    <t>https://www.instagram.com/p/CGCkonVBc3X/</t>
  </si>
  <si>
    <t>Dilaporkan telah melakukan tindak pidana provokasi membuat postingan media sosial dengan hastag #dpranjing dan #dprkontol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</si>
  <si>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https://www.facebook.com/sabam.manullang.92/posts/pfbid0kGKLVvp3w4hVyj9m7W3XJVP8hDeRkL9j9jHtbdUSyWuSxhxnaUE8cm33dhFVemGNl?rdid=YrtaYBHur6jt8zsA#</t>
  </si>
  <si>
    <t>Dilaporkan telah melakukan tindak pidana provokasi membuat postingan media sosial dengan tagar #DPRBajingan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</si>
  <si>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https://www.facebook.com/asep.yana.988711/posts/pfbid02QMrZy4yCsHUfdUfYz9XuX8B91RwtoXK6QLpv1fudQYcj6PibZD1YD62u25qC2MxGl?rdid=tgkqjmD65WiNbA2L#</t>
  </si>
  <si>
    <t>Dilaporkan telah melakukan tindak pidana provokasi membuat postingan media sosial dengan seruan bubarkan 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</si>
  <si>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https://www.facebook.com/share/v/16PCQw4RZm/</t>
  </si>
  <si>
    <t>Sebuah akun yang berisi tentang ujaran kebencian terhadap DPR dan ajakan untuk menepalkan para koruptor.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</si>
  <si>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https://www.facebook.com/share/r/1CZiWpSPoj/</t>
  </si>
  <si>
    <t>Sebuah konten yang mengajak untuk menepalkan seorang politikus.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</si>
  <si>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https://www.facebook.com/share/r/17Em9b2XPS/</t>
  </si>
  <si>
    <t>Sebuah konten yang mengajak untuk menepalkan Indonesia apabila elit politik menyentuh Menkeu Purbaya.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</si>
  <si>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https://www.facebook.com/share/r/1QxYja8BaQ/</t>
  </si>
  <si>
    <t>Sebuah akun yang mengunggah konten ajakan untuk membubarkan DPR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</si>
  <si>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https://www.facebook.com/share/r/19fDHj5mfk/</t>
  </si>
  <si>
    <t>Sebuah akun yang mengunggah konten yang dibuat menggunakan AI berisi ajakan membubarkan DPR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</si>
  <si>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https://www.facebook.com/share/r/1AaoGkytVd/</t>
  </si>
  <si>
    <t>Ditemukan sebuah akun yang mengunggah konten pembubaran DPR RI karena dianggap tidak dibutuhkan lagi dan tidak bisa mewakili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</si>
  <si>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https://www.facebook.com/share/r/17hNFGkcZE/</t>
  </si>
  <si>
    <t>Ditemukan akun yang mengunggah konten provokatif yang mengajak pembubaran DPR apabila DPR melawan Menkeu Purbaya.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</si>
  <si>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https://www.facebook.com/share/r/17VPyqUfpb/</t>
  </si>
  <si>
    <t>Sebuah konten provokatif berupa ajakan untuk menepalkan Indonesia dan membubarkan DPR. Karena DPR dianggap menghabiskan anggaran APBN serta tidak mengesahkan RUU Perampasan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</si>
  <si>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https://vt.tiktok.com/ZSU7uJEJ2/</t>
  </si>
  <si>
    <t>Ditemukan konten yang memuat provokasi untuk membubarkan Dewan Perwakilan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</si>
  <si>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https://vt.tiktok.com/ZSU7mcHLX/</t>
  </si>
  <si>
    <t>Ditemukan konten yang memuat provokasi untuk menangkap Jokowi dan 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</si>
  <si>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https://vt.tiktok.com/ZSU7ueS7e/</t>
  </si>
  <si>
    <t>akun besar 129k</t>
  </si>
  <si>
    <t>https://vt.tiktok.com/ZSU7uYLBw/</t>
  </si>
  <si>
    <t>https://vt.tiktok.com/ZSU7uLex3/</t>
  </si>
  <si>
    <t xml:space="preserve"> </t>
  </si>
  <si>
    <t>https://www.facebook.com/groups/225157887497430/posts/25417939387792599/</t>
  </si>
  <si>
    <t>https://www.facebook.com/groups/225157887497430/posts/25410138585239346/</t>
  </si>
  <si>
    <t>https://www.facebook.com/groups/225157887497430/posts/25326815043571701/</t>
  </si>
  <si>
    <t>https://www.facebook.com/groups/3629814654003492/posts/4174058909579061/</t>
  </si>
  <si>
    <t>https://www.facebook.com/groups/3629814654003492/posts/4173996829585269/</t>
  </si>
  <si>
    <t>https://www.facebook.com/groups/3629814654003492/posts/4173919642926321/</t>
  </si>
  <si>
    <t>https://www.facebook.com/groups/3629814654003492/posts/4172858226365796/</t>
  </si>
  <si>
    <t>https://www.facebook.com/groups/3629814654003492/posts/4173236789661273/</t>
  </si>
  <si>
    <t>https://www.facebook.com/groups/3629814654003492/user/61566502111387/</t>
  </si>
  <si>
    <t>https://www.facebook.com/photo/?fbid=122219561906108813&amp;set=g.3722164358033551</t>
  </si>
  <si>
    <t>https://www.facebook.com/photo/?fbid=122219603366108813&amp;set=g.3722164358033551</t>
  </si>
  <si>
    <t>https://www.facebook.com/photo/?fbid=122219715170108813&amp;set=g.3722164358033551</t>
  </si>
  <si>
    <t>https://www.facebook.com/photo/?fbid=122146896842861387&amp;set=g.1319705151792135</t>
  </si>
  <si>
    <t>https://www.facebook.com/photo/?fbid=122146960652861387&amp;set=gm.2347520379010602&amp;idorvanity=1319705151792135</t>
  </si>
  <si>
    <t>https://www.facebook.com/groups/1319705151792135/posts/2347551459007494/</t>
  </si>
  <si>
    <t>https://www.facebook.com/groups/1220467054662997/?multi_permalinks=24756165570666481&amp;hoisted_section_header_type=recently_seen</t>
  </si>
  <si>
    <t>Dilaporkan telah melakukan tindak pidana provokasi membuat postingan media sosial mengajak menurunkan Kapolri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</si>
  <si>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Surat Resmi K/L: Ada. Link/Url: Ada. Hukum dan Analisis Pelanggaran: Ada. Screen Capture: Ada. Rekomendasi: Proses.</t>
  </si>
  <si>
    <t>https://www.instagram.com/p/DMPQwWTyhBp/</t>
  </si>
  <si>
    <t>https://www.facebook.com/share/17WGZB5teU/</t>
  </si>
  <si>
    <t>Sebuah akun yang berisi tentang ajakan pembubaran DPR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</si>
  <si>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https://www.facebook.com/share/r/1M3ctRNvBT/</t>
  </si>
  <si>
    <t>Sebuah konten yang mengajak untuk menepalkan karyawan rakyat yang ada di dalam DPR karena dianggap pengkhianat.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</si>
  <si>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https://www.facebook.com/share/r/1RdizK6E7q/</t>
  </si>
  <si>
    <t>https://www.facebook.com/share/r/1H4jmLTnFY/</t>
  </si>
  <si>
    <t>https://vt.tiktok.com/ZSU3eUxFf/</t>
  </si>
  <si>
    <t xml:space="preserve">Ditemukan konten yang memuat provokasi untuk menangkap Jokowi dan 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</si>
  <si>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https://vt.tiktok.com/ZSU3eKTqB/</t>
  </si>
  <si>
    <t>https://vt.tiktok.com/ZSU3dRMu2/</t>
  </si>
  <si>
    <t>https://www.facebook.com/groups/1073927260480024/posts/1517644289441650/</t>
  </si>
  <si>
    <t>https://www.facebook.com/groups/1073927260480024/posts/1517644236108322/</t>
  </si>
  <si>
    <t>https://www.facebook.com/dae.atu.9/posts/pfbid04mdsuuoejyYLuahJjt1Xi5Tzmkxd4MjcRUYrTkZLfbRvFVRNpSfwWutsinLEHCEkl</t>
  </si>
  <si>
    <t>Dilaporkan telah melakukan tindak pidana provokasi membuat postingan media sosial mengajak menurunkan Presiden, Wakil Presiden, dan Menteri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</si>
  <si>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https://www.facebook.com/nur.cahayaibrahimy/posts/pfbid0JhgYigjDb3tfP68TBrUUeX9LQeM9yYH2we88xHGxfrAzuVEberXFoCUNjiTtwau5l</t>
  </si>
  <si>
    <t>https://www.instagram.com/reel/DN7fcyKgRO5/?__d=11</t>
  </si>
  <si>
    <t>Dilaporkan telah melakukan tindak pidana provokasi membuat postingan mengajak membubarkan DPR dan Polisi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</si>
  <si>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https://www.instagram.com/reel/DN8H2Llj0YG/</t>
  </si>
  <si>
    <t>https://twitter.com/JoppieMagai/status/1981835208443015190</t>
  </si>
  <si>
    <t>Konten ini memuat ajakan provokatif yang mendorong masyarakat agar bersatu melakukan perlawanan seperti demonstrasi yang anarkis seperti yang terjadi di Nepal terhadap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</si>
  <si>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https://twitter.com/syamh45/status/1981777782838644778</t>
  </si>
  <si>
    <t>Konten ini mengandung unsur provokatif yang memuat ajakan aksi anarkis seperti situasi di Nepal terhadap Luhut dan Joko Widodo yang dikaitkan dengan proyek kereta cepat Whoosh.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</si>
  <si>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https://twitter.com/jagosputra06/status/1981772069005304197</t>
  </si>
  <si>
    <t>Konten ini memuat ajakan provokatif yang mendorong masyarakat melakukan perlawanan seperti demonstrasi yang anarkis seperti yang terjadi di Nepal terhadap Luhut.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</si>
  <si>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https://www.facebook.com/share/r/17bvZut3jj/</t>
  </si>
  <si>
    <t>Ditemukan sebuah konten disinformasi berupa fabricated content yang memuat video hasil rekayasa AI dari Menteri ESDM dengan narasi satire bahwa beliau merupakan pakar etanol yang disertai dengan caption provokatif untuk melakukan aksi yang anarkis terhadap Menteri ESDM.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</si>
  <si>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https://twitter.com/fransis74201222/status/1981942052691816629</t>
  </si>
  <si>
    <t>Konten ini memuat narasi provokatif untuk mendukung gerakan separatisme “Aceh Merdeka” yang disertai dengan kalimat kasar kepada pemerintah pusat.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</si>
  <si>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https://www.facebook.com/share/r/19Vwt7QR4T/</t>
  </si>
  <si>
    <t>Konten ini memuat narasi provokatif dan mengancam akan “menepalkan” yang merujuk kepada aksi demonstrasi yang anarkis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</si>
  <si>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https://www.facebook.com/share/r/1Z7P42N3Sd/</t>
  </si>
  <si>
    <t>Konten ini merupakan sebuah komentar dari konten provokatif akan aksi anarkis disertai ancaman pembunuhan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</si>
  <si>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https://www.facebook.com/share/p/16TPFECwJS/</t>
  </si>
  <si>
    <t xml:space="preserve">Konten ini diduga mengandung unsur provokasi dan separatisme, yaitu ajakan untuk memisahkan Papua dari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</si>
  <si>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 xml:space="preserve">https://www.facebook.com/share/p/1AQ9MMNLr2/ </t>
  </si>
  <si>
    <t>https://www.facebook.com/reel/1319286119853314</t>
  </si>
  <si>
    <t xml:space="preserve">Provokasi
</t>
  </si>
  <si>
    <t xml:space="preserve">Dilaporkan telah melakukan tindak pidana provokasi membuat postingan media sosial mengajak membakar DPR dan Menteri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
</t>
  </si>
  <si>
    <t xml:space="preserve">"1.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 "
</t>
  </si>
  <si>
    <t xml:space="preserve">Dilaporkan telah melakukan tindak pidana provokasi membuat postingan media sosial mengajak menurunkan Presiden Presiden menuntut hal-hal lain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
</t>
  </si>
  <si>
    <t>Takeout</t>
  </si>
  <si>
    <t xml:space="preserve">https://www.facebook.com/reel/1207701327733190 
</t>
  </si>
  <si>
    <t xml:space="preserve">https://www.instagram.com/p/DOBeDJCD5Xa/?igsh=ZWJlM2dmZzAyM3A1 </t>
  </si>
  <si>
    <t>tunggu surat, konten ok</t>
  </si>
  <si>
    <t>https://www.instagram.com/reel/DN_IfGvklZX/?igsh=MXE4OGQ0cGw3bmIzMQ%3D%3D</t>
  </si>
  <si>
    <t>https://twitter.com/ListyonoS/status/1982267646994452809</t>
  </si>
  <si>
    <t>Konten ini menanggapi pernyataan Menteri ESDM serta memuat ajakan provokatif yang mendorong masyarakat melakukan aksi yang anarkis seperti yang terjadi di Nepal terhadap Menteri ESDM.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</si>
  <si>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https://twitter.com/ariyanto50852/status/1982240914450854061</t>
  </si>
  <si>
    <t>Konten ini mengandung unsur provokatif yang memuat ajakan aksi anarkis seperti situasi di Nepal terhadap Joko Widodo yang dikaitkan dengan polemik ijazah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</si>
  <si>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https://twitter.com/jonirasmanto432/status/1982224453837709576</t>
  </si>
  <si>
    <t>Konten ini memuat ajakan provokatif yang mendorong masyarakat melakukan aksi anarkis terhadap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</si>
  <si>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https://twitter.com/DienkAdnan/status/1982090145831817417</t>
  </si>
  <si>
    <t>Konten ini mengandung unsur provokatif yang memuat ajakan aksi anarkis seperti situasi di Nepal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</si>
  <si>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https://www.facebook.com/share/p/17WeP2kSc2/</t>
  </si>
  <si>
    <t>Konten ini mengandung unsur provokatif yang memuat ajakan aksi anarkis seperti situasi di Nepal terhadap Joko Widodo dan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</si>
  <si>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https://www.facebook.com/share/p/19z3vCLDFb/</t>
  </si>
  <si>
    <t>Konten ini memuat narasi provokatif dan mengancam akan “menepalkan” yang merujuk kepada aksi demonstrasi yang anarkis terhadap DPR dan KPU yang dikaitkan dengan kasus private jet jajaran komisioner KPU.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</si>
  <si>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https://www.facebook.com/share/p/1AAZt5f1nF/</t>
  </si>
  <si>
    <t xml:space="preserve">Konten tersebut mengandung disinformasi bahwa rakyat Indonesia mendukung kemerdekaan Papua, seolah-olah mengatasnamakan seluruh rakyat Indonesia. Narasi yang disampaikan diduga mengandung provokasi perpecahan NKRI.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</si>
  <si>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https://twitter.com/WisesoJoyo/status/1982470862399017017</t>
  </si>
  <si>
    <t>Konten tersebut memuat narasi provokatif yaitu “nepalkan saja termul biadab seperti itu.” Konten seperti ini berpotensi menimbulkan konflik dan polarisasi di tengah masyarakat.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</si>
  <si>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https://twitter.com/yusuf_my1/status/1982409063528083465</t>
  </si>
  <si>
    <t>Konten ini mengandung unsur provokatif yang memuat ajakan aksi untuk memakzulkan Wakil Presiden Gibran Rakabuming dan mengadili mantan presiden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</si>
  <si>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https://twitter.com/Dahriwelah/status/1982341263396688211</t>
  </si>
  <si>
    <t xml:space="preserve">Konten tersebut mengandung unsur provokatif yaitu ajakan untuk melakukan tindakan anarkis sebagai respon atas isu penggunaan dana untuk jet pribadi oleh anggota DKPP.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</si>
  <si>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https://www.facebook.com/reel/758639517157951</t>
  </si>
  <si>
    <t>Dilaporkan telah melakukan tindak pidana provokasi membuat postingan media sosial mengajak membakar DPR dan Menteri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</si>
  <si>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 xml:space="preserve">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
</t>
  </si>
  <si>
    <t>https://www.facebook.com/kyogami.jody/posts/pfbid037QRMphoLBYMhDMs6PTYhNweMYaVrqYJaMWN9HJkcecKzSYQMb3BSASqHfPFkErdcl</t>
  </si>
  <si>
    <t>Dilaporkan telah melakukan tindak pidana provokasi membuat postingan media sosial mengajak membakar DPR yang akan berdampak semakin memicu tindakan kekerasan dan perusakan,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</si>
  <si>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https://www.instagram.com/p/DN22XT74q0c/?igsh=a29wNnAxa2J4bDR1</t>
  </si>
  <si>
    <t>https://vt.tiktok.com/ZSy151KQ9/</t>
  </si>
  <si>
    <t xml:space="preserve">Sebuah akun yang berisi tentang ajakan 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</si>
  <si>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https://vt.tiktok.com/ZSy15YJTp/</t>
  </si>
  <si>
    <t>https://vt.tiktok.com/ZSy15Frss/</t>
  </si>
  <si>
    <t>https://vt.tiktok.com/ZSy15dJ8t/</t>
  </si>
  <si>
    <t xml:space="preserve">Sebuah akun yang berisi tentang ajakan 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</si>
  <si>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https://www.facebook.com/share/r/1HNzmeVGZ6/</t>
  </si>
  <si>
    <t xml:space="preserve">Sebuah akun yang berisi tentang ajakan membubarkan DPR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</si>
  <si>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https://www.facebook.com/share/v/16UY6GxxG4/</t>
  </si>
  <si>
    <t>https://www.facebook.com/share/r/16HgNDTjJ4/</t>
  </si>
  <si>
    <t>https://www.facebook.com/share/r/1CzMz2KB5Z/</t>
  </si>
  <si>
    <t>https://www.facebook.com/share/r/17Zdiddg8W/</t>
  </si>
  <si>
    <t xml:space="preserve">Sebuah akun yang berisi tentang ajakan menepalkan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</si>
  <si>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https://www.facebook.com/groups/2386029115037553/posts/3164515997188857/</t>
  </si>
  <si>
    <t>https://www.facebook.com/groups/2386029115037553/posts/3139356809704776/</t>
  </si>
  <si>
    <t>https://www.facebook.com/groups/2386029115037553/posts/3138851423088648/</t>
  </si>
  <si>
    <t>https://www.facebook.com/groups/2386029115037553/posts/3104482443192213/</t>
  </si>
  <si>
    <t>https://www.facebook.com/groups/225157887497430/posts/25275438608709345/</t>
  </si>
  <si>
    <t>https://www.facebook.com/groups/225157887497430/posts/25229888769930996/</t>
  </si>
  <si>
    <t>https://www.facebook.com/groups/225157887497430/posts/25211473265105880/</t>
  </si>
  <si>
    <t>https://www.facebook.com/groups/225157887497430/posts/25184679204451953/</t>
  </si>
  <si>
    <t>https://www.facebook.com/groups/225157887497430/posts/25008422918744250/</t>
  </si>
  <si>
    <t>https://vt.tiktok.com/ZSyeG9nXr/</t>
  </si>
  <si>
    <t xml:space="preserve">Sebuah akun yang berisi tentang ajakan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</si>
  <si>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https://www.facebook.com/share/v/17BxBRUamt/</t>
  </si>
  <si>
    <t>https://www.facebook.com/share/r/1J4bTscfox/</t>
  </si>
  <si>
    <t>https://www.facebook.com/share/r/16S556uLau/</t>
  </si>
  <si>
    <t>Sebuah akun yang berisi tentang ajakan untuk menepalkan Indonesia terkait kasus korupsi nadim makarim dan hukum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</si>
  <si>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https://www.facebook.com/share/r/1BwaYCNyfg/</t>
  </si>
  <si>
    <t>Sebuah akun yang berisi tentang ajakan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</si>
  <si>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https://www.facebook.com/share/r/1B9zL5HFCq/</t>
  </si>
  <si>
    <t>Sebuah akun yang berisi tentang ajakan menepalkan Indonesia apabila terdapat orang yang menghalangi langkah dari pak Purbaya.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</si>
  <si>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https://www.facebook.com/share/r/1CTpTaxRh4/</t>
  </si>
  <si>
    <t>Sebuah akun yang berisi tentang ajakan untuk menurunkan Puan Maharani sebagai Ketua DPR karena membiarkan RUU Perampasan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</si>
  <si>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https://www.facebook.com/share/r/1BhNgmVm58/</t>
  </si>
  <si>
    <t>Sebuah akun yang berisi tentang ajakan menurunkan Puan Maharani sebagai Ketua DPR karena membiarkan RUU Perampasan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</si>
  <si>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https://www.facebook.com/reel/777208548491165</t>
  </si>
  <si>
    <t>Dilaporkan telah melakukan tindak pidana provokasi Seruan untuk aksi Bubarkan DPR yang merujuk pada situasi nepal saat ini,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</si>
  <si>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 xml:space="preserve">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
</t>
  </si>
  <si>
    <t>https://www.facebook.com/reel/1112654974156331</t>
  </si>
  <si>
    <t>https://www.facebook.com/groups/261231652941129/posts/824873146576974/</t>
  </si>
  <si>
    <t>https://www.facebook.com/watch/?v=24529479856733327</t>
  </si>
  <si>
    <t>https://www.instagram.com/p/DOAKGlcgf69/</t>
  </si>
  <si>
    <t>https://www.instagram.com/p/DOCwIh2Ev8B/</t>
  </si>
  <si>
    <t>https://www.instagram.com/reel/DQGvyydDs1Q/</t>
  </si>
  <si>
    <t>https://www.instagram.com/p/DOxb3LUj27i/</t>
  </si>
  <si>
    <t>https://twitter.com/EdwardSevino/status/1979391509494706564</t>
  </si>
  <si>
    <t xml:space="preserve">Konten tersebut diduga mengandung unsur provokatif dengan narasi ajakan untuk melakukan tindak anarkis.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</si>
  <si>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https://twitter.com/NajibArsya10964/status/1983378686788415846</t>
  </si>
  <si>
    <t>Provokatif dan Ujaran Kebenian</t>
  </si>
  <si>
    <t xml:space="preserve">Konten tersebut diduga mengandung unsur provokatif dengan narasi ajakan untuk melakukan tindak anarkis terhadap mantan presiden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</si>
  <si>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https://twitter.com/jagoan_pink/status/1983415774707626102</t>
  </si>
  <si>
    <t xml:space="preserve">Konten ini diduga mengandung unsur provokatif, yaitu ajakan untuk datang ke rumah Kadinkes Cilograng, terkait penggunaan anggaran dana RSUD Cilograng yang belum beroperasi.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</si>
  <si>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https://www.facebook.com/share/v/17K9NdYgqU/</t>
  </si>
  <si>
    <t xml:space="preserve">Konten tersebut diduga mengandung unsur provokasi tindakan anarkis kepada keluarga mantan presiden Joko Widodo terkait anggaran kereta cepat Indonesia-Cina (KCIC).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
</t>
  </si>
  <si>
    <t>https://www.facebook.com/share/v/176BK781N1/</t>
  </si>
  <si>
    <t>Konten tersebut diduga mengandung unsur provokasi dengan narasi “NEPALKAN saja Jokowi dan keluarganya,” yang disertai dengan video tindakan anarkis yang semakin menunjukkan unsur provokatif.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</si>
  <si>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https://twitter.com/JoppieMagai/status/1983471222806757868</t>
  </si>
  <si>
    <t>Konten tersebut mengandung provokatif dengan narasi mengajak aksi anarkis terhadap Ketua KPU. Hal ini merujuk pada polemik pemakaian jet pribadi oleh KPU.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</si>
  <si>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https://twitter.com/PEOPLEOFTHELIE4/status/1983357991840821252</t>
  </si>
  <si>
    <t>Konten tersebut diduga mengandung unsur provokasi yang disertai dengan kata-kata kasar dan memuat narasi memprovokasi masyarakat akan aksi anarkis terhadap Luhut, Bahlil, Jokowi, dan Tito.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</si>
  <si>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https://twitter.com/PEOPLEOFTHELIE4/status/1983341554673836399</t>
  </si>
  <si>
    <t>Konten ini diduga memuat unsur provokatif dengan narasi aksi anarkis terhadap Bahlil.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</si>
  <si>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https://twitter.com/HMTata3/status/1983294301229773000</t>
  </si>
  <si>
    <t>Konten ini diduga memuat unsur provokatif dengan narasi ancaman akan aksi anarkis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</si>
  <si>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https://www.facebook.com/share/p/1af6ASwE3m/</t>
  </si>
  <si>
    <t>Konten ini memuat unsur provokatif dengan narasi separatisme yang mendukung Gerakan Aceh Merdeka disertai dengan foto bendera GAM.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</si>
  <si>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https://www.facebook.com/groups/171940866308646/posts/3256872221148813/</t>
  </si>
  <si>
    <t>https://www.facebook.com/groups/171940866308646/posts/2974358832733488/</t>
  </si>
  <si>
    <t>https://www.facebook.com/groups/171940866308646/posts/2965067696995935/</t>
  </si>
  <si>
    <t>https://www.facebook.com/groups/171940866308646/posts/2963990090437029/</t>
  </si>
  <si>
    <t>https://www.facebook.com/groups/171940866308646/posts/2964007513768620/</t>
  </si>
  <si>
    <t>https://www.facebook.com/groups/3798955057049943/posts/4233029036975874/</t>
  </si>
  <si>
    <t>https://www.facebook.com/groups/3798955057049943/posts/4226587750953336/</t>
  </si>
  <si>
    <t>https://www.facebook.com/groups/3798955057049943/posts/4226572300954881/</t>
  </si>
  <si>
    <t>https://www.instagram.com/reel/DPxnrKUky61/</t>
  </si>
  <si>
    <t>https://www.facebook.com/reel/1468503940882346</t>
  </si>
  <si>
    <t>Dilaporkan telah melakukan tindak pidana provokasi ajakan untuk Bubarkan DPR dan dalam postingannya juga terdapat tagar #FREEWESTPAPUA.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 Video tersebut memiliki penayangan yang sedikit yaitu 169 penayangan.</t>
  </si>
  <si>
    <t>https://www.facebook.com/reel/1974964556654455</t>
  </si>
  <si>
    <t>https://x.com/PEOPLEOFTHELIE4/status/1983708345669447956</t>
  </si>
  <si>
    <t>Konten tersebut diduga mengandung unsur provokasi, yaitu ajakan untuk berbuat anarkis dengan narasi “NEPALKAN JOKOWI KRONI”.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</si>
  <si>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Belum ada surat</t>
  </si>
  <si>
    <t>https://x.com/akhmadsoderi2/status/1983725186852728925</t>
  </si>
  <si>
    <t xml:space="preserve">Konten tersebut diduga mengandung unsur provokatif yaitu ajakan untuk melakukan tindak anarkis terhadap lembaga negara, ditunjukkan dengan narasi “NEPALKAN”.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</si>
  <si>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https://x.com/indonesiaeffort/status/1983701259443110208</t>
  </si>
  <si>
    <t xml:space="preserve">
Konten tersebut diduga mengandung unsur provokatif dengan narasi “NEPALkan Prabowo kalau tidak kunjung tangkap dan adili Jokowi.”. Konten tersebut berpotensi menimbulkan konflik dan polarisasi di tengah masyarakat, antara pendukung Joko Widodo dan pendukung Prabowo Subianto.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</si>
  <si>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https://x.com/T4njuang/status/1983828739286036668</t>
  </si>
  <si>
    <t xml:space="preserve">Konten tersebut diduga mengandung unsur provokasi dengan narasi “Nepalkan” yang merujuk ke tindakan anarkis dan kerusuhan untuk mengadili Joko Widodo dan Luhut Binsar Panjaitan.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</si>
  <si>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https://x.com/Andrie80079584/status/1983833934309027867</t>
  </si>
  <si>
    <t>https://x.com/Dens2Aby/status/1983844833195389326</t>
  </si>
  <si>
    <t xml:space="preserve">Konten tersebut diduga mengandung unsur provokasi dengan narasi “Nepalkan” yang merujuk ke tindakan anarkis dan kerusuhan yang ditujukan kepada Bahlil Lahadalia.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</si>
  <si>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https://x.com/mukidioon3/status/1983870852765749286</t>
  </si>
  <si>
    <t>Konten tersebut diduga mengandung unsur provokasi dengan narasi “Nepalkan” yang merujuk ke tindakan anarkis dan kerusuhan yang ditujukan kepada Dadan Hindayana.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</si>
  <si>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https://x.com/TheUncleDee/status/1983872647869165914</t>
  </si>
  <si>
    <t>Konten tersebut diduga mengandung unsur provokasi dengan narasi “Nepalkan” yang merujuk ke tindakan anarkis dan kerusuhan yang ditujukan kepada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</si>
  <si>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https://www.facebook.com/share/p/1C5EhRB6ty/</t>
  </si>
  <si>
    <t>https://www.facebook.com/share/v/1Zgs6fgH4X/</t>
  </si>
  <si>
    <t>https://www.facebook.com/share/p/16WZZaxjou/</t>
  </si>
  <si>
    <t>Konten tersebut diduga mengandung unsur provokasi dengan narasi “Nepalkan” yang merujuk ke tindakan anarkis dan kerusuhan yang ditujukan kepada Gibran Rakabuming dan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</si>
  <si>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https://www.facebook.com/share/p/1CcBKoXakt/</t>
  </si>
  <si>
    <t>Konten tersebut mengandung unsur provokatif yang mendukung gerakan separatisme Aceh Merdeka dengan narasi pengibaran bendera GAM.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</si>
  <si>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https://www.facebook.com/groups/1364141841333887/posts/1461493801598690/</t>
  </si>
  <si>
    <t>https://www.facebook.com/groups/1364141841333887/posts/1460895834991820/</t>
  </si>
  <si>
    <t>https://www.facebook.com/groups/1364141841333887/posts/1459873875094016/</t>
  </si>
  <si>
    <t>https://www.facebook.com/groups/1364141841333887/posts/1458859345195469/</t>
  </si>
  <si>
    <t>https://x.com/kaptenjawir/status/1962348490019029462</t>
  </si>
  <si>
    <t>Dilaporkan telah melakukan tindak pidana provokasi dan melakukan penghinaan terhadap Presiden Prabowo Subianto. Hal ini akan berdampak semakin memicu tindakan kekerasan dan perusakan fasilitas publik, serta berpotensi menimbulkan kerusuhan dan keresahan masyarakat di berbagai wilayah Indonesia. Hal ini sudah melanggar undang-undang yang berlaku dalam negara Kesatuan Republik Indonesia, sehingga hal tersebut dapat menimbulkan keresahan di kalangan masyarakat di ruang digital.</t>
  </si>
  <si>
    <t>https://www.facebook.com/reel/1496362338210624</t>
  </si>
  <si>
    <t>https://www.facebook.com/reel/1164785282364737</t>
  </si>
  <si>
    <r>
      <rPr>
        <rFont val="Arial"/>
        <sz val="8.0"/>
      </rPr>
      <t xml:space="preserve">Beredar sebuah unggahan di media sosial Facebook yang mengeklaim bahwa ada 200 anggota Dewan Perwakilan Rakyat (DPR) dari Fraksi Partai Demokrasi Indonesia Perjuangan (PDIP) telah melanggar kode etik.
Faktanya, klaim tersebut adalah tidak benar. Dilansir dari turnbackhoax.id, tidak ada informasi kredibel yang membenarkan klaim tersebut. Foto asli dari unggahan tersebut adalah hasil rekayasa dari artikel merdeka.com yang berjudul "Seluruh Fraksi Komisi I DPR Hadir saat Rapat Terakhir Bareng Prabowo" pada 25 September 2024 silam. Artikel itu membahas kehadiran Presiden Prabowo Subianto yang saat itu menjabat sebagai Menteri Pertahanan dalam rapat Komisi I DPR RI.
Link Counter:
https://turnbackhoax.id/articles/30143
</t>
    </r>
    <r>
      <rPr>
        <rFont val="Arial"/>
        <color rgb="FF1155CC"/>
        <sz val="8.0"/>
        <u/>
      </rPr>
      <t>https://www.merdeka.com/peristiwa/seluruh-fraksi-komisi-i-dpr-hadir-saat-rapat-terakhir-bareng-prabowo-203867-mvk.html</t>
    </r>
  </si>
  <si>
    <t>https://www.facebook.com/reel/1731090450934638</t>
  </si>
  <si>
    <t>"Beredar sebuah unggahan di media sosial Facebook yang mengeklaim bahwa ada 200 anggota Dewan Perwakilan Rakyat (DPR) dari Fraksi Partai Demokrasi Indonesia Perjuangan (PDIP) telah melanggar kode etik.
Faktanya, klaim tersebut adalah tidak benar. Dilansir dari turnbackhoax.id, tidak ada informasi kredibel yang membenarkan klaim tersebut. Foto asli dari unggahan tersebut adalah hasil rekayasa dari artikel merdeka.com yang berjudul ""Seluruh Fraksi Komisi I DPR Hadir saat Rapat Terakhir Bareng Prabowo"" pada 25 September 2024 silam. Artikel itu membahas kehadiran Presiden Prabowo Subianto yang saat itu menjabat sebagai Menteri Pertahanan dalam rapat Komisi I DPR RI.
Link Counter:
https://turnbackhoax.id/articles/30143
https://www.merdeka.com/peristiwa/seluruh-fraksi-komisi-i-dpr-hadir-saat-rapat-terakhir-bareng-prabowo-203867-mvk.html"</t>
  </si>
  <si>
    <t>"a.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t>
  </si>
  <si>
    <t>https://www.facebook.com/permalink.php?story_fbid=233256065925833&amp;id=100077243243741&amp;substory_index=178147065112664</t>
  </si>
  <si>
    <t>https://www.facebook.com/groups/1439336049598659/?multi_permalinks=2837105026488414&amp;hoisted_section_header_type=recently_seen</t>
  </si>
  <si>
    <t>https://www.facebook.com/groups/456481828956436/?multi_permalinks=1518326322771976&amp;hoisted_section_header_type=recently_seen</t>
  </si>
  <si>
    <t>https://www.facebook.com/groups/319794727369478/?multi_permalinks=840978161917796&amp;hoisted_section_header_type=recently_seen</t>
  </si>
  <si>
    <t>https://www.facebook.com/groups/1439336049598659/?multi_permalinks=2838908159641434&amp;hoisted_section_header_type=recently_seen</t>
  </si>
  <si>
    <t>https://www.facebook.com/groups/1010933189941887/?multi_permalinks=1360652098303326&amp;hoisted_section_header_type=recently_seen</t>
  </si>
  <si>
    <t>https://www.facebook.com/je.nabe.33/posts/pfbid031khTSEHTvxajkwBiFimE5E31vpp429PEcLBRjXV8bm3d7pD5sZm4VsJzsiPJeRYBl?rdid=6clwvVCSDaajTR54#
https://drive.google.com/open?id=181M6Jncywyjk1Quzpt8mUUkhD92NuRiV&amp;usp=drive_copy</t>
  </si>
  <si>
    <t>https://drive.google.com/open?id=181M6Jncywyjk1Quzpt8mUUkhD92NuRiV&amp;usp=drive_copy</t>
  </si>
  <si>
    <t>HOAKS</t>
  </si>
  <si>
    <t xml:space="preserve">Beredar sebuah unggahan di media sosial Instagram yang mengeklaim bahwa Badan Gizi Nasional (BGN) membenarkan bahwa baki program Makanan Bergizi gratis mengandung lemak babi.
Faktanya, klaim tersebut adalah tidak benar. Dilansir dari turnbackhoax.id, melalui artikel  tempo.co dan idntimes.com, BGN telah membantah adanya pemakaian minyak babi di baki makan MBG. Kepala BGN Dadan Hindayana menyatakan baki makan MBG menggunakan plastik dan sama sekali tidak memakai minyak. Klaim ini didasarkan dari kunjungan Dadan pada Selasa, 23 September 2025 ke pabrik pembuatan baki makan MBG di Bekasi.
Link Counter:
https://turnbackhoax.id/2025/10/31/salah-bgn-benarkan-baki-program-mbg-mengandung-lemak-babi/
https://cekfakta.tempo.co/fakta/3854/keliru-bgn-akui-ompreng-mbg-mengandung-minyak-babi
https://www.idntimes.com/news/indonesia/cek-fakta-bgn-pernah-akui-ompreng-mbg-mengandung-minyak-babi-00-bbwlv-0bbyx5
</t>
  </si>
  <si>
    <t>https://www.facebook.com/61565653801596/posts/pfbid02PUyTTq7WSNNhJBCLbDEHD1aPE15tcxeAp6USTuRZxydjFJYiLak7bZNpReokWtQkl/?app=fbl
https://drive.google.com/open?id=1hsS6GHn8vPoZyU2B37FCUE-SakCkRVby&amp;usp=drive_copy</t>
  </si>
  <si>
    <t>https://drive.google.com/open?id=1hsS6GHn8vPoZyU2B37FCUE-SakCkRVby&amp;usp=drive_copy</t>
  </si>
  <si>
    <r>
      <rPr>
        <rFont val="Arial,sans-serif"/>
        <color rgb="FF1155CC"/>
        <sz val="8.0"/>
        <u/>
      </rPr>
      <t>https://www.facebook.com/groups/9767428643312271/posts/24966474886314399/</t>
    </r>
  </si>
  <si>
    <r>
      <rPr>
        <rFont val="Arial,sans-serif"/>
        <color rgb="FF1155CC"/>
        <sz val="8.0"/>
        <u/>
      </rPr>
      <t>https://www.facebook.com/groups/9767428643312271/posts/24965697746392113/</t>
    </r>
  </si>
  <si>
    <r>
      <rPr>
        <rFont val="Arial,sans-serif"/>
        <color rgb="FF1155CC"/>
        <sz val="8.0"/>
        <u/>
      </rPr>
      <t>https://www.facebook.com/groups/9767428643312271/posts/24958388387123049/</t>
    </r>
  </si>
  <si>
    <r>
      <rPr>
        <rFont val="Arial,sans-serif"/>
        <color rgb="FF1155CC"/>
        <sz val="8.0"/>
        <u/>
      </rPr>
      <t>https://www.facebook.com/groups/523183267134157/posts/825695916882889/</t>
    </r>
  </si>
  <si>
    <r>
      <rPr>
        <rFont val="Arial,sans-serif"/>
        <color rgb="FF1155CC"/>
        <sz val="8.0"/>
        <u/>
      </rPr>
      <t>https://www.facebook.com/groups/221580229175240/posts/1510181020315148/</t>
    </r>
  </si>
  <si>
    <r>
      <rPr>
        <rFont val="Arial,sans-serif"/>
        <color rgb="FF1155CC"/>
        <sz val="8.0"/>
        <u/>
      </rPr>
      <t>https://www.facebook.com/groups/221580229175240/posts/1504689100864340/</t>
    </r>
  </si>
  <si>
    <r>
      <rPr>
        <rFont val="Arial,sans-serif"/>
        <color rgb="FF1155CC"/>
        <sz val="8.0"/>
        <u/>
      </rPr>
      <t>https://www.facebook.com/groups/221580229175240/posts/1504418057558111/</t>
    </r>
  </si>
  <si>
    <r>
      <rPr>
        <rFont val="Arial,sans-serif"/>
        <color rgb="FF1155CC"/>
        <sz val="8.0"/>
        <u/>
      </rPr>
      <t>https://www.facebook.com/share/r/1BzZp6Wkqy/</t>
    </r>
  </si>
  <si>
    <t>Konten ini diduga memuat unsur provokatif untuk melakukan tindakan anarkis dengan narasi “NEPALKAN” dan provokasi untuk menggrebek Polsek, pada video ditampilkan video demonstrasi secara anarkis yang tidak sesuai dengan konteks narasi yang disampaikan.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</si>
  <si>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https://www.facebook.com/share/p/17iMVTXVmG/</t>
    </r>
  </si>
  <si>
    <t>Konten ini diduga memuat unsur provokatif untuk melakukan tindakan anarkis dengan narasi “Nepalkan” dengan latar belakang pejabat “Konoha” yang tidak dapat dilawan dengan menggunakan satire.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</si>
  <si>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https://x.com/Pado_Sutan/status/1993156724442976595?s=20</t>
    </r>
  </si>
  <si>
    <t>Konten ini diduga mengandung unsur provokatif dengan cuitan yang mengandung hinaan bermuatan SARA dimana akun tersebut menyebutkan kalimat usiran terhadap suku tertentu yang dianggap sebagai penjajah dan pendatang.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</si>
  <si>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https://x.com/Pado_Sutan/status/1992509018221445374?s=20</t>
    </r>
  </si>
  <si>
    <t>Konten ini diduga mengandung unsur provokatif dengan cuitan yang menyatakan Ir. Soekarno sebagai bajingan komunis, penjahat kelamin, dan tidak bermoral. Konten tersebut juga mengandung kebencian terhadap etnis tertentu.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</si>
  <si>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https://x.com/indepenSumatera</t>
    </r>
  </si>
  <si>
    <t>Akun ini aktif menyebarkan provokasi bermuatan separatisme dengan narasi Sumatera merdeka ataupun Aceh merdeka. Narasi yang aktif disampaikan antara lain Jawa yang menjajah Sumatera dan SDM, SDA, serta letak strategis Sumatera akan dapat dikelola dengan baik apabila Sumatera merdeka.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</si>
  <si>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https://www.facebook.com/share/p/17RdgYBANc/</t>
    </r>
  </si>
  <si>
    <t>Konten ini memuat unsur provokatif dengan narasi kemerdekaan Papua. Konten tersebut memuat tulisan tokoh KKB, Aibon Kogoya, yang berisi bahwa kemerdekaan Papua merupakan hal yang telah dijanjikan tuhan.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</si>
  <si>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https://www.facebook.com/share/v/1C2hpHapHE/</t>
    </r>
  </si>
  <si>
    <t>Konten ini memuat unsur provokatif dengan narasi separatisme agar tokoh-tokoh yang mendukung kemerdekaan Papua bersatu memperjuangkan kemerdekaan.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</si>
  <si>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https://www.facebook.com/share/p/1D5vRz63Sj/</t>
    </r>
  </si>
  <si>
    <t>Konten ini memuat unsur provokatif dengan narasi separatisme Papua merdeka. Konten tersebut berisi kelompok yang melakukan latihan upacara pengibaran bendera bintang kejora pada tanggal 1 Desember 2025. Selain itu, terdapat narasi untuk bersiap melawan Indonesia yang dinilai sebagai musuh dan teroris.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</si>
  <si>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https://www.facebook.com/share/g/17NJRM29Lp/</t>
    </r>
  </si>
  <si>
    <t>Grup media sosial ini diduga aktif digunakan untuk menyebarkan konten bermuatan provokatif dan ujaran kebencian berkaitan dengan SARA.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</si>
  <si>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https://www.facebook.com/share/p/1FWAaA31L1/</t>
    </r>
  </si>
  <si>
    <t>Provokatif, Separatisme, dan SARA</t>
  </si>
  <si>
    <t>Konten ini mengandung unsur provokasi, separatisme, dan ujaran kebencian bermuatan SARA. Narasi yang terdapat pada konten tersebut yaitu untuk memerangi Pemerintah Indonesia yang dianggap sebagai khilafah penjajah. Narasi ini kemudian diperparah dengan tudingan bahwa pemerintah Indonesia memberikan tanahnya dari Rakyat Indonesia kepada Palestina. Konten tersebut juga diduga membenturkan etnis Dayak dengan umat Islam.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</si>
  <si>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https://x.com/ok_samsul/status/1993303341603209380</t>
    </r>
  </si>
  <si>
    <t>Konten ini diduga memuat unsur provokatif untuk melakukan tindakan anarkis dengan narasi “NEPALKAN” terhadap DPR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</si>
  <si>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https://x.com/PEOPLEOFTHELIE4/status/1993261173576548808</t>
    </r>
  </si>
  <si>
    <t>Konten ini diduga memuat unsur provokatif untuk melakukan tindakan anarkis dengan narasi “NEPALKAN adalah SOLUSI REVOLUSI” yang diduga kuat ditujukan kepada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</si>
  <si>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https://x.com/PEOPLEOFTHELIE4/status/1993259310596653080</t>
  </si>
  <si>
    <t>Konten ini diduga memuat unsur provokatif untuk melakukan tindakan anarkis dengan narasi “NEPALKAN” terhadap Luhut dan Bahlil.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</si>
  <si>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https://x.com/LordK1ngkong_/status/1993200967685488840</t>
  </si>
  <si>
    <t>Konten ini diduga memuat unsur provokatif untuk melakukan tindakan anarkis dengan narasi “NEPALKAN”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</si>
  <si>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https://x.com/LordK1ngkong_/status/199320050870280225</t>
  </si>
  <si>
    <t>Konten ini diduga memuat unsur provokatif untuk melakukan tindakan anarkis dengan narasi “NEPALKAN” terhadap Geng Solo, yang merujuk terhadap Joko Widodo dan Keluarga.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</si>
  <si>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https://x.com/Margaputra2907/status/1993198205677494387</t>
    </r>
  </si>
  <si>
    <t>Konten ini diduga memuat unsur provokatif untuk melakukan tindakan anarkis dengan narasi “NEPALKAN” terhadap Ketua KPU.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</si>
  <si>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https://x.com/navisa_cm/status/1993165521223925942</t>
    </r>
  </si>
  <si>
    <t>Konten ini diduga memuat unsur provokatif untuk melakukan tindakan anarkis dengan narasi “NEPALKAN” terhadap Joko Widodo, yang merujuk kepada polemik ijazah.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</si>
  <si>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https://x.com/C0BRA3131/status/1993089781396652050</t>
    </r>
  </si>
  <si>
    <r>
      <rPr>
        <rFont val="Arial,sans-serif"/>
        <color rgb="FF1155CC"/>
        <sz val="8.0"/>
        <u/>
      </rPr>
      <t>https://x.com/jagosputra06/status/1993010160181420232</t>
    </r>
  </si>
  <si>
    <t>Konten ini diduga memuat unsur provokatif untuk melakukan tindakan anarkis dengan narasi “NEPALKAN”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</si>
  <si>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https://x.com/FaridOYI/status/1992713200648028515</t>
    </r>
  </si>
  <si>
    <t>Konten ini diduga memuat unsur provokatif untuk melakukan tindakan anarkis dengan narasi “NEPALKAN” terhadap DPR dan melengserkan Gibran Rakabuming.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</si>
  <si>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https://x.com/indepenSumatera/status/1993194421190524941</t>
  </si>
  <si>
    <t>Konten ini diduga mengandung narasi provokasi isu separatisme Aceh dan Sumatera dengan argumen potensi ekonomi akan lebih baik jika wilayah tersebut merdeka dari Indonesia.
Terdapat opini tanpa dasar mengenai Sumatera yang dimiskinkan oleh Jawa, yang dalam hal ini disebut sebagai Jawakarta. Terdapat kalimat provokasi kembali dengan mengibaratkan masyarakat Sumatera sebagai hewan ternak yang ditusuk hidungnya dan diikat ke pohon untuk menggambarkan masyarakat Sumatera yang seolah-olah dikekang oleh pemerintah.</t>
  </si>
  <si>
    <t>https://x.com/indepenSumatera/status/1993497692572729781</t>
  </si>
  <si>
    <t>Konten ini diduga mengandung provokasi dengan isu SARA. Narasi yang disampaikan yaitu gagasan apabila Sumatera merdeka, maka yang pertama kali akan dilakukan yaitu dengan melakukan pengusiran terhadap penduduk yang dianggap sebagai transmigran, yang dalam hal ini disebut sebagai "para sampah trans" dan provokasi "bersihkan sumatera dari hama".</t>
  </si>
  <si>
    <t>https://x.com/indepenSumatera/status/1912015337379495941</t>
  </si>
  <si>
    <t>Konten ini diduga mengandung unsur provokasi separatisme dengan narasi setiap pulau di Indonesia harus menyadari jika warga daerah tersebut sengaja dimiskinkan. Narasi yang disampaikan yaitu argumen bahwa Negara takut jika rakyat tersadar dan akan melakukan revolusi. Terdapat narasi SARA juga dengan menuding Jawa memiskinkan wilayah lain dan hanya menyejahterakan wilayah Jawa.</t>
  </si>
  <si>
    <t>https://x.com/indepenSumatera/status/1913063971168690481</t>
  </si>
  <si>
    <t>Konten ini diduga mengandung unsur provokasi dengan narasi separatisme bahwa Sumatera harus berpisah dari Jawa. Argumen yang dikemukakan bersifat provokatif dengan tudingan bahwa bergabung bersama sebagai Negara Indonesia tidak memberikan manfaat. Akun ini juga mencatut kalimat yang dibuat oleh M. Hatta.</t>
  </si>
  <si>
    <t>https://x.com/indepenSumatera/status/1900934231632871782/photo/1</t>
  </si>
  <si>
    <t>Konten ini mengandung narasi separatisme berupa roadmap yang dibuat untuk memerdekakan Sumatera dan langkah-langkah yang dilakukan apabila Sumatera merdeka.</t>
  </si>
  <si>
    <t>https://x.com/indepenSumatera/status/1993483757178044743</t>
  </si>
  <si>
    <t>Konten ini mengandung unsur provokasi dan narasi yang menyinggung SARA, dengan menyatakan bahwa ketika Aceh atau Sumatera yang meminta merdeka, netizen Jawa, yang dalam hal ini disebutkan sebagai "Jawakarta" yang terprovokasi. Narasi SARA juga terdapat pada kalimat terakhir dengan ujaran "anjing anjing penjajah".</t>
  </si>
  <si>
    <t>https://x.com/indepenSumatera/status/1993483348875096285</t>
  </si>
  <si>
    <t>Konten ini mengandung unsur provokasi dan narasi yang menyinggung SARA, dengan menyatakan bahwa ketika Aceh atau Sumatera yang meminta merdeka, netizen Jawa, yang dalam hal ini disebutkan sebagai "Jawakarta" yang terprovokasi. Narasi SARA juga terdapat pada tudingan bahwa pejabat dan netizen wilayah yang disebutkan sebagai penjajah.</t>
  </si>
  <si>
    <r>
      <rPr>
        <rFont val="Arial,sans-serif"/>
        <color rgb="FF1155CC"/>
        <sz val="8.0"/>
        <u/>
      </rPr>
      <t>https://www.facebook.com/groups/2378433292339269/posts/3082024198646838/</t>
    </r>
  </si>
  <si>
    <r>
      <rPr>
        <rFont val="Arial,sans-serif"/>
        <color rgb="FF1155CC"/>
        <sz val="8.0"/>
        <u/>
      </rPr>
      <t>https://www.facebook.com/groups/2378433292339269/posts/3073821262800465/</t>
    </r>
  </si>
  <si>
    <t>URL duplikat dengan nomor 3</t>
  </si>
  <si>
    <r>
      <rPr>
        <rFont val="Arial,sans-serif"/>
        <color rgb="FF1155CC"/>
        <sz val="8.0"/>
        <u/>
      </rPr>
      <t>https://www.facebook.com/groups/2378433292339269/posts/3073821262800465/</t>
    </r>
  </si>
  <si>
    <r>
      <rPr>
        <rFont val="Arial,sans-serif"/>
        <color rgb="FF1155CC"/>
        <sz val="8.0"/>
        <u/>
      </rPr>
      <t>https://www.facebook.com/groups/2378433292339269/posts/3071695426346382/</t>
    </r>
  </si>
  <si>
    <r>
      <rPr>
        <rFont val="Arial,sans-serif"/>
        <color rgb="FF1155CC"/>
        <sz val="8.0"/>
        <u/>
      </rPr>
      <t>https://www.facebook.com/groups/2378433292339269/posts/3071201019729156/</t>
    </r>
  </si>
  <si>
    <r>
      <rPr>
        <rFont val="Arial,sans-serif"/>
        <color rgb="FF1155CC"/>
        <sz val="8.0"/>
        <u/>
      </rPr>
      <t>https://www.facebook.com/groups/1198444775319965/posts/1368360544995053</t>
    </r>
  </si>
  <si>
    <r>
      <rPr>
        <rFont val="Arial,sans-serif"/>
        <color rgb="FF1155CC"/>
        <sz val="8.0"/>
        <u/>
      </rPr>
      <t>https://www.facebook.com/groups/1198444775319965/posts/1349836083514166</t>
    </r>
  </si>
  <si>
    <r>
      <rPr>
        <rFont val="Arial,sans-serif"/>
        <color rgb="FF1155CC"/>
        <sz val="8.0"/>
        <u/>
      </rPr>
      <t>https://www.facebook.com/groups/1198444775319965/posts/1348003483697426</t>
    </r>
  </si>
  <si>
    <r>
      <rPr>
        <rFont val="Arial,sans-serif"/>
        <color rgb="FF1155CC"/>
        <sz val="8.0"/>
        <u/>
      </rPr>
      <t>https://www.facebook.com/groups/1198444775319965/posts/1344018290762612</t>
    </r>
  </si>
  <si>
    <r>
      <rPr>
        <rFont val="Arial,sans-serif"/>
        <color rgb="FF1155CC"/>
        <sz val="8.0"/>
        <u/>
      </rPr>
      <t>https://www.facebook.com/groups/1198444775319965/posts/1342102660954175</t>
    </r>
  </si>
  <si>
    <r>
      <rPr>
        <rFont val="Arial,sans-serif"/>
        <color rgb="FF1155CC"/>
        <sz val="8.0"/>
        <u/>
      </rPr>
      <t>https://www.facebook.com/groups/1132473153516507/posts/24919035594433596</t>
    </r>
  </si>
  <si>
    <r>
      <rPr>
        <rFont val="Arial,sans-serif"/>
        <color rgb="FF1155CC"/>
        <sz val="8.0"/>
        <u/>
      </rPr>
      <t>https://www.facebook.com/groups/1132473153516507/posts/24918612654475890</t>
    </r>
  </si>
  <si>
    <r>
      <rPr>
        <rFont val="Arial,sans-serif"/>
        <color rgb="FF1155CC"/>
        <sz val="8.0"/>
        <u/>
      </rPr>
      <t>https://www.facebook.com/groups/1132473153516507/posts/24918116221192200</t>
    </r>
  </si>
  <si>
    <r>
      <rPr>
        <rFont val="Arial,sans-serif"/>
        <color rgb="FF1155CC"/>
        <sz val="8.0"/>
        <u/>
      </rPr>
      <t>https://www.facebook.com/groups/1132473153516507/posts/24918043947866094</t>
    </r>
  </si>
  <si>
    <r>
      <rPr>
        <rFont val="Arial,sans-serif"/>
        <color rgb="FF1155CC"/>
        <sz val="8.0"/>
        <u/>
      </rPr>
      <t>https://www.facebook.com/groups/1132473153516507/posts/24917078801295942</t>
    </r>
  </si>
  <si>
    <r>
      <rPr>
        <rFont val="Arial,sans-serif"/>
        <color rgb="FF1155CC"/>
        <sz val="8.0"/>
        <u/>
      </rPr>
      <t>https://www.facebook.com/share/p/1Cbfw7deNh/</t>
    </r>
  </si>
  <si>
    <t>Konten ini diduga memuat unsur provokatif untuk melakukan tindakan anarkis dengan narasi “NEPALKAN” dan “SHARONIKAN” kepada Menpan RB dengan alasan PPPK yang dialihkan menjadi PNS.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</si>
  <si>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https://www.facebook.com/share/p/1BSdjXK7is/</t>
    </r>
  </si>
  <si>
    <t>Konten ini diduga memuat unsur provokatif dan ujaran kebencian mengandung SARA. Narasi yang dibuat yaitu dengan menyatakan penjajah Belanda memiliki jasa besar kepada etnis Jawa. Selain itu, terdapat gambar diduga manusia purba yang digambarkan oleh akun tersebut sebagai leluhur etnis Jawa.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</si>
  <si>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https://www.facebook.com/share/p/1BxSPf7ZcR/</t>
    </r>
  </si>
  <si>
    <t>Konten ini diduga mengandung unsur provokatif mengandung hinaan bermuatan SARA dengan narasi setiap Presiden memiliki etnis jawa merupakan penjajah sebenarnya, bukan Belanda.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</si>
  <si>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https://www.facebook.com/share/p/17M38C91ci/</t>
    </r>
  </si>
  <si>
    <t>Konten ini diduga mengandung unsur provokatif dengan narasi penghinaan terhadap pemeluk agama tertentu.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</si>
  <si>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https://www.facebook.com/groups/1319705151792135/</t>
    </r>
  </si>
  <si>
    <t>Grup ini merupakan media yang digunakan secara aktif untuk menyebarkan konten ujaran kebencian antar umat beragama.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</si>
  <si>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https://www.facebook.com/groups/456481828956436/</t>
    </r>
  </si>
  <si>
    <r>
      <rPr>
        <rFont val="Arial,sans-serif"/>
        <color rgb="FF1155CC"/>
        <sz val="8.0"/>
        <u/>
      </rPr>
      <t>https://www.facebook.com/groups/177498100731007/</t>
    </r>
  </si>
  <si>
    <r>
      <rPr>
        <rFont val="Arial,sans-serif"/>
        <color rgb="FF1155CC"/>
        <sz val="8.0"/>
        <u/>
      </rPr>
      <t>https://x.com/navisa_cm/status/1993494071147741525?t=16hF7NC691RaiaZgucr84A&amp;s=08</t>
    </r>
  </si>
  <si>
    <t>Konten ini mengandung unsur provokasi dengan narasi ancaman “NEPALKAN” terhadap bangsa Indonesia. Terdapat argumen yang disampaikan dengan mencatut nama Gus Dur, dimana akun tersebut menyatakan tujuan melakukan hal tersebut dengan mengibaratkan jika ingin merenovasi rumah, maka rumah tersebut harus dihancurkan terlebih dahulu.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</si>
  <si>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https://x.com/Joxplalong/status/1993575174021824894</t>
    </r>
  </si>
  <si>
    <t>Konten ini diduga mengandung unsur provokatif dengan narasi “Nepalkan” yang ditujukan kepada para pejabat yang masih membela Joko Widodo dalam polemik ijazah.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</si>
  <si>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https://x.com/b3l4h4nh4t1ku_/status/1993569473379606856</t>
    </r>
  </si>
  <si>
    <t>Konten ini diduga mengandung unsur provokatif dengan narasi “Nepalkan” terhadap Geng Solo, yang merujuk kepada Joko Widodo dan Keluarga.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</si>
  <si>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https://x.com/Amrizaldy511/status/1993466585873576251</t>
    </r>
  </si>
  <si>
    <t>Konten ini diduga mengandung unsur provokatif dengan narasi “Nepalkan” terhadap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</si>
  <si>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t>https://vt.tiktok.com/ZSfufXhdy/</t>
  </si>
  <si>
    <t xml:space="preserve">Ditemukan unggahan pada sebuah konten pada media sosial TikTok yang diduga memuat konten provokatif dengan narasi untuk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</si>
  <si>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
</t>
  </si>
  <si>
    <t>https://x.com/decepticon073/status/1993975970152501249</t>
  </si>
  <si>
    <t>Ditemukan sebuah konten yang diduga memuat narasi provokatif berupa ajakan untuk “menepalkan” wilayah Senayan, sebagai respon terhadap pernyataan DPR yang menyebutkan bahwa belum terdapat indikasi pelanggaran terkait isu Bandara IMIP.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</si>
  <si>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t>
  </si>
  <si>
    <t>https://www.facebook.com/hi.dayat.144972/posts/pfbid0Edb9gRdmS6QCGcqS4XLU3G7xB7s7EnkaxvChXBCu4ePZZR8XXb5YF6Tc6mBcDSSwl</t>
  </si>
  <si>
    <t>Provokatif
Dan Disinformasi</t>
  </si>
  <si>
    <t>Ditemukan sebuah konten yang diduga memuat narasi provokatif berupa ajakan untuk “menepalkan” DPR, disertai dengan narasi disinformasi yang menyebutkan bahwa DPR membuat undang-undang untuk melindungi anggotanya dan tidak mengesahkan RUU Perampasan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</si>
  <si>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https://www.facebook.com/PETIR.ICE/videos/1929643401233635</t>
  </si>
  <si>
    <t>Ditemukan unggahan konten yang diduga memuat narasi provokatif yang tidak hanya berisi narasi ajakan untuk “menepalkan DPR” dengan mengaitkan dengan penolakan pengesahan UU KUHP yang terbaru.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</si>
  <si>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https://www.facebook.com/sarjawan.gede/posts/pfbid035zRUVAzn87JxjsqtvAZgNcwC2xvW9v35WAgDyt8kuqHJRmSmSkJUADpJTXtQyge8l</t>
  </si>
  <si>
    <t>Provokatif
Dan Disinfromasi</t>
  </si>
  <si>
    <t>Ditemukan sebuah konten yang diduga memuat narasi provokatif berupa ajakan untuk membubarkan DPR, disertai dengan narasi disinformasi yang menyebutkan bahwa DPR memiliki aturan baru yang dapat mencopot Pimpinan KPK, Hakim MK dan MA, hingga Kapolri.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</si>
  <si>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https://www.facebook.com/groups/298513263542390/?multi_permalinks=25231725343127837</t>
  </si>
  <si>
    <t>Ditemukan sebuah konten yang diduga memuat narasi provokatif berupa ancaman untuk membubarkan DPR atau “menepalkan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</si>
  <si>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https://x.com/jagosputra06/status/1994022937805066531</t>
  </si>
  <si>
    <t>Provokatif
dan
SARA</t>
  </si>
  <si>
    <t>Ditemukan sebuah konten yang diduga memuat narasi provokatif dan bernuansa SARA berupa ancaman pembunuhan yang ditujukan kepada subjek bernama “Joko”, yang secara implisit merujuk pada Jokowi, serta ajakan melakukan tindakan kekerasan berupa “menepalkan” terhadap etnis Tionghoa.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</si>
  <si>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https://vt.tiktok.com/ZSfxJ3MDE/</t>
    </r>
  </si>
  <si>
    <t xml:space="preserve">Ditemukan sebuah unggahan pada platform media sosial TikTok yang diduga memuat konten provokatif berupa ajakan untuk kepada masyarakat untuk melakukan demo besar besaran untuk mengadili Jokowi dan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</si>
  <si>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https://vt.tiktok.com/ZSfxJTMut/</t>
  </si>
  <si>
    <r>
      <rPr>
        <rFont val="Arial"/>
        <color theme="1"/>
        <sz val="8.0"/>
      </rPr>
      <t xml:space="preserve">Ditemukan sebuah unggahan pada platform media sosial TikTok yang diduga memuat konten ujaran kebencian terhadap keluarga Joko widodo dan menyebutnya sebagai keluarga penipu. Fakta </t>
    </r>
    <r>
      <rPr>
        <rFont val="Arial"/>
        <i/>
        <color theme="1"/>
        <sz val="8.0"/>
      </rPr>
      <t xml:space="preserve">debunking </t>
    </r>
    <r>
      <rPr>
        <rFont val="Arial"/>
        <color theme="1"/>
        <sz val="8.0"/>
      </rPr>
      <t xml:space="preserve">menurut dokumen publik, identitas akademik Jokowi sudah diperiksa dan Bareskrim (melalui penyelidikan polisi) menyatakan bahwa ijazah universitas Jokowi asli. Konten tersebut juga memiliki caption untuk memakzulkan Gibran sebagai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r>
  </si>
  <si>
    <t>Butuh tambahan analisis pelanggaran</t>
  </si>
  <si>
    <r>
      <rPr>
        <rFont val="Arial,sans-serif"/>
        <color rgb="FF1155CC"/>
        <sz val="8.0"/>
        <u/>
      </rPr>
      <t>https://vt.tiktok.com/ZSfxeXswQ/</t>
    </r>
  </si>
  <si>
    <t xml:space="preserve">Ditemukan sebuah unggahan pada platform media sosial TikTok yang diduga merupakan konten provokatif dan ujaran kebencian terhadap Jokowi. Pada konten tersebut terdapat ajakan untuk menepalkan Jokowi dan menyebutnya sebagai monyet.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</si>
  <si>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r>
      <rPr>
        <rFont val="Arial,sans-serif"/>
        <color rgb="FF1155CC"/>
        <sz val="8.0"/>
        <u/>
      </rPr>
      <t>https://vt.tiktok.com/ZSfxeQFtX/</t>
    </r>
  </si>
  <si>
    <t xml:space="preserve">Ditemukan sebuah unggahan pada platform media sosial TikTok yang diduga memuat konten bermuatan provokatif untuk menepalkan Luhut Binsar Panjaitan.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</si>
  <si>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r>
      <rPr>
        <rFont val="Arial,sans-serif"/>
        <color rgb="FF1155CC"/>
        <sz val="8.0"/>
        <u/>
      </rPr>
      <t>https://vt.tiktok.com/ZSfxdF6Gj/</t>
    </r>
  </si>
  <si>
    <t>Provokatif dan ujaran kebencian</t>
  </si>
  <si>
    <t xml:space="preserve">Ditemukan sebuah unggahan pada platform media sosial TikTok yang diduga memuat konten provokatif berupa ajakan untuk makzulkan Gibran dan ujaran kebencian dengan menyebut keluarga Jokowi sebagai keluarga penipu dan rakyat yang memilih Gibran adalah orang bodoh..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</si>
  <si>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https://x.com/MuhammadDjazul1/status/1994306163999969319</t>
  </si>
  <si>
    <t>Ditemukan sebuah konten yang diduga memuat narasi ujaran kebencian dan provokatif berupa ajakan untuk “menepalkan” Mantan Presiden Jokowi dan Luhut Binsar Pandjaitan.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</si>
  <si>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https://x.com/NomerSi_ali/status/1994419078107402309</t>
  </si>
  <si>
    <t>Ditemukan sebuah konten yang diduga mengandung narasi provokatif berupa ajakan untuk melakukan tindakan kekerasan terhadap Menteri ESDM, Bapak Bahlil Lahadalia, dengan mengaitkan isu eksploitasi hutan dan pertambangan yang dinilai menyebabkan kerusakan lingkungan serta bencana alam.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</si>
  <si>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https://www.facebook.com/reel/831895389485992</t>
  </si>
  <si>
    <t>Sebuah unggahan yang diduga memuat narasi provokatif berupa ajakan kepada masyarakat Morowali untuk melakukan tindakan kekerasan terhadap Luhut Binsar Pandjaitan, dengan mengaitkan isu Bandara IMIP serta keberadaan Tenaga Kerja Asing (TKA) asal Tiongkok yang masuk ke wilayah Morowali melalui bandara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</si>
  <si>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https://www.facebook.com/groups/1417103738524228/?multi_permalinks=4513372142230690</t>
  </si>
  <si>
    <t>Ditemukan sebuah konten yang diduga memuat narasi provokatif untuk makzulkan Wakil Presiden Gibran dan mengadili mantan Presiden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</si>
  <si>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https://www.facebook.com/trisno.suparjo.2025/posts/pfbid0XN966mbyhDWRQhdMSh8mz9rnZNo7vULn6yRXLTKPvNH59XoP1nnRZdXPkwk3tRgUl</t>
  </si>
  <si>
    <t>Ditemukan sebuah konten yang diduga memuat narasi provokatif untuk membubarkan DPR dengan cara apapun.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</si>
  <si>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https://www.facebook.com/reel/1383683473269919</t>
  </si>
  <si>
    <t>Disinformasi dan
Provokatif</t>
  </si>
  <si>
    <t>Ditemukan sebuah konten disinformasi yang diduga memuat narasi provokatif berupa ancaman untuk menepalkan anggota kepolisian disertai narasi penolakan terhadap KUHAP yang baru saja disahkan..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</si>
  <si>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https://www.facebook.com/permalink.php?story_fbid=pfbid02sacsrdBK5ZR29eKhahFszLqvnc1Bne2qFgedAG9umftL57dzJsN3rPdbxaSS1gffl&amp;id=61581427726113</t>
  </si>
  <si>
    <t>https://www.facebook.com/permalink.php?story_fbid=pfbid0XpMHyQjtW9mJY4oYSvnvUDjMVFp2cHttv3z3AaXbWhCLoeTdyhzQ63sZXQjr7CsGl&amp;id=61581427726113</t>
  </si>
  <si>
    <t>https://www.facebook.com/permalink.php?story_fbid=pfbid02Nis7ZJUH3argcUDdPX8paeipYrTkHn7cpjuXNWLs7aASCPcC57P6Nkr7eTnkh51Jl&amp;id=61581427726113</t>
  </si>
  <si>
    <t>https://www.facebook.com/permalink.php?story_fbid=pfbid0trfVS29a6yZ9SEW1Sk225WPuskBoVsx7wUNLyZN3mjrBWb5BqyDUHeuQYiPHzWfWl&amp;id=61581427726113</t>
  </si>
  <si>
    <t>https://www.facebook.com/permalink.php?story_fbid=pfbid02wgb3Z178A24EqKmFSRh6Z8wQBhH89akRC4LbVp5QZHcWPPdMPSGTDVo7XSxct5oyl&amp;id=61581427726113</t>
  </si>
  <si>
    <t>https://x.com/saltingcaramel/status/1990796482602283045</t>
  </si>
  <si>
    <t>https://x.com/fransis74201222/status/1990058224570311017</t>
  </si>
  <si>
    <r>
      <rPr>
        <rFont val="Arial,sans-serif"/>
        <color rgb="FF1155CC"/>
        <sz val="8.0"/>
        <u/>
      </rPr>
      <t>https://x.com/PEOPLEOFTHELIE4/status/1994658799182041143</t>
    </r>
  </si>
  <si>
    <t>Konten ini diduga memuat unsur provokatif untuk melakukan tindakan anarkis dengan narasi “target utama untuk di NEPALKAN” terhadap Luhut, Bahlil, dan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</si>
  <si>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https://x.com/BelaRakyatPIK2/status/1994549398454636775</t>
    </r>
  </si>
  <si>
    <t>Konten ini diduga memuat unsur provokatif untuk melakukan tindakan anarkis dengan narasi “NEPALKAN” terhadap keluarga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</si>
  <si>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https://x.com/syamh45/status/1994453918227861618</t>
    </r>
  </si>
  <si>
    <t>Konten tersebut diduga mengandung unsur provokatif dengan ajakan untuk melakukan tindak anarkis dengan narasi “Nepalkan” terhadap KPK.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</si>
  <si>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https://x.com/RON1N3535/status/1994342909546533038</t>
    </r>
  </si>
  <si>
    <t>Konten tersebut diduga mengandung unsur provokatif dengan ajakan untuk melakukan tindakan perampasan kekayaan Luhut dan Joko Widodo atas tuduhan kasus korupsi.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</si>
  <si>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https://www.facebook.com/share/p/1Cm8QxCJMC/</t>
    </r>
  </si>
  <si>
    <t>Konten tersebut diduga mengandung unsur provokatif dengan ajakan untuk melakukan tindak anarkis dengan narasi “Nepalkan” terhadap Bahlil.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</si>
  <si>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https://www.facebook.com/share/p/17WRwhubFA/</t>
    </r>
  </si>
  <si>
    <t>Konten tersebut diduga mengandung unsur provokatif gerakan separatisme dengan narasi “Salam Pembebasan Negara Aceh Darussalam”.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</si>
  <si>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https://www.facebook.com/share/p/1DQCY3vN3m/</t>
    </r>
  </si>
  <si>
    <t>Konten tersebut mengandung provokasi dan narasi separatisme Aceh Merdeka yang disertai dengan pengibaran bendera GAM.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</si>
  <si>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https://www.facebook.com/share/p/1MoUzNsaZT/</t>
    </r>
  </si>
  <si>
    <t>Konten tersebut mengandung provokasi dan narasi separatisme Aceh Merdeka yang disertai dengan pengibaran bendera GAM dan mengajak masyarakat Aceh untuk merayakan Hari Jadi GAM 2025.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</si>
  <si>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https://x.com/Umar83638540/status/1983936395589918790?s=20</t>
    </r>
  </si>
  <si>
    <t>Konten tersebut mengandung provokasi dengan narasi bahwa Indonesia bukan negara berdaulat beserta upaya delegitimasi negara dengan menyebutkan bahwa Indonesia hanya negara bajingan, dengan tuduhan bahwa negara membiarkan warga negaranya disiksa di luar negeri.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</si>
  <si>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https://x.com/susno2g/status/1994706145169281279?s=20</t>
    </r>
  </si>
  <si>
    <t>Konten tersebut mengandung provokasi menggunakan disinformasi kategori misleading content dengan narasi yang berpotensi menciptakan opini masyarakat bahwa Bank Indonesia menipu Menteri Keuangan.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</si>
  <si>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58k</t>
  </si>
  <si>
    <r>
      <rPr>
        <rFont val="Arial,sans-serif"/>
        <color rgb="FF1155CC"/>
        <sz val="8.0"/>
        <u/>
      </rPr>
      <t>https://x.com/Hasby21834910/status/1994671425526141257?s=20</t>
    </r>
  </si>
  <si>
    <t>Konten ini berisi provokasi dengan menuding BRIN memiliki mental inlander dengan membuat publikasi dengan Bahasa Inggris.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(2).al 45A ayat (2).</t>
  </si>
  <si>
    <r>
      <rPr>
        <rFont val="Arial,sans-serif"/>
        <color rgb="FF1155CC"/>
        <sz val="8.0"/>
        <u/>
      </rPr>
      <t>https://www.facebook.com/share/v/1CvL2YHCk3</t>
    </r>
  </si>
  <si>
    <t>Konten ini mengandung provokasi dengan narasi ujaran kebencian terkait SARA. Narasi yang dibuat diduga bertujuan untuk mengadu domba suatu etnis dengan etnis lain di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</si>
  <si>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https://x.com/neohistoria_id/status/1993917507078640048?s=20</t>
    </r>
  </si>
  <si>
    <t>Konten tersebut diduga mengandung provokasi dengan menggunakan gambar meme dengan pesan “Eat The Rich”.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</si>
  <si>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453K folls</t>
  </si>
  <si>
    <r>
      <rPr>
        <rFont val="Arial,sans-serif"/>
        <color rgb="FF1155CC"/>
        <sz val="8.0"/>
        <u/>
      </rPr>
      <t>https://x.com/LeoMess84466017/status/1994740388712910883?t=DGWIwA3Ibg-pSbAt5PRsSg&amp;s=08</t>
    </r>
  </si>
  <si>
    <t>Konten tersebut mengandung provokasi dengan ujaran kebencian terkait SARA dengan narasi akan memusnahkan etnis tertentu.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</si>
  <si>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https://www.facebook.com/share/v/1JxfhUU5Bg/</t>
    </r>
  </si>
  <si>
    <t>Konten tersebut mengandung provokasi dengan narasi separatisme Aceh merdeka. Pada konten tersebut disebutkan bahwa Indonesia merupakan penjajah karena melarang bendera Bulan Bintang dikibarkan.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</si>
  <si>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facebook.com/share/p/1CcSZFUS4Q/</t>
    </r>
  </si>
  <si>
    <t>Konten tersebut mengandung provokasi dengan narasi separatisme Aceh merdeka. Terdapat salam yang disebutkan dalam konten tersebut yang merupakan salam pembebasan Negara Aceh Darussalam.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</si>
  <si>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https://www.facebook.com/groups/502100264914813/permalink/1166122728512560/?rdid=fsZIjXhZLvAHc5yn#</t>
    </r>
  </si>
  <si>
    <t>Konten tersebut mengandung narasi separatisme Papua merdeka disertai dengan foto-foto anggota KKB Papua.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</si>
  <si>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https://www.facebook.com/story.php?story_fbid=122106178905129957&amp;id=61583898728881&amp;rdid=gePsCDqQRIv3eo4B#</t>
    </r>
  </si>
  <si>
    <r>
      <rPr>
        <rFont val="'Times New Roman',serif"/>
        <color rgb="FF1155CC"/>
        <sz val="8.0"/>
        <u/>
      </rPr>
      <t>https://www.facebook.com/groups/199908090907381/posts/1957118031853036/</t>
    </r>
  </si>
  <si>
    <r>
      <rPr>
        <rFont val="'Times New Roman',serif"/>
        <color rgb="FF1155CC"/>
        <sz val="8.0"/>
        <u/>
      </rPr>
      <t>https://www.facebook.com/groups/199908090907381/posts/1941546340076872/</t>
    </r>
  </si>
  <si>
    <r>
      <rPr>
        <rFont val="'Times New Roman',serif"/>
        <color rgb="FF1155CC"/>
        <sz val="8.0"/>
        <u/>
      </rPr>
      <t>https://www.facebook.com/groups/199908090907381/posts/1940727780158728/</t>
    </r>
  </si>
  <si>
    <r>
      <rPr>
        <rFont val="'Times New Roman',serif"/>
        <color rgb="FF1155CC"/>
        <sz val="8.0"/>
        <u/>
      </rPr>
      <t>https://www.facebook.com/groups/199908090907381/posts/1887929108771929/</t>
    </r>
  </si>
  <si>
    <t>https://x.com/PresidenKopi/status/1985236765721117112</t>
  </si>
  <si>
    <t>fix out dulu (centang biru, akun besar 60k followers)</t>
  </si>
  <si>
    <t>https://x.com/tinylotus27/status/1985507197670105254</t>
  </si>
  <si>
    <t>https://www.facebook.com/photo?fbid=1540620517639968&amp;set=a.698520645183297</t>
  </si>
  <si>
    <t>Beredar sebuah unggahan di media sosial yang mengeklaim Menteri Keuangan Purbaya Yudhi Sadewa yang disebut akan menyewa tim hacker untuk membobol data anggaran negara di DPR RI.
 Faktanya, Konten yang mengeklaim Menteri Keuangan Purbaya Yudhi Sadewa yang disebut akan menyewa tim hacker untuk membobol data anggaran negara di DPR RI merupakan hoaks. Dilansir dari ntbsatu.com, melalui unggahan di akun Instagram resminya @ppid.kemenkeu, pihak Pejabat Pengelola Informasi dan Dokumentasi (PPID) Kementerian Keuangan menegaskan tidak ada pernyataan resmi, rekaman rapat, atau dokumen pemerintah yang menunjukkan adanya rencana perekrutan hacker oleh Menteri Keuangan untuk membobol data anggaran di DPR. Kementerian Keuangan juga mengimbau masyarakat agar tidak mudah mempercayai dan menyebarkan informasi tanpa verifikasi. Publik perlu memeriksa keaslian sumber berita sebelum membagikannya ke media sosial. Pemerintah selalu menjalankan transparansi anggaran negara melalui prosedur resmi dan menolak tindakan ilegal seperti peretasan data.
 Link Counter :
 https://ntbsatu.com/2025/11/07/cek-fakta-purbaya-sewa-hacker-untuk-bongkar-anggaran-dpr-ri.html 
 https://www.kompas.com/cekfakta/read/2025/11/14/121800982/infografik--beredar-hoaks-purbaya-siapkan-hacker-untuk-bobol-data</t>
  </si>
  <si>
    <t>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t>
  </si>
  <si>
    <t>https://www.facebook.com/eko.oktareza/posts/pfbid02X5KZgLUXHvhqPXhWmjUHjKFtiuiTgaxgSstMGPnXkEHryDfN4T8SF9KxF7GW22Qhl</t>
  </si>
  <si>
    <t>https://www.facebook.com/arisandy.sakito/posts/pfbid09ZNsqg22FLHoS5uVYs6KaiQSYsD9ZnXPwKJRjcSYcbZp2BahfFXbd5N9hC7CyBDfl</t>
  </si>
  <si>
    <t>https://x.com/Anfieldbreath/status/1992462225089663053</t>
  </si>
  <si>
    <t>https://x.com/zaitshalsyabill/status/1992789858851667992</t>
  </si>
  <si>
    <t>https://www.facebook.com/groups/523183267134157/posts/830934093025738/</t>
  </si>
  <si>
    <t>https://www.facebook.com/groups/523183267134157/posts/829862156466265/</t>
  </si>
  <si>
    <t>https://www.facebook.com/groups/523183267134157/posts/829901523128995/</t>
  </si>
  <si>
    <r>
      <rPr>
        <rFont val="Arial,sans-serif"/>
        <color rgb="FF1155CC"/>
        <sz val="8.0"/>
        <u/>
      </rPr>
      <t>https://x.com/junaidin97880/status/1994933096479908044</t>
    </r>
  </si>
  <si>
    <t>Konten ini diduga memuat unsur provokatif untuk melakukan tindakan anarkis dengan narasi “Nepalkan” terhadap Indonesia yang dikaitkan dengan bencana yang dialami oleh Aceh, Sumatera Utara, dan Sumatera Barat.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</si>
  <si>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https://x.com/lendirkekuasaan/status/1994914306530660498</t>
    </r>
  </si>
  <si>
    <t>Konten ini diduga memuat unsur provokatif untuk melakukan tindakan anarkis dengan narasi “NEPALKAN” terhadap Raja Juli Antoni dan Zukifli Hasan.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</si>
  <si>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https://www.facebook.com/share/p/1JWthA1A92/</t>
    </r>
  </si>
  <si>
    <r>
      <rPr>
        <rFont val="Arial,sans-serif"/>
        <color rgb="FF1155CC"/>
        <sz val="8.0"/>
        <u/>
      </rPr>
      <t>https://www.facebook.com/share/p/181nA1BvyX/</t>
    </r>
  </si>
  <si>
    <t>Konten tersebut diduga mengandung unsur provokatif gerakan separatisme “Aceh Merdeka” yang dikaitkan dengan bencana alam yang menimpa sejumlah wilayah di Aceh.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</si>
  <si>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https://www.facebook.com/share/p/16XLEsieKN/</t>
    </r>
  </si>
  <si>
    <t>Konten tersebut diduga mengandung unsur provokatif gerakan separatisme dengan bendera GAM dan mengajak masyarakat Aceh untuk merayakan Hari Jadi GAM 2025.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</si>
  <si>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https://www.facebook.com/share/p/1CQ8DJku4s/</t>
    </r>
  </si>
  <si>
    <t>https://x.com/HotelBrongto/status/1995038420662718628</t>
  </si>
  <si>
    <t>Konten ini mengandung unsur provokatif dengan narasi “Bubarkan Indonesia” yang dikaitkan dengan polemik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</si>
  <si>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https://www.facebook.com/share/p/17JgktjbZD/</t>
    </r>
  </si>
  <si>
    <t>Konten ini mengandung unsur provokasi dengan narasi ajakan melakukan revolusi total seperti di negara Nepal. Terdapat tudingan “pengaruh PKI Jokowi”, dan tudingan Presiden Prabowo merupakan boneka Joko Widodo.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serta Undang-Undang KUHP pasal 160, 170, dan 187.</t>
  </si>
  <si>
    <r>
      <rPr>
        <rFont val="Arial,sans-serif"/>
        <color rgb="FF1155CC"/>
        <sz val="8.0"/>
        <u/>
      </rPr>
      <t>https://www.facebook.com/share/p/1BSoaP6C3C/</t>
    </r>
  </si>
  <si>
    <t>Konten ini mengandung narasi provokasi dengan narasi yang diduga berpotensi menyebabkan polarisasi di masyarakat. Narasi yang dikemukakan pada konten tersebut dengan mengadu domba masyarakat berkaitan dengan Pilpres 2029.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</si>
  <si>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https://www.facebook.com/share/p/1NvFnhV5Hq/</t>
    </r>
  </si>
  <si>
    <t>Konten ini mengandung provokasi dengan narasi separatisme ajakan untuk memerdekakan diri dari Pemerintah Indonesia. Pada konten tersebut, disebutkan apabila Pemerintah Pusat tidak memedulikan bencana alam yang terjadi di Tapanuli, maka lebih baik memerdekakan diri.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</si>
  <si>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https://www.facebook.com/share/p/1b3obXmYMz/</t>
    </r>
  </si>
  <si>
    <t>Konten ini berisi provokasi dengan narasi separatisme untuk memerdekakakn Papua Barat dan peringatan proklamasi hari kemerdekaan Papua Barat.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(2).al 45A ayat (2).</t>
  </si>
  <si>
    <r>
      <rPr>
        <rFont val="Arial,sans-serif"/>
        <color rgb="FF1155CC"/>
        <sz val="8.0"/>
        <u/>
      </rPr>
      <t>https://www.facebook.com/share/p/17jrP2dTsS/</t>
    </r>
  </si>
  <si>
    <t>Konten ini mengandung provokasi dengan narasi separatisme Papua Merdeka. Dalam konten tersebut, disertakan argumen Veronica Koman yang menyatakan bahwa anggota  TPNPB tidak dapat dibunuh karena berstatus sebagai kombatan.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</si>
  <si>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https://www.facebook.com/profile.php?id=61577741050666</t>
    </r>
  </si>
  <si>
    <t>Akun tersebut aktif mengunggah konten yang mengandung provokasi dengan narasi provokasi kemerdekaan Papua Barat.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</si>
  <si>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https://www.facebook.com/share/p/14TbG9d1s3A/</t>
    </r>
  </si>
  <si>
    <t>Konten tersebut mengandung provokasi dengan narasi separatisme Papua Merdeka. Pada konten tersebut, disebutkan bahwa Papua tidak pernah memiliki niatan bergabung dengan Indonesia.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</si>
  <si>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https://x.com/Jamel7791/status/1995052140663013521?s=20</t>
    </r>
  </si>
  <si>
    <t>Konten tersebut mengandung provokasi dengan narasi separatisme Referendum Sumatra. Selain itu, terdapat ajakan untuk membentuk negara baru untuk menjadi contoh bagi pemerintahan “Jawakarta”.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</si>
  <si>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https://x.com/achehsultanate/status/1994729176541409467?s=20</t>
    </r>
  </si>
  <si>
    <t>Konten tersebut mengandung provokasi dengan narasi Sumatera tidak penting di mata Presiden Prabowo karena belum terdapat unggahan dari akun Instagram Presiden mengenai banjir yang terjadi di Sumatera.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</si>
  <si>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https://x.com/achehsultanate/status/1995154794806489444?s=20</t>
    </r>
  </si>
  <si>
    <t>Konten tersebut mengandung narasi separatisme Sumatera beserta ajakan untuk membentuk negara federasi sebagai solusi terbaik.
Hal ini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</si>
  <si>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https://www.facebook.com/61583220370446/videos/860107456701239/</t>
  </si>
  <si>
    <t xml:space="preserve">Beredar unggahan video di media sosial Facebook yang mengeklaim bahwa setelah disahkannya Rancangan Undang-Undang (RUU) KUHAP, aparat boleh menangkap orang tanpa bukti.
Faktanya, klaim tersebut adalah tidak benar. Dilansir dari turnbackhoax.id, setelah dilakukan penelusuran menggunakan Google dengan memasukan kata kunci “DPR sahkan RUU KUHAP, Aparat boleh tangkap orang tanpa bukti”, hasilnya mengarah ke artikel milik idntimes.com berjudul “Cek Fakta: KUHAP Baru Atur Polisi Bisa Diam-diam Menyadap?”. Artikel tersebut membantah berita hoaks tentang penyadapan dan pemblokiran, termasuk klaim bahwa aparat boleh menangkap orang tanpa bukti dan perintah penyidik. Dari draf RUU KUHAP yang dimuat di laman jdih.mahkamahagung.go.id, dijelaskan bahwa menurut Pasal 93 dan Pasal 99 KUHAP, penangkapan, penahanan, dan penggeledahan harus dilakukan dengan sangat hati-hati, dengan persetujuan penyidik dan berdasarkan minimal 2 alat bukti.
Link Counter:
https://turnbackhoax.id/articles/30198
https://www.idntimes.com/news/indonesia/cek-fakta-kuhap-baru-atur-polisi-bisa-diam-diam-menyadap-00-xvwcc-rz5bnp
https://jdih.mahkamahagung.go.id/legal-product/kitab-undang-undang-hukum-acara-pidana/download
</t>
  </si>
  <si>
    <t>https://www.facebook.com/Cahyabae13/videos/1550524455943400/</t>
  </si>
  <si>
    <t>Beredar unggahan video di media sosial Facebook yang mengeklaim bahwa setelah disahkannya Rancangan Undang-Undang (RUU) KUHAP, aparat boleh menangkap orang tanpa bukti.
Faktanya, klaim tersebut adalah tidak benar. Dilansir dari turnbackhoax.id, setelah dilakukan penelusuran menggunakan Google dengan memasukan kata kunci “DPR sahkan RUU KUHAP, Aparat boleh tangkap orang tanpa bukti”, hasilnya mengarah ke artikel milik idntimes.com berjudul “Cek Fakta: KUHAP Baru Atur Polisi Bisa Diam-diam Menyadap?”. Artikel tersebut membantah berita hoaks tentang penyadapan dan pemblokiran, termasuk klaim bahwa aparat boleh menangkap orang tanpa bukti dan perintah penyidik. Dari draf RUU KUHAP yang dimuat di laman jdih.mahkamahagung.go.id, dijelaskan bahwa menurut Pasal 93 dan Pasal 99 KUHAP, penangkapan, penahanan, dan penggeledahan harus dilakukan dengan sangat hati-hati, dengan persetujuan penyidik dan berdasarkan minimal 2 alat bukti.
Link Counter:
https://turnbackhoax.id/articles/30198
https://www.idntimes.com/news/indonesia/cek-fakta-kuhap-baru-atur-polisi-bisa-diam-diam-menyadap-00-xvwcc-rz5bnp
https://jdih.mahkamahagung.go.id/legal-product/kitab-undang-undang-hukum-acara-pidana/download</t>
  </si>
  <si>
    <t>1 Desember 2025</t>
  </si>
  <si>
    <t>https://web.facebook.com/share/p/1BAAJzogFJ/</t>
  </si>
  <si>
    <t>Ditemukan Konten yang diduga memuat unsur provokatif untuk melakukan tindakan anarkis dengan narasi "Bubarkan Komnas HAM" disertai dengan ajakan merobohkan kantor Komnas HAM.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</si>
  <si>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https://web.facebook.com/share/p/1BwPuDkvRn/</t>
  </si>
  <si>
    <t>Ditemukan konten yang diduga memuat unsur provokatif untuk melakukan tindakan anarkis dengan narasi "Nepalkan" Kepala BNPB atas ucapan yang dikeluarkan terkait Banjir di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</si>
  <si>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https://web.facebook.com/share/p/15YVdwveqZH/</t>
  </si>
  <si>
    <t>Ditemukan konten yang diduga bersifat provokatif, mendorong tindakan anarkis, dan mengajak masyarakat untuk berkumpul di depan kediaman Joko Widodo untuk menepalkannya, serta menyebarkan narasi yang menilai Jokowi sebagai pengkhianat bangsa.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</si>
  <si>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https://web.facebook.com/share/r/1b9Gk6y1Gb/</t>
  </si>
  <si>
    <t>Ditemukan konten yang diduga mengandung unsur provokatif untuk melakukan tindakan anarkis dengan narasi bubarkan dan hilangkan lembaga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</si>
  <si>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https://web.facebook.com/share/p/1GBYzj98Qg/</t>
  </si>
  <si>
    <t>Ditemukan konten yang diduga mengandung unsur provokatif untuk melakukan tindakan anarkis dengan narasi "Bubarkan" Komnas HAM dikarenakan lebih mementingkan kelompok KKB bukan keselamatan pasukan keamanan.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</si>
  <si>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https://x.com/regar_op0sisi/status/1994584769859129661</t>
  </si>
  <si>
    <t>Ditemukan konten pada media sosial Twitter yang diduga bermuatan narasi provokatif bahwa Menteri ESDM Bahlil Lahadalia merupakan makhluk yang perlu di Nepalkan.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</si>
  <si>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https://x.com/rasasasa333/status/1995591289249931635</t>
  </si>
  <si>
    <t>Ditemukan konten pada media sosial Twitter yang diduga bermuatan narasi ujaran kebencian terhadap Menteri Koordinator Bidang Pangan Zulkifli Hasan disertai dengan video yang bahwa Zulhas sedang melakukan kegiatan peninjauan korban bencana alam.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</si>
  <si>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https://x.com/skybenar/status/1995299226465734770</t>
  </si>
  <si>
    <t>Ujaran Kebencian, SARA
dan Separatisme</t>
  </si>
  <si>
    <t>Ditemukan konten pada media sosial Twitter yang diduga memiliki muatan narasi ujaran kebencian dan SARA terhadap Mantan Presiden Jokowi, etnis tionghoa, dan Jawa, serta terdapat narasi separatisme agar Sumatera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</si>
  <si>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https://x.com/sammy10726838/status/1993923014313046503</t>
  </si>
  <si>
    <t>Ujaran Kebencian
Dan
SARA</t>
  </si>
  <si>
    <t>Ditemukan konten pada media sosial twitter yang diduga memiliki muatan narasi ujaran kebencian dan SARA terhadao mantan Presiden Jokowi dan etnis Jawa.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</si>
  <si>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https://www.facebook.com/masykur.bhother/posts/pfbid02ARcfdrVh4Z2GSRgXQQcegHktNzdHNe6NqtENmvU1MHm1vQVyBLeoHobRY3NsDqb7l</t>
  </si>
  <si>
    <t>Provokatif, Ujaran Kebencian
dan
SARA</t>
  </si>
  <si>
    <t>Ditemukan konten pada media sosial Facebook yang diduga bermuatan narasi ujaran kebencian dan SARA terhadap Wakil Presiden Gibran dan Jokowi. Serta memiliki muatan narasi provokatif untuk mengajak aksi anarkisme dan kekerasan.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</si>
  <si>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https://www.facebook.com/bella.nurzanah.94/posts/pfbid02PFSovDzgBnrXn2nHgY3CrB32xju1uueuFjDLPeTAMqhBnxJHWMgr6BVG8R4XUH6fl</t>
  </si>
  <si>
    <t>Ditemukan konten pada media sosial Tiktok yang diduga bermuatan konten provokatif untuk menepalkan Kepala BNPB Suharyanto.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</si>
  <si>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https://www.facebook.com/reel/823963270457037</t>
    </r>
  </si>
  <si>
    <r>
      <rPr>
        <rFont val="Arial"/>
        <sz val="8.0"/>
      </rPr>
      <t xml:space="preserve">Beredar sebuah unggahan di media sosial Facebook yang mengeklaim bahwa Gubernur Riau meminta Komisi Pemberantasan Korupsi (KPK) untuk memeriksa Joko Widodo (Jokowi).
Faktanya, klaim tersebut adalah tidak benar. Dilansir dari kompas.com, tidak ditemukan informasi yang kredibel terkait isu tersebut, bahkan foto asli unggahan tersebut merupakan rekayasa manipulasi artikel berita gelora.co yang berjudul "KPK Dalami Aliran Duit Pemerasan Rp 2 Miliar yang Disimpan Orang Kepercayaan Gubernur Riau Abdul Wahid." Artikel itu memuat pernyataan Plt Deputi Penindakan dan Eksekusi KPK Asep Guntur Rahayu terkait adanya dugaan aliran dana korupsi Abdul Wahid ke Partai Kebangkitan Bangsa (PKB).
Link Counter:
https://www.kompas.com/cekfakta/read/2025/11/07/161600182/-hoaks-gubernur-riau-minta-kpk-periksa-jokowi
</t>
    </r>
    <r>
      <rPr>
        <rFont val="Arial"/>
        <color rgb="FF1155CC"/>
        <sz val="8.0"/>
        <u/>
      </rPr>
      <t>https://www.gelora.co/2025/11/kpk-dalami-aliran-duit-pemerasan-rp-2.html?m=1</t>
    </r>
  </si>
  <si>
    <r>
      <rPr>
        <rFont val="Arial,sans-serif"/>
        <color rgb="FF1155CC"/>
        <sz val="8.0"/>
        <u/>
      </rPr>
      <t>https://www.facebook.com/reel/1520950809111784</t>
    </r>
  </si>
  <si>
    <t>Beredar sebuah unggahan di media sosial Facebook yang mengeklaim bahwa Gubernur Riau meminta Komisi Pemberantasan Korupsi (KPK) untuk memeriksa Joko Widodo (Jokowi).
Faktanya, klaim tersebut adalah tidak benar. Dilansir dari kompas.com, tidak ditemukan informasi yang kredibel terkait isu tersebut, bahkan foto asli unggahan tersebut merupakan rekayasa manipulasi artikel berita gelora.co yang berjudul "KPK Dalami Aliran Duit Pemerasan Rp 2 Miliar yang Disimpan Orang Kepercayaan Gubernur Riau Abdul Wahid." Artikel itu memuat pernyataan Plt Deputi Penindakan dan Eksekusi KPK Asep Guntur Rahayu terkait adanya dugaan aliran dana korupsi Abdul Wahid ke Partai Kebangkitan Bangsa (PKB).
Link Counter:
https://www.kompas.com/cekfakta/read/2025/11/07/161600182/-hoaks-gubernur-riau-minta-kpk-periksa-jokowi
https://www.gelora.co/2025/11/kpk-dalami-aliran-duit-pemerasan-rp-2.html?m=1</t>
  </si>
  <si>
    <r>
      <rPr>
        <rFont val="Arial,sans-serif"/>
        <color rgb="FF1155CC"/>
        <sz val="8.0"/>
        <u/>
      </rPr>
      <t>https://www.facebook.com/reel/1557147215303356</t>
    </r>
  </si>
  <si>
    <t>2 Desember 2025</t>
  </si>
  <si>
    <t>https://web.facebook.com/share/v/19s3DFh9Tk/</t>
  </si>
  <si>
    <t>Ditemukan konten pada media sosial Facebook yang diduga memuat unsur provokatif untuk melakukan tindakan anarkis dengan narasi "Nepalkan" Luhut Binsar Panjaitan karena dinilai tidak memliki jasa pada kabinet presiden Prabowo Subianto.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</si>
  <si>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https://web.facebook.com/share/r/17VqVfwpzi/</t>
  </si>
  <si>
    <t>Ditemukan konten pada media sosial Facebook yang diduga memuat unsur provokatif untuk melakukan tindakan anarkis dengan narasi "Nepalkan" Jokowi dikarenakan kasus ijazah palsu miliknya.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</si>
  <si>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https://web.facebook.com/share/p/1JPZeDyPZ3/</t>
  </si>
  <si>
    <t>Ditemukan konten pada media sosial Facebook yang diduga memuat unsur provokatif untuk melakukan tindakan anarkis dengan narasi Bubarkan Polri dan Pecat Kapolri karena dinilai tidak menanggapi masukan yang diberikan masyarakat untuk reformasi Polri.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</si>
  <si>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https://web.facebook.com/share/p/17ipdYdEEZ/</t>
  </si>
  <si>
    <t>Ditemukan konten pada media sosial Facebook yang diduga memuat unsur provokatif untuk melakukan tindakan anarkis dengan narasi Bubarkan Komnas HAM yang berpihak dan dibiayai oleh negara asing.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</si>
  <si>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https://web.facebook.com/share/p/1BtTZbAP1x/</t>
  </si>
  <si>
    <t>Ditemukan konten pada media sosial Facebook yang diduga memuat unsur provokatif dengan narasi Bubarkan DPR  dengan tidak memilih anggota DPR pada tahun 2029 disebabkan karena DPR selama ini tidak berjuang mensejahterakan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</si>
  <si>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https://web.facebook.com/share/v/14RQRjznAj5/</t>
  </si>
  <si>
    <t>Ditemukan konten pada media sosial Facebook yang diduga memiliki muatan narasi ujaran kebencian dan SARA yang mengatakan Mantan Presiden Jokowi yaitu etnis tionghoa dan komunis.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</si>
  <si>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https://www.tiktok.com/@baronsupagi/video/7578083050819456274</t>
  </si>
  <si>
    <t>Ditemukan konten pada media sosial Tiktok yang diduga memuat unsur provokatif dengan narasi Bubarkan DPR dengan cara mengosongkan kotak suara pada saat Pemilihan Legistatif 2029.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</si>
  <si>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https://www.tiktok.com/@garehindatu/video/7578149918586440968</t>
  </si>
  <si>
    <t>Provokatif
dan
Separatisme</t>
  </si>
  <si>
    <r>
      <t xml:space="preserve">Ditemukan akun media sosial Tiktok yang diduga menyebarkan konten yang memiliki muatan narasi provokatif dan gerakan separatisme dengan menarasikan “Sumatera Merdeka”.
Berikut beberapa tautan konten sebagai data dukung bahwa akun tersebut merupakan akun yang diduga menyebarkan konten Provokatif dengan narasi gerakan separatisme:
</t>
    </r>
    <r>
      <rPr>
        <rFont val="Arial,sans-serif"/>
        <color rgb="FF1155CC"/>
        <sz val="8.0"/>
        <u/>
      </rPr>
      <t>https://www.tiktok.com/@gerakansumateramerdeka/video/7512930899860770055</t>
    </r>
    <r>
      <rPr>
        <rFont val="Arial"/>
        <sz val="8.0"/>
      </rPr>
      <t xml:space="preserve">
</t>
    </r>
    <r>
      <rPr>
        <rFont val="Arial,sans-serif"/>
        <color rgb="FF1155CC"/>
        <sz val="8.0"/>
        <u/>
      </rPr>
      <t>https://www.tiktok.com/@gerakansumateramerdeka/photo/7506976454648024328</t>
    </r>
    <r>
      <rPr>
        <rFont val="Arial"/>
        <sz val="8.0"/>
      </rPr>
      <t xml:space="preserve">
</t>
    </r>
    <r>
      <rPr>
        <rFont val="Arial,sans-serif"/>
        <color rgb="FF1155CC"/>
        <sz val="8.0"/>
        <u/>
      </rPr>
      <t>https://www.tiktok.com/@gerakansumateramerdeka/video/7502995975301008647</t>
    </r>
    <r>
      <rPr>
        <rFont val="Arial"/>
        <sz val="8.0"/>
      </rPr>
      <t xml:space="preserve">
</t>
    </r>
    <r>
      <rPr>
        <rFont val="Arial,sans-serif"/>
        <color rgb="FF1155CC"/>
        <sz val="8.0"/>
        <u/>
      </rPr>
      <t>https://www.tiktok.com/@gerakansumateramerdeka/photo/7500376567537880327</t>
    </r>
    <r>
      <rPr>
        <rFont val="Arial"/>
        <sz val="8.0"/>
      </rPr>
      <t xml:space="preserve">
</t>
    </r>
    <r>
      <rPr>
        <rFont val="Arial,sans-serif"/>
        <color rgb="FF1155CC"/>
        <sz val="8.0"/>
        <u/>
      </rPr>
      <t>https://www.tiktok.com/@gerakansumateramerdeka/photo/7497058402628160776</t>
    </r>
    <r>
      <rPr>
        <rFont val="Arial"/>
        <sz val="8.0"/>
      </rPr>
      <t xml:space="preserv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</si>
  <si>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Ditemukan konten pada media sosial Tiktok yang diduga memiliki muatan narasi provokatif dan gerakan separatisme dengan menarasikan “Sumatra Merdeka” karena merasa diabaikan oleh Pemerintah terkait penetapan status bencana nasional.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</si>
  <si>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https://x.com/indepenSumatera/status/1900606902729667043</t>
  </si>
  <si>
    <t>Ditemukan konten pada media sosial twitter yang diduga memiliki muatan narasi provokatif dan gerakan separatisme dengan menarasikan “Mengapa Sumatera Harus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</si>
  <si>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https://x.com/JTsanada/status/1995680417157185951</t>
  </si>
  <si>
    <t>Provokatif
dan 
Ujaran Kebencian</t>
  </si>
  <si>
    <t>Ditemukan konten pada media sosial Twitter yang diduga mengandung ujaran kebencian dan provokasi untuk melakukan tindakan anarkis, dengan narasi menyerukan “Nepalkan” terhadap Menteri Kehutanan Raja Juli, Menteri ESDM Bahlil Lahadalia, Menteri Lingkungan Hidup Hanif Faisol, Luhut Binsar Panjaitan, dan Bobi Nasution.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</si>
  <si>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https://x.com/KiYang4343/status/1995709595306594561</t>
  </si>
  <si>
    <t>Ditemukan konten pada media sosial Twitter yang diduga mengandung narasi provokasi untuk melakukan tindakan anarkis “menepalkan” mantan Presiden Jokowi dan Luhut Binsar Panjaitan.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</si>
  <si>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https://www.facebook.com/groups/553943753567210/?multi_permalinks=1170346225260290</t>
  </si>
  <si>
    <t>Ditemukan konten pada media sosial Facebook yang diduga mengandung narasi provokasi untuk melakukan tindakan anarkis “menepalkan” Zulkifli Hasan dan Luhut Binsar Panjaitan.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</si>
  <si>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https://www.facebook.com/groups/1392429151628587</t>
  </si>
  <si>
    <t>Ditemukan grup pada media sosial Facebook yang diduga sebagai tempat diskusi para anggota gerakan separatisme “Sumatera Merdeka” atau “Republik Federal Sumatera” yang menginginkan kemerdekaan. mengandung narasi provokasi untuk melakukan tindakan anarkis “menepalkan” Zulkifli Hasan dan Luhut Binsar Panjaitan.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</si>
  <si>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https://x.com/maznariady</t>
  </si>
  <si>
    <t>Provokatif,
dan Separatisme</t>
  </si>
  <si>
    <t>Ditemukan akun media sosial twitter yang diduga bermuatan narasi provokatif dan separatisme. Narasi tersebut terletak pada bio akun yang menuliskan merdekakan negara Sumatra demi kemamuran dan halau penjajahan pulau Jawa.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</si>
  <si>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https://www.facebook.com/groups/1179856566370579/?multi_permalinks=1544884639867768</t>
    </r>
  </si>
  <si>
    <r>
      <rPr>
        <rFont val="Arial,sans-serif"/>
        <color rgb="FF1155CC"/>
        <sz val="8.0"/>
        <u/>
      </rPr>
      <t>https://www.facebook.com/groups/319794727369478/?multi_permalinks=855688913780054</t>
    </r>
  </si>
  <si>
    <r>
      <rPr>
        <rFont val="Arial,sans-serif"/>
        <color rgb="FF1155CC"/>
        <sz val="8.0"/>
        <u/>
      </rPr>
      <t>https://www.facebook.com/groups/225157887497430/?multi_permalinks=25008629842056891</t>
    </r>
  </si>
  <si>
    <r>
      <rPr>
        <rFont val="Arial,sans-serif"/>
        <color rgb="FF1155CC"/>
        <sz val="8.0"/>
        <u/>
      </rPr>
      <t>https://www.facebook.com/photo/?fbid=122105824437131080&amp;set=gm.2990097334518518&amp;idorvanity=2479676585560598</t>
    </r>
  </si>
  <si>
    <t>https://www.facebook.com/photo/?fbid=861498573078561&amp;set=g.2479676585560598</t>
  </si>
  <si>
    <t>https://www.facebook.com/photo/?fbid=122105824059131080&amp;set=gm.2990095634518688&amp;idorvanity=2479676585560598</t>
  </si>
  <si>
    <r>
      <rPr>
        <rFont val="Arial,sans-serif"/>
        <color rgb="FF1155CC"/>
        <sz val="8.0"/>
        <u/>
      </rPr>
      <t>https://www.facebook.com/photo?fbid=122204244296316851&amp;set=gm.2991550767706508&amp;idorvanity=2479676585560598</t>
    </r>
  </si>
  <si>
    <r>
      <rPr>
        <rFont val="Arial,sans-serif"/>
        <color rgb="FF1155CC"/>
        <sz val="8.0"/>
        <u/>
      </rPr>
      <t>https://www.facebook.com/photo/?fbid=122204227634316851&amp;set=gm.2991473147714270&amp;idorvanity=2479676585560598</t>
    </r>
  </si>
  <si>
    <r>
      <rPr>
        <rFont val="Arial,sans-serif"/>
        <color rgb="FF1155CC"/>
        <sz val="8.0"/>
        <u/>
      </rPr>
      <t>https://www.facebook.com/photo/?fbid=122204236544316851&amp;set=gm.2991490771045841&amp;idorvanity=2479676585560598</t>
    </r>
  </si>
  <si>
    <r>
      <rPr>
        <rFont val="Arial,sans-serif"/>
        <color rgb="FF1155CC"/>
        <sz val="8.0"/>
        <u/>
      </rPr>
      <t>https://www.facebook.com/groups/1613421496004593/posts/1801720740508000</t>
    </r>
  </si>
  <si>
    <r>
      <rPr>
        <rFont val="Arial,sans-serif"/>
        <color rgb="FF1155CC"/>
        <sz val="8.0"/>
        <u/>
      </rPr>
      <t>https://www.facebook.com/groups/1613421496004593/posts/1796672704346137</t>
    </r>
  </si>
  <si>
    <r>
      <rPr>
        <rFont val="Arial,sans-serif"/>
        <color rgb="FF1155CC"/>
        <sz val="8.0"/>
        <u/>
      </rPr>
      <t>https://www.facebook.com/groups/1613421496004593/posts/1793735451306529</t>
    </r>
  </si>
  <si>
    <r>
      <rPr>
        <rFont val="Calibri,sans-serif"/>
        <color rgb="FF1155CC"/>
        <sz val="8.0"/>
        <u/>
      </rPr>
      <t>https://www.facebook.com/permalink.php?story_fbid=pfbid02SPPZfsPCrJx5MpN5BESaDcSK1euSJeMmKGrUuGeQtfFCrx7G56KZyCqnWJAKQVGdl&amp;id=61567028345656</t>
    </r>
  </si>
  <si>
    <r>
      <rPr>
        <rFont val="Calibri,sans-serif"/>
        <color rgb="FF1155CC"/>
        <sz val="8.0"/>
        <u/>
      </rPr>
      <t>https://www.facebook.com/permalink.php?story_fbid=pfbid02x7vhYCQLjdQ1TBW15mMKPZbtMZWFequTvtLBFFNsoRCmm8AVnuXaBHqtASGhzNRrl&amp;id=61567028345656</t>
    </r>
  </si>
  <si>
    <r>
      <rPr>
        <rFont val="Calibri,sans-serif"/>
        <color rgb="FF1155CC"/>
        <sz val="8.0"/>
        <u/>
      </rPr>
      <t>https://www.facebook.com/permalink.php?story_fbid=pfbid02GS75boVdL6DQPJQYMS9khTxPnrygnfbfbqQoFRWU8HGKV5urfez6ioKiSFsmoLb6l&amp;id=61567028345656</t>
    </r>
  </si>
  <si>
    <r>
      <rPr>
        <rFont val="Calibri,sans-serif"/>
        <color rgb="FF1155CC"/>
        <sz val="8.0"/>
        <u/>
      </rPr>
      <t>https://www.facebook.com/permalink.php?story_fbid=pfbid027aP3TDagSTTRqF9uY1XP3mZjiQgoX8T5F1TKAPTd1paNAs7ZeL2wYq4HphZifiLVl&amp;id=61567028345656</t>
    </r>
  </si>
  <si>
    <r>
      <rPr>
        <rFont val="Calibri,sans-serif"/>
        <color rgb="FF1155CC"/>
        <sz val="8.0"/>
        <u/>
      </rPr>
      <t>https://www.facebook.com/permalink.php?story_fbid=pfbid0264gh4UXexTWmzsf7BxVhe6h8DUiPLye9LiKYB1MFtVpFWjScgmyqhzTXxPvixHjhl&amp;id=61567028345656</t>
    </r>
  </si>
  <si>
    <r>
      <rPr>
        <rFont val="Arial"/>
        <color rgb="FF1155CC"/>
        <sz val="8.0"/>
        <u/>
      </rPr>
      <t>https://www.facebook.com/photo/?fbid=791273153713898&amp;set=gm.2051770782258207&amp;idorvanity=746512186117413</t>
    </r>
    <r>
      <rPr>
        <rFont val="Arial"/>
        <sz val="8.0"/>
        <u/>
      </rPr>
      <t xml:space="preserve"> </t>
    </r>
  </si>
  <si>
    <t xml:space="preserve">Beredar unggahan di media sosial Facebook berisi narasi yang mengeklaim Komisi Nasional Hak Asasi Manusia (Komnas HAM) Pigai desak penarikan semua Tentara Nasional Indonesia (TNI) di Papua.
Faktanya, klaim tersebut adalah tidak benar. Dilansir dari tempo.co, tidak ada pernyataan resmi dari Natalius Pigai maupun Komnas HAM yang mendesak panglima TNI untuk penarikan total TNI dari Papua. Dikutip dari pikiran-rakyat.com, Komnas HAM merekomendasikan penarikan pasukan secara bertahap, bukan penarikan total dan rekomendasi itu disampaikan oleh Anis Hidayah, bukan Natalius Pigai. Natalius Pigai bukanlah bagian dari Komnas HAM. Ia merupakan Menteri HAM yang menjabat sejak Oktober 2026. Namun, sebelumnya ia sempat menjadi komisioner Komnas HAM pada 2012—2017. Sementara itu, Panglima TNI menegaskan kehadiran TNI untuk membantu kesulitan masyarakat yang mendapat ancaman gangguan dari kelompok bersenjata.
Link Counter :
https://www.tempo.co/politik/komnas-ham-desak-pemerintah-terapkan-pendekatan-dialog-di-papua-2082094     
https://mediakupang.pikiran-rakyat.com/nasional/pr-1389735975/respon-permintaan-komnas-ham-tarik-pasukan-dari-papua-panglima-tni-itu-hal-bodoh?utm_source=chatgpt.com   </t>
  </si>
  <si>
    <t>https://www.facebook.com/photo/?fbid=1126106173007243&amp;set=gm.1947294842667159&amp;idorvanity=1297911904272126</t>
  </si>
  <si>
    <r>
      <rPr>
        <rFont val="Arial"/>
        <color rgb="FF1155CC"/>
        <sz val="8.0"/>
        <u/>
      </rPr>
      <t>https://www.facebook.com/photo.php?fbid=25010556148611414&amp;set=a.108511075909266&amp;type=3</t>
    </r>
    <r>
      <rPr>
        <rFont val="Arial"/>
        <sz val="8.0"/>
      </rPr>
      <t xml:space="preserve"> </t>
    </r>
  </si>
  <si>
    <t>3 Desember 2025</t>
  </si>
  <si>
    <r>
      <rPr>
        <rFont val="Arial,sans-serif"/>
        <color rgb="FF1155CC"/>
        <sz val="8.0"/>
        <u/>
      </rPr>
      <t>https://www.instagram.com/reel/DRyLSuMCD6i/</t>
    </r>
  </si>
  <si>
    <t>Ditemukan konten pada media sosial Instagram yang diduga memuat unsur provokatif untuk melakukan tindakan anarkis dengan narasi "Nepalkan" Luhut Binsar Panjaitan karena dinilai memberikan kesempatan pihak asing untuk menjarah kekayaan alam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</si>
  <si>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https://www.threads.com/search?q=sumatera%20merdeka&amp;serp_type=default</t>
  </si>
  <si>
    <t>Ditemukan akun media sosial threads yang diduga bermuatan narasi separatisme.
Separatisme di tandai pada konten yang berisi dukungan terhadap gerakan sumatera merdeka. Oleh beberapa akun instagram.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</si>
  <si>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https://www.youtube.com/watch?v=FYsljTTOU6I</t>
    </r>
  </si>
  <si>
    <t>Ditemukan konten pada media sosial Youtube yang diduga memuat unsur provokatif untuk melakukan tindakan anarkis dengan narasi "Nepalkan" Luhut Binsar Panjaitan dan Joko Widodo karena dinilai memberikan pihak asing untuk menjarah kekayaan alam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</si>
  <si>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https://www.facebook.com/share/r/17cnakME5w/</t>
    </r>
  </si>
  <si>
    <r>
      <t xml:space="preserve">Ditemukan akun pada media sosial Facebook yang diduga berisi provokasi disertai disinformasi dengan menggunakan AI sebagai pendukung visualisasi berita. Konten akun berisi adu domba kepada berbagai pihak. Konten yang dimaksud meliputi : 
</t>
    </r>
    <r>
      <rPr>
        <rFont val="Arial,sans-serif"/>
        <color rgb="FF1155CC"/>
        <sz val="8.0"/>
        <u/>
      </rPr>
      <t>https://www.facebook.com/reel/1075481361257655</t>
    </r>
    <r>
      <rPr>
        <rFont val="Arial"/>
        <sz val="8.0"/>
      </rPr>
      <t xml:space="preserve">
</t>
    </r>
    <r>
      <rPr>
        <rFont val="Arial,sans-serif"/>
        <color rgb="FF1155CC"/>
        <sz val="8.0"/>
        <u/>
      </rPr>
      <t>https://www.facebook.com/reel/1226838659348589</t>
    </r>
    <r>
      <rPr>
        <rFont val="Arial"/>
        <sz val="8.0"/>
      </rPr>
      <t xml:space="preserve">
</t>
    </r>
    <r>
      <rPr>
        <rFont val="Arial,sans-serif"/>
        <color rgb="FF1155CC"/>
        <sz val="8.0"/>
        <u/>
      </rPr>
      <t>https://www.facebook.com/reel/822050407096779</t>
    </r>
    <r>
      <rPr>
        <rFont val="Arial"/>
        <sz val="8.0"/>
      </rPr>
      <t xml:space="preserv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</si>
  <si>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r>
      <rPr>
        <rFont val="Arial,sans-serif"/>
        <color rgb="FF1155CC"/>
        <sz val="8.0"/>
        <u/>
      </rPr>
      <t>https://www.youtube.com/watch?v=dj8zfgHxP74</t>
    </r>
  </si>
  <si>
    <t>Ditemukan konten pada media sosial Youtube yang diduga memuat unsur provokatif untuk melakukan tindakan anarkis dengan narasi "Nepalkan" Luhut Binsar Panjaitan karena dinilai melakukan korupsi.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</si>
  <si>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https://www.instagram.com/p/DRyFNBSE1v2/</t>
    </r>
  </si>
  <si>
    <t>Ditemukan konten pada media sosial Instagram yang diduga berisi unsur ujaran kebencian dengan memberikan narasi pada video pejabat yang sedang memberikan bantuan dengan anggapan cara yang tidak etis.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</si>
  <si>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https://x.com/SemutMerah2024/status/1996075402411081837</t>
    </r>
  </si>
  <si>
    <t>Ditemukan konten pada media sosial twitter yang diduga memuat unsur provokatif untuk melakukan tindakan anarkis dengan narasi ajakan "Nepalkan" Luhut Binsar Panjaitan dan Joko Widodo kepada masyarakat apabila Presiden Prabowo tidak dapat menyanggupi.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</si>
  <si>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https://www.facebook.com/par.pasaribu.7/posts/anak-tirisumatera-anak-tiri-nkri-mau-dikadalin-dicoba-mengatakan-tak-ada-bencana/1372874161254113/</t>
    </r>
  </si>
  <si>
    <t>Ditemukan konten pada media sosial facebook yang diduga memuat ujaran kebencian melalui penambahan Narasi negatif pada berita yang sudah ada. Informasi yang ditambahkan juga memuat sikap negatif terhadap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</si>
  <si>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https://www.facebook.com/100092604229866/posts/aceh-merdeka-%EF%B8%8F/770584042705063/</t>
    </r>
  </si>
  <si>
    <t>Ditemukan konten media sosial Facebook yang diduga bermuatan narasi Separatisme dan separatisme. Konten tersebut berisikan narasi aceh merdeka ketika setelah terdampak musibah.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</si>
  <si>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https://www.threads.com/@salwamaze/post/DRxKPCEklCO/indonesia-memang-dari-dulu-tak-pernah-sukakan-sumatra-gara-pemerintah-republik</t>
    </r>
  </si>
  <si>
    <t>Ditemukan konten media sosial Threads yang diduga bermuatan narasi separatisme. Konten tersebut berisikan Sumatera yang dianaktirikan oleh Indonesia dan adanya keterikatan dengan bangsa melayu pada masa lalu.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</si>
  <si>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https://www.facebook.com/groups/2386029115037553/posts/3187618618211928/</t>
    </r>
  </si>
  <si>
    <r>
      <rPr>
        <rFont val="Arial,sans-serif"/>
        <color rgb="FF1155CC"/>
        <sz val="8.0"/>
        <u/>
      </rPr>
      <t>https://www.facebook.com/groups/2386029115037553/posts/3187569304883526/</t>
    </r>
  </si>
  <si>
    <r>
      <rPr>
        <rFont val="Arial,sans-serif"/>
        <color rgb="FF1155CC"/>
        <sz val="8.0"/>
        <u/>
      </rPr>
      <t>https://www.facebook.com/groups/2386029115037553/posts/3187314938242296/</t>
    </r>
  </si>
  <si>
    <t>https://www.facebook.com/wani.rachman/posts/pfbid02pUCvdzZ8cDuRjn9hWRLvdtPkYwejMjyWAjTzJrwjK9mX3j48wRVt7PUHUexn2aebl</t>
  </si>
  <si>
    <t xml:space="preserve">Beredar sebuah unggahan di media sosial yang mengeklaim Menteri Keuangan Purbaya Yudhi Sadewa yang disebut akan menyewa tim hacker untuk membobol data anggaran negara di DPR RI.
Faktanya, Konten yang mengeklaim Menteri Keuangan Purbaya Yudhi Sadewa yang disebut akan menyewa tim hacker untuk membobol data anggaran negara di DPR RI merupakan hoaks. Dilansir dari ntbsatu.com, melalui unggahan di akun Instagram resminya @ppid.kemenkeu, pihak Pejabat Pengelola Informasi dan Dokumentasi (PPID) Kementerian Keuangan menegaskan tidak ada pernyataan resmi, rekaman rapat, atau dokumen pemerintah yang menunjukkan adanya rencana perekrutan hacker oleh Menteri Keuangan untuk membobol data anggaran di DPR. Kementerian Keuangan juga mengimbau masyarakat agar tidak mudah mempercayai dan menyebarkan informasi tanpa verifikasi. Publik perlu memeriksa keaslian sumber berita sebelum membagikannya ke media sosial. Pemerintah selalu menjalankan transparansi anggaran negara melalui prosedur resmi dan menolak tindakan ilegal seperti peretasan data.
Link Counter :
https://ntbsatu.com/2025/11/07/cek-fakta-purbaya-sewa-hacker-untuk-bongkar-anggaran-dpr-ri.html 
https://www.kompas.com/cekfakta/read/2025/11/14/121800982/infografik--beredar-hoaks-purbaya-siapkan-hacker-untuk-bobol-data  </t>
  </si>
  <si>
    <t xml:space="preserve">https://www.facebook.com/groups/1016963035392197/posts/2309740239447797/ </t>
  </si>
  <si>
    <t>4 Desember 2025</t>
  </si>
  <si>
    <t>https://www.facebook.com/share/r/1GncAKb2jj/</t>
  </si>
  <si>
    <t>Konten tersebut mengandung unsur provokasi dengan narasi ajakan melakukan “people power” dan narasi “Nepalkan” terhadap pejabat pemerintahan. Hal ini dikaitkan dengan konten video menampilkan kondisi pengungsi banjir di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</si>
  <si>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https://www.facebook.com/share/r/1GZepJXswV/</t>
    </r>
  </si>
  <si>
    <t>Konten tersebut mengandung unsur provokasi dengan narasi separatisme Papua Merdeka. Terdapat unsur provokasi berupa seruan adanya darurat militer dan sebutan “presiden boneka jakarta”.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</si>
  <si>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https://www.facebook.com/share/p/1BeBD8ia2M/</t>
    </r>
  </si>
  <si>
    <t>Konten tersebut mengandung unsur provokasi dengan ajakan melawan pemerintahan Indonesia yang sejak 2014 dipimpin oleh pemimpin boneka, disetir oligarki, dan komunis.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</si>
  <si>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https://www.facebook.com/share/r/1K5HFKGRd7/</t>
    </r>
  </si>
  <si>
    <t>Konten tersebut mengandung unsur provokasi dengan narasi separatisme Papua Merdeka. Konten tersebut menampilkan peringatan kemerdekaan Papua Barat beserta ajakan untuk merdeka dari “kaum boneka negara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</si>
  <si>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https://www.tiktok.com/@talino_nalino/video/7578890793348336903?_r=1&amp;_t=ZS-91uqHU00EM9</t>
    </r>
  </si>
  <si>
    <t>Konten tersebut mengandung unsur provokasi dengan narasi separatisme Aceh Merdeka. Terdapat provokasi dengan narasi yang menyebutkan Aceh tidak pernah mengakui negara Indonesia dan menjuluki Indonesia dengan julukan “negara pura-pura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</si>
  <si>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https://www.tiktok.com/@daskopi/video/7579277069951978773?_r=1&amp;_t=ZS-91uqPs8nYXN</t>
    </r>
  </si>
  <si>
    <t>Konten tersebut mengandung narasi provokasi dengan narasi separatisme. Narasi yang diangkat yaitu untuk mengembalikan Kerajaan Mataram yang selama ini dikuasai oleh pemerintah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</si>
  <si>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https://www.tiktok.com/@bang_one_avenue/video/7578461190112693511?_r=1&amp;_t=ZS-91ur0zUDgKy</t>
    </r>
  </si>
  <si>
    <t>Konten tersebut mengandung unsur provokatif dan disinformasi dengan jenis 
fabricated content yang menampilkan video AI mahasiswa yang berorasi mengenai adanya bandara ilegal di Morowali, pembalakan liar, dan banjir bandang di Sumatera. Video tersebut 
disandingkan dengan ilustrasi peresmian bandara IMIP Morowali oleh Jokowi dan Sjafrie Sjamsoeddin yang merupakan hasil rekayasa.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</si>
  <si>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https://www.facebook.com/share/v/17ff4KnyG9/</t>
  </si>
  <si>
    <t>Ditemukan konten pada media sosial Facebook yang diduga memuat unsur separatisme dengan narasi ajakan memanfaatkan momentum liputan wartawan asing saat banjir di Aceh untuk mencari dukungan internasional dan menyerukan "Aceh Merdeka" sebagai upaya memisahkan diri. Penyebaran informasi yang mengandung unsur provokatif dan separatisme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</si>
  <si>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sans-serif"/>
        <color rgb="FF1155CC"/>
        <sz val="8.0"/>
        <u/>
      </rPr>
      <t>https://www.facebook.com/share/p/14QGneDc4QR/</t>
    </r>
  </si>
  <si>
    <t>Ditemukan konten pada media sosial Facebook yang diduga memuat unsur ujaran kebencian (SARA) dengan narasi yang menyudutkan kelompok masyarakat suku Batak dan Jawa di Riau sebagai sumber permasalahan, serta melabeli kelompok tersebut dengan tuduhan rasisme, nepotisme, dan kriminal.
Penyebaran informasi yang mengandung unsur provokatif dan ujaran kebencian yang berpotensi menimbulkan rasa kebencian atau permusuhan, mengganggu keamanan, serta mengancam stabilitas negara diatur dalam Undang-Undang Nomor 1 Tahun 2024 tentang Perubahan Kedua Atas Undang-Undang Nomor 11 Tahun 2008 tentang Informasi dan Transaksi Elektronik pada Pasal 28 ayat (2) dan Pasal 45A ayat (2).</t>
  </si>
  <si>
    <r>
      <rPr>
        <rFont val="Arial,sans-serif"/>
        <color rgb="FF1155CC"/>
        <sz val="8.0"/>
        <u/>
      </rPr>
      <t>https://www.facebook.com/share/r/1GcaSWTxWm/</t>
    </r>
  </si>
  <si>
    <t>Ditemukan konten pada media sosial Facebook yang diduga memuat unsur provokatif dan ujaran kebencian dengan narasi ajakan untuk melakukan tindakan anarkis berupa "Tangkap, Seret, dan Gantung" serta "Nepalkan" terhadap Joko Widodo, Luhut Binsar Panjaitan, dan Gibran Rakabuming Raka karena dituduh sebagai penyebab kerusakan alam, bencana banjir, dan kerugian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</si>
  <si>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https://www.facebook.com/share/v/1HAvoRMCUx/</t>
    </r>
  </si>
  <si>
    <t>Berikut adalah hasil konversi data tersebut sesuai dengan format dan tata bahasa yang diminta:
Ditemukan konten pada media sosial Facebook yang diduga memuat unsur provokatif dengan narasi ajakan untuk melakukan tindakan anarkis berupa pengusiran terhadap pihak yang dituduh sebagai pengkhianat bangsa dan seruan untuk merampas aset ("nepalkan") secara paksa, serta melabeli Indonesia sebagai negara komunis.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</si>
  <si>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https://www.facebook.com/share/p/1Cy5sR98ZG/</t>
    </r>
  </si>
  <si>
    <t>Ditemukan konten pada media sosial Facebook yang diduga memuat unsur provokatif dan separatisme dengan narasi tuduhan bahwa kehadiran TNI dan Polri di Papua Barat melakukan genosida dan ekosida, serta melabeli NKRI sebagai pembunuh masyarakat sipil.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</si>
  <si>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https://x.com/OjolNyambi/status/1996444863412498813</t>
    </r>
  </si>
  <si>
    <t>Ditemukan konten pada media sosial Twitter yang diduga memuat unsur provokatif dan separatisme dengan narasi tuduhan bahwa aparat negara berkolaborasi dengan oligarki untuk mengeksploitasi sumber daya alam dan menyengsarakan rakyat, disertai makian kasar dan seruan hasutan untuk melakukan revolusi secepatnya.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</si>
  <si>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https://x.com/GunGuna0446496/status/1996468444649374010</t>
    </r>
  </si>
  <si>
    <t>Ditemukan konten pada media sosial Twitter yang diduga memuat unsur provokatif dengan narasi yang menyangkal identitas dan kedaulatan bangsa Indonesia serta melabeli negara sebagai wilayah jajahan (koloni).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</si>
  <si>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https://www.facebook.com/share/v/17V3mw8ruX/</t>
    </r>
  </si>
  <si>
    <t>Konten tersebut mengandung unsur provokasi dengan narasi ajakan untuk melepaskan diri dari NKRI. Dalam konten tersebut, disebutkan bahwa sudah cukup lama rakyat ditindas dengan aturan dan kebijakan di negeri ini.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</si>
  <si>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https://www.facebook.com/share/p/14SPtYkCEgt/</t>
    </r>
  </si>
  <si>
    <t>Konten tersebut mengandung unsur provokasi dengan narasi separatisme dukungan terhadap Gerakan Aceh Merdeka. Konten tersebut berisi ucapan perayaan HUT GAM dan dukungan agar Aceh keluar dari negara Indonesia.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</si>
  <si>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https://www.facebook.com/share/p/1F7tasAWgg/</t>
    </r>
  </si>
  <si>
    <t>Konten tersebut mengandung provokasi dengan narasi perspektif dukungan terhadap Papua merdeka. Narasi yang diangkat dalam konten tersebut adalah beberapa aspek yang mendukung kemerdekaan Papua dan Pepera tahun 1969 yang dianggap tidak adil dan tidak mewakili keinginan seluruh penduduk Papua.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</si>
  <si>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https://www.tiktok.com/@shooshan4/video/7579838781042216199?q=merdeka%20dari%20indonesia&amp;t=1764867429374</t>
    </r>
  </si>
  <si>
    <t>Konten tersebut mengandung unsur provokasi beserta ancaman apabila 4 Pulau Aceh lepas dari Provinsi Aceh. Terdapat narasi ancaman penggunaan senjata api apabila pulau-pulau tersebut tidak lagi tergabung dalam wilayah Provinsi Aceh.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</si>
  <si>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https://www.tiktok.com/@kapalo090/video/7579945057273351445?q=aceh%20merdeka&amp;t=1764867526594</t>
    </r>
  </si>
  <si>
    <t>Konten tersebut mengandung unsur provokasi dengan narasi separatisme Aceh Merdeka. Pada konten tersebut, ditampilkan upacara bendera menggunakan bendera bulan bintang beserta kalimat menyambut ulang tahun Aceh merdeka 1976-2025.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</si>
  <si>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https://www.tiktok.com/@cek_da2/video/7579978832933883154?q=aceh%20merdeka&amp;t=1764867526594</t>
    </r>
  </si>
  <si>
    <t>Konten tersebut mengandung unsur provokasi dengan narasi separatisme Aceh merdeka. Pada konten tersebut, ditampilkan upacara peringatan HUT Ke-49 GAM yang dipimpin oleh tokoh GAM.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</si>
  <si>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https://www.facebook.com/reel/1136791088601504</t>
    </r>
    <r>
      <rPr>
        <rFont val="Arial"/>
        <color rgb="FF1155CC"/>
        <sz val="8.0"/>
        <u/>
      </rPr>
      <t xml:space="preserve"> </t>
    </r>
  </si>
  <si>
    <r>
      <rPr>
        <rFont val="Arial"/>
        <sz val="8.0"/>
      </rPr>
      <t xml:space="preserve">Beredar sebuah unggahan di media sosial Facebook yang mengeklaim bahwa adanya kuis tebak nama kota oleh Dedi Mulyadi.
Faktanya, klaim tersebut adalah tidak benar. Dilansir dari turnbackhoax.id, tidak ditemukan informasi kredibel mengenai informasi tersebut. Video pada unggahan merupakan hasil rekayasa buatan artificial inteligence (AI) atau deepfake dengan agregat skor 99%. Dapat disimpulkan bahwa unggahan tersebut merupakan phishing atau penipuan.
Link Counter:
https://turnbackhoax.id/articles/30462
</t>
    </r>
    <r>
      <rPr>
        <rFont val="Arial"/>
        <color rgb="FF1155CC"/>
        <sz val="8.0"/>
        <u/>
      </rPr>
      <t>https://www.facebook.com/DediMulyadi1971</t>
    </r>
  </si>
  <si>
    <r>
      <rPr>
        <rFont val="Arial"/>
        <color rgb="FF1155CC"/>
        <sz val="8.0"/>
        <u/>
      </rPr>
      <t>https://www.facebook.com/reel/1332583735323409</t>
    </r>
    <r>
      <rPr>
        <rFont val="Arial"/>
        <color rgb="FF1155CC"/>
        <sz val="8.0"/>
        <u/>
      </rPr>
      <t xml:space="preserve"> </t>
    </r>
  </si>
  <si>
    <t>Beredar sebuah unggahan di media sosial Facebook yang mengeklaim bahwa adanya kuis tebak nama kota oleh Dedi Mulyadi.
Faktanya, klaim tersebut adalah tidak benar. Dilansir dari turnbackhoax.id, tidak ditemukan informasi kredibel mengenai informasi tersebut. Video pada unggahan merupakan hasil rekayasa buatan artificial inteligence (AI) atau deepfake dengan agregat skor 99%. Dapat disimpulkan bahwa unggahan tersebut merupakan phishing atau penipuan.
Link Counter:
https://turnbackhoax.id/articles/30462
https://www.facebook.com/DediMulyadi1971</t>
  </si>
  <si>
    <t xml:space="preserve">https://www.facebook.com/61581043731757/videos/1195612639042942/ </t>
  </si>
  <si>
    <t>5 Desember 2025</t>
  </si>
  <si>
    <t>https://x.com/achehsultanate/status/1996499035553927293?s=46</t>
  </si>
  <si>
    <t>Ditemukan konten pada media sosial Twitter yang diduga memuat unsur provokatif dan gerakan separatisme dengan menarasikan akan membuat sejarah baru pada tanggal 4 Desember yaitu Gerakan Aceh Merdeka jika bencana Aceh tidak masuk kedalam bencana nasional.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</si>
  <si>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https://x.com/indepensumatera/status/1996541265484353759?s=46</t>
  </si>
  <si>
    <t>Ditemukan konten pada media sosial Twitter yang diduga memuat unsur provokatif dan gerakan separatisme dengan menarasikan Aceh Merdeka didukung dengan video segerombolan orang yang membawa bendera GAM usai tidak mendapatkan bantuan maksimal setelah terjadinya bencana di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</si>
  <si>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https://x.com/ruben_5679/status/1996949255081083241?s=20</t>
  </si>
  <si>
    <t>Ditemukan konten pada media sosial Twitter yang diduga memuat gerakan separatisme dengan menarasikan rakyat aceh menuntut merdeka karena pemerintah pusat tidak menanggapi bencana yang terjadi dengan serius.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</si>
  <si>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https://www.instagram.com/reel/DR1pTLmETHz/?igsh=MXUxcWM5bDNva2JsbA==</t>
  </si>
  <si>
    <t>Ditemukan konten pada media sosial Instagram yang diduga memuat unsur ujaran kebencian dengan menampilkan video Menteri Koordinator Bidang Pangan, Zulkifli Hasan yang diedit dengan AI seolah-olah dilemparkan sebuah meriam ke dalam sungai.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</si>
  <si>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https://www.facebook.com/share/p/1Gup2cKTTX/</t>
  </si>
  <si>
    <t>Ditemukan konten pada media sosial Facebook yang diduga memuat unsur provokatif untuk melakukan tindakan anarkis dengan narasi "Nepalkan" Menteri Kehutanan, Raja Juli Antoni dikarenakan pernyataannya setelah terdapat desakan mundur akibat banjir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</si>
  <si>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https://www.facebook.com/share/r/1NAiqt2sVS/</t>
  </si>
  <si>
    <t>Ditemukan konten pada media sosial Facebook yang diduga memuat unsur provokatif untuk melakukan tindakan anarkis dengan narasi "Nepalkan" bupati Aceh dan anggota DPRD dan tidak memilihnya pada acara pemilihan umum nanti.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</si>
  <si>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https://www.facebook.com/share/v/17ecuWbnFS/</t>
  </si>
  <si>
    <t>Ditemukan konten pada media sosial Facebook yang diduga memuat unsur provokatif untuk melakukan tindakan anarkis dengan narasi "Nepalkan" Menteri Koordinator Bidang Pangan, Zulkifli Hasan dan Menteri Kehutanan, Raja Juli Antoni akibat kerusakan hutan yang terjadi.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</si>
  <si>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https://www.facebook.com/share/p/1FxuYoYmvp/</t>
  </si>
  <si>
    <t>Ditemukan konten pada media sosial Facebook yang diduga memuat unsur provokatif untuk melakukan tindakan anarkis dengan narasi "Nepalkan" Joko Widodo, Anwar Usman, dan Gibran Rakabuming Raka karena dianggap sebagai perusak tatanan hukum di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</si>
  <si>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https://www.facebook.com/share/p/1D4XuGpvMz/</t>
  </si>
  <si>
    <t>Ditemukan konten pada media sosial Facebook yang diduga memuat unsur provokatif untuk melakukan tindakan anarkis dengan narasi "Nepalkan" Menteri Kehutanan, Raja Juli Antoni setelah Kapolri menemukan bekas gergaji mesin pada gelondongan kayu di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</si>
  <si>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https://www.facebook.com/share/p/16eXmHHF7F/</t>
  </si>
  <si>
    <t>Ditemukan konten pada media sosial Facebook yang diduga memuat unsur provokatif untuk melakukan tindakan anarkis dengan narasi "Nepalkan" Dewan Perwakilan Rakyat karena dianggap tidak benar ketika bekerja.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</si>
  <si>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https://www.facebook.com/share/r/1FzmDWd1u1/</t>
  </si>
  <si>
    <t>Ditemukan konten pada media sosial Facebook yang diduga memuat unsur provokatif untuk melakukan tindakan anarkis dengan narasi "Nepalkan" Menteri Koordinator Bidang Pangan, Zulkifli Hasan karena dianggap sebagai pelaku utama yang mengakibatkan banjir di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</si>
  <si>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https://www.facebook.com/share/r/1DD1bWbQBj/</t>
  </si>
  <si>
    <t>Ditemukan konten pada media sosial Facebook yang diduga mengandung gerakan separatisme dengan narasi rakyat aceh mengibarkan Gerakan Aceh Merdeka akibat bencana alam yang terjadi.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</si>
  <si>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https://www.facebook.com/share/r/1A59FwwFVS/</t>
  </si>
  <si>
    <t>Ditemukan konten pada media sosial Facebook yang diduga memuat unsur provokatif untuk melakukan tindakan anarkis dengan narasi "Bubarkan" DPR dengan tidak memilih anggota DPR saat pemilihan umum tahun 2029.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</si>
  <si>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https://www.facebook.com/groups/2378433292339269/posts/3091002497749008</t>
  </si>
  <si>
    <t>https://www.facebook.com/groups/2378433292339269/posts/3090919771090614</t>
  </si>
  <si>
    <t>https://www.facebook.com/groups/2378433292339269/posts/3089436807905577</t>
  </si>
  <si>
    <t>https://www.facebook.com/groups/2378433292339269/posts/3089215007927757</t>
  </si>
  <si>
    <t>https://www.facebook.com/reel/1379757763553897</t>
  </si>
  <si>
    <t>Dilaporkan telah melakukan tindak pidana penyebaran propaganda separatisme dan provokasi terkait narasi dukungan terhadap Gerakan Aceh Merdeka (GAM). Hal ini akan berdampak memicu sentimen anti-NKRI, menghidupkan kembali potensi konflik keamanan, serta berpotensi mengancam kedaulatan negara dan stabilitas nasional. Hal ini sudah melanggar undang-undang yang berlaku dalam Negara Kesatuan Republik Indonesia terkait larangan simbol separatis dan makar, sehingga hal tersebut dapat menimbulkan polarisasi dan keresahan yang meluas di kalangan masyarakat di ruang digital.</t>
  </si>
  <si>
    <t>https://www.facebook.com/reel/1582431776523643</t>
  </si>
  <si>
    <t>https://www.facebook.com/groups/103999743103665/permalink/2722970041206609/?rdid=szW8X3OvQEmBmFR2#</t>
  </si>
  <si>
    <t>https://www.facebook.com/permalink.php?story_fbid=pfbid0HUPggbvgjobdT2ocNyEEuTikz4AEXdRCi4CBYrPeG5ok2FBW4m7E1d95byFMHKRHl&amp;id=61558765793954&amp;rdid=IUOp0M0fFH6jGPuF#</t>
  </si>
  <si>
    <t>https://www.facebook.com/JemsAsier/posts/pfbid02dy2w6TCfXFdZudmccRHTG4CWgVZsvkZGxJFKJh8XwgpZkgiQgWz8RXbYxU2qW1crl?rdid=d5TFOWyyjdEB5XJl#</t>
  </si>
  <si>
    <t>https://www.facebook.com/reel/895171989505258</t>
  </si>
  <si>
    <t>https://www.tiktok.com/@www.komtudubai.69/video/7578599538223598866?lang=en</t>
  </si>
  <si>
    <t>https://www.tiktok.com/@teuku_yusri07/video/7543957037206605061?lang=en</t>
  </si>
  <si>
    <t>https://www.tiktok.com/@rijalalpaseeofficial05/video/7579899205037198610?lang=en</t>
  </si>
  <si>
    <t>https://www.tiktok.com/@nyak.aceh.hunter/video/7580042390396849416?lang=en</t>
  </si>
  <si>
    <t>https://www.tiktok.com/@kuli_kelapa57/video/7578592750870826248?lang=en</t>
  </si>
  <si>
    <t>https://www.tiktok.com/@www.komtudubai.69/photo/7548070126386482488?lang=en</t>
  </si>
  <si>
    <t>https://www.tiktok.com/@sky_deck69/video/7579901878805318920?lang=en</t>
  </si>
  <si>
    <t>https://www.tiktok.com/@nangroeaceh09/video/7578954070258404626?lang=en&amp;q=tidak%20ada%20bantuan%20buat%20aceh&amp;t=1764902646958</t>
  </si>
  <si>
    <t>https://www.tiktok.com/@ady_alpan/video/7537652943084965138?lang=en&amp;q=tidak%20ada%20bantuan%20buat%20aceh&amp;t=1764902646958</t>
  </si>
  <si>
    <t>6 Desember 2025</t>
  </si>
  <si>
    <t xml:space="preserve">https://www.tiktok.com/@mzabdl.kata/video/7497543174366186770
</t>
  </si>
  <si>
    <t>Ditemukan sebuah konten pada platform media sosial TikTok yang diduga mengandung unsur provokasi dan kampanye gerakan separatis dengan narasi yang menyerukan persatuan Sumatra untuk melakukan referendum kemerdekaan, serta menampilkan video yang menggambarkan bahwa Sumatra akan menjadi sebuah negara berdaulat.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</si>
  <si>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https://www.tiktok.com/@ebiet___/video/7580617689882709255</t>
    </r>
  </si>
  <si>
    <t>Ditemukan unggahan pada media sosial yang memuat pernyataan bernada provokatif terkait isu Aceh dengan menyampaikan bahwa jika proses perdamaian dianggap tidak memberikan solusi bagi masyarakat Aceh, maka konflik bersenjata 9peperangan) disebut sebagai alternatif. Unggahan tersebut juga menuduh pihak tertentu sebagai pembohong dan mengklaim bahwa janji-janji yang pernah disampaikan melalui perjanjian Helsinki tidak pernah ditepati. Konten tersebut disertai dengan tagar yang mengarah pada isu separatisme dan seruan kemerdekaan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</si>
  <si>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https://www.tiktok.com/@mr.bejo.wage/video/7580319681311984914</t>
    </r>
  </si>
  <si>
    <t>Ditemukan konten pada media sosial Tiktok yang diduga memuat unsur provokatif untuk melakukan tindak kekerasan dan menepalkan mantan Presiden Jokowi dan Luhut Binsar Pandjaitan yang disertai ujaran kebencian dengan kata-kata kasar.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</si>
  <si>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https://www.tiktok.com/@muhammadsyahrir._/video/758738531586166036</t>
    </r>
  </si>
  <si>
    <t>Ditemukan konten pada media sosial Tiktok yang diduga memuat unsur provokatif untuk melakukan tindak kekerasan dan menepalkan Luhut Binsar Pandjaitan.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</si>
  <si>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https://www.facebook.com/selamiisi.hatidhimas/posts/pfbid0Jym5oCzb7fpoNZ215GkvGVCy7QYkZJs4UPesr8bio7mQpSuQDBUFHmUqp5THUEb6l</t>
    </r>
  </si>
  <si>
    <t>Ditemukan sebuah konten pada platform media sosial Facebook yang diduga mengandung unsur provokasi dan kampanye gerakan separatis dengan narasi pemisahan Sumatra dari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</si>
  <si>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https://www.facebook.com/groups/263653494336157/?multi_permalinks=1789033285131496</t>
    </r>
  </si>
  <si>
    <t>Ditemukan sebuah konten pada platform media sosial Facebook yang diduga mengandung unsur provokasi dan kampanye gerakan separatis dengan narasi pemisahan Sumatra dan memerdekakan diri dari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</si>
  <si>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https://x.com/Boredlonelyy/status/1996485493761208719</t>
    </r>
  </si>
  <si>
    <t>Ditemukan konten pada media sosial Facebook yang diduga memuat unsur ujaran kebencian terhadap Presiden Prabowo dan mantan Presiden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</si>
  <si>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https://x.com/didiek_murdock/status/1988320785749213322</t>
    </r>
  </si>
  <si>
    <t>Ditemukan konten pada media sosial Tiktok yang diduga memuat unsur provokatif untuk melakukan tindak kekerasan dan menepalkan Gubernur Sumatera Utara Bobby Nasution.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</si>
  <si>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https://x.com/djokokris/status/1997200519354614017</t>
    </r>
  </si>
  <si>
    <t>Ditemukan konten pada media sosial Tiktok yang diduga memuat unsur provokatif untuk melakukan tindak kekerasan dan menepalkan mantan Presiden Jokowi, Luhut Binsar Pandjaitan, dan Sri Mulyani yang dianggap sebagai embrio komunis.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</si>
  <si>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https://www.facebook.com/share/p/1R3NXvZqBo/</t>
    </r>
  </si>
  <si>
    <t>Ditemukan konten pada media sosial Facebook yang diduga memuat unsur provokatif untuk melakukan tindakan anarkis dengan narasi "Nepalkan" Joko Widodo dengan mengajak rakyat Indonesia jika tidak bisa diadili oleh penegak hukum.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</si>
  <si>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https://www.facebook.com/share/r/14GBdfm8ZGZ/</t>
    </r>
  </si>
  <si>
    <t>Ditemukan konten pada media sosial Facebook yang diduga memuat unsur provokatif untuk melakukan tindakan anarkis dengan narasi "Nepalkan" dengan disertai video menyerukan untuk menggeruduk gedung Merah Putih KPK pada tanggal 9 Desember 2025.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</si>
  <si>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https://www.facebook.com/share/r/1BgvPeDAK4/</t>
    </r>
  </si>
  <si>
    <t>Ditemukan konten pada media sosial Facebook yang diduga memuat unsur provokatif untuk melakukan tindakan anarkis dengan narasi "Nepalkan" Luhut Binsar Panjaitan karena diduga menantang rakyat Indonesia dengan pernyataan akan menembak mati jika ada yang mengganggunya.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</si>
  <si>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https://www.facebook.com/share/p/1LgiAmSJnT/</t>
    </r>
  </si>
  <si>
    <t>Ditemukan konten pada media sosial Facebook yang diduga memuat unsur provokatif untuk melakukan tindakan anarkis dengan narasi "Nepalkan" partai-partai dan orang didalamnya yang dinilai sebagai perusak bangsa.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</si>
  <si>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https://www.facebook.com/share/r/16nwKBAVRt/</t>
    </r>
  </si>
  <si>
    <t>Ditemukan konten pada media sosial Facebook yang diduga memuat unsur provokatif untuk melakukan tindakan anarkis dengan narasi "Nepalkan" Luhut Binsar Panjaitan karena diduga telah merampas aset sumber daya alam Indonesia dengan menguasai lahan tambang negara sebanyak 6 ribu hektar.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</si>
  <si>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https://www.facebook.com/share/p/17qrpUfLLH/</t>
    </r>
  </si>
  <si>
    <t>Ditemukan konten pada media sosial Facebook yang diduga memuat unsur provokatif untuk melakukan tindakan anarkis dengan narasi "Nepalkan" gubernur Sumatera Utara, Bobby Nasution dikarenakan pernyataannya yang menyebut bahwa banjir di Sumatera Utara terjadi karena cuaca yang ekstrem bukan hutan yang sudah gundul.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</si>
  <si>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https://www.facebook.com/share/r/1U3sAvx2Bn/</t>
    </r>
  </si>
  <si>
    <t>Ditemukan konten pada media sosial Facebook yang diduga memuat unsur provokatif dan gerakan separatisme dengan menarasikan bahwa provinsi Sumatera Barat ingin memisahkan diri menjadi Sumatera Merdeka setelah bencana banjir yang terjadi tidak kunjung ditetapkan sebagai bencana nasional.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</si>
  <si>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https://www.facebook.com/share/p/163cHGX7ew/</t>
    </r>
  </si>
  <si>
    <t>Ditemukan konten pada media sosial Facebook yang diduga memuat unsur provokatif dan gerakan separatisme dengan menarasikan lebih baik Aceh atau Sumatera merdeka saja karena pemerintah yang menolak bantuan dari negara asing karena pemerintah Indonesia masih merasa sanggup untuk memberikan bantuan.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</si>
  <si>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https://web.facebook.com/groups/1271958309871151/posts/2603383450061957/</t>
  </si>
  <si>
    <t>https://web.facebook.com/groups/1271958309871151/posts/2603376800062622/</t>
  </si>
  <si>
    <t>https://web.facebook.com/groups/1271958309871151/posts/2603356876731281/</t>
  </si>
  <si>
    <t>https://web.facebook.com/groups/1271958309871151/posts/2587655498301419/</t>
  </si>
  <si>
    <t>https://web.facebook.com/groups/1271958309871151/posts/2586670001733302/</t>
  </si>
  <si>
    <t>https://www.facebook.com/groups/3722164358033551/posts/4173502392899743/</t>
  </si>
  <si>
    <t>https://www.facebook.com/groups/3722164358033551/posts/4172499296333386/</t>
  </si>
  <si>
    <t>https://www.facebook.com/groups/3722164358033551/posts/4171028979813751/</t>
  </si>
  <si>
    <t>https://www.instagram.com/p/DPK38IGkrQw/?utm_source=ig_web_copy_link&amp;igsh=MzRlODBiNWFlZA==</t>
  </si>
  <si>
    <t>https://www.instagram.com/reel/DR1fT7JkhYx/?igsh=dnduaXFnMjZ3aDhx</t>
  </si>
  <si>
    <t>akun besar 208K followers)</t>
  </si>
  <si>
    <t>https://www.instagram.com/reel/DR1dWg1Et3Y/?igsh=ZTd4eXBuaWdicGV5</t>
  </si>
  <si>
    <t>7 Desember 2025</t>
  </si>
  <si>
    <t>https://www.facebook.com/share/p/1WYWEix537/</t>
  </si>
  <si>
    <t>Konten tersebut mengandung unsur provokasi dengan narasi ajakan melakukan tindakan “Nepalkan” kepada pihak-pihak tertentu yang dianggap perusak bangsa. Beberapa pihak yang disebutkan antara lain PDIP, PSI, PKI, Luhut Panjaitan, Megawati, Jokowi, dan Gibran.
Penyebaran informasi yang mengandung unsur provokatif dan separatisme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</si>
  <si>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t>
  </si>
  <si>
    <t>https://www.facebook.com/share/r/1AJStcp74t/</t>
  </si>
  <si>
    <t>Konten tersebut mengandung unsur provokasi dengan narasi Gerakan Aceh Merdeka. Pada konten tersebut juga disebutkan bahwa Indonesia adalah negara bajingan dan hanya propaganda saja.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</si>
  <si>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https://www.facebook.com/share/v/17nciNUWqx/</t>
  </si>
  <si>
    <t>Ditemukan konten pada media sosial Facebook yang diduga memuat unsur provokasi menggunakan konten disinformasi dengan jenis fabricated content. Konten tersebut berisi video berita palsu China yang menyiapkan pasukan untuk menguasai Indonesia.
Penyebaran informasi yang mengandung unsur provokatif dan ujaran kebencian yang berpotensi menimbulkan rasa kebencian atau permusuhan, mengganggu keamanan, serta mengancam stabilitas negara diatur dalam Undang-Undang Nomor 1 Tahun 2024 tentang Perubahan Kedua Atas Undang-Undang Nomor 11 Tahun 2008 tentang Informasi dan Transaksi Elektronik pada Pasal 28 ayat (2) dan Pasal 45A ayat (2).</t>
  </si>
  <si>
    <t>https://www.facebook.com/share/r/1DPRzXazwd/</t>
  </si>
  <si>
    <t>Ditemukan konten pada media sosial Facebook yang diduga memuat unsur provokatif dengan narasi penjajah jawa yang membawa hasil bumi Aceh, memiskinkan rakyat aceh, dan menguras hasil bumi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</si>
  <si>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https://www.tiktok.com/@4n4kabah7/video/7580716579000831240?_r=1&amp;_t=ZS-921EUup8YGy</t>
  </si>
  <si>
    <t>Ditemukan konten pada media sosial Tiktok yang diduga memuat unsur provokatif dengan narasi dukungan terhadap Gerakan Aceh Merdeka dan memisahkan diri dari “Pulau Jawa” yang menjajah.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</si>
  <si>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https://vt.tiktok.com/ZSP1kXBSQ/</t>
  </si>
  <si>
    <t>Ditemukan konten pada media sosial Tiktok yang diduga memuat unsur provokatif dan separatisme dengan narasi GAM berhasil menyelenggarakan upacara bendera bulan bintang dan sudah dekat dengan kemerdekaan.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</si>
  <si>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https://www.facebook.com/share/v/1PoeSqSCSr/</t>
  </si>
  <si>
    <t>Provokatif dan sparatisme</t>
  </si>
  <si>
    <t>Ditemukan konten pada media sosial Facebook yang diduga memuat unsur separatisme yaitu para ulama yang menyelenggarakan upacara bendera Aceh disertai yel-yel aceh merdeka.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</si>
  <si>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https://www.facebook.com/share/p/1CcPgUG8i4/</t>
  </si>
  <si>
    <t>Ditemukan konten pada media sosial Facebook yang diduga memuat unsur separatisme yaitu narasi bahwa aceh sedang disorot oleh dunia internasional terkait upaya memerdekakan diri ditengah bencana banjir.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</si>
  <si>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https://x.com/AawBerkah/status/1997638057386725484</t>
  </si>
  <si>
    <r>
      <t xml:space="preserve">Ditemukan Konten pada media twitter yang mengandung unsur provokasi dengan narasi ajakan melakukan tindakan “Nepalkan” disertai narasi disinformasi mengenai alasan pemerintah belum menjadikan bencana di sumatera sebagai bencana nasional. Informasi valid mengenai alasan belum dinaikannya status bencana menjadi nasional sebagai berikut : 
</t>
    </r>
    <r>
      <rPr>
        <rFont val="Arial,sans-serif"/>
        <color rgb="FF1155CC"/>
        <sz val="8.0"/>
        <u/>
      </rPr>
      <t>https://tirto.id/kenapa-status-bencana-nasional-banjir-sumatra-belum-ditetapkan-hnaa</t>
    </r>
    <r>
      <rPr>
        <rFont val="Arial"/>
        <sz val="8.0"/>
      </rPr>
      <t xml:space="preserve"> 
</t>
    </r>
    <r>
      <rPr>
        <rFont val="Arial,sans-serif"/>
        <color rgb="FF1155CC"/>
        <sz val="8.0"/>
        <u/>
      </rPr>
      <t>https://www.lintasatjeh.com/2025/11/kenapa-indonesia-jarang-menetapkan.html</t>
    </r>
    <r>
      <rPr>
        <rFont val="Arial"/>
        <sz val="8.0"/>
      </rPr>
      <t xml:space="preserve"> 
Penyebaran informasi disinformasi yang mengandung unsur provokatif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r>
  </si>
  <si>
    <t>https://www.facebook.com/share/r/1CdiR4cUsu/</t>
  </si>
  <si>
    <t>Ditemukan konten pada facebook yang mengandung unsur provokasi dengan narasi ajakan kepada masyarakat untuk melakukan tindakan “Nepalkan” kepada entitas tertentu yang dianggap perusak bangsa yaitu Joko Widodo dan Luhut.
Penyebaran informasi yang mengandung unsur provokatif dan separatisme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</si>
  <si>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https://www.facebook.com/share/r/17tUYTmSbq/</t>
  </si>
  <si>
    <r>
      <rPr>
        <rFont val="Arial"/>
        <sz val="8.0"/>
      </rPr>
      <t xml:space="preserve">Ditemukan konten pada media sosial favebook yang mengandung unsur provokasi dengan narasi ajakan kepada masyarakat untuk melakukan tindakan “Nepalkan” kepada entitas Pejabat dengan menggunakan gambar yang tidak sesuai. Gambar yang dimaksud merupakan gambar demo Ikatan Pemuda Mahasiswa Tapanuli Tengah bersama dengan AGMJ, FMJ di Kantor Kemenhut RI 
</t>
    </r>
    <r>
      <rPr>
        <rFont val="Arial"/>
        <color rgb="FF1155CC"/>
        <sz val="8.0"/>
        <u/>
      </rPr>
      <t>https://tangerang.tribunnews.com/news/53916/jadwal-demo-hari-ini-kamis-4-desember-2025-cek-lokasi-dan-waktunya</t>
    </r>
    <r>
      <rPr>
        <rFont val="Arial"/>
        <sz val="8.0"/>
      </rPr>
      <t xml:space="preserve"> 
Penyebaran informasi yang salah dan mengandung unsur provokatif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r>
  </si>
  <si>
    <t>https://www.facebook.com/share/r/17rdgGYUMC/</t>
  </si>
  <si>
    <t>Ditemukan konten pada media sosial facebook yang mengandung unsur provokasi dengan narasi ajakan kepada masyarakat untuk melakukan tindakan “aksi gruduk” kepada KPK di gedung merah putih KPK pada tanggal 9 Desember 2025.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</si>
  <si>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https://www.facebook.com/share/p/16ThHB1eCQ/</t>
  </si>
  <si>
    <t>Ditemukan konten pada facebook yang mengandung unsur provokasi dengan narasi ajakan kepada masyarakat untuk melakukan tindakan “Nepalkan” kepada menteri tertentu yang dianggap sebagai mafia terhadap beberapa aspek.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</si>
  <si>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https://www.facebook.com/share/p/17i7kk2qW8/</t>
  </si>
  <si>
    <r>
      <rPr>
        <rFont val="Arial,sans-serif"/>
        <color rgb="FF1155CC"/>
        <sz val="8.0"/>
        <u/>
      </rPr>
      <t>https://www.facebook.com/share/v/1Bw1jVn6Gv/</t>
    </r>
  </si>
  <si>
    <t>Ditemukan konten pada media sosial Facebook yang diduga memuat unsur provokasi untuk melakukan pembubaran dan reformasi pada beberapa lembaga pemerintahan disertai ajakan “nepalkan”.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</si>
  <si>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https://www.facebook.com/share/p/1CwmfSwxis/</t>
  </si>
  <si>
    <t>Ditemukan konten pada media sosial Facebook yang diduga memuat unsur provokasi menggunakan konten disinformasi dengan jenis fabricated content. Konten tersebut berisi video berita palsu tentara melakukan aksi sandra pada pejabat yang bertanggung jawab atas kejadian bencana di sumatera.
Penyebaran informasi yang mengandung unsur provokatif dan ujaran kebencian yang berpotensi menimbulkan rasa kebencian atau permusuhan, mengganggu keamanan, serta mengancam stabilitas negara diatur dalam Undang-Undang Nomor 1 Tahun 2024 tentang Perubahan Kedua Atas Undang-Undang Nomor 11 Tahun 2008 tentang Informasi dan Transaksi Elektronik pada Pasal 28 ayat (2) dan Pasal 45A ayat (2).</t>
  </si>
  <si>
    <t>https://www.facebook.com/share/p/1N9boNzJ7d/</t>
  </si>
  <si>
    <t>Provokatif dan Sparatisme</t>
  </si>
  <si>
    <t>Ditemukan konten pada facebook yang mengandung unsur provokasi dengan narasi ajakan kepada masyarakat untuk melakukan tindakan “Nepalkan” dan “Bubarkan” kepada polisi hutan.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</si>
  <si>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 xml:space="preserve">https://www.threads.com/@xia_oxiao_/post/DR02VNUkgBL </t>
  </si>
  <si>
    <t>Threads</t>
  </si>
  <si>
    <t>https://www.threads.com/@kotabandaaceh/post/DR1rHDNkZaj</t>
  </si>
  <si>
    <t>https://www.threads.com/@expl0reaceh/post/DR18DE-gZvI</t>
  </si>
  <si>
    <t>https://www.threads.com/@expl0reaceh/post/DR0u7opkWFo</t>
  </si>
  <si>
    <t>https://www.threads.com/@timenyala.id/post/DR2WgCaiDrk</t>
  </si>
  <si>
    <t>8 Desember 2025</t>
  </si>
  <si>
    <r>
      <rPr>
        <rFont val="Arial,sans-serif"/>
        <color rgb="FF1155CC"/>
        <sz val="8.0"/>
        <u/>
      </rPr>
      <t>https://www.facebook.com/share/p/1CtDtHQZ5B/</t>
    </r>
  </si>
  <si>
    <t>Konten tersebut mengandung unsur provokasi dengan narasi Gibran Rakabuming sebagai Wakil Presiden terburuk sepanjang sejarah. Terdapat ajakan untuk memakzulkan Wakil Presiden dan ajakan “Nepalkan” terhadap Wakil Presiden.
Penyebaran informasi yang mengandung unsur provokatif dan separatisme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</si>
  <si>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sans-serif"/>
        <color rgb="FF1155CC"/>
        <sz val="8.0"/>
        <u/>
      </rPr>
      <t>https://www.facebook.com/share/p/1DRFW2wBAa/</t>
    </r>
  </si>
  <si>
    <t>Konten tersebut mengandung unsur provokasi dengan ajakan melakukan tindakan “Nepalkan” apabila rakyat menginginkan perubahan.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</si>
  <si>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https://www.facebook.com/share/p/16QpJzfrKd/</t>
    </r>
  </si>
  <si>
    <t>Konten tersebut mengandung unsur provokasi dengan ajakan untuk melakukan tindakan “Nepalkan”. Pada konten tersebut, terdapat foto Presiden Prabowo dengan teks keterangan yang menyatakan Presiden Prabowo mengakui Bahlil Cerdas. Akun tersebut diduga mengaitkan pernyataan tersebut dengan ajakan untuk melakukan “Nepalkan”.
Penyebaran informasi yang mengandung unsur provokatif dan ujaran kebencian yang berpotensi menimbulkan rasa kebencian atau permusuhan, mengganggu keamanan, serta mengancam stabilitas negara diatur dalam Undang-Undang Nomor 1 Tahun 2024 tentang Perubahan Kedua Atas Undang-Undang Nomor 11 Tahun 2008 tentang Informasi dan Transaksi Elektronik pada Pasal 28 ayat (2) dan Pasal 45A ayat (2).</t>
  </si>
  <si>
    <r>
      <rPr>
        <rFont val="Arial,sans-serif"/>
        <color rgb="FF1155CC"/>
        <sz val="8.0"/>
        <u/>
      </rPr>
      <t>https://www.facebook.com/share/p/1DYNjPVmYA/</t>
    </r>
  </si>
  <si>
    <t>Ditemukan sebuah akun yang mengunggah disinformasi dengan jenis misleading content (konten menyesatkan). Konten tersebut berisi pernyataan bahwa Wapres Gibran pernah terkena kasus narkoba saat bersekolah di SMPN 1 Solo, sehingga dikeluarkan dan tidak memiliki Ijazah SMP. Terdapat narasi hoaks lain yang disebarkan melalui konten tersebut, antara lain, kasus narkoba tersebut ditangani oleh Listyo Sigit P. dan Agus Subiyanto, selain itu terdapat narasi Gibran direhabilitasi di Singapura dan dibuatkan ijazah penyetaraan SMA/SMK.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</si>
  <si>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https://x.com/indepenSumatera/status/1997916494592868450?s=20</t>
    </r>
  </si>
  <si>
    <t>Konten tersebut mengandung unsur provokasi dan disinformasi dengan menggiring opini bahwa kemerdekaan Indonesia bukan hasil perjuangan, melainkan “dibayar” kepada Belanda. Penyajian informasi secara parsial dengan label “mitos” dan “fakta” tersebut juga berpotensi mendelegitimasi perjuangan para pahlawan dengan membangun kesan bahwa kemerdekaan Indonesia bukan hasil dari perjuangan, tetapi hasil transaksi politik yang merendahkan nilai sejarah kemerdekaan.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</si>
  <si>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https://x.com/indepenSumatera/status/1996823318117441536?s=20</t>
    </r>
  </si>
  <si>
    <t>Konten tersebut mengandung unsur provokatif dan ujaran kebencian dengan menampilkan gambar AI suku Jawa yang digambarkan menggendong suku lain. Konten tersebut berpotensi memecah belah etnis yang ada di Indonesia dengan menganggap satu etnis lebih unggul daripada etnis lain.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</si>
  <si>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https://www.youtube.com/watch?v=RriTUuyLOyI</t>
  </si>
  <si>
    <t>Video tersebut mengandung unsur provokatif dengan konten berisi ajakan demo dan mengajak indonesia untuk mengulangi kejadian di nepal.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</si>
  <si>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https://www.youtube.com/watch?v=vz8SjQraMn0</t>
    </r>
  </si>
  <si>
    <t>Konten tersebut mengandung unsur ujaran kebencian terlihat dari judul video yang menyudutkan salah satu agama di Indonesia. Meskipun dalam keterangan video telah di disclaimer Video merupakan hasil generate AI dan ditujukan untuk tujuan dakwah, pembelajaran, dan hiburan, penggunaan kalimat dan unsur agama tertentu sebagai tokoh negatif dapat menimbulkan kegaduhan.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</si>
  <si>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https://www.facebook.com/share/p/1BeiP1QD6b/</t>
    </r>
  </si>
  <si>
    <t>Konten tersebut berisi 4 orang yang dianggap sebagai pejuang papua merdeka yang memperjuangkan bukan hanya tentang perang, tetapi tentang mempertahankan martabat, suara, dan hak hidup rakyat West Papua.
Penyebaran informasi yang mengandung unsur provokatif sparatisme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</si>
  <si>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https://www.facebook.com/share/p/1C2jP6X1Gp/</t>
    </r>
  </si>
  <si>
    <t>Konten tersebut berisi narasi penyamaan indonesia dengan israel dalam hal penolakan bantuan. Tindakan Indonesia menolak bantuan dari luar negeri diterjemahkan sebagai tindakan penjajahan pemerintahan terhadap masyarakat Indonesia.
Penyebaran informasi yang mengandung unsur provokatif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</si>
  <si>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https://www.facebook.com/share/p/1DjtPRy53S/</t>
  </si>
  <si>
    <r>
      <rPr>
        <rFont val="Arial"/>
        <sz val="8.0"/>
      </rPr>
      <t xml:space="preserve">Konten tersebut berisi narasi bahwa TNI melakukan penghadangan terhadap truk truk dan mobil yang membawa bantuan untuk korban banjir dan disertai narasi bahwa para TNI terlihat panik karena masyarakat Aceh mengibarkan bendera aceh merdeka.
Kondisi sesungguhnya adalah para TNI membantu pelaksanaan persebaran bantuan logistik
Bukti : 
</t>
    </r>
    <r>
      <rPr>
        <rFont val="Arial"/>
        <color rgb="FF1155CC"/>
        <sz val="8.0"/>
        <u/>
      </rPr>
      <t>https://nasional.sindonews.com/read/1652835/14/bantu-bencana-aceh-hingga-sumatera-tni-sudah-kirim-1559-ton-logistik-1765105962/5</t>
    </r>
    <r>
      <rPr>
        <rFont val="Arial"/>
        <sz val="8.0"/>
      </rPr>
      <t xml:space="preserve"> 
Penyebaran informasi yang mengandung unsur provokatif sparatisme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</si>
  <si>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r>
      <rPr>
        <rFont val="Arial,sans-serif"/>
        <color rgb="FF1155CC"/>
        <sz val="8.0"/>
        <u/>
      </rPr>
      <t>https://www.facebook.com/share/r/1AXou1WM9g/</t>
    </r>
  </si>
  <si>
    <t>Konten tersebut berisi narasi tuntutan untuk menaikan status bencana di Sumatera menjadi Bencana Nasional disertai ancaman provokatif bahwa sumatera barat akan memerdekakan diri apabila permintaan tersebut tidak dikabulkan.
Penyebaran informasi yang mengandung unsur provokatif sparatisme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</si>
  <si>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https://www.facebook.com/share/p/19YH8jxzFE/</t>
    </r>
  </si>
  <si>
    <t>Konten tersebut berisi sudut pandang bahwa Negara Kesatuan saat ini memperlakukan aceh dengan berbeda, Seakan Indonesia hanya Jawa saja. Narasi tersebut juga disertai permintaan referendum terhadap aceh merdeka.
Penyebaran informasi yang mengandung unsur provokatif sparatisme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</si>
  <si>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https://www.facebook.com/share/r/1BsMkVEkPV/</t>
    </r>
  </si>
  <si>
    <t>Konten tersebut berisi narasi provokatif untuk tindakan sparatisme berbagai bagian aceh merdeka bersatu.
Penyebaran informasi yang mengandung unsur provokatif sparatisme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</si>
  <si>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ttps://www.facebook.com/share/p/1KcpspceUS/</t>
    </r>
  </si>
  <si>
    <t>Konten tersebut mengandung unsur ujaran kebencian dengan menggunakan narasi merujuk pada unsur agama tertentu.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</si>
  <si>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https://x.com/didiek_murdock/status/1997960309114634284</t>
    </r>
  </si>
  <si>
    <t>Konten tersebut mengandung unsur provokasi dengan ajakan melakukan tindakan “Revolusi Oligarki” apabila rakyat menginginkan perubahan.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</si>
  <si>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https://www.youtube.com/shorts/Bwu7AWI02Mk</t>
    </r>
  </si>
  <si>
    <t>Ditemukan sebuah akun yang mengunggah disinformasi dengan jenis misleading content (konten menyesatkan). Konten tersebut dibuat menggunakan AI dengan berisi pernyataan bahwa terdapat 4 TNI gugur terkena granat dan 5 KKB tewas. Tidak ada informasi Valid mengenai pemberitaan sesungguhnya.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</si>
  <si>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https://www.youtube.com/shorts/WDakbun5l1U</t>
    </r>
  </si>
  <si>
    <t>Ditemukan sebuah akun yang mengunggah disinformasi dengan jenis misleading content (konten menyesatkan). Konten tersebut dibuat menggunakan AI (terlihat dari penulisan yang tidak membentuk huruf pada banner yang digunakan demonstrasi) dengan berisi kumpulan masyarakat yang menyuarakan gerakan papua merdeka. Tidak ada informasi valid mengenai kegiatan masif terhadap demonstrasi papua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</si>
  <si>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https://www.facebook.com/share/p/1Ch2jrnudo/</t>
    </r>
  </si>
  <si>
    <t>Ditemukan sebuah akun yang mengunggah disinformasi dengan jenis misleading content (konten menyesatkan). Narasi yang digunakan berisi disinformasi dengan berupa “Masa TNI Mau Tangkap TNI” yang dapat menimbulkan asumsi liar bagi pembaca terhadap entitas TNI.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</si>
  <si>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https://www.facebook.com/share/p/1aH2qQaxhk/</t>
  </si>
  <si>
    <t>Ditemukan sebuah akun yang mengunggah disinformasi dengan jenis misleading content (konten menyesatkan). Narasi yang digunakan berisi narasi provokatif sparatisme terhadap papua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</si>
  <si>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https://www.facebook.com/share/r/1ALqBG13P2/</t>
  </si>
  <si>
    <r>
      <rPr>
        <rFont val="Arial"/>
        <sz val="8.0"/>
      </rPr>
      <t xml:space="preserve">Ditemukan sebuah akun yang mengunggah disinformasi dengan jenis misleading content (konten menyesatkan). Video yang diunggah merupakan video harimau sumatera yang terkena dampak dari banjir sumatera. informasi valid terkait harimau sumatera telah diumumkan oleh media tempo pada tautan berikut : </t>
    </r>
    <r>
      <rPr>
        <rFont val="Arial"/>
        <color rgb="FF1155CC"/>
        <sz val="8.0"/>
        <u/>
      </rPr>
      <t>https://www.tempo.co/cekfakta/keliru-video-harimau-muncul-di-tengah-banjir-sumatera-2095135</t>
    </r>
    <r>
      <rPr>
        <rFont val="Arial"/>
        <sz val="8.0"/>
      </rPr>
      <t xml:space="preserv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</si>
  <si>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r>
      <rPr>
        <rFont val="Arial,sans-serif"/>
        <color rgb="FF1155CC"/>
        <sz val="8.0"/>
        <u/>
      </rPr>
      <t>https://www.facebook.com/groups/1073927260480024/posts/1550322026173876/</t>
    </r>
  </si>
  <si>
    <r>
      <rPr>
        <rFont val="Arial,sans-serif"/>
        <color rgb="FF1155CC"/>
        <sz val="8.0"/>
        <u/>
      </rPr>
      <t>https://www.facebook.com/groups/1073927260480024/posts/1299191131286968/</t>
    </r>
  </si>
  <si>
    <r>
      <rPr>
        <rFont val="Arial,sans-serif"/>
        <color rgb="FF1155CC"/>
        <sz val="8.0"/>
        <u/>
      </rPr>
      <t>https://www.facebook.com/groups/1073927260480024/posts/1292089061997175/</t>
    </r>
  </si>
  <si>
    <r>
      <rPr>
        <rFont val="Arial,sans-serif"/>
        <color rgb="FF1155CC"/>
        <sz val="8.0"/>
        <u/>
      </rPr>
      <t>https://www.facebook.com/groups/1613421496004593/posts/1803099270370147</t>
    </r>
  </si>
  <si>
    <r>
      <rPr>
        <rFont val="Arial,sans-serif"/>
        <color rgb="FF1155CC"/>
        <sz val="8.0"/>
        <u/>
      </rPr>
      <t>https://www.facebook.com/groups/1613421496004593/posts/1803046477042093</t>
    </r>
  </si>
  <si>
    <r>
      <rPr>
        <rFont val="Arial,sans-serif"/>
        <color rgb="FF1155CC"/>
        <sz val="8.0"/>
        <u/>
      </rPr>
      <t>https://www.facebook.com/raden.saleh.solahuddin/posts/pfbid028hukchYGBFSZtr69DYyuM83xHejsvYYWm5JkR2TW6M2XLtpVEkUcTMTQote1H2T9l</t>
    </r>
  </si>
  <si>
    <r>
      <rPr>
        <rFont val="Calibri,sans-serif"/>
        <color rgb="FF1155CC"/>
        <sz val="8.0"/>
        <u/>
      </rPr>
      <t>https://www.facebook.com/groups/2378433292339269/posts/3092876754228249/</t>
    </r>
  </si>
  <si>
    <r>
      <rPr>
        <rFont val="Calibri,sans-serif"/>
        <color rgb="FF1155CC"/>
        <sz val="8.0"/>
        <u/>
      </rPr>
      <t>https://www.facebook.com/groups/2378433292339269/posts/3092863364229588/</t>
    </r>
  </si>
  <si>
    <r>
      <rPr>
        <rFont val="Calibri,sans-serif"/>
        <color rgb="FF1155CC"/>
        <sz val="8.0"/>
        <u/>
      </rPr>
      <t>https://www.facebook.com/groups/2378433292339269/posts/3092751354240789/</t>
    </r>
  </si>
  <si>
    <r>
      <rPr>
        <rFont val="Calibri,sans-serif"/>
        <color rgb="FF1155CC"/>
        <sz val="8.0"/>
        <u/>
      </rPr>
      <t>https://www.facebook.com/groups/2378433292339269/posts/3092221484293776/</t>
    </r>
  </si>
  <si>
    <r>
      <rPr>
        <rFont val="Arial,sans-serif"/>
        <color rgb="FF1155CC"/>
        <sz val="8.0"/>
        <u/>
      </rPr>
      <t>https://www.facebook.com/photo/?fbid=3780689755566402&amp;set=g.2479676585560598</t>
    </r>
  </si>
  <si>
    <r>
      <rPr>
        <rFont val="Arial,sans-serif"/>
        <color rgb="FF1155CC"/>
        <sz val="8.0"/>
        <u/>
      </rPr>
      <t>https://www.facebook.com/photo/?fbid=3780637342238310&amp;set=gm.2997809967080588&amp;idorvanity=2479676585560598</t>
    </r>
  </si>
  <si>
    <r>
      <rPr>
        <rFont val="Arial,sans-serif"/>
        <color rgb="FF1155CC"/>
        <sz val="8.0"/>
        <u/>
      </rPr>
      <t>https://www.facebook.com/photo/?fbid=3779480785687299&amp;set=gm.2996468810548037&amp;idorvanity=2479676585560598</t>
    </r>
  </si>
  <si>
    <r>
      <rPr>
        <rFont val="Arial,sans-serif"/>
        <color rgb="FF1155CC"/>
        <sz val="8.0"/>
        <u/>
      </rPr>
      <t>https://www.facebook.com/photo/?fbid=845415968459320&amp;set=g.2479676585560598</t>
    </r>
  </si>
  <si>
    <r>
      <rPr>
        <rFont val="Arial,sans-serif"/>
        <color rgb="FF1155CC"/>
        <sz val="8.0"/>
        <u/>
      </rPr>
      <t>https://www.facebook.com/groups/2479676585560598/posts/2997288233799428/</t>
    </r>
  </si>
  <si>
    <r>
      <rPr>
        <rFont val="Arial,sans-serif"/>
        <color rgb="FF1155CC"/>
        <sz val="8.0"/>
        <u/>
      </rPr>
      <t>https://www.facebook.com/groups/2479676585560598/posts/2981100665418185/</t>
    </r>
  </si>
  <si>
    <r>
      <rPr>
        <rFont val="Arial,sans-serif"/>
        <color rgb="FF1155CC"/>
        <sz val="8.0"/>
        <u/>
      </rPr>
      <t>https://www.instagram.com/p/DRm6V02jKbS/</t>
    </r>
  </si>
  <si>
    <t xml:space="preserve">Dilaporkan telah melakukan tindak pidana penyebaran provokasi terkait narasi yang dapat membuat kegaduhan di publik dengan membahas dan mengangkat video lama terhadap Presiden Prabowo yang membahas pohon sawit di saat suatu daerah masih menghadapi bencana banjir, menampilkan background video banjir, dan membuat kalimat Provokasi “ Sekali kali Perusahaan Mu Ikut Nyumbang , Masak APBN Terus..???” 
Hal ini akan berdampak memicu sentimen terhadap Pemerintah khususnya Presiden Prabowo yang berupaya untuk menangani bencana banjir. </t>
  </si>
  <si>
    <t>9 Desember 2025</t>
  </si>
  <si>
    <t>https://www.facebook.com/share/p/1DoczbJCp3/</t>
  </si>
  <si>
    <t xml:space="preserve">Ditemukan sebuah konten pada platform media sosial Facebook yang diduga mengandung unsur provokasi dengan narasi “Nepalkan” seorang anggota Komisi I DPR Endipat Wijaya yang menyinggung pihak yang datang sekali ke wilayah bencana, namun merasa yang paling bekerja.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</si>
  <si>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Munculnya akun dan/atau konten provokatif, ujaran kebencian, SARA menyebabkan meningkatkan persebaran manipulasi dan disinformasi, menimbulkan kegaduhan di publik, ruang menciptakan polarisasi sosial, meningkatkan ketegangan sosial yang berdampak pada gangguan keamanan dan ketertiban masyarakat serta mengganggu stabilitas dan integrasi nasional.</t>
  </si>
  <si>
    <t xml:space="preserve">Munculnya akun dan/atau konten provokatif, ujaran kebencian, SARA menyebabkan meningkatkan persebaran manipulasi dan disinformasi, menimbulkan kegaduhan di publik, ruang menciptakan polarisasi sosial, meningkatkan ketegangan sosial yang berdampak pada gangguan keamanan dan ketertiban masyarakat serta mengganggu stabilitas dan integrasi nasional.
</t>
  </si>
  <si>
    <t>https://www.facebook.com/share/p/1EmaXeDDRB/</t>
  </si>
  <si>
    <t xml:space="preserve">Ditemukan konten pada media sosial Facebook yang diduga memuat unsur provokatif untuk melakukan tindakan anarkis dengan narasi "Nepalkan" Gubernur Sumatera Utara, Bobby Nasution usai mengatakan bahwa banjir yang terjadi di Sumatera terjadi karena cuaca ekstrem.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</si>
  <si>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https://www.facebook.com/share/p/1BnuMrjSYp/</t>
  </si>
  <si>
    <t xml:space="preserve">Ditemukan konten pada media sosial Facebook yang diduga memuat unsur provokatif untuk melakukan tindakan anarkis dengan narasi "Nepalkan" Menteri Kehutanan dikarenakan banyaknya pembalakan liar di hutan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</si>
  <si>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https://www.facebook.com/share/p/1EhMxEo7Sy/</t>
  </si>
  <si>
    <t xml:space="preserve">Ditemukan konten pada media sosial Facebook yang diduga memuat unsur provokatif untuk melakukan tindakan anarkis dengan narasi "Nepalkan" Luhut Binsar Panjaitan dikarenakan memberikan Bandara IMIP sebagai fasilitas bagi investor China.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</si>
  <si>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https://www.facebook.com/share/p/17UC29zrTc/</t>
  </si>
  <si>
    <t xml:space="preserve">Ditemukan konten pada media sosial Facebook yang diduga memuat unsur provokatif untuk melakukan tindakan anarkis dengan narasi "Bubarkan" DPR pada tahun 2029 dengan cara tidak memilih dan mengosongkan kotak suara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</si>
  <si>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https://www.facebook.com/share/p/1HQfQYZ9Zz/</t>
  </si>
  <si>
    <t xml:space="preserve">Ditemukan konten pada media sosial Facebook yang diduga memuat unsur provokatif untuk melakukan tindakan anarkis dengan narasi "Bubarkan" DPR karena dianggap hanya menghabiskan dana APBN dan mencopot Puan Maharani karena dianggap tidak bertindak segera untuk mengesahkan UU Perampasan Aset.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</si>
  <si>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https://vt.tiktok.com/ZSP8DxSVb/</t>
  </si>
  <si>
    <t xml:space="preserve">Ditemukan konten pada media sosial Tiktok yang diduga memuat unsur provokatif untuk melakukan tindakan anarkis dengan narasi "Nepalkan" pejabat DPR Kabupaten Aceh Utara yang dianggap menjarah bantuan bencana Aceh untuk didistribusikan di wilayah dapil pejabat tersebut dengan branding namanya sehingga membuat pencitraan.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</si>
  <si>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https://vt.tiktok.com/ZSP8Dqo14/</t>
  </si>
  <si>
    <t xml:space="preserve">Ditemukan konten pada media sosial Tiktok yang diduga memuat unsur provokatif untuk melakukan tindakan anarkis dengan narasi "Nepalkan” Menteri Kehutanan karena dianggap telah mengeluarkan izin untuk penebangan hutan liar di daerah Tapanuli.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</si>
  <si>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https://www.tiktok.com/@jasa.dpcnibong/video/7580001136611020040</t>
  </si>
  <si>
    <t>Provokatif
Dan Separatisme</t>
  </si>
  <si>
    <t>Ditemukan konten pada platform TikTok yang diduga memuat unsur provokatif serta mendorong gerakan separatis, dengan menyampaikan narasi yang menyerukan kepada PBB untuk memisahkan Aceh dari Indonesia, disertai tuduhan bahwa Aceh terus mengalami penjajahan oleh Indonesia dan menyerukan tuntutan kemerdekaan secara segera.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</si>
  <si>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https://www.tiktok.com/@mangrosy/video/7580207453015395602</t>
  </si>
  <si>
    <t>Ditemukan konten pada platform TikTok yang diduga memuat unsur provokatif melalui narasi yang mendorong upaya pemisahan Aceh, dengan klaim bahwa tanpa Aceh, Indonesia akan tetap mampu berjalan dengan baik.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</si>
  <si>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https://www.tiktok.com/@syahril.amiruddin91/video/7580698160423619861</t>
  </si>
  <si>
    <t>Ditemukan konten pada platform TikTok yang diduga memuat unsur provokatif melalui narasi yang menuding bahwa Jakarta, yang dinarasikan sebagai pemerintah pusat, dianggap memberikan peluang bagi Sumatera untuk memerdekakan diri.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</si>
  <si>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https://www.tiktok.com/@asnlfmerdeka1/video/7581760541127970068</t>
  </si>
  <si>
    <t>Provokatif 
dan Separatisme</t>
  </si>
  <si>
    <t>Ditemukan konten pada platform TikTok yang diduga memuat unsur provokatif serta mengarah pada gerakan separatis melalui narasi yang mendorong upaya pemisahan Pulau Sumatera dari Negara Kesatuan Republik Indonesia, dengan mengatasnamakan kelompok ASNLF (Aceh Sumatra National Liberation Front).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</si>
  <si>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https://www.tiktok.com/@tgk.mahdi.umar/video/7560435106192674056</t>
  </si>
  <si>
    <t>Ditemukan konten pada platform TikTok yang diduga memuat unsur separatisme melalui penyebarluasan simbol bendera “Sumatra Barat Merdeka” yang digunakan untuk mengampanyekan ide dan paham gerakan separatis untuk memisahkan diri pulau Sumatera dari negara kesatuan Republik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</si>
  <si>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https://www.facebook.com/groups/814535098678252/?multi_permalinks=3734958059969260</t>
  </si>
  <si>
    <t>Ditemukan konten pada media sosial Tiktok yang diduga memuat unsur provokatif untuk melakukan tindakan anarkis dengan narasi "Nepalkan" keluarga mantan Presiden Joko Widodo dan menghukum mati menteri kehutanan Raja Juli Antoni.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</si>
  <si>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https://www.facebook.com/permalink.php?story_fbid=pfbid0vLwqwRLwGcPcpptzJrXVfg8aVm9Vqju7HXMSmQ7rKpzMci7qKAgS3cN5TDXwFLvkl&amp;id=61570872840442</t>
  </si>
  <si>
    <t>Provokatif
dan Disinformasi</t>
  </si>
  <si>
    <t>Ditemukan konten pada platform Facebook yang diduga memuat unsur provokatif, ujaran kebencian, dan disinformasi melalui unggahan gambar yang telah disunting dengan menampilkan Wakil Presiden Gibran Rakabuming Raka secara merendahkan. Konten tersebut memuat narasi yang mempertanyakan kapasitasnya terkait janji penyediaan lapangan kerja, serta menuduhkan bahwa posisinya diperoleh melalui praktik kecurangan dan pelanggaran hukum. Selain itu, unggahan tersebut juga menyertakan seruan provokatif untuk memakzulkan Wakil Presiden Gibran Rakabuming Raka.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</si>
  <si>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https://www.facebook.com/sugondo.494752/posts/pfbid0aXctjn9rwyQaKQ9ae3FaWzGU9fNHQhSCKfFbMUGT5dGuFFRb8ZaxYP43Ch6hZH5gl</t>
  </si>
  <si>
    <t>Provokatif 
dan Disinformasi</t>
  </si>
  <si>
    <t>Ditemukan konten pada platform Facebook yang diduga memuat unsur provokatif dan disinformasi dengan menuding Mantan Presiden Joko Widodo dan Luhut Binsar Pandjaitan sebagai kaki tangan negara Tiongkok. Konten tersebut juga menyebarkan narasi disinformasi mengenai dugaan skenario bertahap yang diklaim sebagai upaya negara Tiongkok untuk menguasai wilayah Indonesia tanpa peperangan. Selain itu, terdapat pula ajakan provokatif untuk memakzulkan Wakil Presiden Gibran Rakabuming Raka serta mengadili Joko Widodo dan Luhut Binsar Pandjaitan.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</si>
  <si>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https://x.com/RepublikNdasmu/status/1997086543954276742</t>
  </si>
  <si>
    <t>Ditemukan konten pada platform Facebook yang diduga memuat unsur provokatif untuk memakzulkan Gibran disertai dengan narasi ujaran kebencian.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</si>
  <si>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https://www.facebook.com/groups/647302417514795/posts/1164259145819117</t>
    </r>
  </si>
  <si>
    <r>
      <rPr>
        <rFont val="Arial,sans-serif"/>
        <color rgb="FF1155CC"/>
        <sz val="8.0"/>
        <u/>
      </rPr>
      <t>https://www.facebook.com/groups/647302417514795/posts/1164117025833329</t>
    </r>
  </si>
  <si>
    <r>
      <rPr>
        <rFont val="Arial,sans-serif"/>
        <color rgb="FF1155CC"/>
        <sz val="8.0"/>
        <u/>
      </rPr>
      <t>https://www.facebook.com/groups/647302417514795/posts/1164100915834940</t>
    </r>
  </si>
  <si>
    <r>
      <rPr>
        <rFont val="Arial,sans-serif"/>
        <color rgb="FF1155CC"/>
        <sz val="8.0"/>
        <u/>
      </rPr>
      <t>https://www.facebook.com/groups/647302417514795/posts/1164080652503633</t>
    </r>
  </si>
  <si>
    <r>
      <rPr>
        <rFont val="Arial,sans-serif"/>
        <color rgb="FF1155CC"/>
        <sz val="8.0"/>
        <u/>
      </rPr>
      <t>https://www.facebook.com/groups/647302417514795/posts/1164024412509257</t>
    </r>
  </si>
  <si>
    <r>
      <rPr>
        <rFont val="Arial,sans-serif"/>
        <color rgb="FF1155CC"/>
        <sz val="8.0"/>
        <u/>
      </rPr>
      <t>https://www.facebook.com/groups/647302417514795/posts/1163991669179198</t>
    </r>
  </si>
  <si>
    <r>
      <rPr>
        <rFont val="Arial,sans-serif"/>
        <color rgb="FF1155CC"/>
        <sz val="8.0"/>
        <u/>
      </rPr>
      <t>https://www.facebook.com/groups/647302417514795/posts/1163730712538627</t>
    </r>
  </si>
  <si>
    <t>https://www.tiktok.com/@user3133082628320/video/7580174028015488274</t>
  </si>
  <si>
    <t xml:space="preserve">Dilaporkan telah melakukan tindak pidana penyebaran Hoaks terkait video yang menampilkan Menteri Pertahanan Sjafrie Sjamsoeddin membenarkan adanya area terpencil dalam hutan yang digunakan untuk menampung pekerja asing tanpa izin, secara tidak terdaftar, tidak dilaporkan serta memiliki pengamanan internal yang mencurigakan diarea sekitar PT. Imip Morowali yang dapat membuat kegaduhan di tengah masyarakat.
Faktanya, klaim tersebut adalah tidak benar. Video tersebut identik dengan video yang diunggah oleh kanal YouTube @armyzoneai. Dalam deskripsi di video tersebut dijelaskan semua konten mulai dari visual, suara, hingga alur cerita sepenuhnya dihasilkan menggunakan teknologi kecerdasan buatan atau Artificial Intelligence (AI). 
Link Counter :
https://www.youtube.com/watch?v=ROOCg2PfOM0 </t>
  </si>
  <si>
    <t>10 Desember 2025</t>
  </si>
  <si>
    <t>https://www.facebook.com/share/r/1B7drA3zoj/</t>
  </si>
  <si>
    <t>Ditemukan sebuah konten pada platform media sosial Facebook yang diduga mengandung unsur provokasi dengan narasi “Nepalkan” dan mengadili Joko Widodo dengan memerintahkan presiden Prabowo karena dianggap masih ikut campur dalam pemerintahan yang sekarang.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</si>
  <si>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</si>
  <si>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t xml:space="preserve">https://www.facebook.com/share/p/1GDdfUHMqu/ </t>
  </si>
  <si>
    <t>Ditemukan konten pada media sosial Facebook yang diduga memuat unsur provokatif untuk melakukan tindakan anarkis dengan narasi "Nepalkan" Menteri Sosial, Saifullah Yusuf karena pernyataannya jika masyarakat akan memberi bantuan harus izin terlebih dahulu kepada pemerintah dan dianggap seolah-olah sebagai saingan pemerintah.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</si>
  <si>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Ditemukan konten pada media sosial Facebook yang diduga memuat unsur provokatif untuk melakukan tindakan anarkis dengan narasi "Nepalkan" dan “Bubarkan” DPR karena dianggap hanya meminta proyek dan menghabiskan dana APBN serta mengganti Puan Maharani karena dianggap tidak ada fungsinya dan hanya beralasan sebagai cucu Soekarno.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</si>
  <si>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https://www.facebook.com/share/p/1EsrKt8Rfs/</t>
  </si>
  <si>
    <t xml:space="preserve">Ditemukan konten pada media sosial Facebook yang diduga memuat unsur provokatif untuk melakukan tindakan anarkis dengan narasi "Nepalkan" Menteri Sosial, Saifullah Yusuf karena pernyataannya jika masyarakat akan memberi bantuan harus izin terlebih dahulu kepada pemerintah agar nantinya bisa diaudit.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</si>
  <si>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https://www.facebook.com/share/p/1MrwDu3ccc/</t>
  </si>
  <si>
    <t xml:space="preserve">Ditemukan konten pada media sosial Facebook yang diduga memuat unsur provokatif untuk melakukan tindakan anarkis dengan narasi "Nepalkan" Menteri Sosial, Saifullah Yusuf karena pernyataannya jika masyarakat akan memberi bantuan harus izin terlebih dahulu kepada pemerintah agar bisa dilakukan audit, namun hal tersebut dianggap memperlama proses distribusi bantuan.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</si>
  <si>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https://www.facebook.com/share/v/1FKt2z1SVH/</t>
  </si>
  <si>
    <t xml:space="preserve">Ditemukan konten pada media sosial Facebook yang diduga memuat unsur provokatif untuk melakukan tindakan anarkis dengan narasi "Nepalkan" pemerintahan Indonesia dengan menganggap bencana di Sumatera tersebut merupakan rencana akibat tindakan pemerintahan sebelumnya yang memberikan izin penebangan hutan secara liar.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</si>
  <si>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https://www.facebook.com/share/p/16H23hFQZQ/</t>
  </si>
  <si>
    <t xml:space="preserve">Provokatif dan Separatisme
</t>
  </si>
  <si>
    <t xml:space="preserve">Ditemukan konten pada media sosial Facebook yang diduga memuat unsur provokatif dan gerakan separatisme dengan menarasikan "Sumatera Merdeka" karena menganggap menteri di pemerintahan presiden Prabowo saat ini merupakan para pelaku pengusaha tambang dan sawit yang sibuk memperkaya diri sendiri serta menyimpulkan pilihannya hanya merdeka atau menjadi tumbal keserakahan pemerintah.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</si>
  <si>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https://www.facebook.com/share/p/1NNtwFQftN/</t>
  </si>
  <si>
    <t xml:space="preserve">Ditemukan konten pada media sosial Facebook yang diduga memuat unsur provokatif dan gerakan separatisme dengan menarasikan Aceh Merdeka merupakan solusi yang terbaik dengan melawan ketidakadilan yang dilakukan oleh pejabat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</si>
  <si>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https://www.facebook.com/share/p/1ZcXPGRCwC/</t>
  </si>
  <si>
    <t xml:space="preserve">Ditemukan konten pada media sosial Facebook yang diduga memuat unsur provokatif dan gerakan separatisme dengan menarasikan warga Aceh yang sangat mengidamkan kemerdekaan dan menghubungkan dengan pengamalan pembukaan UUD 1945 mengenai penjajahan yang harus dihapuskan.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</si>
  <si>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https://x.com/guci_marbawi/status/1998599019149545505?s=20</t>
  </si>
  <si>
    <t xml:space="preserve">Ditemukan konten pada media sosial Twitter yang diduga memuat unsur provokatif untuk melakukan tindakan anarkis dengan narasi "Bubarkan" pemerintah presiden Prabowo Subianto dan Gibran Rakabuming Raka yang dianggap bobrok serta mereset pemerintahan yang baru lagi.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</si>
  <si>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https://www.tiktok.com/@omrul_khairul/video/7578806854608833793</t>
  </si>
  <si>
    <t>Provokatif
dan Separatisme</t>
  </si>
  <si>
    <t>Ditemukan konten pada media sosial Tiktok yang diduga memuat unsur provokatif dan gerakan separatisme dengan menarasikan menjadikan pulau Sumatera menjadi Republik Sumatra yang dikatikan dengan bencana alam di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</si>
  <si>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https://www.tiktok.com/@sumateramerdeka</t>
  </si>
  <si>
    <t>Ditemukan akun media sosial Tiktok yang diduga sering membagikan konten yang memuat unsur provokatif dan gerakan separatisme dengan menarasikan Sumatera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</si>
  <si>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https://www.tiktok.com/@gsumatramerdeka</t>
  </si>
  <si>
    <t>Ditemukan konten pada media sosial Twitter yang diduga memuat unsur provokatif dengan narasi memakzulkan Wakil Presiden Gibran Rakabuming Raka.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</si>
  <si>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https://x.com/4DemocracyID/status/1998326430179189149</t>
  </si>
  <si>
    <t>Ditemukan konten pada media sosial Twitter yang diduga memuat unsur provokatif dengan narasi bubarkan KPK dan pecat pimpinan KPK.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</si>
  <si>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https://www.facebook.com/groups/1267949420592960/?multi_permalinks=1844920856229144</t>
  </si>
  <si>
    <t>Ditemukan konten pada media sosial Facebook yang diduga memuat unsur provokatif dengan narasi untuk menepalkan kelompok mantan Presiden Jokowi, Luhut Binsar Pandjaitan, Bahlil Lahadalia, Budi Arie, Jenderal Tito Karnavian, Jenderal Listyo Sigit, dan sebagainya.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</si>
  <si>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https://www.facebook.com/groups/964897860344899?multi_permalinks=3206876572813672</t>
  </si>
  <si>
    <t>Ditemukan konten pada media sosial Facebook yang diduga memuat unsur provokatif dengan narasi untuk menepalkan Luhut Binsar Pandjaitan dengan tudingan merupakan utusan oligarki hitam dan menyerit mantan Presiden Jokowi dan Presiden Prabowo.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</si>
  <si>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Times New Roman',serif"/>
        <color rgb="FF1155CC"/>
        <sz val="8.0"/>
        <u/>
      </rPr>
      <t>https://www.facebook.com/groups/3798955057049943/posts/4276166385995472</t>
    </r>
  </si>
  <si>
    <r>
      <rPr>
        <rFont val="'Times New Roman',serif"/>
        <color rgb="FF1155CC"/>
        <sz val="8.0"/>
        <u/>
      </rPr>
      <t>https://www.facebook.com/groups/3798955057049943/posts/4276164932662284</t>
    </r>
  </si>
  <si>
    <r>
      <rPr>
        <rFont val="'Times New Roman',serif"/>
        <color rgb="FF1155CC"/>
        <sz val="8.0"/>
        <u/>
      </rPr>
      <t>https://www.facebook.com/groups/3798955057049943/posts/4276161179329326</t>
    </r>
  </si>
  <si>
    <r>
      <rPr>
        <rFont val="'Times New Roman',serif"/>
        <color rgb="FF1155CC"/>
        <sz val="8.0"/>
        <u/>
      </rPr>
      <t>https://www.facebook.com/groups/3798955057049943/posts/4276159009329543</t>
    </r>
  </si>
  <si>
    <r>
      <rPr>
        <rFont val="'Times New Roman',serif"/>
        <color rgb="FF1155CC"/>
        <sz val="8.0"/>
        <u/>
      </rPr>
      <t>https://www.facebook.com/groups/3798955057049943/posts/4275542522724525</t>
    </r>
  </si>
  <si>
    <r>
      <rPr>
        <rFont val="'Times New Roman',serif"/>
        <color rgb="FF1155CC"/>
        <sz val="8.0"/>
        <u/>
      </rPr>
      <t>https://www.facebook.com/groups/2378433292339269/posts/3086642501518341/</t>
    </r>
  </si>
  <si>
    <r>
      <rPr>
        <rFont val="'Times New Roman',serif"/>
        <color rgb="FF1155CC"/>
        <sz val="8.0"/>
        <u/>
      </rPr>
      <t>https://www.facebook.com/groups/2378433292339269/posts/3086186991563892/</t>
    </r>
  </si>
  <si>
    <r>
      <rPr>
        <rFont val="'Times New Roman',serif"/>
        <color rgb="FF1155CC"/>
        <sz val="8.0"/>
        <u/>
      </rPr>
      <t>https://www.facebook.com/groups/2378433292339269/posts/3079228322259759/</t>
    </r>
  </si>
  <si>
    <r>
      <rPr>
        <rFont val="'Times New Roman',serif"/>
        <color rgb="FF1155CC"/>
        <sz val="8.0"/>
        <u/>
      </rPr>
      <t>https://www.facebook.com/groups/2378433292339269/posts/3072413772941214/</t>
    </r>
  </si>
  <si>
    <r>
      <rPr>
        <rFont val="'Times New Roman',serif"/>
        <color rgb="FF1155CC"/>
        <sz val="8.0"/>
        <u/>
      </rPr>
      <t>https://www.facebook.com/groups/2378433292339269/posts/3073209599528298/</t>
    </r>
  </si>
  <si>
    <r>
      <rPr>
        <rFont val="Arial,sans-serif"/>
        <color rgb="FF1155CC"/>
        <sz val="8.0"/>
        <u/>
      </rPr>
      <t>https://www.instagram.com/p/DSCFak7Egze/</t>
    </r>
  </si>
  <si>
    <t>Dilaporkan telah melakukan tindak pidana penyebaran provokasi terkait narasi yang dapat membuat kegaduhan di publik dengan menyatakan bahwa “PRESIDEN KHAWATIR DENGAN ORANG2 PINTAR YG BISANYA MENGKRITIK PEMERINTAH” disertai juga dengan kalimat Orang bodoh non empati yang jadi pejabat pemerintah.
Hal ini akan berdampak memicu sentimen negatif terhadap Pemerintah yang sudah berupaya andil dalam membantu bencana banjir di Sumatera.</t>
  </si>
  <si>
    <t>19 Februari 2026</t>
  </si>
  <si>
    <t>https://www.facebook.com/share/v/1C9SJgJV4d/</t>
  </si>
  <si>
    <t>Ditemukan konten disinformasi berjenis misleading content yang disertai unsur sensational framing di media sosial, yang menarasikan bahwa Australia “panik” karena Rusia akan membangun pangkalan militer dan fasilitas satelit di Papua, serta menggambarkan Indonesia seolah-olah telah atau hampir memberikan izin resmi. Faktanya, laporan mengenai minat Rusia pada 2025 sempat muncul di media pertahanan internasional, namun pemerintah Indonesia secara tegas membantah adanya izin pembangunan pangkalan militer asing di wilayah Papua dan menegaskan komitmen pada politik luar negeri bebas aktif serta prinsip non-alignment. Hingga saat ini tidak terdapat bukti realisasi pembangunan pangkalan militer Rusia di Papua.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</si>
  <si>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https://www.instagram.com/reel/DUp6bBAkncD/</t>
  </si>
  <si>
    <t>https://www.youtube.com/shorts/lAsZrGhs2dA</t>
  </si>
  <si>
    <t>https://www.facebook.com/share/p/1c7ysfMojz/</t>
  </si>
  <si>
    <t>Ditemukan konten pada media sosial Facebook yang diduga memuat unsur provokatif untuk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</si>
  <si>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https://www.facebook.com/share/p/1BDigGsSES/</t>
  </si>
  <si>
    <t>Ditemukan konten disinformasi berjenis misleading content yang menarasikan bahwa Presiden Prabowo harus dimakzulkan karena mengikuti keanggotaan ke Board of Peace (BoP) yang dianggap melanggar amanat UUD 1945 serta disebut “menjadi sahabat Netanyahu” melalui dana tertentu. Faktanya, BoP merupakan inisiatif multilateral pasca-konflik yang berfokus pada pengawasan gencatan senjata, stabilisasi keamanan, dan rekonstruksi Gaza, bukan forum normalisasi diplomatik permanen dengan Israel. Indonesia tetap tidak memiliki hubungan diplomatik dengan Israel dan secara resmi tetap mendukung solusi dua negara serta kemerdekaan Palestina, yang justru diklaim pemerintah sebagai selaras dengan amanat Pembukaan UUD 1945 tentang penghapusan penjajahan. Tidak terdapat bukti kredibel bahwa Netanyahu menyebut Prabowo sebagai “sahabat baru” dengan ancaman politik atau adanya kewajiban setoran dana seperti yang diklaim. Narasi pemakzulan dalam konten tersebut tidak didukung dasar hukum konstitusional yang jelas,
Penyebaran informasi yang mengandung unsur Ujaran Kebencian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</si>
  <si>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t>https://www.facebook.com/share/p/1L3HNhdD4v/</t>
  </si>
  <si>
    <t>Ditemukan konten disinformasi berjenis misleading content yang menarasikan bahwa Presiden Prabowo harus dimakzulkan karena mengikuti keanggotaan ke Board of Peace (BoP) yang dianggap melanggar amanat UUD 1945 serta disebut “menjadi sahabat Netanyahu” melalui dana tertentu. Faktanya, BoP merupakan inisiatif multilateral pasca-konflik yang berfokus pada pengawasan gencatan senjata, stabilisasi keamanan, dan rekonstruksi Gaza, bukan forum normalisasi diplomatik permanen dengan Israel. Indonesia tetap tidak memiliki hubungan diplomatik dengan Israel dan secara resmi tetap mendukung solusi dua negara serta kemerdekaan Palestina, yang justru diklaim pemerintah sebagai selaras dengan amanat Pembukaan UUD 1945 tentang penghapusan penjajahan. Tidak terdapat bukti kredibel bahwa Netanyahu menyebut Prabowo sebagai “sahabat baru” dengan ancaman politik atau adanya kewajiban setoran dana seperti yang diklaim. Narasi pemakzulan dalam konten tersebut tidak didukung dasar hukum konstitusional yang jelas,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</si>
  <si>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https://www.facebook.com/share/r/1C9eAZWqUQ/</t>
  </si>
  <si>
    <t>Ditemukan konten pada media sosial Facebook yang diduga memuat unsur ujaran kebencian yang menyatakan bahwa keputusan pemerintah dalam pemilihan perusahaan energi merupakan tindakan yang menentang UUD 1945. konten tersebut juga berisi narasi negatif seperti penyebutan sebagai makhluk jauh dari ajaran agama.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</si>
  <si>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disinformasi</t>
  </si>
  <si>
    <t>https://www.facebook.com/search/top?q=BOP%20melanggar%20UUD&amp;filters=eyJyZWNlbnRfcG9zdHM6MCI6IntcIm5hbWVcIjpcInJlY2VudF9wb3N0c1wiLFwiYXJnc1wiOlwiXCJ9In0%3D</t>
  </si>
  <si>
    <t>Ditemukan konten disinformasi berjenis misleading content yang menarasikan bahwa Presiden Prabowo harus dimakzulkan karena mengikuti keanggotaan ke Board of Peace (BoP) yang dianggap melanggar amanat UUD 1945 serta disebut “menjadi sahabat Netanyahu” melalui dana tertentu. Faktanya, BoP merupakan inisiatif multilateral pasca-konflik yang berfokus pada pengawasan gencatan senjata, stabilisasi keamanan, dan rekonstruksi Gaza, bukan forum normalisasi diplomatik permanen dengan Israel. Indonesia tetap tidak memiliki hubungan diplomatik dengan Israel dan secara resmi tetap mendukung solusi dua negara serta kemerdekaan Palestina, yang justru diklaim pemerintah sebagai selaras dengan amanat Pembukaan UUD 1945 tentang penghapusan penjajahan. Tidak terdapat bukti kredibel bahwa Netanyahu menyebut Prabowo sebagai “sahabat baru” dengan ancaman politik atau adanya kewajiban setoran dana seperti yang diklaim. Narasi pemakzulan dalam konten tersebut tidak didukung dasar hukum konstitusional yang jelas,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</si>
  <si>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18 Februari 2026</t>
  </si>
  <si>
    <r>
      <rPr>
        <rFont val="Arial,sans-serif"/>
        <color rgb="FF1155CC"/>
        <sz val="8.0"/>
        <u/>
      </rPr>
      <t>https://www.facebook.com/reel/1177369160886150</t>
    </r>
  </si>
  <si>
    <t>Ditemukan konten pada media sosial Facebook yang diduga memuat unsur provokatif berisi narasi separatisme. Pada konten tersebut, terdapat upaya distorsi sejarah dengan menyebut Perjanjian New York mengatur peralihan kekuasaan dari Belanda ke UNTEA, bukan Indonesia. Narasi berikut kemudian menjadi dasar untuk penyebaran ajakan untuk melakukan separatisme Papua Barat.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</si>
  <si>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 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 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t>
  </si>
  <si>
    <t>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t>
  </si>
  <si>
    <r>
      <rPr>
        <rFont val="Arial,sans-serif"/>
        <color rgb="FF1155CC"/>
        <sz val="8.0"/>
        <u/>
      </rPr>
      <t>https://www.facebook.com/watch/?v=921142163983115&amp;rdid=kX8w1viwxOv0o6Tb</t>
    </r>
  </si>
  <si>
    <t>Ditemukan konten pada media sosial Facebook yang memuat unsur provokatif dengan narasi Indonesia bubar. Pada konten tersebut, pembuat konten menampilkan beberapa video berisi orasi berisi pemerintahan Indonesia adalah penjajah.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</si>
  <si>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https://www.facebook.com/reel/26275035792133513</t>
    </r>
  </si>
  <si>
    <t>Ditemukan konten pada media sosial Facebook yang mengunggah konten yang mengnadung unsur disinformasi kategori fabricated content (konten palsu). Konten yang diunggah merupakan video AI berupa tentara Israel yang digambarkan mendukung kemerdekaan Papua Barat.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</si>
  <si>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https://www.facebook.com/reel/787369813794813</t>
    </r>
  </si>
  <si>
    <t>Ditemukan konten pada media sosial Facebook yang diduga memuat unsur disinformasi kategori fabricated content (konten palsu). Konten yang ditampilkan berupa video AI seseorang yang menggunakan atribut bendera bintang kejora dengan orasi bahwa mereka adalah pejuang kemerdekaan Papua.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</si>
  <si>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https://www.facebook.com/share/v/1b5Q6qM4Jo/</t>
    </r>
  </si>
  <si>
    <t>Ditemukan konten pada media sosial Facebook yang diduga memuat unsur disinformasi kategori fabricated content (konten palsu) dengan menampilkan video AI-generated dengan narasi tendensius untuk menjelek–jelekkan Indonesia dibandingkan dengan Malaysia. Video tersebut kemudian ditutup dengan narasi “NKRI harga PKI”.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</si>
  <si>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https://www.facebook.com/reel/910602468037779</t>
    </r>
  </si>
  <si>
    <t>Ditemukan konten pada media sosial Facebook yang mengandung unsur disinformasi kategori misleading content (konten menyesatkan). Pada konten tersebut, ditampilkan video dengan narasi sebagian warga di Indonesia sejatinya ingin merdeka dan membentuk negaranya sendiri. Terdapat beberapa peristiwa pemberontakan terdahulu yang dijadikan dalih argumen pada video ini. Video ini ditutup dengan video deepfake Presiden Prabowo yang menyatakan Indonesia pisah secara resmi.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</si>
  <si>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https://www.facebook.com/reel/1392810465401766</t>
    </r>
  </si>
  <si>
    <t>Ditemukan konten pada media sosial Facebook yang mengandung unsur provokatif berupa dukungan terhadap separatisme Papua.
Penyebaran informasi yang provokatif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</si>
  <si>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https://www.tiktok.com/@makmur.s.kalit/video/7576727079526452498</t>
    </r>
  </si>
  <si>
    <t>Ditemukan konten pada media sosial Tiktok yang diduga memuat unsur disinformasi berjenis misleading content (konten menyesatkan) dengan menampilkan potongan-potongan video TNI, wawancara Donald Trump, dan agresi militer Israel di Palestina. Potongan video ini kemudian dibingkai dengan narasi pemberitaan menyesatkan berisi ribuan TNI tewas diserang oleh IDF karena IDF menganggap TNI memiliki koordinasi dengan Hamas.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</si>
  <si>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https://www.tiktok.com/@muki_dim4n/video/7510815189957102853</t>
    </r>
  </si>
  <si>
    <t>Ditemukan konten pada media sosial Tiktok yang diduga memuat unsur disinformasi berupa fabricated content (konten palsu) dengan menampilkan foto hasil rekayasa digital Presiden Prabowo yang mengenakan pakaian dengan gambar Bendera Israel. Dalam foto tersebut, terdapat narasi bahwa Presiden Prabowo adalah Dura Yahudi untuk Indonesia.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</si>
  <si>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https://www.tiktok.com/@bagaskara_454/video/7566474276849683720</t>
    </r>
  </si>
  <si>
    <t>Ditemukan konten pada media sosial Tiktok yang memuat unsur disinformasi dengan jenis fabricated content (konten palsu) yang menampilkan video buatan AI. Dalam video tersebut, digambarkan personil militer Israel yang menyatakan tidak takut apabila Indonesia mengirimkan pasukannya ke jalur Gaza.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</si>
  <si>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17 Februari 2026</t>
  </si>
  <si>
    <r>
      <rPr>
        <rFont val="Arial,sans-serif"/>
        <color rgb="FF1155CC"/>
        <sz val="8.0"/>
        <u/>
      </rPr>
      <t>https://www.tiktok.com/@independent4038/video/7606531045386718482?_r=1&amp;_t=ZS-93yws57uF9R</t>
    </r>
  </si>
  <si>
    <t>Ditemukan konten pada media sosial Tiktok yang diduga memuat unsur provokatif berisi ujaran kebencian. Narasi yang disampaikan pada video tersebut yaitu suku Jawa merupakan suku penjajah Aceh dan suku yang merupakan hama.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</si>
  <si>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https://www.tiktok.com/@pusaranberitaaktual.com/video/7607116279886990612?_r=1&amp;_t=ZS-93z8xNCBxem</t>
    </r>
  </si>
  <si>
    <t>Ditemukan konten pada media sosial Tiktok yang memuat unsur disinformasi kategori misleading content (konten menyesatkan). Pada konten tersebut, terdapat video pernyataan Presiden Prabowo terkait rencana pengiriman pasukan perdamaian ke Palestina. Video ini kemudian dibingkai dengan isu menyesatkan bahwa Hamas tidak butuh pengiriman pasukan perdamaian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</si>
  <si>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https://www.facebook.com/reel/1197801688957645</t>
    </r>
  </si>
  <si>
    <t>Ditemukan konten pada media sosial Facebook yang mengunggah konten yang mengnadung unsur provokatif dengan narasi separatisme terhadap NKRI. Ditampilkan sekumpulan orang yang sedang berbaris dan mengenakan pakaian dengan unsur bendera bintang kejora.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</si>
  <si>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https://www.facebook.com/reel/2959248751132850</t>
    </r>
  </si>
  <si>
    <t>Ditemukan konten pada media sosial Facebook yang diduga memuat unsur provokatif dengan narasi ajakan untuk bersatu memerdekakan diri dari Indonesia. Pada konten tersebut, ditampikan juga video kerusuhan pembakaran terhadap sejumlah mobil yang pada keterangan dalam video merupakan mobil milik DPR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</si>
  <si>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https://www.facebook.com/reel/3075945905948783</t>
    </r>
  </si>
  <si>
    <t>Ditemukan konten pada media sosial Facebook yang diduga memuat unsur disinformasi kategori fabricated content (konten palsu) dengan menampilkan video AI-generated dengan narasi pesan kepada generasi muda Aceh untuk menjunjung tinggi nasionalisme Aceh. Terdapat narasi yang membandingkan Indonesia dengan negara lain dengan pernyataan lebih baik tinggal di negara lain. Serta terdapat beberapa ungkapan makian dalam bahasa Aceh terhadap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</si>
  <si>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https://www.facebook.com/profile.php?id=61565907580144</t>
    </r>
  </si>
  <si>
    <t>Ditemukan akun pada media sosial Facebook yang aktif membagikan konten dengan narasi separatisme kemerdekaan Papua Barat.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</si>
  <si>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https://www.facebook.com/reel/3235329209970554</t>
    </r>
  </si>
  <si>
    <t>Ditemukan konten pada media sosial Facebook yang mengandung unsur disinformasi kategori fabricated content (konten palsu) dengan video AI yang menampilkan personil TNI yang mengibarkan bendera Papua merdeka dan dukungan terhadap separatisme Papua.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</si>
  <si>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https://www.facebook.com/reel/3070696769769499</t>
    </r>
  </si>
  <si>
    <t>Ditemukan konten pada media sosial Tiktok yang diduga memuat unsur disinformasi berjenis fabricated content (konten palsu) dengan menampilkan video AI dengan narasi ajakan agar bangsa Papua bersatu memerdekakan diri dari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</si>
  <si>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https://www.facebook.com/reel/2342875749529710</t>
    </r>
  </si>
  <si>
    <t>Ditemukan konten pada media sosial Tiktok yang diduga memuat unsur disinformasi berupa misleading content (konten menyesatkan) dengan narasi Presiden Prabowo akan mempidanakan pendemo, karena menurut Presiden merupakan salah satu kegiatan yang dikendalikan asing. Narasi ini keliru dan berpotensi disalahgunakan oleh pihak yang bertanggungjawab dan dapat menyesatkan opini publik.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</si>
  <si>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https://www.tiktok.com/@jonisaputra202/video/7594098127603272980</t>
    </r>
  </si>
  <si>
    <t>Provoaktif</t>
  </si>
  <si>
    <t>Ditemukan konten pada media sosial Tiktok yang diduga memuat unsur provokatif dengan ajakan melakukan tindakan anarkis dengan ajakan angkat senjata untuk melakukan gerakan separatisme Aceh. Terdapat pula ujaran kebencian yang ditujukan kepada etnis Jawa.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</si>
  <si>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 16 Februari 2026</t>
  </si>
  <si>
    <t>https://www.tiktok.com/@teukuhafizikrampriatama/video/7607027958573829396</t>
  </si>
  <si>
    <t>Konten ini bersifat provokatif dengan narasi bahwa Indonesia sudah memenuhi syarat untuk bubar dikarenakan 4 aspek, yaitu korupsi, perpecahan, darurat ekonomi, serta krisis sosial dan hukum.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</si>
  <si>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https://www.tiktok.com/@teukuhafizikrampriatama/video/7607026501619404053</t>
  </si>
  <si>
    <t>Provokatif, Disinformasi dan Separatisme</t>
  </si>
  <si>
    <t>Ditemukan konten disinformasi berupa fabricated content yang menampilkan sebuah video hasil rekayasa AI dengan unsur provokatif separatisme tokoh Gerakan Aceh Merdeka bersama para petinggi dunia dalam konferensi G20.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</si>
  <si>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https://www.tiktok.com/@teukuhafizikrampriatama/video/7607025911669525781</t>
  </si>
  <si>
    <t>Ditemukan konten disinformasi berupa fabricated content yang menampilkan sebuah video hasil rekayasa AI dengan unsur provokatif gerakan separatisme “Presiden” Gerakan Aceh Merdeka sedang dihormati oleh tentara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</si>
  <si>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https://www.tiktok.com/@gang.sempit58/photo/7590771940365864213</t>
  </si>
  <si>
    <t>Provokatif, Disinformasi, Separatisme dan SARA</t>
  </si>
  <si>
    <t>Ditemukan konten disinformasi berupa fabricated content yang menampilkan sebuah video hasil rekayasa AI dengan unsur provokatif gerakan separatisme “Gerakan Aceh Merdeka” yang sedang menyusun taktik untuk Aceh mencapai kemerdekaan dengan mengaitkan hal tersebut dengan agama.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</si>
  <si>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https://x.com/Adiputr61555111/status/2023200587538682335</t>
  </si>
  <si>
    <t>Konten tersebut memuat unsur provokatif dengan narasi “Nepalkan” terhadap Joko Widodo terkait isu korupsi proyek sepanjang periode Joko Widodo menjadi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</si>
  <si>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https://www.facebook.com/share/v/1CGi8CczgV/</t>
  </si>
  <si>
    <t>Konten tersebut memuat unsur provokatif gerakan separatisme yang menampilkan sebuah video aksi demonstrasi yang mengibarkan bendera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</si>
  <si>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https://www.facebook.com/share/p/1DR935fQ6J/</t>
  </si>
  <si>
    <t>Konten tersebut memuat unsur provokatif dengan narasi “Nepalkan” terhadap Joko Widodo, Gibran Rakabuming, dan Kaesang yang merujuk pada polemik ijazah terkait.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</si>
  <si>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https://www.facebook.com/share/p/18CzDhQe7W/</t>
  </si>
  <si>
    <t>Konten tersebut diduga memuat unsur provokatif aksi anarkis dengan narasi “Nepalkan” terhadap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</si>
  <si>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https://www.facebook.com/reel/1168191148514094</t>
  </si>
  <si>
    <t>Konten tersebut diduga memuat unsur provokatif aksi anarkis dengan narasi “Nepalkan” terhadap Joko Widodo dan bersifat ancaman pembunuhan.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</si>
  <si>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15 Februari 2026</t>
  </si>
  <si>
    <t>https://www.tiktok.com/@mediaacehtok/video/7604525740016585991</t>
  </si>
  <si>
    <t>Konten ini bersifat provokatif gerakan separatisme Gerakan Aceh Merdeka dengan narasi “Indonesia telah merampas kedaulatan Aceh, Indonesia tidak berhak menguasai bumi Aceh” dan menampilkan bendera GAM.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</si>
  <si>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https://www.tiktok.com/@uteun.aceh/video/7602863874903166215</t>
  </si>
  <si>
    <t>Ditemukan konten disinformasi berupa fabricated content yang menampilkan sebuah foto hasil rekayasa AI mata uang Aceh dan memuat narasi separatisme terkait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</si>
  <si>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https://x.com/princessjjujuu/status/2022335142321361145</t>
  </si>
  <si>
    <t>Konten tersebut memuat unsur provokatif gerakan separatisme “Gerakan Aceh Merdeka” dengan narasi “gw dukung dah kalo aceh/Papua mau merdeka, sumpah mending dilepas aja lah, dipertahanin percuma ya ga diperhatiin pemerintah” serta kalimat cacian kasar terhadap Pemerintah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</si>
  <si>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https://x.com/CaroliteM1197/status/2022307410170524063</t>
  </si>
  <si>
    <t>Konten tersebut memuat unsur provokatif gerakan separatisme “Gerakan Aceh Merdeka” dengan narasi “Merdeka lah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</si>
  <si>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https://x.com/onorus7940/status/2022506371548361000</t>
  </si>
  <si>
    <t>Konten tersebut memuat unsur provokatif dengan narasi “Nepalkan” terhadap bapak Prabowo Subianto dan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</si>
  <si>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https://x.com/TheLostGen__/status/2022236292814373044</t>
  </si>
  <si>
    <t>Konten tersebut memuat unsur provokatif dengan narasi “Nepalkan” terhadap Joko Widodo yang merujuk pada polemik ijazah terkait.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</si>
  <si>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https://x.com/BlenkHead3737/status/2022235673345007791</t>
  </si>
  <si>
    <t>Konten tersebut diduga memuat unsur provokatif aksi anarkis dengan narasi “Nepalkan” terhadap bapak Prabowo Subianto dan Joko Widodo dengan tuduhan bahwa bapak Prabowo melindungi Joko Widodo dalam polemik ijazah dengan tagar #JokowiPengacauNegara dan kalimat “Nepalkan semua pelindung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</si>
  <si>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https://x.com/MusdiantoA3826/status/2022114298689208564</t>
  </si>
  <si>
    <t>14 Februari 2026</t>
  </si>
  <si>
    <r>
      <rPr>
        <rFont val="Arial,sans-serif"/>
        <color rgb="FF1155CC"/>
        <sz val="8.0"/>
        <u/>
      </rPr>
      <t>https://www.tiktok.com/@resntra.komensos/video/7482649781504855351</t>
    </r>
  </si>
  <si>
    <t>Ditemukan konten disinformasi di media sosial Tiktok yang bernarasi bahwa terdapat adanya Bantuan Sosial (Bansos) dari pemerintah, konten ini juga diduga merupakan modus scamming dengan phishing karena terdapat link mencurigakan di bio akun Tiktok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</si>
  <si>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 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 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</si>
  <si>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r>
      <rPr>
        <rFont val="Arial,sans-serif"/>
        <color rgb="FF1155CC"/>
        <sz val="8.0"/>
        <u/>
      </rPr>
      <t>https://www.tiktok.com/@info.blt.cair/video/7605125712449768722</t>
    </r>
  </si>
  <si>
    <r>
      <rPr>
        <rFont val="Arial,sans-serif"/>
        <color rgb="FF1155CC"/>
        <sz val="8.0"/>
        <u/>
      </rPr>
      <t>https://www.tiktok.com/@info.blt.cair/video/7605125685572603143</t>
    </r>
  </si>
  <si>
    <r>
      <rPr>
        <rFont val="Arial,sans-serif"/>
        <color rgb="FF1155CC"/>
        <sz val="8.0"/>
        <u/>
      </rPr>
      <t>https://www.tiktok.com/@info.blt.cair/video/7605125445515873543</t>
    </r>
  </si>
  <si>
    <r>
      <rPr>
        <rFont val="Arial,sans-serif"/>
        <color rgb="FF1155CC"/>
        <sz val="8.0"/>
        <u/>
      </rPr>
      <t>https://www.tiktok.com/@bansos.nik.keluar0/video/7579071430399102216</t>
    </r>
  </si>
  <si>
    <r>
      <rPr>
        <rFont val="Arial,sans-serif"/>
        <color rgb="FF1155CC"/>
        <sz val="8.0"/>
        <u/>
      </rPr>
      <t>https://www.tiktok.com/@bansos.nik.keluar0/video/7568306516390956296</t>
    </r>
  </si>
  <si>
    <t>https://www.tiktok.com/@bansos.nik.keluar0/video/7566135805408824584</t>
  </si>
  <si>
    <r>
      <rPr>
        <rFont val="Arial,sans-serif"/>
        <color rgb="FF1155CC"/>
        <sz val="8.0"/>
        <u/>
      </rPr>
      <t>https://www.tiktok.com/@info.bsu.terkinii/video/7605818279776570645</t>
    </r>
  </si>
  <si>
    <r>
      <rPr>
        <rFont val="Arial,sans-serif"/>
        <color rgb="FF1155CC"/>
        <sz val="8.0"/>
        <u/>
      </rPr>
      <t>https://www.tiktok.com/@info.bsu.terkinii/video/7605817957284924693</t>
    </r>
  </si>
  <si>
    <r>
      <rPr>
        <rFont val="Arial,sans-serif"/>
        <color rgb="FF1155CC"/>
        <sz val="8.0"/>
        <u/>
      </rPr>
      <t>https://www.tiktok.com/@info.bsu.terkinii/video/7605817351778454805</t>
    </r>
  </si>
  <si>
    <t>13 Februari 2026</t>
  </si>
  <si>
    <t>https://www.tiktok.com/@bimacitracintanew/video/7605828860759903506</t>
  </si>
  <si>
    <t xml:space="preserve">Ditemukan konten disinformasi dari akun Tiktok @bimacitracintanew yang bernarasi bahwa Istana diserang oleh orang bersenjata, dituliskan juga bahwa Presiden Prabowo disandera dan penyandera meminta tebusan sebesar Rp17 Triliun.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</si>
  <si>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 xml:space="preserve">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
</t>
  </si>
  <si>
    <t>https://www.tiktok.com/@bimacitracintanew/video/7605371528225623303</t>
  </si>
  <si>
    <t xml:space="preserve">Ditemukan konten disinformasi dari akun Tiktok @bimacitracintanew yang bernarasi bahwa Presiden Prabowo Subianto ingin menyingkirkan Nahdlatul Ulama (NU). Dalam konten tersebut juga terdapat audio hasil manipulasi suara Prabowo yang mengatakan “NU tidak setia kepada negara akan kita singkirkan”.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</si>
  <si>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https://www.tiktok.com/@bimacitracintanew/video/7605194353048407314</t>
  </si>
  <si>
    <t xml:space="preserve">Ditemukan konten disinformasi dari akun Tiktok @bimacitracintanew yang bernarasi bahwa Agus Harimurti Yudhoyono (AHY) ditembak mati oleh orang suruhan Wakil Presiden Gibran Rakabuming yang dikaitkan dengan persaingan elektabilitas.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</si>
  <si>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https://www.tiktok.com/@bimacitracintanew/video/7604973896059702546</t>
  </si>
  <si>
    <t xml:space="preserve">Ditemukan konten disinformasi dari akun Tiktok @bimacitracintanew yang bernarasi bahwa Megawati Soekarnoputri ditembak mati oleh orang suruhan Prabowo Subianto.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</si>
  <si>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https://www.tiktok.com/@bimacitracintanew/video/7604826874371443986</t>
  </si>
  <si>
    <t xml:space="preserve">Ditemukan konten disinformasi dari akun Tiktok @bimacitracintanew yang bernarasi bahwa Anies Baswedan mati ditembak, kemudian dikaitkan juga siapa dalang dari aksi tersebut yaitu Prabowo Subianto atau Gibran Rakabuming.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</si>
  <si>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https://www.tiktok.com/@bimacitracintanew/video/7604437237085850888</t>
  </si>
  <si>
    <t xml:space="preserve">Ditemukan konten disinformasi dari akun Tiktok @bimacitracintanew yang bernarasi bahwa mobil Wapres Gibran parkir sembarangan.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</si>
  <si>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https://www.tiktok.com/@bimacitracintanew/video/7604244436599442706</t>
  </si>
  <si>
    <t xml:space="preserve">Ditemukan konten disinformasi dari akun Tiktok @bimacitracintanew yang berisi video dengan suara Wapres Girban hasil manipulasi yang mengatakan “Saya presidennya, wakilnya Prof Yusril”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</si>
  <si>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https://www.tiktok.com/@bimacitracintanew/video/7604046426364005640</t>
  </si>
  <si>
    <t xml:space="preserve">Ditemukan konten disinformasi dari akun Tiktok @bimacitracintanew yang bernarasi bahwa Gibran pemakan daging bayi dan dikaitkan dengan Epstein Files.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</si>
  <si>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https://www.tiktok.com/@bimacitracintanew/video/7602568305907354887</t>
  </si>
  <si>
    <t xml:space="preserve">Ditemukan konten disinformasi dari akun Tiktok @bimacitracintanew yang bernarasi bahwa Megawati dan anaknya (Prananda) mati ditembak, dituliskan juga siapakah dalang dibaliknya yaitu antara Anies, Jokowi, Prabowo, atau Gibran.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</si>
  <si>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https://www.tiktok.com/@bimacitracintanew/video/7602396352458263815</t>
  </si>
  <si>
    <t xml:space="preserve">Ditemukan konten disinformasi dari akun Tiktok @bimacitracintanew yang bernarasi Prabowo dan Jokowi saling bersitegang.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</si>
  <si>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12 Februari 2026</t>
  </si>
  <si>
    <t>https://x.com/DM_Sihombing16/status/2021744550033936576</t>
  </si>
  <si>
    <t>Ditemukan konten pada media sosial Facebook yang diduga memuat unsur provokatif untuk memakzulkan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</si>
  <si>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https://x.com/indonesiaeffort/status/2021629362731446715</t>
  </si>
  <si>
    <t>Ditemukan konten pada media sosial Facebook yang diduga memuat unsur provokatif untuk memakzulkan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</si>
  <si>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https://x.com/freakingdicer/status/2021607077068595542</t>
  </si>
  <si>
    <t>Ditemukan konten pada media sosial Facebook yang diduga memuat unsur provokatif untuk memakzulkan presiden disertai ujaran kebencian dan kalimat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</si>
  <si>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https://x.com/van88xier/status/2021573889571098762</t>
  </si>
  <si>
    <t>Ditemukan konten pada media sosial Facebook yang diduga memuat unsur provokatif dengan narasi “bangsa dijual rumah”, “presiden omon omon”, dan “kerajaan rakus”.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</si>
  <si>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https://x.com/rogue_mercenary/status/2021747092902080761</t>
  </si>
  <si>
    <t>Ditemukan konten pada media sosial Facebook yang diduga memuat unsur ujaran kebencian kepada presiden dan wakil presiden berupa kata “tolol” dan tuduhan menerima adu domba zionis.
Penyebaran informasi yang mengandung unsur Ujaran Kebencian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</si>
  <si>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r>
      <rPr>
        <rFont val="Calibri, sans-serif"/>
        <color rgb="FF1155CC"/>
        <sz val="8.0"/>
        <u/>
      </rPr>
      <t>https://x.com/p0litrick/status/2021618360803590350</t>
    </r>
  </si>
  <si>
    <t>Ditemukan konten pada media sosial Facebook yang diduga memuat unsur provokatif untuk memakzulkan gibran dan turunkan prabowo.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</si>
  <si>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https://www.facebook.com/share/p/1877GNYzSZ/</t>
  </si>
  <si>
    <t>Ditemukan konten pada media sosial Facebook yang diduga memuat unsur disinformasi berjenis misleading content. konten tersebut bernarasi tanpa dasar tentang presiden prabowo melakukan penyalahgunaan amnesti dan abolisi untuk menghentikan kasus korupsi jokowi.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</si>
  <si>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https://vt.tiktok.com/ZSmNv9PkY/</t>
  </si>
  <si>
    <t>Ditemukan konten pada media sosial Facebook yang diduga memuat unsur disinformasi berjenis false context dengan kalimat provokatif berisi asumsi yang dapat menimbulkan kesalahpahaman dengan narasi negara membunuh rakyat atas keputusan pemutusan 11 juta peserta BPJS sebelumnya.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</si>
  <si>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https://vt.tiktok.com/ZSmNcdUTE/</t>
  </si>
  <si>
    <t>Ditemukan konten disinformasi berjenis fabricated content yang disertai unsur defamation framing di media sosial, yang menarasikan bahwa Presiden Prabowo disebut sebagai “pemakan bayi” berdasarkan klaim dari dokumen Epstein Files. Konten tersebut memanfaatkan isu global yang kontroversial untuk mengaitkan tokoh nasional dengan tuduhan tanpa dasar bukti, serta menggunakan potongan gambar, teks dramatis, dan label “breaking news” untuk membangun kesan seolah-olah terdapat kutipan resmi dari dokumen investigasi. Faktanya, tidak terdapat satu pun dokumen resmi Epstein yang menyebut atau mengaitkan Prabowo dengan tuduhan semacam itu, dan narasi yang beredar merupakan rekayasa yang tidak didukung sumber kredibel.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</si>
  <si>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https://www.facebook.com/murshidd2/posts/pfbid0g87mHxHS8wzmDvhSn5K9N1NinpFak6wQD7FLEY3ykYiRbtkasd8V2W9qCUErK7tFl?_rdc=1&amp;_rdr#
</t>
  </si>
  <si>
    <r>
      <rPr>
        <rFont val="Arial"/>
        <sz val="8.0"/>
      </rPr>
      <t xml:space="preserve">Beredar unggahan di media sosial Facebook berisi narasi yang mengeklaim mantan Presiden Joko Widodo disebut bergabung ke dalam Dewan Pertimbangan Presiden (Wantimpres) era Presiden Prabowo Subianto.
Faktanya, klaim tersebut adalah tidak benar. Dilansir dari kompas.com, Sejak dilantik menjadi presiden, Prabowo belum membentuk Wantimpres. Pembentukan dewan ini tampaknya juga tidak akan dilaksanakan. Fungsi Wantimpres di era Presiden Prabowo digantikan oleh penasihat khusus yang telah dilantik pada Oktober 2024, dan Jokowi tidak termasuk di dalamnya.
Link Counter:
</t>
    </r>
    <r>
      <rPr>
        <rFont val="Arial"/>
        <color rgb="FF1155CC"/>
        <sz val="8.0"/>
        <u/>
      </rPr>
      <t>https://www.komdigi.go.id/berita/berita-hoaks/detail/hoaks-jokowi-gabung-ke-wantimpres-era-prabowo-pada-februari-2026</t>
    </r>
    <r>
      <rPr>
        <rFont val="Arial"/>
        <sz val="8.0"/>
      </rPr>
      <t xml:space="preserve"> 
</t>
    </r>
    <r>
      <rPr>
        <rFont val="Arial"/>
        <color rgb="FF1155CC"/>
        <sz val="8.0"/>
        <u/>
      </rPr>
      <t>https://www.kompas.com/cekfakta/read/2026/02/09/175100682/-hoaks-jokowi-gabung-ke-wantimpres-era-prabowo-pada-februari-2026</t>
    </r>
  </si>
  <si>
    <r>
      <rPr>
        <rFont val="Arial,sans-serif"/>
        <color rgb="FF1155CC"/>
        <sz val="8.0"/>
        <u/>
      </rPr>
      <t>https://www.facebook.com/groups/cyber00/permalink/31464423759839631/?rdid=wPd3r4Jqbn1KvtjS#</t>
    </r>
  </si>
  <si>
    <r>
      <rPr>
        <rFont val="Arial"/>
        <sz val="8.0"/>
      </rPr>
      <t xml:space="preserve">Beredar video di media sosial Facebook menampilkan CEO Malaka Project Ferry Irwandi yang diklaim menuduh TNI sebagai dalang kerusuhan. Dalam video itu, terdengar Ferry mengatakan bahwa intel TNI menyusupi aksi demonstrasi.
Faktanya, klaim tersebut adalah tidak benar. Konten tersebut merupakan hoaks dan informasi yang disampaikan adalah tidak benar. Dilansir dari kompas.com, video tersebut merupakan hasil rekayasa artificial intelligence (AI). Hasil pemeriksaan menggunakan alat pendeteksi AI Hive Moderation menunjukkan bahwa video tersebut dihasilkan oleh AI dengan probabilitas mencapai 99,9 persen.
Link Counter:
</t>
    </r>
    <r>
      <rPr>
        <rFont val="Arial"/>
        <color rgb="FF1155CC"/>
        <sz val="8.0"/>
        <u/>
      </rPr>
      <t>https://www.kompas.com/cekfakta/read/2025/09/22/130300582/-hoaks-ferry-irwandi-tuduh-tni-dalang-kerusuhan</t>
    </r>
    <r>
      <rPr>
        <rFont val="Arial"/>
        <sz val="8.0"/>
      </rPr>
      <t xml:space="preserve"> 
</t>
    </r>
    <r>
      <rPr>
        <rFont val="Arial"/>
        <color rgb="FF1155CC"/>
        <sz val="8.0"/>
        <u/>
      </rPr>
      <t>https://www.komdigi.go.id/berita/berita-hoaks/detail/hoaks-ferry-irwandi-tuduh-tni-dalang-kerusuhan</t>
    </r>
  </si>
  <si>
    <r>
      <rPr>
        <rFont val="Arial,sans-serif"/>
        <color rgb="FF1155CC"/>
        <sz val="8.0"/>
        <u/>
      </rPr>
      <t>https://www.tiktok.com/@khai.rani81/video/7603573557121109266</t>
    </r>
  </si>
  <si>
    <r>
      <rPr>
        <rFont val="Arial"/>
        <sz val="8.0"/>
      </rPr>
      <t xml:space="preserve">Beredar unggahan di media sosial Facebook berisi narasi yang mengeklaim mantan Presiden Joko Widodo disebut bergabung ke dalam Dewan Pertimbangan Presiden (Wantimpres) era Presiden Prabowo Subianto.
Faktanya, klaim tersebut adalah tidak benar. Dilansir dari kompas.com, Sejak dilantik menjadi presiden, Prabowo belum membentuk Wantimpres. Pembentukan dewan ini tampaknya juga tidak akan dilaksanakan. Fungsi Wantimpres di era Presiden Prabowo digantikan oleh penasihat khusus yang telah dilantik pada Oktober 2024, dan Jokowi tidak termasuk di dalamnya.
Link Counter : 
</t>
    </r>
    <r>
      <rPr>
        <rFont val="Arial"/>
        <color rgb="FF1155CC"/>
        <sz val="8.0"/>
        <u/>
      </rPr>
      <t>https://www.kompas.com/cekfakta/read/2026/02/09/175100682/-hoaks-jokowi-gabung-ke-wantimpres-era-prabowo-pada-februari-2026</t>
    </r>
  </si>
  <si>
    <r>
      <rPr>
        <rFont val="Arial,sans-serif"/>
        <color rgb="FF1155CC"/>
        <sz val="8.0"/>
        <u/>
      </rPr>
      <t>https://www.tiktok.com/@virginiasaja/video/7603150845164735751</t>
    </r>
  </si>
  <si>
    <r>
      <rPr>
        <rFont val="Arial"/>
        <sz val="8.0"/>
      </rPr>
      <t xml:space="preserve">Beredar unggahan di media sosial Facebook berisi narasi yang mengeklaim mantan Presiden Joko Widodo disebut bergabung ke dalam Dewan Pertimbangan Presiden (Wantimpres) era Presiden Prabowo Subianto.
Faktanya, klaim tersebut adalah tidak benar. Dilansir dari kompas.com, Sejak dilantik menjadi presiden, Prabowo belum membentuk Wantimpres. Pembentukan dewan ini tampaknya juga tidak akan dilaksanakan. Fungsi Wantimpres di era Presiden Prabowo digantikan oleh penasihat khusus yang telah dilantik pada Oktober 2024, dan Jokowi tidak termasuk di dalamnya.
Link Counter : 
</t>
    </r>
    <r>
      <rPr>
        <rFont val="Arial"/>
        <color rgb="FF1155CC"/>
        <sz val="8.0"/>
        <u/>
      </rPr>
      <t>https://www.kompas.com/cekfakta/read/2026/02/09/175100682/-hoaks-jokowi-gabung-ke-wantimpres-era-prabowo-pada-februari-2026</t>
    </r>
  </si>
  <si>
    <r>
      <rPr>
        <rFont val="Arial,sans-serif"/>
        <color rgb="FF1155CC"/>
        <sz val="8.0"/>
        <u/>
      </rPr>
      <t>https://www.tiktok.com/@sentinel7799/video/7603814867807620370</t>
    </r>
  </si>
  <si>
    <r>
      <rPr>
        <rFont val="Arial"/>
        <sz val="8.0"/>
      </rPr>
      <t xml:space="preserve">Beredar unggahan di media sosial Facebook berisi narasi yang mengeklaim mantan Presiden Joko Widodo disebut bergabung ke dalam Dewan Pertimbangan Presiden (Wantimpres) era Presiden Prabowo Subianto.
Faktanya, klaim tersebut adalah tidak benar. Dilansir dari kompas.com, Sejak dilantik menjadi presiden, Prabowo belum membentuk Wantimpres. Pembentukan dewan ini tampaknya juga tidak akan dilaksanakan. Fungsi Wantimpres di era Presiden Prabowo digantikan oleh penasihat khusus yang telah dilantik pada Oktober 2024, dan Jokowi tidak termasuk di dalamnya.
Link Counter : 
</t>
    </r>
    <r>
      <rPr>
        <rFont val="Arial"/>
        <color rgb="FF1155CC"/>
        <sz val="8.0"/>
        <u/>
      </rPr>
      <t>https://www.kompas.com/cekfakta/read/2026/02/09/175100682/-hoaks-jokowi-gabung-ke-wantimpres-era-prabowo-pada-februari-2026</t>
    </r>
  </si>
  <si>
    <r>
      <rPr>
        <rFont val="Arial,sans-serif"/>
        <color rgb="FF1155CC"/>
        <sz val="8.0"/>
        <u/>
      </rPr>
      <t>https://www.tiktok.com/@walipaidi.88/video/7504660181356154113</t>
    </r>
  </si>
  <si>
    <r>
      <rPr>
        <rFont val="Arial"/>
        <sz val="8.0"/>
      </rPr>
      <t xml:space="preserve">Beredar sebuah unggahan video di media sosial dengan narasi yang menyebutkan bahwa hakim kabur saat sidang ijazah Joko Widodo (Jokowi).
Faktanya, klaim video hakim kabur saat sidang ijazah Jokowi merupakan hoaks. Dilansir dari kompas.com, klip yang beredar bersumber dari potongan video sidang mediasi ijazah Jokowi. Sidang tersebut merupakan mediasi ketiga yang digelar Pengadilan Negeri (PN) Surakarta pada Rabu, 14 Mei 2025. Mediasi tersebut berujung deadlock atau pihak yang bersengketa tidak mencapai kesepakatan atau titik temu. Perkara ijazah palsu dilanjutkan dalam persidangan dengan Jokowi sebagai tergugat 1 melawan penggugat Muhammad Taufik. Dalam rangkaian sidang terkait ijazah Jokowi, tidak ada hakim yang kabur di tengah persidangan.
Link Counter:
</t>
    </r>
    <r>
      <rPr>
        <rFont val="Arial"/>
        <color rgb="FF1155CC"/>
        <sz val="8.0"/>
        <u/>
      </rPr>
      <t>https://www.kompas.com/cekfakta/read/2026/02/05/085855582/hoaks-hakim-kabur-saat-sidang-ijazah-jokowi</t>
    </r>
    <r>
      <rPr>
        <rFont val="Arial"/>
        <sz val="8.0"/>
      </rPr>
      <t xml:space="preserve">  
</t>
    </r>
    <r>
      <rPr>
        <rFont val="Arial"/>
        <color rgb="FF1155CC"/>
        <sz val="8.0"/>
        <u/>
      </rPr>
      <t>https://www.komdigi.go.id/berita/berita-hoaks/detail/hoaks-hakim-kabur-saat-sidang-ijazah-jokowi</t>
    </r>
    <r>
      <rPr>
        <rFont val="Arial"/>
        <sz val="8.0"/>
      </rPr>
      <t xml:space="preserve"> 
</t>
    </r>
  </si>
  <si>
    <t xml:space="preserve"> 11 Februari 2026</t>
  </si>
  <si>
    <t>https://www.facebook.com/share/v/1a7kTvCmt9/</t>
  </si>
  <si>
    <t>Ditemukan konten pada media sosial Facebook yang diduga memuat unsur disinformasi berjenis false context. konten tersebut menarasikan bahwa foto gibran mengambil Ijazah merupakan hasil AI. pada realitasnya, foto tersebut benar benar terjadi dan sudut pandang memiliki 3 tangan merupakan miskonsepsi pembuat konten.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</si>
  <si>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https://www.facebook.com/share/p/18JT6DWTxR/</t>
  </si>
  <si>
    <t>Ditemukan konten pada media sosial Facebook yang diduga memuat unsur provokatif berupa ajakan pembubaran Indonesia dan seruan mendirikan kedaulatan wes papua dalam satu komando.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</si>
  <si>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https://www.facebook.com/share/p/1BH58RDnSF/</t>
  </si>
  <si>
    <t>Ditemukan konten pada media sosial Facebook yang diduga memuat unsur gangguan informasi dengan jenis misleading content. konten tersebut menarasikan seorang TNI yang menolak terhadap tugas negara dengan narasi “takut hadapi kogoya”.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</si>
  <si>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https://www.facebook.com/share/p/1GCnvm9xZk/</t>
  </si>
  <si>
    <t>Ditemukan konten disinformasi berjenis false content yang disertai unsur fear-mongering framing di media sosial, yang menarasikan bahwa foto atau video gempa bumi di Bangkok mengandung virus ransomware bernama “Seismic Waves Card” yang dapat meretas ponsel dalam 10 detik. Konten tersebut mengaitkan peringatan siber palsu dengan peristiwa gempa nyata untuk membangun kepanikan dan mendorong penyebaran pesan berantai. Faktanya, tidak ada laporan resmi dari otoritas keamanan siber maupun lembaga kredibel yang mengonfirmasi keberadaan malware dengan nama tersebut, dan pola pesan serupa telah berulang kali muncul sejak gempa Maroko 2023 hingga gempa Myanmar–Thailand 2025.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</si>
  <si>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https://www.facebook.com/share/p/17waoL5rVA/</t>
  </si>
  <si>
    <t>Ditemukan konten pada media sosial Facebook yang diduga memuat unsur provokatif untuk musnahkan prabowo dan gibran Pandjaitan disertai narasi ujaran kebencian dengan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t>
  </si>
  <si>
    <t>https://www.facebook.com/share/p/1ATBM1tS8S/</t>
  </si>
  <si>
    <t>separatisme</t>
  </si>
  <si>
    <t>Ditemukan konten pada media sosial Facebook yang diduga memuat unsur separatisme disertai provokatif berisi narasi siapa dijajah dan siapa penjajah. konten tersebut menarasikan dengan membingkai bahwa papua merupakan entitas yang sedang di jajah oleh Indonesia. hal tersebut kemudian digunakan sebagai alasan ajakan untuk melakukan perlawanan terhadap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</si>
  <si>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https://www.facebook.com/share/p/18DzYRLC86/</t>
  </si>
  <si>
    <t>Ditemukan konten pada media sosial Facebook yang diduga memuat unsur ujaran kebencian. konten tersebut menyalahartikan transmigrasi sebagai bentuk penjajahan yang kemudian digunakan sebagai alasan untuk menyudutkan suku tertentu.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</si>
  <si>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https://web.facebook.com/share/p/1De5wfHRzN/</t>
  </si>
  <si>
    <t>Ditemukan konten pada media sosial Facebook yang diduga memuat unsur provokatif untuk menepalkan pemerintahan dan adanya ujaran kebencian dengan tuduhan kepada ras tertentu seperti “DPR berbau komunis cina”.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</si>
  <si>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https://www.facebook.com/share/p/1BAXHqiPsz/</t>
  </si>
  <si>
    <t>Ditemukan konten pada media sosial Facebook yang diduga memuat unsur separatisme berisi narasi dukungan terhadap kedaulatan papua dan ajakan untuk memerdekakan diri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</si>
  <si>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10 Februari 2026</t>
  </si>
  <si>
    <r>
      <rPr>
        <rFont val="Arial,sans-serif"/>
        <color rgb="FF1155CC"/>
        <sz val="8.0"/>
        <u/>
      </rPr>
      <t>https://www.facebook.com/FreeAcehMovement</t>
    </r>
  </si>
  <si>
    <t>Ditemukan akun pada media sosial Facebook yang aktif menyebarkan narasi separatisme dan dukungan terhadap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</si>
  <si>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https://www.facebook.com/share/p/1GDFH7WDzb/</t>
    </r>
  </si>
  <si>
    <t>Ditemukan konten pada media sosial Facebook yang diduga memuat unsur provokatif dengan narasi dukungan terhadap Aceh merdeka dan Papua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</si>
  <si>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https://www.facebook.com/reel/25601398489495990</t>
    </r>
  </si>
  <si>
    <t>Ditemukan sebuah konten pada media sosial Facebook berisi narasi provokatif dengan narasi dukungan Aceh merdeka dengan diberikan konteks kondisi bencana banjir yang melanda wilayah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</si>
  <si>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https://www.facebook.com/reel/2595252584183297</t>
    </r>
  </si>
  <si>
    <t>Ditemukan konten pada media sosial Facebook yang diduga memuat unsur provokatif dengan narasi separatisme yaitu hanya etnis Jawa saja yang tidak setuju Indonesia bubar. Terdapat narasi bahwa sebagian warga negara ingin merdeka dan menciptakan negara sendiri.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</si>
  <si>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https://www.facebook.com/reel/1257643016252176</t>
    </r>
  </si>
  <si>
    <t>Ditemukan konten pada media sosial Facebook yang diduga memuat unsur disinformasi berjenis fabricated content dengan menampilkan video deepfake Presiden Prabowo yang memberikan kemerdekaan terhadap Aceh.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</si>
  <si>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https://www.facebook.com/freewestpapua</t>
    </r>
  </si>
  <si>
    <t>Ditemukan sebuah akun pada media sosial Facebook yang diduga secara aktif mengunggah konten provokatif dengan narasi separatisme dan dukungan terhadap Organisasi Papua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</si>
  <si>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https://www.facebook.com/reel/1280662240769357</t>
    </r>
  </si>
  <si>
    <t>Ditemukan konten pada media sosial Facebook yang memuat unsur disinformasi fabricated content dengan menampilkan video AI-generated demonstrasi besar-besaran berisi tuntutan Papua Merdeka dengan mengibarkan bendera bintang kejora di wilayah Monumen Nasional, Jakarta.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</si>
  <si>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https://x.com/renandik/status/2020850540314612137</t>
    </r>
  </si>
  <si>
    <t>Ditemukan konten pada media sosial X (Twitter) yang diduga memuat unsur provokatif dengan ajakan untuk melakukan kudeta terhadap Presiden Prabowo dan mengadili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</si>
  <si>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https://www.facebook.com/share/p/1Xk3r8g1Dk/</t>
    </r>
  </si>
  <si>
    <t>Ditemukan konten pada media sosial Facebook yang diduga memuat unsur provokatif dengan ajakan untuk melakukan kudeta terhadap Presiden Prabowo.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</si>
  <si>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https://www.tiktok.com/@_i.love.israel/video/7593474728497564935</t>
    </r>
  </si>
  <si>
    <t>Ditemukan konten pada media sosial Tiktok yang diduga memuat unsur disinformasi dengan menampilkan foto hasil rekayasa digital Presiden Prabowo mengibarkan Bendera Israel. Pada konten tersebut, terdapat kalimat menyesatkan dengan menyatakan Indonesia bersama Israel.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</si>
  <si>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9 Februari 2026</t>
  </si>
  <si>
    <t>https://www.facebook.com/share/r/1DQ1VNvb6H/</t>
  </si>
  <si>
    <t>Ditemukan konten pada media sosial Facebook yang diduga memuat unsur disinformasi berjenis fabricated content (konten palsu) dengan video AI-generated berisi perlawanan masyarakat terhadap penggusuran. Narasi yang disampaikan pada caption video tersebut yaitu ancaman kepada aparat apabila tidak dapat menjadi pelindung masyarakat, maka akan di-”Nepal”kan.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</si>
  <si>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https://www.facebook.com/reel/1416776806516807</t>
  </si>
  <si>
    <t>Ditemukan konten pada media sosial Facebook yang diduga memuat unsur provokatif dengan narasi Sumatera Barat merdeka. Narasi tersebut disertai argumen yang menyatakan bahwa Indonesia menjajah karena hanya mengambil harta-harta daerah tetapi tidak membantu daerah.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</si>
  <si>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https://www.facebook.com/groups/408533683614451/</t>
  </si>
  <si>
    <t>Provokatif dan
Ujaran Kebencian</t>
  </si>
  <si>
    <t>Ditemukan sebuah grup pada media sosial Facebook dengan nama “DPW” yang aktif digunakan oleh penggunanya untuk menyebarkan konten provokatif dengan narasi separatisme terhadap NKRI. Selain itu, narasi yang dipakai berupa narasi kedaerahan dengan menyebarkan ujaran kebencian terhadap suatu etnis yang dianggap menjajah etnis lain.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</si>
  <si>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https://www.facebook.com/reel/908982701524198</t>
  </si>
  <si>
    <t>Ditemukan konten pada media sosial Facebook yang diduga memuat unsur provokatif dengan narasi perjuangan kemerdekaan Aceh melalui diplomasi di PBB.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</si>
  <si>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https://www.tiktok.com/@indonesia.84/video/7575605708180294919?q=militer%20indonesia%20vs%20israel&amp;t=1770604753630</t>
  </si>
  <si>
    <t>Ditemukan konten pada media sosial Facebook yang diduga memuat unsur disinformasi dengan fabricated content (konten palsu) berupa video AI berisi berita palsu TNI yang berperang jarak dekat melawan militer Israel (IDF) dimana pada caption video tersebut disebutkan sebanyak 150 personil IDF tewas dan ditawan oleh TNI.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</si>
  <si>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https://www.tiktok.com/@pangersa_aries/video/7552000134284840248?_r=1&amp;_t=ZS-93lnDzLxF9J</t>
  </si>
  <si>
    <t>Ditemukan konten pada media sosial Tiktok yang diduga memuat unsur disinformasi berjenis fabricated content (konten palsu) dengan menampilkan video AI dengan narasi Indonesia menyiapkan rudal jelajah setara dengan rudal hipersonik di laut Ambalat.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</si>
  <si>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https://www.tiktok.com/@feureau/video/7558313870461340944?_r=1&amp;_t=ZS-93lnRQyTYVo</t>
  </si>
  <si>
    <t>Ditemukan konten pada media sosial Tiktok yang diduga memuat unsur disinformasi berupa misleading content (konten menyesatkan) dengan memuat potongan pidato Menteri Peperangan AS, Pete Hegseth yang menyebut “diversity is not your strength” yang seharusnya pidato tersebut ditujukan kepada Milter AS, namun dihilangkan konteksnya dan dihubungkan dengan slogan Indonesia “Bhinneka Tunggal Ika”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</si>
  <si>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https://www.tiktok.com/@cba_internasional/video/7538756877492997382?_r=1&amp;_t=ZS-93lnbKIFTFM</t>
  </si>
  <si>
    <t>Ditemukan konten pada media sosial Tiktok yang diduga memuat unsur disinformasi dengan membuat video yang menampilkan personil dari negara asing, namun dibingkai seolah-olah merupakan tanda kehancuran Indonesia sebelum tahun 2030.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</si>
  <si>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8 Februari 2026</t>
  </si>
  <si>
    <r>
      <rPr>
        <rFont val="Arial,sans-serif"/>
        <b/>
        <color rgb="FF1155CC"/>
        <sz val="8.0"/>
        <u/>
      </rPr>
      <t>https://www.tiktok.com/@za.brilliant/video/7593290569393114388</t>
    </r>
  </si>
  <si>
    <t>Konten tersebut memuat unsur provokatif gerakan separatisme “Gerakan Aceh Merdeka” dengan narasi “Insya Allah Merdeka dan Berdaulat” serta memuat video bendera GAM yang berkibar.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</si>
  <si>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b/>
        <color rgb="FF1155CC"/>
        <sz val="8.0"/>
        <u/>
      </rPr>
      <t>https://x.com/Hidetosri/status/2019989376185561355</t>
    </r>
  </si>
  <si>
    <t>Konten tersebut memuat unsur provokatif gerakan separatisme “Gerakan Aceh Merdeka” dengan narasi “Berkirim surat ke dewan PBB, Turki, Malaysia, Portugis, minta mereka menganeksasi aceh, insya Allah pasti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</si>
  <si>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b/>
        <color rgb="FF1155CC"/>
        <sz val="8.0"/>
        <u/>
      </rPr>
      <t>https://x.com/Fauzi56100765/status/2019369445576306771</t>
    </r>
  </si>
  <si>
    <t>Konten tersebut memuat unsur provokatif gerakan separatisme “Gerakan Aceh Merdeka” dengan narasi “Tuhan memberikan cobaan ke warga aceh agak tetap kuat dan segera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</si>
  <si>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b/>
        <color rgb="FF1155CC"/>
        <sz val="8.0"/>
        <u/>
      </rPr>
      <t>https://x.com/Raditia13a/status/2018948613083472304</t>
    </r>
  </si>
  <si>
    <t>Konten tersebut memuat unsur provokatif gerakan separatisme “Gerakan Aceh Merdeka” dengan narasi “ACEH HARUS MERDEKA,LEPAS DARI KAUM MUNAFIK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</si>
  <si>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b/>
        <color rgb="FF1155CC"/>
        <sz val="8.0"/>
        <u/>
      </rPr>
      <t>https://x.com/Fauzi56100765/status/2018866118564450736</t>
    </r>
  </si>
  <si>
    <t>Konten tersebut memuat unsur provokatif gerakan separatisme “Gerakan Aceh Merdeka” dengan narasi yang juga merendahkan Bapak Prabowo Subianto terkait upaya perbantuan bencana di Aceh disertai dengan caption “BERJUANG NTUK BANGSA ACEH MERDEKA.. ACEH DARUSSALAM”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</si>
  <si>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b/>
        <color rgb="FF1155CC"/>
        <sz val="8.0"/>
        <u/>
      </rPr>
      <t>https://www.facebook.com/share/v/1AjwCd1nvQ/</t>
    </r>
  </si>
  <si>
    <t>Konten tersebut diduga memuat unsur provokatif aksi anarkis dengan narasi “Nepalkan” terhadap Joko Widodo yang merujuk pada isu korupsi oleh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</si>
  <si>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b/>
        <color rgb="FF1155CC"/>
        <sz val="8.0"/>
        <u/>
      </rPr>
      <t>https://www.tiktok.com/@aceh2026merdeka/video/7591870300157955349</t>
    </r>
  </si>
  <si>
    <t>Konten tersebut memuat unsur provokatif gerakan separatisme “Gerakan Aceh Merdeka” yang menampilkan sebuah video situasi saat upacara dengan mengibarkan bendera GAM serta memuat narasi “Aceh Merdeka 2026”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</si>
  <si>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7 Februari 2026</t>
  </si>
  <si>
    <r>
      <rPr>
        <rFont val="Arial,sans-serif"/>
        <color rgb="FF1155CC"/>
        <sz val="8.0"/>
        <u/>
      </rPr>
      <t>https://www.tiktok.com/@jenmabok/video/7602233591392718101</t>
    </r>
  </si>
  <si>
    <t>Konten tersebut memuat unsur provokatif gerakan separatisme “Gerakan Aceh Merdeka” yang menampilkan sebuah video aksi demonstrasi warga Aceh yang menuntut untuk dimerdekakan dengan dalih UUD 1945 terkait “Kemerdekaan adalah hak semua bangsa”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</si>
  <si>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https://www.tiktok.com/@teukuhafizikrampriatama/video/7602392241948151060</t>
    </r>
  </si>
  <si>
    <t>Konten tersebut memuat unsur provokatif gerakan separatisme “Gerakan Aceh Merdeka” dengan sebuah video hasil rekayasa AI pernyataan Aceh merdeka di konferensi PBB.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</si>
  <si>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https://www.tiktok.com/@jenmabok/video/7602233591392718101</t>
    </r>
  </si>
  <si>
    <t>Konten tersebut memuat unsur provokatif gerakan separatisme “Gerakan Aceh Merdeka” dengan narasi satir atau menyindir terhadap Pemerintah Indonesia yang seolah-olah Pemerintah Indonesia membuat warga aceh kelaparan.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</si>
  <si>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https://www.tiktok.com/@wan.rambo8/video/7603954158839893256</t>
    </r>
  </si>
  <si>
    <t>Konten tersebut memuat unsur provokatif gerakan separatisme “Gerakan Aceh Merdeka” yang menampilkan sebuah video yang menyalahgunakan aksi demonstrasi Palestina dengan membawa bendera GAM dengan caption “Aceh Merdeka, Palestina Merdeka” serta memuat narasi “Indonesia bubar”.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</si>
  <si>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https://www.tiktok.com/@lamsilasra/video/7603948005644930311</t>
    </r>
  </si>
  <si>
    <t>Konten tersebut memuat unsur provokatif gerakan separatisme “Gerakan Aceh Merdeka” yang menampilkan sebuah video aksi demonstrasi warga aceh yang mengibarkan bendera putih dan bendera GAM serta narasi menuntut Aceh untuk segera dimerdekakan.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</si>
  <si>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https://www.tiktok.com/@gero885/video/7455983464484015365</t>
    </r>
  </si>
  <si>
    <t>Konten tersebut memuat unsur provokatif gerakan separatisme yang menampilkan sebuah video aksi demonstrasi di NTT dengan narasi “NTT ingin merdeka dan ingin lepas dari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</si>
  <si>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https://x.com/durnadurno/status/2020016307199177041</t>
    </r>
  </si>
  <si>
    <t>Konten tersebut diduga memuat unsur provokatif aksi anarkis dengan narasi “Nepalkan” terharap para pejabat RI yang terlibat dalam program MBG, termasuk bapak Prabowo Subianto.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</si>
  <si>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https://x.com/OjolNyambi/status/2019996191577219348</t>
    </r>
  </si>
  <si>
    <t>Konten tersebut diduga memuat unsur provokatif aksi anarkis dengan narasi “Nepalkan” terhadap Joko Widodo dan Gibran Rakabuming yang merujuk pada polemik Ijazah terkait serta menuntut Gibran untuk di-makzulkan dengan tagar #GibranToxicBagiIndonesia.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</si>
  <si>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https://x.com/SOlidaritasR2l2/status/2019320768228970822</t>
    </r>
  </si>
  <si>
    <t>Konten tersebut diduga memuat unsur provokatif aksi anarkis dengan narasi “Nepalkan” terhadap Joko Widodo dan Gibran Rakabuming yang merujuk pada polemik Ijazah terkait.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</si>
  <si>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https://www.facebook.com/share/r/17ySiy93Lh/</t>
    </r>
  </si>
  <si>
    <t>Konten tersebut memuat unsur provokatif gerakan separatisme dengan narasi bahwa seluruh wilayah di Indonesia ingin Indonesia bubar kecuali wilayah Jawa dengan narasi “Hanya bangsa-bangsa Jawa Saja yang tidak setuju Indonesia bubar”. Konten ini juga menampilkan sebuah video yang sudah mengarah ke perpecahan antar suku dan agama.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</si>
  <si>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6  Februari 2026</t>
  </si>
  <si>
    <t>https://www.facebook.com/share/r/17vGJ8AP5n/</t>
  </si>
  <si>
    <t>https://www.facebook.com/share/p/1AiGo992Tm/</t>
  </si>
  <si>
    <t>https://www.facebook.com/share/p/1b3tfRyQfX/</t>
  </si>
  <si>
    <t>https://www.facebook.com/share/r/1BV4C2sKW9/</t>
  </si>
  <si>
    <t>https://x.com/SOlidaritasR2l2/status/2019320768228970822</t>
  </si>
  <si>
    <t>https://x.com/SOlidaritasR2l2/status/2019340739340358038</t>
  </si>
  <si>
    <t>https://x.com/ArtaN7707/status/2018630622106001749</t>
  </si>
  <si>
    <t>https://x.com/van88xier/status/2018561691672617308</t>
  </si>
  <si>
    <t>https://x.com/PngAdilnR4kyt/status/2018551623417819187</t>
  </si>
  <si>
    <t>https://x.com/PngAdilnR4kyt/status/2019652204358168978</t>
  </si>
  <si>
    <r>
      <rPr>
        <rFont val="Arial"/>
        <color rgb="FF1155CC"/>
        <sz val="8.0"/>
        <u/>
      </rPr>
      <t>https://www.facebook.com/nency.suwito/posts/menkeu-purbaya-yudhi-sadewa-mengatakan-ingin-menyetop-mbg-pada-bulan-puasa-tetap/1264627752241154/</t>
    </r>
    <r>
      <rPr>
        <rFont val="Arial"/>
        <sz val="8.0"/>
      </rPr>
      <t xml:space="preserve">
</t>
    </r>
  </si>
  <si>
    <r>
      <rPr>
        <rFont val="Arial"/>
        <sz val="8.0"/>
      </rPr>
      <t xml:space="preserve">Beredar sebuah unggahan di media sosial dengan narasi yang mengklaim Menteri Keuangan (Menkeu) Purbaya Yudhi Sadewa ingin menghentikan program Makan Bergizi Gratis (MBG) saat puasa atau bulan Ramadan.
Faktanya, klaim tersebut adalah tidak benar. Dilansir dari </t>
    </r>
    <r>
      <rPr>
        <rFont val="Arial"/>
        <color rgb="FF1155CC"/>
        <sz val="8.0"/>
        <u/>
      </rPr>
      <t>turnbackhoax.id</t>
    </r>
    <r>
      <rPr>
        <rFont val="Arial"/>
        <sz val="8.0"/>
      </rPr>
      <t xml:space="preserve">, setelah memasukkan kata kunci “MBG Ramadan 2026” ke mesin pencarian Google, hasil penelusuran teratas mengarah ke pemberitaan </t>
    </r>
    <r>
      <rPr>
        <rFont val="Arial"/>
        <color rgb="FF1155CC"/>
        <sz val="8.0"/>
        <u/>
      </rPr>
      <t>tempo.co</t>
    </r>
    <r>
      <rPr>
        <rFont val="Arial"/>
        <sz val="8.0"/>
      </rPr>
      <t xml:space="preserve"> berjudul “Mekanisme MBG pada Ramadhan 2026 Tak Jauh Beda dari Tahun Ini” yang tayang Rabu, 24 Desember 2025. Berita ini melaporkan bahwa skema penyaluran MBG pada Ramadan tahun 2026 serupa dengan sistem penyaluran pada bulan puasa tahun ini. Hidangan yang sebelumnya disajikan untuk makan siang, dapat dibawa pulang dan dikonsumsi setelah waktu Magrib bagi siswa yang berpuasa. Sepanjang penelusuran, tidak ditemukan informasi dari sumber kredibel yang membenarkan klaim dalam unggahan.
Link Counter:
</t>
    </r>
    <r>
      <rPr>
        <rFont val="Arial"/>
        <color rgb="FF1155CC"/>
        <sz val="8.0"/>
        <u/>
      </rPr>
      <t>https://turnbackhoax.id/articles/31228</t>
    </r>
    <r>
      <rPr>
        <rFont val="Arial"/>
        <sz val="8.0"/>
      </rPr>
      <t xml:space="preserve"> 
</t>
    </r>
    <r>
      <rPr>
        <rFont val="Arial"/>
        <color rgb="FF1155CC"/>
        <sz val="8.0"/>
        <u/>
      </rPr>
      <t>https://www.tempo.co/politik/mekanisme-mbg-pada-ramadan-2026-tak-jauh-beda-dari-tahun-ini-2101851</t>
    </r>
    <r>
      <rPr>
        <rFont val="Arial"/>
        <sz val="8.0"/>
      </rPr>
      <t xml:space="preserve"> 
</t>
    </r>
  </si>
  <si>
    <t>https://www.facebook.com/61582468960543/posts/menkeu-purbaya-ingin-menyetop-mbg-waktu-puasa-badan-gizi-menolak-mentah-mentah-b/122118222999082298/</t>
  </si>
  <si>
    <r>
      <rPr>
        <rFont val="Arial"/>
        <sz val="8.0"/>
      </rPr>
      <t xml:space="preserve">Beredar sebuah unggahan di media sosial dengan narasi yang mengklaim Menteri Keuangan (Menkeu) Purbaya Yudhi Sadewa ingin menghentikan program Makan Bergizi Gratis (MBG) saat puasa atau bulan Ramadan.
Faktanya, klaim tersebut adalah tidak benar. Dilansir dari </t>
    </r>
    <r>
      <rPr>
        <rFont val="Arial"/>
        <color rgb="FF1155CC"/>
        <sz val="8.0"/>
        <u/>
      </rPr>
      <t>turnbackhoax.id</t>
    </r>
    <r>
      <rPr>
        <rFont val="Arial"/>
        <sz val="8.0"/>
      </rPr>
      <t xml:space="preserve">, setelah memasukkan kata kunci “MBG Ramadan 2026” ke mesin pencarian Google, hasil penelusuran teratas mengarah ke pemberitaan </t>
    </r>
    <r>
      <rPr>
        <rFont val="Arial"/>
        <color rgb="FF1155CC"/>
        <sz val="8.0"/>
        <u/>
      </rPr>
      <t>tempo.co</t>
    </r>
    <r>
      <rPr>
        <rFont val="Arial"/>
        <sz val="8.0"/>
      </rPr>
      <t xml:space="preserve"> berjudul “Mekanisme MBG pada Ramadhan 2026 Tak Jauh Beda dari Tahun Ini” yang tayang Rabu, 24 Desember 2025. Berita ini melaporkan bahwa skema penyaluran MBG pada Ramadan tahun 2026 serupa dengan sistem penyaluran pada bulan puasa tahun ini. Hidangan yang sebelumnya disajikan untuk makan siang, dapat dibawa pulang dan dikonsumsi setelah waktu Magrib bagi siswa yang berpuasa. Sepanjang penelusuran, tidak ditemukan informasi dari sumber kredibel yang membenarkan klaim dalam unggahan.
Link Counter:
</t>
    </r>
    <r>
      <rPr>
        <rFont val="Arial"/>
        <color rgb="FF1155CC"/>
        <sz val="8.0"/>
        <u/>
      </rPr>
      <t>https://turnbackhoax.id/articles/31228</t>
    </r>
    <r>
      <rPr>
        <rFont val="Arial"/>
        <sz val="8.0"/>
      </rPr>
      <t xml:space="preserve"> 
</t>
    </r>
    <r>
      <rPr>
        <rFont val="Arial"/>
        <color rgb="FF1155CC"/>
        <sz val="8.0"/>
        <u/>
      </rPr>
      <t>https://www.tempo.co/politik/mekanisme-mbg-pada-ramadan-2026-tak-jauh-beda-dari-tahun-ini-2101851</t>
    </r>
    <r>
      <rPr>
        <rFont val="Arial"/>
        <sz val="8.0"/>
      </rPr>
      <t xml:space="preserve"> 
</t>
    </r>
  </si>
  <si>
    <t>https://www.facebook.com/reel/865491859687906</t>
  </si>
  <si>
    <r>
      <rPr>
        <rFont val="Arial"/>
        <sz val="8.0"/>
      </rPr>
      <t xml:space="preserve">Beredar sebuah unggahan di media sosial yang mengeklaim Menteri Keuangan Purbaya Yudhi Sadewa disebut mengusulkan penyaluran program Makan Bergizi Gratis (MBG) diubah dalam bentuk uang tunai. Usulan itu disebut merupakan solusi dari Purbaya untuk mengatasi maraknya kasus keracunan pada siswa penerima MBG.
Faktanya, klaim tersebut adalah tidak benar. Dilansir dari </t>
    </r>
    <r>
      <rPr>
        <rFont val="Arial"/>
        <color rgb="FF1155CC"/>
        <sz val="8.0"/>
        <u/>
      </rPr>
      <t>kompas.com</t>
    </r>
    <r>
      <rPr>
        <rFont val="Arial"/>
        <sz val="8.0"/>
      </rPr>
      <t xml:space="preserve">, narasi Purbaya mengusulkan agar MBG disalurkan dalam bentuk uang tunai dibantah oleh Kepala Biro Komunikasi dan Layanan Informasi Kementerian Keuangan Deni Surjantoro. Deni Surjantoro menyebut bahwa isu itu bermula dari sebuah unggahan video di TikTok. Deni Surjantoro mengimbau masyarakat mewaspadai penipuan dan berhati-hati terhadap berbagai penipuan yang mengatasnamakan pejabat atau pegawai Kementerian Keuangan.
Link Counter:
</t>
    </r>
    <r>
      <rPr>
        <rFont val="Arial"/>
        <color rgb="FF1155CC"/>
        <sz val="8.0"/>
        <u/>
      </rPr>
      <t>https://www.kompas.com/cekfakta/read/2026/01/10/232300182/-hoaks-purbaya-usul-agar-mbg-disalurkan-dalam-bentuk-uang-tunai#</t>
    </r>
    <r>
      <rPr>
        <rFont val="Arial"/>
        <sz val="8.0"/>
      </rPr>
      <t xml:space="preserve"> </t>
    </r>
  </si>
  <si>
    <t>https://www.facebook.com/reel/1672097460429253</t>
  </si>
  <si>
    <r>
      <rPr>
        <rFont val="Arial"/>
        <sz val="8.0"/>
      </rPr>
      <t xml:space="preserve">Beredar sebuah unggahan video di media sosial dengan narasi yang menyebutkan bahwa hakim kabur saat sidang ijazah Joko Widodo (Jokowi).
Faktanya, klaim video hakim kabur saat sidang ijazah Jokowi merupakan hoaks. Dilansir dari </t>
    </r>
    <r>
      <rPr>
        <rFont val="Arial"/>
        <color rgb="FF1155CC"/>
        <sz val="8.0"/>
        <u/>
      </rPr>
      <t>kompas.com</t>
    </r>
    <r>
      <rPr>
        <rFont val="Arial"/>
        <sz val="8.0"/>
      </rPr>
      <t xml:space="preserve">, klip yang beredar bersumber dari potongan video sidang mediasi ijazah Jokowi. Sidang tersebut merupakan mediasi ketiga yang digelar Pengadilan Negeri (PN) Surakarta pada Rabu, 14 Mei 2025. Mediasi tersebut berujung deadlock atau pihak yang bersengketa tidak mencapai kesepakatan atau titik temu. Perkara ijazah palsu dilanjutkan dalam persidangan dengan Jokowi sebagai tergugat 1 melawan penggugat Muhammad Taufik. Dalam rangkaian sidang terkait ijazah Jokowi, tidak ada hakim yang kabur di tengah persidangan.
Link Counter:
</t>
    </r>
    <r>
      <rPr>
        <rFont val="Arial"/>
        <color rgb="FF1155CC"/>
        <sz val="8.0"/>
        <u/>
      </rPr>
      <t>https://www.kompas.com/cekfakta/read/2026/02/05/085855582/hoaks-hakim-kabur-saat-sidang-ijazah-jokowi</t>
    </r>
    <r>
      <rPr>
        <rFont val="Arial"/>
        <sz val="8.0"/>
      </rPr>
      <t xml:space="preserve"> 
</t>
    </r>
  </si>
  <si>
    <t>https://www.facebook.com/reel/1921794875442459</t>
  </si>
  <si>
    <r>
      <rPr>
        <rFont val="Arial"/>
        <sz val="8.0"/>
      </rPr>
      <t xml:space="preserve">Beredar sebuah unggahan video di media sosial dengan narasi yang menyebutkan bahwa hakim kabur saat sidang ijazah Joko Widodo (Jokowi).
Faktanya, klaim video hakim kabur saat sidang ijazah Jokowi merupakan hoaks. Dilansir dari </t>
    </r>
    <r>
      <rPr>
        <rFont val="Arial"/>
        <color rgb="FF1155CC"/>
        <sz val="8.0"/>
        <u/>
      </rPr>
      <t>kompas.com</t>
    </r>
    <r>
      <rPr>
        <rFont val="Arial"/>
        <sz val="8.0"/>
      </rPr>
      <t xml:space="preserve">, klip yang beredar bersumber dari potongan video sidang mediasi ijazah Jokowi. Sidang tersebut merupakan mediasi ketiga yang digelar Pengadilan Negeri (PN) Surakarta pada Rabu, 14 Mei 2025. Mediasi tersebut berujung deadlock atau pihak yang bersengketa tidak mencapai kesepakatan atau titik temu. Perkara ijazah palsu dilanjutkan dalam persidangan dengan Jokowi sebagai tergugat 1 melawan penggugat Muhammad Taufik. Dalam rangkaian sidang terkait ijazah Jokowi, tidak ada hakim yang kabur di tengah persidangan.
Link Counter:
</t>
    </r>
    <r>
      <rPr>
        <rFont val="Arial"/>
        <color rgb="FF1155CC"/>
        <sz val="8.0"/>
        <u/>
      </rPr>
      <t>https://www.kompas.com/cekfakta/read/2026/02/05/085855582/hoaks-hakim-kabur-saat-sidang-ijazah-jokowi</t>
    </r>
    <r>
      <rPr>
        <rFont val="Arial"/>
        <sz val="8.0"/>
      </rPr>
      <t xml:space="preserve"> 
</t>
    </r>
  </si>
  <si>
    <t>https://www.facebook.com/reel/890253907275622</t>
  </si>
  <si>
    <r>
      <rPr>
        <rFont val="Arial"/>
        <sz val="8.0"/>
      </rPr>
      <t xml:space="preserve">Beredar sebuah unggahan video di media sosial dengan narasi yang menyebutkan bahwa hakim kabur saat sidang ijazah Joko Widodo (Jokowi).
Faktanya, klaim video hakim kabur saat sidang ijazah Jokowi merupakan hoaks. Dilansir dari </t>
    </r>
    <r>
      <rPr>
        <rFont val="Arial"/>
        <color rgb="FF1155CC"/>
        <sz val="8.0"/>
        <u/>
      </rPr>
      <t>kompas.com</t>
    </r>
    <r>
      <rPr>
        <rFont val="Arial"/>
        <sz val="8.0"/>
      </rPr>
      <t xml:space="preserve">, klip yang beredar bersumber dari potongan video sidang mediasi ijazah Jokowi. Sidang tersebut merupakan mediasi ketiga yang digelar Pengadilan Negeri (PN) Surakarta pada Rabu, 14 Mei 2025. Mediasi tersebut berujung deadlock atau pihak yang bersengketa tidak mencapai kesepakatan atau titik temu. Perkara ijazah palsu dilanjutkan dalam persidangan dengan Jokowi sebagai tergugat 1 melawan penggugat Muhammad Taufik. Dalam rangkaian sidang terkait ijazah Jokowi, tidak ada hakim yang kabur di tengah persidangan.
Link Counter:
</t>
    </r>
    <r>
      <rPr>
        <rFont val="Arial"/>
        <color rgb="FF1155CC"/>
        <sz val="8.0"/>
        <u/>
      </rPr>
      <t>https://www.kompas.com/cekfakta/read/2026/02/05/085855582/hoaks-hakim-kabur-saat-sidang-ijazah-jokowi</t>
    </r>
    <r>
      <rPr>
        <rFont val="Arial"/>
        <sz val="8.0"/>
      </rPr>
      <t xml:space="preserve"> 
</t>
    </r>
  </si>
  <si>
    <t>https://www.facebook.com/photo/?fbid=1088309700126818&amp;set=a.548420614115732&amp;_rdc=1&amp;_rdr#</t>
  </si>
  <si>
    <r>
      <rPr>
        <rFont val="Arial"/>
        <sz val="8.0"/>
      </rPr>
      <t xml:space="preserve">Beredar sebuah unggahan tangkapan layar portal berita di media sosial Instagram yang mengeklaim pernyataan dari Ketua Dewan Ekonomi Nasional (DEN) Luhut Binsar Pandjaitan mengenai kondisi ekonomi Indonesia akan lebih baik dari Amerika Serikat (AS) jika Joko Widodo (Jokowi) kembali menjabat sebagai presiden pada tahun 2029.
Faktanya, klaim dalam unggahan tersebut adalah tidak benar. Dilansir dari </t>
    </r>
    <r>
      <rPr>
        <rFont val="Arial"/>
        <color rgb="FF1155CC"/>
        <sz val="8.0"/>
        <u/>
      </rPr>
      <t>kompas.com</t>
    </r>
    <r>
      <rPr>
        <rFont val="Arial"/>
        <sz val="8.0"/>
      </rPr>
      <t xml:space="preserve">, setelah dilakukan penelusuran dengan menggunakan Google Lens, hasilnya tidak ditemukan pemberitaan kredibel yang membenarkan pernyataan Luhut tersebut. Tangkapan layar yang beredar merupakan konten manipulatif. Pemberitaan sebenarnya yang ditayangkan oleh </t>
    </r>
    <r>
      <rPr>
        <rFont val="Arial"/>
        <color rgb="FF1155CC"/>
        <sz val="8.0"/>
        <u/>
      </rPr>
      <t>cnnindonesia.com</t>
    </r>
    <r>
      <rPr>
        <rFont val="Arial"/>
        <sz val="8.0"/>
      </rPr>
      <t xml:space="preserve"> pada Sabtu, 13 September 2025 pukul 20.50 WIB berjudul "Respons Luhut Soal AEI Sebut Ekonomi Indonesia Dalam Kondisi Darurat". Dalam artikel tersebut, Luhut menyampaikan bahwa Tanah Air sedang mengalami darurat ekonomi dan saran dari Aliansi Ekonomi Indonesia (AEI) agar melakukan deregulasi kebijakan dan penyederhanaan birokrasi. Lebih lanjut, konstitusi Indonesia mengatur bahwa seseorang hanya bisa menjabat sebagai presiden dalam dua periode sesuai ketentuan Pasal 7 Undang-Undang Dasar 1945.
Link Counter :
</t>
    </r>
    <r>
      <rPr>
        <rFont val="Arial"/>
        <color rgb="FF1155CC"/>
        <sz val="8.0"/>
        <u/>
      </rPr>
      <t>https://www.kompas.com/cekfakta/read/2025/09/19/130100082/-hoaks-luhut-sebut-ekonomi-indonesia-melebihi-as-jika-jokowi-jadi?page=all#page2</t>
    </r>
    <r>
      <rPr>
        <rFont val="Arial"/>
        <sz val="8.0"/>
      </rPr>
      <t xml:space="preserve">  
</t>
    </r>
    <r>
      <rPr>
        <rFont val="Arial"/>
        <color rgb="FF1155CC"/>
        <sz val="8.0"/>
        <u/>
      </rPr>
      <t>https://www.cnnindonesia.com/ekonomi/20250913184758-532-1273390/respons-luhut-soal-aei-sebut-ekonomi-indonesia-dalam-kondisi-darurat</t>
    </r>
    <r>
      <rPr>
        <rFont val="Arial"/>
        <sz val="8.0"/>
      </rPr>
      <t xml:space="preserve">   
</t>
    </r>
    <r>
      <rPr>
        <rFont val="Arial"/>
        <color rgb="FF1155CC"/>
        <sz val="8.0"/>
        <u/>
      </rPr>
      <t>https://www.mkri.id/public/content/profil/kedudukan/UUD_1945_Perubahan%204.pdf</t>
    </r>
    <r>
      <rPr>
        <rFont val="Arial"/>
        <sz val="8.0"/>
      </rPr>
      <t xml:space="preserve"> </t>
    </r>
  </si>
  <si>
    <t>https://www.facebook.com/photo/?fbid=122180989616564013&amp;set=a.122151417410564013</t>
  </si>
  <si>
    <r>
      <rPr>
        <rFont val="Arial"/>
        <sz val="8.0"/>
      </rPr>
      <t xml:space="preserve">Beredar sebuah unggahan di media sosial Facebook berupa tangkapan layar artikel yang mengeklaim mantan Presiden Joko Widodo (Jokowi) setuju dengan Rancangan Undang-Undang (RUU) Perampasan Aset asalkan tidak diberlakukan bagi mantan presiden.
Faktanya, klaim tersebut adalah tidak benar. Dilansir dari </t>
    </r>
    <r>
      <rPr>
        <rFont val="Arial"/>
        <color rgb="FF1155CC"/>
        <sz val="8.0"/>
        <u/>
      </rPr>
      <t>kompas.com</t>
    </r>
    <r>
      <rPr>
        <rFont val="Arial"/>
        <sz val="8.0"/>
      </rPr>
      <t xml:space="preserve">, setelah dilakukan penelusuran dengan memasukan gambar dengan menggunakan Google Lens, hasilnya tidak ditemukan artikel dengan judul seperti narasi yang beredar seperti portal berita tersebut. Tangkapan layar artikel yang beredar adalah bentuk manipulasi. Artikel sebenarnya yang diunggah oleh </t>
    </r>
    <r>
      <rPr>
        <rFont val="Arial"/>
        <color rgb="FF1155CC"/>
        <sz val="8.0"/>
        <u/>
      </rPr>
      <t>cnnindonesia.com</t>
    </r>
    <r>
      <rPr>
        <rFont val="Arial"/>
        <sz val="8.0"/>
      </rPr>
      <t xml:space="preserve"> berjudul "Jokowi Komentari Purbaya: Sangat Bagus, Beda Mazhab dengan Sri Mulyani". Dalam artikel tersebut, Jokowi memberikan komentar mengenai Menteri Keuangan Purbaya Yudhi Sadewa yang menggantikan Sri Mulyani. Tidak ada komentar Jokowi yang menyinggung RUU Perampasan Aset.
Link Counter:
</t>
    </r>
    <r>
      <rPr>
        <rFont val="Arial"/>
        <color rgb="FF1155CC"/>
        <sz val="8.0"/>
        <u/>
      </rPr>
      <t>https://www.kompas.com/cekfakta/read/2025/09/26/134800382/-hoaks-jokowi-setuju-ruu-perampasan-aset-asalkan-tidak-berlaku-bagi</t>
    </r>
    <r>
      <rPr>
        <rFont val="Arial"/>
        <sz val="8.0"/>
      </rPr>
      <t xml:space="preserve">  
</t>
    </r>
    <r>
      <rPr>
        <rFont val="Arial"/>
        <color rgb="FF1155CC"/>
        <sz val="8.0"/>
        <u/>
      </rPr>
      <t>https://www.cnnindonesia.com/ekonomi/20250912154821-532-1273047/jokowi-komentari-purbaya-sangat-bagus-beda-mazhab-dengan-sri-mulyani</t>
    </r>
    <r>
      <rPr>
        <rFont val="Arial"/>
        <sz val="8.0"/>
      </rPr>
      <t xml:space="preserve">  
</t>
    </r>
    <r>
      <rPr>
        <rFont val="Arial"/>
        <color rgb="FF1155CC"/>
        <sz val="8.0"/>
        <u/>
      </rPr>
      <t>https://regional.kompas.com/read/2025/09/12/150216778/jokowi-ungkap-3-kali-dorong-dpr-agar-bahas-ruu-perampasan-aset-saat-jabat</t>
    </r>
    <r>
      <rPr>
        <rFont val="Arial"/>
        <sz val="8.0"/>
      </rPr>
      <t xml:space="preserve"> </t>
    </r>
  </si>
  <si>
    <t xml:space="preserve">https://www.tiktok.com/@sultan.mahesa67/video/7584870421841857813 
</t>
  </si>
  <si>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
    </r>
    <r>
      <rPr>
        <rFont val="Arial"/>
        <color rgb="FF1155CC"/>
        <sz val="8.0"/>
        <u/>
      </rPr>
      <t>turnbackhoax.id</t>
    </r>
    <r>
      <rPr>
        <rFont val="Arial"/>
        <sz val="8.0"/>
      </rPr>
      <t xml:space="preserve">, konten yang beredar merupakan hasil suntingan dari pemberitaan </t>
    </r>
    <r>
      <rPr>
        <rFont val="Arial"/>
        <color rgb="FF1155CC"/>
        <sz val="8.0"/>
        <u/>
      </rPr>
      <t>kompas.com</t>
    </r>
    <r>
      <rPr>
        <rFont val="Arial"/>
        <sz val="8.0"/>
      </rPr>
      <t xml:space="preserve">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https://money.kompas.com/read/2024/07/06/193000726/china-dianggap-jadi-mitra-terpenting-indonesia-luhut--kami-ingin-memastikan</t>
    </r>
    <r>
      <rPr>
        <rFont val="Arial"/>
        <sz val="8.0"/>
      </rPr>
      <t xml:space="preserve"> 
</t>
    </r>
  </si>
  <si>
    <t xml:space="preserve">https://www.tiktok.com/@zahidnizhom/video/7584665976898129172 </t>
  </si>
  <si>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
    </r>
    <r>
      <rPr>
        <rFont val="Arial"/>
        <color rgb="FF1155CC"/>
        <sz val="8.0"/>
        <u/>
      </rPr>
      <t>turnbackhoax.id</t>
    </r>
    <r>
      <rPr>
        <rFont val="Arial"/>
        <sz val="8.0"/>
      </rPr>
      <t xml:space="preserve">, konten yang beredar merupakan hasil suntingan dari pemberitaan </t>
    </r>
    <r>
      <rPr>
        <rFont val="Arial"/>
        <color rgb="FF1155CC"/>
        <sz val="8.0"/>
        <u/>
      </rPr>
      <t>kompas.com</t>
    </r>
    <r>
      <rPr>
        <rFont val="Arial"/>
        <sz val="8.0"/>
      </rPr>
      <t xml:space="preserve">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https://money.kompas.com/read/2024/07/06/193000726/china-dianggap-jadi-mitra-terpenting-indonesia-luhut--kami-ingin-memastikan</t>
    </r>
    <r>
      <rPr>
        <rFont val="Arial"/>
        <sz val="8.0"/>
      </rPr>
      <t xml:space="preserve"> 
</t>
    </r>
  </si>
  <si>
    <t>https://www.tiktok.com/@dedy67025/video/7592049921818250516</t>
  </si>
  <si>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
    </r>
    <r>
      <rPr>
        <rFont val="Arial"/>
        <color rgb="FF1155CC"/>
        <sz val="8.0"/>
        <u/>
      </rPr>
      <t>turnbackhoax.id</t>
    </r>
    <r>
      <rPr>
        <rFont val="Arial"/>
        <sz val="8.0"/>
      </rPr>
      <t xml:space="preserve">, konten yang beredar merupakan hasil suntingan dari pemberitaan </t>
    </r>
    <r>
      <rPr>
        <rFont val="Arial"/>
        <color rgb="FF1155CC"/>
        <sz val="8.0"/>
        <u/>
      </rPr>
      <t>kompas.com</t>
    </r>
    <r>
      <rPr>
        <rFont val="Arial"/>
        <sz val="8.0"/>
      </rPr>
      <t xml:space="preserve">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https://money.kompas.com/read/2024/07/06/193000726/china-dianggap-jadi-mitra-terpenting-indonesia-luhut--kami-ingin-memastikan</t>
    </r>
    <r>
      <rPr>
        <rFont val="Arial"/>
        <sz val="8.0"/>
      </rPr>
      <t xml:space="preserve"> 
</t>
    </r>
  </si>
  <si>
    <t>https://www.tiktok.com/@satria7804/video/7585029511079628039</t>
  </si>
  <si>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
    </r>
    <r>
      <rPr>
        <rFont val="Arial"/>
        <color rgb="FF1155CC"/>
        <sz val="8.0"/>
        <u/>
      </rPr>
      <t>turnbackhoax.id</t>
    </r>
    <r>
      <rPr>
        <rFont val="Arial"/>
        <sz val="8.0"/>
      </rPr>
      <t xml:space="preserve">, konten yang beredar merupakan hasil suntingan dari pemberitaan </t>
    </r>
    <r>
      <rPr>
        <rFont val="Arial"/>
        <color rgb="FF1155CC"/>
        <sz val="8.0"/>
        <u/>
      </rPr>
      <t>kompas.com</t>
    </r>
    <r>
      <rPr>
        <rFont val="Arial"/>
        <sz val="8.0"/>
      </rPr>
      <t xml:space="preserve">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https://money.kompas.com/read/2024/07/06/193000726/china-dianggap-jadi-mitra-terpenting-indonesia-luhut--kami-ingin-memastikan</t>
    </r>
    <r>
      <rPr>
        <rFont val="Arial"/>
        <sz val="8.0"/>
      </rPr>
      <t xml:space="preserve"> 
</t>
    </r>
  </si>
  <si>
    <t>https://www.tiktok.com/@mila.dianur8/video/7585281508286598420</t>
  </si>
  <si>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
    </r>
    <r>
      <rPr>
        <rFont val="Arial"/>
        <color rgb="FF1155CC"/>
        <sz val="8.0"/>
        <u/>
      </rPr>
      <t>turnbackhoax.id</t>
    </r>
    <r>
      <rPr>
        <rFont val="Arial"/>
        <sz val="8.0"/>
      </rPr>
      <t xml:space="preserve">, konten yang beredar merupakan hasil suntingan dari pemberitaan </t>
    </r>
    <r>
      <rPr>
        <rFont val="Arial"/>
        <color rgb="FF1155CC"/>
        <sz val="8.0"/>
        <u/>
      </rPr>
      <t>kompas.com</t>
    </r>
    <r>
      <rPr>
        <rFont val="Arial"/>
        <sz val="8.0"/>
      </rPr>
      <t xml:space="preserve">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https://money.kompas.com/read/2024/07/06/193000726/china-dianggap-jadi-mitra-terpenting-indonesia-luhut--kami-ingin-memastikan</t>
    </r>
    <r>
      <rPr>
        <rFont val="Arial"/>
        <sz val="8.0"/>
      </rPr>
      <t xml:space="preserve"> 
</t>
    </r>
  </si>
  <si>
    <t>https://www.tiktok.com/@roykuhon305/video/7584940976624438549</t>
  </si>
  <si>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
    </r>
    <r>
      <rPr>
        <rFont val="Arial"/>
        <color rgb="FF1155CC"/>
        <sz val="8.0"/>
        <u/>
      </rPr>
      <t>turnbackhoax.id</t>
    </r>
    <r>
      <rPr>
        <rFont val="Arial"/>
        <sz val="8.0"/>
      </rPr>
      <t xml:space="preserve">, konten yang beredar merupakan hasil suntingan dari pemberitaan </t>
    </r>
    <r>
      <rPr>
        <rFont val="Arial"/>
        <color rgb="FF1155CC"/>
        <sz val="8.0"/>
        <u/>
      </rPr>
      <t>kompas.com</t>
    </r>
    <r>
      <rPr>
        <rFont val="Arial"/>
        <sz val="8.0"/>
      </rPr>
      <t xml:space="preserve">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https://money.kompas.com/read/2024/07/06/193000726/china-dianggap-jadi-mitra-terpenting-indonesia-luhut--kami-ingin-memastikan</t>
    </r>
    <r>
      <rPr>
        <rFont val="Arial"/>
        <sz val="8.0"/>
      </rPr>
      <t xml:space="preserve"> 
</t>
    </r>
  </si>
  <si>
    <t>5 Februari 2026</t>
  </si>
  <si>
    <t>https://www.tiktok.com/@vlogger_amatir/video/7580379449724652807</t>
  </si>
  <si>
    <t>Ditemukan sebuah konten provokatif di Tiktok dengan narasi ancaman bahwa akan adanya gerakan “Nepalkan” Indonesia disertai dengan gambar mantan presiden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</si>
  <si>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 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 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</si>
  <si>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t>https://www.tiktok.com/@ki.aryo.gunawan/video/7573921550303366420</t>
  </si>
  <si>
    <t>Ditemukan sebuah konten provokatif di Tiktok yang menampilkan seorang ibu dan sekelompok orang yang melakukan demo. Ibu tersebut membahas tentang isu ijazah Joko Widodo, dalam video juga terdapat narasi ancaman gerakan “Nepalkan”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</si>
  <si>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https://www.facebook.com/share/p/1aQRRPHJH6/</t>
  </si>
  <si>
    <t>Ditemukan konten provokatif yang menampilkan gambar mantan Presiden Joko Widodo dan Kapolri Listyo Sigit disertai narasi bahwa PLN terus merugi karena melakukan setoran kepada Jokowi dan POLRI.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</si>
  <si>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https://www.facebook.com/share/r/17x66ZcUrq/</t>
  </si>
  <si>
    <t>Ditemukan sebuah konten provokatif di Tiktok yang menampilkan pidato Gubernur Jawa Barat KDM tentang insiden di Nepal. Pada video tersebut dikaitkan dengan adanya narasi bahwa jika Presiden Prabowo tidak tegas kepada bawahannya maka akan terjadi insiden yang sama seperti yang terjadi di Nepal.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</si>
  <si>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https://www.facebook.com/share/v/182BuYhzFi/</t>
  </si>
  <si>
    <t>Ditemukan konten provokatif yang menampilkan video berisi gambar-gambar hasil editan Artificial Intelligence (AI) disertai dengan narasi isu-isu kebohongan yang dilakukan oleh mantan Presiden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</si>
  <si>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https://www.facebook.com/share/r/1DV1eSDhWU/</t>
  </si>
  <si>
    <t>Ditemukan konten provokatif yang menampilkan sekelompok orang yang diduga melakukan kegiatan seremonial dengan membawa bendera Bulan Bintang, dalam video tersebut juga terdapat caption bertuliskan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</si>
  <si>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https://www.facebook.com/share/p/1GKHYkze2N/</t>
  </si>
  <si>
    <t>Ditemukan konten provokatif di Facebook yang menampilkan sekelompok orang berfoto sambil menunjukkan bendera Bulan Bintang, dalam konten tersebut juga disertai caption mengenai perjuangan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</si>
  <si>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https://www.facebook.com/share/p/1NVn3EQjDi/</t>
  </si>
  <si>
    <t>Ditemukan konten provokatif di media sosial yang menampilkan foto hasil produksi AI yaitu seorang Pria dan 2 (dua) anak yang membawa sebuah spanduk bertuliskan “HIDUP CUMA SEKALI MALA JADI WNI YANG PEJABATNYA KORUP”.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</si>
  <si>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https://www.facebook.com/share/p/1CCamNEKep/</t>
  </si>
  <si>
    <t>Ditemukan konten provokatif yang menampilkan 3 (tiga) orang tokoh yaitu Prabowo Subianto, Joko Widodo, dan Luhut Binsar yang disertai dengan tulisan “Di tangan para penipu, Indonesia hanya menunggu kehancuran”.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</si>
  <si>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https://www.facebook.com/share/p/1C3p8wme34/</t>
  </si>
  <si>
    <t>Ditemukan konten provokatif yang menampilkan beberapa gambar dimana salah satunya adalah bendera Bintang Kejora dan salah seorang laki-laki menggunakan baju loreng membawa senjata laras panjang. Dalam konten tersebut juga terdapat caption “Tak ada Kata Lelah dan Libur Dalam Perjuangan Rakyat West Papua Melawan Pendudukan Kolonial Atas West Papua sejak tahun 1961 hingga saat ini".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</si>
  <si>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4 Februari 2026</t>
  </si>
  <si>
    <t>https://www.facebook.com/share/p/1Wey5uD2VD/</t>
  </si>
  <si>
    <t>Ditemukan konten pada media sosial facebook yang diduga memuat unsur disinformasi berjenis false context. Konten tersebut menarasikan pernyataan presiden prabowo perihal program MBG dan menyatakan bahwa di restoran, masih terdapat orang keracunan sehingga wajar MBG juga menyebabkan keracunan. Dalam konten tersebut, dinarasikan bahwa presiden menormalisasi keracunan dan menganggap bahwa keracunan dikarenakan murahnya MBG serta menganggap nyawa itu murah.
Maksud presiden sesungguhnya adalah mengatakan bahwa keracunan makanan bisa terjadi di mana saja, termasuk di tempat mahal, sehingga tidak serta merta menyalahkan murahnya harga MBG (sekitar 8rb-6rb per porsi, tergantung wilayah).
Tidak ada bukti langsung presiden mengatakan "kalau murah wajar keracunan" atau "wajarlah kalau kalian keracunan". hal tersebut merupakan interpretasi sinis/kesimpulan yang ditarik orang lain dari ucapan presiden. Dalam pernyataan kemarin, presiden prabowo mengatakan tidak ada toleransi kembali untuk kasus keracunan kedepannya.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</si>
  <si>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https://www.facebook.com/share/p/17WGNNdH1o/</t>
    </r>
  </si>
  <si>
    <t>Sparatisme</t>
  </si>
  <si>
    <t>Ditemukan konten pada media sosial Facebook yang diduga terindikasi memuat unsur sparatisme dan provokatif. Konten tersebut menarasikan bahwa aceh dengan semangat menuntut kemerdekaan atas bangsa aceh terhadap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</si>
  <si>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https://www.facebook.com/share/p/18KLm9rYTR/</t>
  </si>
  <si>
    <t>provokatif</t>
  </si>
  <si>
    <t>Ditemukan konten pada media sosial Facebook yang diduga terindikasi memuat unsur provokatif. Konten tersebut menarasikan bahwa MBG merupakan program komunis yang bertujuan untuk membunuh generasi siswa.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</si>
  <si>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https://www.facebook.com/share/p/168imcfTUv/</t>
  </si>
  <si>
    <t>Ditemukan konten pada media sosial Facebook yang diduga memuat unsur provokatif untuk memakzulkan gibran disertai narasi ujaran kebencian dengan kata-kata kasar dan tidak pantas seperti “nepalkan makzulkan jokowi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</si>
  <si>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https://www.facebook.com/share/p/1H8YYT1iPc/</t>
  </si>
  <si>
    <t>Ditemukan konten pada media sosial Facebook yang diduga memuat unsur provokatif untuk memakzulkan gibran serta pecat listyo sigit.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</si>
  <si>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https://www.facebook.com/share/p/1UEfDaf8Ag/</t>
    </r>
  </si>
  <si>
    <t>https://www.facebook.com/share/p/1D3BKPhHNc/</t>
  </si>
  <si>
    <r>
      <rPr>
        <rFont val="Arial,sans-serif"/>
        <color rgb="FF1155CC"/>
        <sz val="8.0"/>
        <u/>
      </rPr>
      <t>https://www.facebook.com/share/p/1GXG9zRDds/</t>
    </r>
  </si>
  <si>
    <r>
      <rPr>
        <rFont val="Arial,sans-serif"/>
        <color rgb="FF1155CC"/>
        <sz val="8.0"/>
        <u/>
      </rPr>
      <t>https://www.facebook.com/share/p/1E6gFdhz3p/</t>
    </r>
  </si>
  <si>
    <t>Ditemukan konten pada media sosial Facebook yang diduga memuat unsur provokatif dengan memanfaat berita tertentu disertai kalimat provokatif berupa “nepalkan anggota dewan”, “bunuh pembela ulama”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</si>
  <si>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https://www.facebook.com/share/p/1Kf8uydJbq/</t>
    </r>
  </si>
  <si>
    <t>Ditemukan konten pada media sosial Facebook yang diduga memuat unsur provokatif dengan memanfaat berita tertentu disertai kalimat provokatif berupa “nepalkan polisi” dan “bakar kantor polisi”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</si>
  <si>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https://www.facebook.com/share/p/1FgMsGj5Hb/</t>
    </r>
  </si>
  <si>
    <t>Ditemukan konten pada media sosial Facebook yang diduga memuat unsur provokatif dengan memanfaat berita tertentu disertai kalimat provokatif berupa #nepalkan dan #bubarkanpolri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</si>
  <si>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https://www.facebook.com/share/p/17Z8tQbtqE/</t>
    </r>
  </si>
  <si>
    <t>Ditemukan konten pada media sosial facebook yang memuat unsur disinformasi berjenis false context. konten tersebut menarasikan bahwa surat edaran yang biasa dikeluarkan oleh kementrian kesehatan yang dibingkai dalam nuansa negatif bahwa kemenkes menerima uang dan rakyat diminta disuntuk vitamin yahudi. konten tersebut juga disertai kalimat provokatif seperti “nepalkan menkes”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</si>
  <si>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https://www.facebook.com/share/p/1RZUSydGtd/</t>
  </si>
  <si>
    <t>Ditemukan konten pada media sosial Facebook yang diduga memuat unsur provokatif untuk menepalkan purbaya.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</si>
  <si>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https://www.facebook.com/share/p/1AkqKM6z55/</t>
    </r>
  </si>
  <si>
    <t>Ditemukan konten pada media sosial Facebook yang diduga memuat unsur provokatif untuk menepalkan presiden dan wakil presiden disertai tuduhan bahwa hasil pemilu merupakan kecurangan.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</si>
  <si>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https://vt.tiktok.com/ZSanemd3y/</t>
  </si>
  <si>
    <t>Ditemukan konten pada media sosial Facebook yang diduga memuat unsur disinformasi berupa false context. konten tersebut menarasikan bahwa pernyataan kepala departemen kesehatan siswa SMA kudus perihal kematian siswa SMA kudus yang tidak ada kaitannya dengan MBG merupakan tindakan untuk menutup bangkai dan meminta jatah menteri atau wakil menteri.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</si>
  <si>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https://x.com/berrynblush/status/2018562606861259231</t>
  </si>
  <si>
    <t>Provokatif, Ujaran Kebencian dan Menyerang kehormatan</t>
  </si>
  <si>
    <t xml:space="preserve">Ditemukan konten pada media sosial yang diduga memiliki muatan provokatif dan ujaran kebencian atau menyerang kehormatan
Penyebaran informasi yang mengandung unsur menyerang kehormatan atau 
nama baik orang lain yang berpotensi menimbulkan kegaduhan, mengganggu keamanan, serta mengancam stabilitas negara diatur dalam Undang-Undang Nomor 1 Tahun 2024 tentang Perubahan Kedua Atas Undang-Undang Nomor 11 Tahun 2008 tentang Informasi dan Transaksi Elektronik Pasal Undang-Undang pendukung dengan Undang-Undang Nomor 1 Tahun 2023 tentang Kitab Undang-Undang Hukum Pidana Pada Pasal 433 ayat (1) Setiap Orang yang dengan lisan menyerang kehormatan atau nama baik orang lain dengan cara menuduhkan suatu hal, dengan maksud supaya hal tersebut diketahui umum, dipidana karena pencemaran, dengan pidana penjara paling lama 9 (sembilan) Bulan atau pidana denda paling banyak kategori II. 
</t>
  </si>
  <si>
    <t>Pasal 433 ayat (1) Setiap Orang yang dengan lisan menyerang kehormatan atau nama baik orang lain dengan cara menuduhkan suatu hal, dengan maksud supaya hal tersebut diketahui umum, dipidana karena pencemaran, dengan pidana penjara paling lama 9 (sembilan) Bulan atau pidana denda paling banyak kategori II.</t>
  </si>
  <si>
    <t>Munculnya akun dan/atau konten provokatif, dan menyerang kehormatan menyebabkan meningkatkan persebaran manipulasi dan disinformasi, Dapat menimbulkan kegaduhan di publik serta ketegangan sosial yang berdampak pada gangguan keamanan dan ketertiban dikalangan masyarakat, mengganggu stabilitas dan integrasi nasional.</t>
  </si>
  <si>
    <t>https://x.com/satoruqojou/status/2018320354297737614</t>
  </si>
  <si>
    <t>https://x.com/taqien19/status/2016153247602643114</t>
  </si>
  <si>
    <t>https://x.com/Srik4ndiMuslim2/status/2017809560317399367</t>
  </si>
  <si>
    <t>https://x.com/OjolNyambi/status/2017789404677595368</t>
  </si>
  <si>
    <t>https://www.facebook.com/groups/594897112806059/posts/1208426754786422/</t>
  </si>
  <si>
    <t xml:space="preserve">Pasal 243 Ayat (1) Undang-Undang Nomor 1 Tahun 2023 tentang Kitab Undang-Undang Hukum Pidana “Setiap Orang yang menyiarkan, mempertunjukkan, atau menempelkan tulisan atau gambar sehingga terlihat oleh umum atau memperdengarkan rekaman sehingga terdengar oleh umum atau menyebarluaskan dengan sarana teknologi informasi, yang berisi pernyataan perasaan permusuhan 
dengan maksud agar isinya diketahui atau lebih diketahui oleh umum, terhadap satu atau beberapa golongan atau 
kelompok penduduk Indonesia berdasarkan ras, kebangsaan, etnis, warna kulit, agama, kepercayaan, jenis kelamin, disabilitas  mental,  atau disabilitas  fisik  yang  berakibat timbulnya Kekerasan terhadap orang atau Barang, dipidana dengan pidana penjara paling lama 4 (empat) tahun atau pidana denda paling banyak kategori IV. 
</t>
  </si>
  <si>
    <t>https://www.facebook.com/groups/594897112806059/posts/1207271141568650/</t>
  </si>
  <si>
    <t>https://www.facebook.com/groups/594897112806059/posts/1207044268258004/</t>
  </si>
  <si>
    <t>https://www.facebook.com/groups/594897112806059/posts/1203565928605838/</t>
  </si>
  <si>
    <t>https://www.tiktok.com/@hilangarahdantujuan5/video/7602702480169913621?</t>
  </si>
  <si>
    <r>
      <rPr>
        <rFont val="Arial"/>
        <sz val="8.0"/>
      </rPr>
      <t xml:space="preserve">Beredar unggahan di media sosial Facebook berisi narasi yang mengeklaim pengesahan Kitab Undang-Undang Hukum Pidana (KUHP) baru dilakukan dengan tujuan melumpuhkan Menteri Keuangan (Menkeu) Purbaya Yudhi Sadewa.
Faktanya, klaim tersebut adalah tidak benar. Dilansir dari </t>
    </r>
    <r>
      <rPr>
        <rFont val="Arial"/>
        <color rgb="FF1155CC"/>
        <sz val="8.0"/>
        <u/>
      </rPr>
      <t>tirto.id</t>
    </r>
    <r>
      <rPr>
        <rFont val="Arial"/>
        <sz val="8.0"/>
      </rPr>
      <t xml:space="preserve">, KUHP baru merupakan UU Nomor 1 Tahun 2023 yang disahkan sejak 2022 dan resmi berlaku 2 Januari 2026, menggantikan KUHP warisan kolonial Belanda. Tidak ada pernyataan resmi atau pemberitaan kredibel yang menyebut pengesahan KUHP bertujuan melumpuhkan Menteri Keuangan. Narasi yang beredar diduga keliru mengaitkan kritik Yayasan Lembaga Bantuan Hukum Indonesia (YLBHI) terhadap KUHAP, yang mengatur prosedur hukum acara pidana, dengan KUHP yang mengatur substansi tindak pidana. Kritik tersebut tidak menyasar Purbaya secara langsung dan tidak membuktikan adanya pelemahan Kementerian Keuangan. Dengan demikian, klaim bahwa KUHP disahkan untuk melumpuhkan Purbaya adalah salah dan menyesatkan.
Link Counter : 
</t>
    </r>
    <r>
      <rPr>
        <rFont val="Arial"/>
        <color rgb="FF1155CC"/>
        <sz val="8.0"/>
        <u/>
      </rPr>
      <t>https://tirto.id/tidak-tepat-kuhp-disahkan-untuk-melumpuhkan-menkeu-purbaya-hpDF</t>
    </r>
    <r>
      <rPr>
        <rFont val="Arial"/>
        <sz val="8.0"/>
      </rPr>
      <t xml:space="preserve"> </t>
    </r>
  </si>
  <si>
    <t>https://www.tiktok.com/@xiipinz3/video/7576713753048190216?</t>
  </si>
  <si>
    <r>
      <rPr>
        <rFont val="Arial"/>
        <sz val="8.0"/>
      </rPr>
      <t xml:space="preserve">Beredar unggahan di media sosial Facebook berisi narasi yang mengeklaim pengesahan Kitab Undang-Undang Hukum Pidana (KUHP) baru dilakukan dengan tujuan melumpuhkan Menteri Keuangan (Menkeu) Purbaya Yudhi Sadewa.
Faktanya, klaim tersebut adalah tidak benar. Dilansir dari </t>
    </r>
    <r>
      <rPr>
        <rFont val="Arial"/>
        <color rgb="FF1155CC"/>
        <sz val="8.0"/>
        <u/>
      </rPr>
      <t>tirto.id</t>
    </r>
    <r>
      <rPr>
        <rFont val="Arial"/>
        <sz val="8.0"/>
      </rPr>
      <t xml:space="preserve">, KUHP baru merupakan UU Nomor 1 Tahun 2023 yang disahkan sejak 2022 dan resmi berlaku 2 Januari 2026, menggantikan KUHP warisan kolonial Belanda. Tidak ada pernyataan resmi atau pemberitaan kredibel yang menyebut pengesahan KUHP bertujuan melumpuhkan Menteri Keuangan. Narasi yang beredar diduga keliru mengaitkan kritik Yayasan Lembaga Bantuan Hukum Indonesia (YLBHI) terhadap KUHAP, yang mengatur prosedur hukum acara pidana, dengan KUHP yang mengatur substansi tindak pidana. Kritik tersebut tidak menyasar Purbaya secara langsung dan tidak membuktikan adanya pelemahan Kementerian Keuangan. Dengan demikian, klaim bahwa KUHP disahkan untuk melumpuhkan Purbaya adalah salah dan menyesatkan.
Link Counter : 
</t>
    </r>
    <r>
      <rPr>
        <rFont val="Arial"/>
        <color rgb="FF1155CC"/>
        <sz val="8.0"/>
        <u/>
      </rPr>
      <t>https://tirto.id/tidak-tepat-kuhp-disahkan-untuk-melumpuhkan-menkeu-purbaya-hpDF</t>
    </r>
    <r>
      <rPr>
        <rFont val="Arial"/>
        <sz val="8.0"/>
      </rPr>
      <t xml:space="preserve"> </t>
    </r>
  </si>
  <si>
    <r>
      <rPr>
        <rFont val="Arial"/>
        <sz val="8.0"/>
      </rPr>
      <t xml:space="preserve">
</t>
    </r>
    <r>
      <rPr>
        <rFont val="Arial"/>
        <color rgb="FF1155CC"/>
        <sz val="8.0"/>
        <u/>
      </rPr>
      <t>https://www.tiktok.com/@sensei_wahyu/video/7575895094994242837?</t>
    </r>
  </si>
  <si>
    <r>
      <rPr>
        <rFont val="Arial"/>
        <sz val="8.0"/>
      </rPr>
      <t xml:space="preserve">Beredar unggahan di media sosial Facebook berisi narasi yang mengeklaim pengesahan Kitab Undang-Undang Hukum Pidana (KUHP) baru dilakukan dengan tujuan melumpuhkan Menteri Keuangan (Menkeu) Purbaya Yudhi Sadewa.
Faktanya, klaim tersebut adalah tidak benar. Dilansir dari </t>
    </r>
    <r>
      <rPr>
        <rFont val="Arial"/>
        <color rgb="FF1155CC"/>
        <sz val="8.0"/>
        <u/>
      </rPr>
      <t>tirto.id</t>
    </r>
    <r>
      <rPr>
        <rFont val="Arial"/>
        <sz val="8.0"/>
      </rPr>
      <t xml:space="preserve">, KUHP baru merupakan UU Nomor 1 Tahun 2023 yang disahkan sejak 2022 dan resmi berlaku 2 Januari 2026, menggantikan KUHP warisan kolonial Belanda. Tidak ada pernyataan resmi atau pemberitaan kredibel yang menyebut pengesahan KUHP bertujuan melumpuhkan Menteri Keuangan. Narasi yang beredar diduga keliru mengaitkan kritik Yayasan Lembaga Bantuan Hukum Indonesia (YLBHI) terhadap KUHAP, yang mengatur prosedur hukum acara pidana, dengan KUHP yang mengatur substansi tindak pidana. Kritik tersebut tidak menyasar Purbaya secara langsung dan tidak membuktikan adanya pelemahan Kementerian Keuangan. Dengan demikian, klaim bahwa KUHP disahkan untuk melumpuhkan Purbaya adalah salah dan menyesatkan.
Link Counter : 
</t>
    </r>
    <r>
      <rPr>
        <rFont val="Arial"/>
        <color rgb="FF1155CC"/>
        <sz val="8.0"/>
        <u/>
      </rPr>
      <t>https://tirto.id/tidak-tepat-kuhp-disahkan-untuk-melumpuhkan-menkeu-purbaya-hpDF</t>
    </r>
    <r>
      <rPr>
        <rFont val="Arial"/>
        <sz val="8.0"/>
      </rPr>
      <t xml:space="preserve"> </t>
    </r>
  </si>
  <si>
    <r>
      <rPr>
        <rFont val="Arial"/>
        <strike val="0"/>
        <color rgb="FF1155CC"/>
        <sz val="8.0"/>
        <u/>
      </rPr>
      <t>https://www.facebook.com/reel/3748932885243355</t>
    </r>
    <r>
      <rPr>
        <rFont val="Arial"/>
        <strike/>
        <sz val="8.0"/>
      </rPr>
      <t xml:space="preserve"> </t>
    </r>
  </si>
  <si>
    <r>
      <rPr>
        <rFont val="Arial"/>
        <sz val="8.0"/>
      </rPr>
      <t xml:space="preserve">Beredar unggahan di media sosial Facebook berisi narasi yang mengeklaim bahwa guru berstatus Aparatur Sipil Negara (ASN) harus membayar iuran BPJS Kesehatan sebanyak 26 kali dalam setahun. Dalam unggahan tersebut memuat rincian iuran yakni dari 12 kali potongan gaji, 12 kali Tunjangan Profesi Guru (TPG), Tunjangan Hari Raya (THR), dan gaji ke-13.
Faktanya, narasi tersebut adalah tidak benar. Dilansir dari </t>
    </r>
    <r>
      <rPr>
        <rFont val="Arial"/>
        <color rgb="FF1155CC"/>
        <sz val="8.0"/>
        <u/>
      </rPr>
      <t>kompas.com</t>
    </r>
    <r>
      <rPr>
        <rFont val="Arial"/>
        <sz val="8.0"/>
      </rPr>
      <t xml:space="preserve">, Kepala Humas BPJS Kesehatan Rizzky Anugerah membantah narasi yang menyebut guru berstatus ASN harus membayar iuran BPJS Kesehatan 26 kali dalam setahun. Rizzky Anugerah menyampaikan bahwa berdasarkan Peraturan Presiden Nomor 75 Tahun 2019 perhitungan iuran peserta JKN segmen Pekerja Penerima Upah (PPU) termasuk guru dihitung dari total pendapatan bersih peserta. Guru ASN membayar iuran BPJS Kesehatan sebanyak 12 kali dalam setahun nominalnya yakni 1 persen dari total pendapatan bersih peserta. Sementara, THR dan gaji ke-13 ASN guru tidak dipotong iuran BPJS Kesehatan karena bukan bagian dari dasar penghitungan iuran Jaminan Kesehatan Nasional (JKN).
Link Counter:
</t>
    </r>
    <r>
      <rPr>
        <rFont val="Arial"/>
        <color rgb="FF1155CC"/>
        <sz val="8.0"/>
        <u/>
      </rPr>
      <t>https://www.kompas.com/cekfakta/read/2026/02/02/144749582/hoaks-guru-asn-bayar-bpjs-kesehatan-26-kali-dalam-setahun?page=2</t>
    </r>
    <r>
      <rPr>
        <rFont val="Arial"/>
        <sz val="8.0"/>
      </rPr>
      <t xml:space="preserve"> 
</t>
    </r>
  </si>
  <si>
    <r>
      <rPr>
        <rFont val="Arial"/>
        <sz val="8.0"/>
      </rPr>
      <t xml:space="preserve">
</t>
    </r>
    <r>
      <rPr>
        <rFont val="Arial"/>
        <color rgb="FF1155CC"/>
        <sz val="8.0"/>
        <u/>
      </rPr>
      <t>https://www.facebook.com/swara.kota.7/posts/pfbid02MvpEsEd9KBoKAFaJ9ieWM8MazrgB51rTQVKoBrTMB1JSRbiDfjgTBaJam58TdARil?rdid=8pahDN8K0NOseKeF#</t>
    </r>
  </si>
  <si>
    <r>
      <rPr>
        <rFont val="Arial"/>
        <sz val="8.0"/>
      </rPr>
      <t xml:space="preserve">Beredar unggahan di media sosial Facebook berisi narasi yang mengeklaim bahwa guru berstatus Aparatur Sipil Negara (ASN) harus membayar iuran BPJS Kesehatan sebanyak 26 kali dalam setahun. Dalam unggahan tersebut memuat rincian iuran yakni dari 12 kali potongan gaji, 12 kali Tunjangan Profesi Guru (TPG), Tunjangan Hari Raya (THR), dan gaji ke-13.
Faktanya, narasi tersebut adalah tidak benar. Dilansir dari </t>
    </r>
    <r>
      <rPr>
        <rFont val="Arial"/>
        <color rgb="FF1155CC"/>
        <sz val="8.0"/>
        <u/>
      </rPr>
      <t>kompas.com</t>
    </r>
    <r>
      <rPr>
        <rFont val="Arial"/>
        <sz val="8.0"/>
      </rPr>
      <t xml:space="preserve">, Kepala Humas BPJS Kesehatan Rizzky Anugerah membantah narasi yang menyebut guru berstatus ASN harus membayar iuran BPJS Kesehatan 26 kali dalam setahun. Rizzky Anugerah menyampaikan bahwa berdasarkan Peraturan Presiden Nomor 75 Tahun 2019 perhitungan iuran peserta JKN segmen Pekerja Penerima Upah (PPU) termasuk guru dihitung dari total pendapatan bersih peserta. Guru ASN membayar iuran BPJS Kesehatan sebanyak 12 kali dalam setahun nominalnya yakni 1 persen dari total pendapatan bersih peserta. Sementara, THR dan gaji ke-13 ASN guru tidak dipotong iuran BPJS Kesehatan karena bukan bagian dari dasar penghitungan iuran Jaminan Kesehatan Nasional (JKN).
Link Counter:
</t>
    </r>
    <r>
      <rPr>
        <rFont val="Arial"/>
        <color rgb="FF1155CC"/>
        <sz val="8.0"/>
        <u/>
      </rPr>
      <t>https://www.kompas.com/cekfakta/read/2026/02/02/144749582/hoaks-guru-asn-bayar-bpjs-kesehatan-26-kali-dalam-setahun?page=2</t>
    </r>
    <r>
      <rPr>
        <rFont val="Arial"/>
        <sz val="8.0"/>
      </rPr>
      <t xml:space="preserve"> 
</t>
    </r>
  </si>
  <si>
    <r>
      <rPr>
        <rFont val="Arial"/>
        <sz val="8.0"/>
      </rPr>
      <t xml:space="preserve">
</t>
    </r>
    <r>
      <rPr>
        <rFont val="Arial"/>
        <color rgb="FF1155CC"/>
        <sz val="8.0"/>
        <u/>
      </rPr>
      <t>https://www.facebook.com/reel/882033338012291</t>
    </r>
  </si>
  <si>
    <r>
      <rPr>
        <rFont val="Arial"/>
        <sz val="8.0"/>
      </rPr>
      <t xml:space="preserve">Beredar unggahan di media sosial Facebook berisi narasi yang mengeklaim bahwa guru berstatus Aparatur Sipil Negara (ASN) harus membayar iuran BPJS Kesehatan sebanyak 26 kali dalam setahun. Dalam unggahan tersebut memuat rincian iuran yakni dari 12 kali potongan gaji, 12 kali Tunjangan Profesi Guru (TPG), Tunjangan Hari Raya (THR), dan gaji ke-13.
Faktanya, narasi tersebut adalah tidak benar. Dilansir dari </t>
    </r>
    <r>
      <rPr>
        <rFont val="Arial"/>
        <color rgb="FF1155CC"/>
        <sz val="8.0"/>
        <u/>
      </rPr>
      <t>kompas.com</t>
    </r>
    <r>
      <rPr>
        <rFont val="Arial"/>
        <sz val="8.0"/>
      </rPr>
      <t xml:space="preserve">, Kepala Humas BPJS Kesehatan Rizzky Anugerah membantah narasi yang menyebut guru berstatus ASN harus membayar iuran BPJS Kesehatan 26 kali dalam setahun. Rizzky Anugerah menyampaikan bahwa berdasarkan Peraturan Presiden Nomor 75 Tahun 2019 perhitungan iuran peserta JKN segmen Pekerja Penerima Upah (PPU) termasuk guru dihitung dari total pendapatan bersih peserta. Guru ASN membayar iuran BPJS Kesehatan sebanyak 12 kali dalam setahun nominalnya yakni 1 persen dari total pendapatan bersih peserta. Sementara, THR dan gaji ke-13 ASN guru tidak dipotong iuran BPJS Kesehatan karena bukan bagian dari dasar penghitungan iuran Jaminan Kesehatan Nasional (JKN).
Link Counter:
</t>
    </r>
    <r>
      <rPr>
        <rFont val="Arial"/>
        <color rgb="FF1155CC"/>
        <sz val="8.0"/>
        <u/>
      </rPr>
      <t>https://www.kompas.com/cekfakta/read/2026/02/02/144749582/hoaks-guru-asn-bayar-bpjs-kesehatan-26-kali-dalam-setahun?page=2</t>
    </r>
    <r>
      <rPr>
        <rFont val="Arial"/>
        <sz val="8.0"/>
      </rPr>
      <t xml:space="preserve"> 
</t>
    </r>
  </si>
  <si>
    <t>3 Februari 2026</t>
  </si>
  <si>
    <t>https://vt.tiktok.com/ZSasFhPN1/</t>
  </si>
  <si>
    <t>Ditemukan konten pada media sosial Tiktok yang diduga memuat unsur disinformasi berjenis misleading content disertai kalimat provokatif. konten tersebut menarasikan bahwa kapolri sigit melakukan pembangkangan terhadap kementrian. konten tersebut menarasikan "KAPOLRI SIGIT PEMBANGKANG TERBUKA" (menarasikan sebagai tindakan pembangkangan, sedangkan maksud dan tujuan Kapolri adalah menolak wacana Polri di bawah kementerian secara tegas dalam rapat DPR, dengan alasan menjaga independensi sesuai amanat presiden dan konstitusi), "Tolak Polri di bawah kementerian" yang disajikan sebagai perlawanan terhadap negara dengan maksud sesungguhnya adalah mempertahankan posisi ideal Polri di bawah presiden sesuai arahan presiden, bukan melawannya), serta tuduhan "3x LANGGAR" termasuk "tim reformasi tandingan", "Perpol 10/2025", dan "tantang presiden langsung"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</si>
  <si>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https://vt.tiktok.com/ZSasYtBVY/</t>
  </si>
  <si>
    <t>Ditemukan konten pada media sosial Facebook yang diduga terindikasi memuat unsur sparatisme dan provokatif. Konten tersebut menarasikan bahwa sumatera berharap merdeka dari penjajaha pulau jawa berupa ajakan untuk bertindak segera melakukan tindakan untuk mencapai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</si>
  <si>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https://www.facebook.com/share/p/14TaXZNRDFX/</t>
  </si>
  <si>
    <t>Ditemukan konten pada media sosial Facebook yang diduga terindikasi memuat unsur sparatisme. Konten tersebut menarasikan keinginan pembuat konten bahwa sumatera akan menjadi negara sendiri.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</si>
  <si>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https://www.facebook.com/share/p/17nt4P1CP6/</t>
  </si>
  <si>
    <t>Ditemukan konten pada media sosial Facebook yang diduga memuat unsur provokatif untuk memakzulkan gibran disertai narasi ujaran kebencian dengan kata-kata kasar dan tidak pantas seperti “si plongo tak berguna”.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</si>
  <si>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https://www.facebook.com/share/p/187VYdKuoA/</t>
  </si>
  <si>
    <t>Ditemukan konten pada media sosial Facebook yang diduga memuat unsur provokatif untuk memakzulkan gibran disertai narasi ujaran kebencian dengan kata-kata kasar dan tuduhan seperti gibran pencandu narkoba, gibran anak haram, jokowi pembohong penghianat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</si>
  <si>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https://www.facebook.com/share/p/189eZZmFBh/</t>
  </si>
  <si>
    <t>Ditemukan konten pada media sosial Facebook yang diduga memuat unsur disinformasi dengan jenis false context. Konten tersebut memberikan narasi bahwa presiden prabowo akan melaksanakan tuntutan rakyat. hal tersebut kemudian dibingkai dengan penambahan informasi lain berupa pernyatan provokatif bahwa presiden mendukung tindakan hukum mati mantan presiden, pemakzulan wakil presiden, serta tindakan provokatif lainnya.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</si>
  <si>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https://www.facebook.com/share/p/1AcScuFBex/</t>
  </si>
  <si>
    <t>Ditemukan konten pada media sosial Facebook yang diduga memuat unsur provokatif untuk memakzulkan gibran sebagai obat mujarab untuk sembuhkan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</si>
  <si>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https://www.facebook.com/share/p/1DPg3rN8LV/</t>
  </si>
  <si>
    <t>Ditemukan konten pada media sosial Facebook yang diduga memuat unsur disinformasi berjenis misleading content. Konten tersebut berisi narasi tuduhan bahwa capaian wakil presiden gibran adalah hasil mufakat jakat antara mantan presiden, KPU, MK dan dirdikdasmen. konten tersebut disertai narasi ajakan untuk memakzulkan wakil presiden dan mengadili mantan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</si>
  <si>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https://www.facebook.com/share/p/1GYPPkDtov/</t>
  </si>
  <si>
    <t>Ditemukan konten pada media sosial Facebook yang diduga memuat unsur provokatif untuk memakzulkan gibran disertai narasi ujaran kebencian dengan kata-kata kasar dan tuduhan seperti gibran musuh bersama rakyat, rakyat bersama makzulkan gibran, rakyat tangkap jokowi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</si>
  <si>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https://www.facebook.com/share/r/1ABvCPxkGs/</t>
  </si>
  <si>
    <t>Ditemukan konten pada media sosial Facebook yang diduga terindikasi memuat unsur sparatisme. Konten tersebut menarasikan bahwa pulau sumatera akan mengakhiri perbudakan yang terjadi pada mereka dari suku jawa, dan melakukan tuduhan bahwa jawa berkuasa dengan mafia dan koruptor serta ajaran sesat.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</si>
  <si>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2 Februari 2026</t>
  </si>
  <si>
    <t>https://www.facebook.com/story.php?story_fbid=887668674123626&amp;id=100086415036081&amp;rdid=oiKIj0HtHfJoZ4MA#</t>
  </si>
  <si>
    <t>Ditemukan konten pada media sosial Facebook yang diduga memuat unsur ujaran kebencian dengan narasi SARA pulau Jawa sebagai penjajah yang menjajah satu negara Indonesia.
Penyebaran informasi yang mengandung unsur ujaran kebencian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</si>
  <si>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https://www.facebook.com/story.php?story_fbid=827238513695550&amp;id=100092282271526&amp;rdid=nUJj6gHrq40LPRKg#</t>
  </si>
  <si>
    <t>Ditemukan konten pada media sosial Facebook yang diduga memuat unsur provokatif dan ujaran kebencian dengan tendensi membenci suatu etnis dan melabeli suatu etnis sebagai jongos dan babu dari etnis lain.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</si>
  <si>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https://www.facebook.com/story.php?story_fbid=813947398357995&amp;id=100092282271526&amp;rdid=MwXAcwqAaWF3p5PN#</t>
  </si>
  <si>
    <t>https://x.com/yaniarsim/status/2018181234288111741</t>
  </si>
  <si>
    <t>Ditemukan konten pada media sosial X (Twitter) yang diduga memuat unsur disinformasi dengan konten palsu (fabricated content) berisi lagu buatan AI namun mencatut musisi tertentu. Lagu tersebut berisi sindiran kepada wakil presiden dengan menyebut menabrak aturan, memenangkan pemilu dengan sogokan bansos, dan membangun dinasti Jokowi.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</si>
  <si>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https://x.com/didiek_murdock/status/2017969755022606731</t>
  </si>
  <si>
    <t>Ditemukan konten pada media sosial X yang diduga memuat unsur disinformasi dengan konten palsu (fabricated content) berisi lagu buatan AI namun mencatut grup band tertentu. Pada lagu tersebut, terdapat lirik yang berisi tudingan Indonesia dipimpin Wakil Presiden yang merupakan pecandu narkoba, memiliki ijazah SMA palsu, tidak lulus SMP, dan tidak memiliki program kerja.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</si>
  <si>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https://www.tiktok.com/@chutnaylanyakputroeaulia/video/7601956765755886855?_r=1&amp;_t=ZS-93a0flvNvOa</t>
  </si>
  <si>
    <t>Ditemukan konten pada media sosial Tiktok yang diduga memuat unsur provokatif dengan narasi separatisme Gerakan Aceh Merdeka. Konten tersebut menyebutkan bahwa Aceh dan Indonesia tidak akan bisa bersatu.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</si>
  <si>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https://www.tiktok.com/@bendera.alam.pedeung/video/7602143328703958279?_r=1&amp;_t=ZS-93a0kYj0INN</t>
  </si>
  <si>
    <t>Provokatif dan
Separatisme</t>
  </si>
  <si>
    <t>Ditemukan konten pada media sosial Tiktok yang diduga memuat unsur provokatif dengan narasi separatisme Aceh Merdeka. Konten tersebut menyebutkan bahwa Indonesia adalah penjajah bagi Aceh. Sehingga, konsep NKRI tidak cocok untuk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</si>
  <si>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https://www.tiktok.com/@bon_4ppetit/video/7597718299861863701?_r=1&amp;_t=ZS-93a5DKLdU0n</t>
  </si>
  <si>
    <t>Ditemukan konten pada media sosial Tiktok yang diduga memuat unsur disinformasi dengan mengaitkan Resolusi PBB mengenai Referendum bergabungnya Papua ke Indonesia dengan organisasi Board of Peace. Konten tersebut melontarkan pertanyaan yang seolah-olah merupakan kemungkinan jika Board of Peace bisa saja meninjau ulang Referendum tersebut sehingga Papua bukan bagian dari Indonesia.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</si>
  <si>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https://www.tiktok.com/@maysarah.gami/video/7601818012957625608?_r=1&amp;_t=ZS-93a5Fe5DNdR</t>
  </si>
  <si>
    <t>Ditemukan konten pada media sosial Tiktok yang diduga memuat unsur disinformasi yang menampilkan pemberitaan palsu Donald Trump yang meminta Indonesia untuk mencabut sertifikat halal untuk produk yang dijual di Indonesia dan melarang sertifikat halal di Indonesia. Diketahui berita tersebut menyesatkan, kondisi sebenarnya yaitu laporan dari Kantor Perwakilan Dagang AS (USTR) yang menyebutkan hambatan dagang AS, salah satunya regulasi halal di Indonesia yang berubah-ubah.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</si>
  <si>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https://www.tiktok.com/@toni._q/video/7598803652349807879?_r=1&amp;_t=ZS-93a6adkQBmK</t>
  </si>
  <si>
    <t>Ditemukan konten pada media sosial Tiktok yang diduga memuat unsur disinformasi menggunakan konten palsu (fabricated content) yang menampilkan video AI-generated Menteri ESDM yang sedang berdansa.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</si>
  <si>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https://www.tiktok.com/@video_random_hiburan/photo/7589483186372087057?_r=1&amp;_t=ZS-93a7BslYzeC</t>
  </si>
  <si>
    <t>Ditemukan konten pada media sosial Tiktok yang diduga memuat unsur disinformasi dengan menampilkan konten deepfake Presiden Prabowo dan Joko Widodo yang sedang memanen buah Kelapa Sawit.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</si>
  <si>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https://www.tiktok.com/@muki_dim4n/video/7600727073505758485?_r=1&amp;_t=ZS-93a7GpE811F</t>
  </si>
  <si>
    <t>Ditemukan konten pada media sosial Tiktok yang diduga memuat unsur disinformasi dengan menampilkan video deepfake Presiden Prabowo dan Joko Widodo yang berdansa bersama.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</si>
  <si>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https://www.facebook.com/share/p/1HgM6fRxbP/</t>
  </si>
  <si>
    <t>Ditemukan konten pada media sosial Facebook yang diduga memuat unsur provokatif dan separatisme dukungan terhadap Papua merdeka. Narasi yang diangkat yaitu kehancuran NKRI sudah di depan PBB. Terdapat pula provokasi wilayah lain untuk merdeka seperti Aceh, Kalimantan, Maluku, dan Papua Barat.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</si>
  <si>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https://x.com/kindablooming/status/2017856684920869204</t>
  </si>
  <si>
    <t>https://x.com/Budiarietlol/status/2017837566532456833</t>
  </si>
  <si>
    <t>https://x.com/Budiarietlol/status/2017836735615668627</t>
  </si>
  <si>
    <t>https://x.com/deniseww2/status/2017771900597112881</t>
  </si>
  <si>
    <t>https://x.com/vampirehoIy/status/2017765533383635099</t>
  </si>
  <si>
    <t>https://x.com/kolongkursi/status/2017667311851954412</t>
  </si>
  <si>
    <t>https://x.com/aingmaungraawrr/status/2017653615838826581</t>
  </si>
  <si>
    <t>https://www.instagram.com/unexpcted__</t>
  </si>
  <si>
    <t>https://www.instagram.com/p/DR9d8mXEg3H/</t>
  </si>
  <si>
    <t>https://x.com/MichelAdam1515/status/2017810251408646166</t>
  </si>
  <si>
    <t>https://www.tiktok.com/@x_petung/video/7587348300580408583?q=plesetan%20wapres&amp;t=1769998150312</t>
  </si>
  <si>
    <t>https://x.com/narkosun/status/2017920944069833051</t>
  </si>
  <si>
    <t>https://x.com/MlayuTerus/status/2017897506542420383</t>
  </si>
  <si>
    <t>https://www.tiktok.com/@martha.sidabutar8/video/7601919811014167828?q=plesetan%20wapres&amp;t=1769998150312</t>
  </si>
  <si>
    <t>https://www.tiktok.com/@user458558932/video/7558506956546247954</t>
  </si>
  <si>
    <t>https://www.tiktok.com/@bimacitracintanew/video/7602028026120916231</t>
  </si>
  <si>
    <t>https://www.facebook.com/groups/306524690118171?multi_permalinks=2166531134117508&amp;hoisted_section_header_type=recently_seen</t>
  </si>
  <si>
    <t>https://x.com/EkoArdiyan55716/status/2018213524246597951</t>
  </si>
  <si>
    <t>https://www.facebook.com/reel/1487175862554215</t>
  </si>
  <si>
    <r>
      <rPr>
        <rFont val="Arial"/>
        <sz val="8.0"/>
      </rPr>
      <t xml:space="preserve">Beredar unggahan di media social Facebook berisi narasi yang mengeklaim Megawati Soekarnoputri dan Puan Maharani memberi peringatan keras kepada Menteri Keuangan Purbaya Yudhi Sadewa jika tak sejalan dengan Dewan Perwakilan Rakyat (DPR).
Faktanya, klaim tersebut adalah tidak benar. Dilansir dari turnbackhoax.id, video yang disebarkan berisi foto-foto yang konteksnya tidak saling berkaitan yang dirangkai dan ditambahkan klaim sehingga menimbulkan kesimpulan yang menyesatkan. Unggahan yang berisi video dengan klaim peringatan keras Megawati dan Puan ke Purbaya jika tidak sejalan dengan DPR merupakan kategori konten yang menyesatkan.
Link Counter :
</t>
    </r>
    <r>
      <rPr>
        <rFont val="Arial"/>
        <color rgb="FF1155CC"/>
        <sz val="8.0"/>
        <u/>
      </rPr>
      <t>https://turnbackhoax.id/articles/32022</t>
    </r>
    <r>
      <rPr>
        <rFont val="Arial"/>
        <sz val="8.0"/>
      </rPr>
      <t xml:space="preserve">
</t>
    </r>
  </si>
  <si>
    <r>
      <rPr>
        <rFont val="Arial"/>
        <color rgb="FF1155CC"/>
        <sz val="8.0"/>
        <u/>
      </rPr>
      <t>https://www.facebook.com/permalink.php?story_fbid=pfbid034CAUm5sma7po2k6BECnMV5JAz6PWiiPGG39LzJMm7ZndrP2AwZ4RmfXDkXZdwHiRl&amp;id=61558969051764</t>
    </r>
    <r>
      <rPr>
        <rFont val="Arial"/>
        <sz val="8.0"/>
      </rPr>
      <t xml:space="preserve"> </t>
    </r>
  </si>
  <si>
    <r>
      <rPr>
        <rFont val="Arial"/>
        <sz val="8.0"/>
      </rPr>
      <t xml:space="preserve">Beredar sebuah unggahan  di media sosial Facebook dengan narasi yang mengeklaim Dewan Perwakilan Rakyat (DPR) menunda pembahasan Rancangan Undang-Undang (RUU) Perampasan Aset hingga tahun depan.
Faktanya, klaim tersebut adalah tidak benar. Dilansir dari turnbackhoax.id, hasil penelusuran mengarah ke pemberitaan kompas.id berjudul “RUU Perampasan Aset Menunggu RKUHAP karena Dianggap sebagai Fondasi” yang memberitakan pembahasan RUU Perampasan Aset kembali tertunda karena DPR memilih menunggu pengesahan RUU Hukum Acara Pidana (RKUHAP) yang dinilai sebagai fondasi utama dalam sistem peradilan pidana. Lalu hasil penelusuran juga juga mengarah ke berita kompas.tv berjudul “RUU Perampasan Aset Digodok, DPR dan Akademisi Ingatkan Risiko Penyalahgunaan Wewenang”. Berita ini melaporkan bahwa pada Kamis, 15 Januari 2026 Komisi III DPR RI secara resmi memulai pembahasan RUU Perampasan Aset, termasuk meminta Badan Keahlian (BKD) DPR untuk menyiapkan dan memaparkan naskah akademik. Sepanjang penelusuran, tidak ditemukan informasi dari sumber kredibel yang membenarkan klaim dalam unggahan.
Link Counter : 
</t>
    </r>
    <r>
      <rPr>
        <rFont val="Arial"/>
        <color rgb="FF1155CC"/>
        <sz val="8.0"/>
        <u/>
      </rPr>
      <t>https://turnbackhoax.id/articles/32089-salah-dpr-tunda-pembahasan-ruu-perampasan-aset-hingga-tahun-depan</t>
    </r>
    <r>
      <rPr>
        <rFont val="Arial"/>
        <sz val="8.0"/>
      </rPr>
      <t xml:space="preserve"> 
</t>
    </r>
    <r>
      <rPr>
        <rFont val="Arial"/>
        <color rgb="FF1155CC"/>
        <sz val="8.0"/>
        <u/>
      </rPr>
      <t>https://www.kompas.id/artikel/ruu-perampasan-aset-menunggu-rkuhap-karena-dianggap-sebagai-pondasi</t>
    </r>
    <r>
      <rPr>
        <rFont val="Arial"/>
        <sz val="8.0"/>
      </rPr>
      <t xml:space="preserve"> 
</t>
    </r>
    <r>
      <rPr>
        <rFont val="Arial"/>
        <color rgb="FF1155CC"/>
        <sz val="8.0"/>
        <u/>
      </rPr>
      <t>https://www.kompas.tv/nasional/644238/ruu-perampasan-aset-digodok-dpr-dan-akademisi-ingatkan-risiko-penyalahgunaan-wewenang</t>
    </r>
    <r>
      <rPr>
        <rFont val="Arial"/>
        <sz val="8.0"/>
      </rPr>
      <t xml:space="preserve"> 
</t>
    </r>
  </si>
  <si>
    <t>https://www.facebook.com/3minutecreator/posts/pfbid031VfZmRhdNoW8X7ujQjXcMBbt5BsqNqw36faMZyBmVjdhVa6jNd9EriotSiroCGdql</t>
  </si>
  <si>
    <t xml:space="preserve">Beredar sebuah unggahan  di media sosial Facebook dengan narasi yang mengeklaim Dewan Perwakilan Rakyat (DPR) menunda pembahasan Rancangan Undang-Undang (RUU) Perampasan Aset hingga tahun depan.
Faktanya, klaim tersebut adalah tidak benar. Dilansir dari turnbackhoax.id, hasil penelusuran mengarah ke pemberitaan kompas.id berjudul “RUU Perampasan Aset Menunggu RKUHAP karena Dianggap sebagai Fondasi” yang memberitakan pembahasan RUU Perampasan Aset kembali tertunda karena DPR memilih menunggu pengesahan RUU Hukum Acara Pidana (RKUHAP) yang dinilai sebagai fondasi utama dalam sistem peradilan pidana. Lalu hasil penelusuran juga juga mengarah ke berita kompas.tv berjudul “RUU Perampasan Aset Digodok, DPR dan Akademisi Ingatkan Risiko Penyalahgunaan Wewenang”. Berita ini melaporkan bahwa pada Kamis, 15 Januari 2026 Komisi III DPR RI secara resmi memulai pembahasan RUU Perampasan Aset, termasuk meminta Badan Keahlian (BKD) DPR untuk menyiapkan dan memaparkan naskah akademik. Sepanjang penelusuran, tidak ditemukan informasi dari sumber kredibel yang membenarkan klaim dalam unggahan.
Link Counter : 
https://turnbackhoax.id/articles/32089-salah-dpr-tunda-pembahasan-ruu-perampasan-aset-hingga-tahun-depan
https://www.kompas.id/artikel/ruu-perampasan-aset-menunggu-rkuhap-karena-dianggap-sebagai-pondasi
https://www.kompas.tv/nasional/644238/ruu-perampasan-aset-digodok-dpr-dan-akademisi-ingatkan-risiko-penyalahgunaan-wewenang 
</t>
  </si>
  <si>
    <r>
      <rPr>
        <rFont val="Arial"/>
        <strike val="0"/>
        <color rgb="FF1155CC"/>
        <sz val="8.0"/>
        <u/>
      </rPr>
      <t>https://www.facebook.com/100000565391706/posts/26676388888629929/?rdid=vxSJYHfWRYzCtq8i#</t>
    </r>
    <r>
      <rPr>
        <rFont val="Arial"/>
        <strike/>
        <sz val="8.0"/>
      </rPr>
      <t xml:space="preserve"> </t>
    </r>
  </si>
  <si>
    <r>
      <rPr>
        <rFont val="Arial"/>
        <sz val="8.0"/>
      </rPr>
      <t xml:space="preserve">Beredar unggahan foto di media sosial Facebook yang mengeklaim bahwa Badan Gizi Nasional (BGN) memberikan larangan untuk komplen atau memviralkan mengenai makanan yang telah diberikan.
Faktanya, klaim tersebut adalah tidak benar. Dilansir dari turnbackhoax.id, setelah dilakukan penelusuran menggunakan mesin pencari Google dengan memasukkan kata kunci "BGN melarang keluhan soal makanan", hasilnya tidak ditemukan informasi resmi atau pemberitaan kredibel yang membenarkan klaim yang beredar. Laman atau situs dari bgn.go.id justru memberikan pengumuman berjudul “BGN Buka Layanan Aduan MBG, Masyarakat Bisa Lapor Langsung”, yang tayang September 2025. Diketahui, BGN menerima keluhan dengan meminta masyarakat untuk melaporkan masalah melalui hotline MBG atau melalui akun media sosial resmi satuan pelayanan pemenuhan gizi (SPPG) yang wajib dimiliki setiap unit operasional.
Link Counter :
</t>
    </r>
    <r>
      <rPr>
        <rFont val="Arial"/>
        <color rgb="FF1155CC"/>
        <sz val="8.0"/>
        <u/>
      </rPr>
      <t>https://turnbackhoax.id/articles/32069-salah-bgn-melarang-keluhan-soal-makanan</t>
    </r>
    <r>
      <rPr>
        <rFont val="Arial"/>
        <sz val="8.0"/>
      </rPr>
      <t xml:space="preserve"> 
</t>
    </r>
    <r>
      <rPr>
        <rFont val="Arial"/>
        <color rgb="FF1155CC"/>
        <sz val="8.0"/>
        <u/>
      </rPr>
      <t>https://www.bgn.go.id/news/pengumuman/bgn-buka-layanan-aduan-mbg-masyarakat-bisa-lapor-langsung</t>
    </r>
    <r>
      <rPr>
        <rFont val="Arial"/>
        <sz val="8.0"/>
      </rPr>
      <t xml:space="preserve"> 
</t>
    </r>
  </si>
  <si>
    <t>1 Februari 2026</t>
  </si>
  <si>
    <t>https://x.com/aceh/status/2016883890242372095?s=46&amp;t=Gs3bgLjNYCJZTaqf1-hjAA</t>
  </si>
  <si>
    <t>Konten tersebut mengandung unsur disinformasi berisi berita palsu Aceh Tamiang yang dihantam badai debu yang memperberat penderitaan warga yang belum pulih akibat musibah sebelumnya. Ditampilkan potongan video seolah-olah merupakan peristiwa badai debu, padahal peristiwa aslinya yaitu video tersebut merupakan debu akibat dari pendaratan helikopter.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</si>
  <si>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https://x.com/Aceh/status/2016901250005303623</t>
    </r>
  </si>
  <si>
    <t>Konten tersebut mengandung unsur disinformasi berisi berita palsu wilayah Pidie Jaya dengan narasi bahwa Aceh tidak baik-baik saja. Ditampilkan foto pemukiman warga yang terendam seolah-olah foto tersebut merupakan bencana yang terjadi di Pidie Jaya, Aceh, padahal peristiwa sebenarnya merupakan foto rumah korban erupsi Gunung Semeru, Lumajang, Jawa Timur.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</si>
  <si>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https://www.facebook.com/share/v/1KcFAQqivF/</t>
    </r>
  </si>
  <si>
    <t>Konten tersebut mengandung unsur provokatif gerakan separatisme yang menampilkan Gubernur Aceh Muzakir Manaf yang menyatakan lebih baik diadakan referendum untuk Aceh dan mengikuti jejak Timor Timur dengan konteks penanganan bencana banjir di Aceh. Padahal, pernyataan tersebut dikeluarkan pada tahun 2019 saat Muzakir Manaf menjabat Ketua Komite Peralihan Aceh (KPA) dengan konteks kritik terhadap situasi demokrasi di Indonesia saat itu.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</si>
  <si>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https://www.facebook.com/share/v/18A3SYfeQP/</t>
  </si>
  <si>
    <t>Konten tersebut mengandung unsur provokatif gerakan separatisme Aceh dengan mengajak masyarakat untuk mendeklarasikan kemerdekaan Aceh. Pada konten tersebut, terdapat konten palsu (fabricated content) yang menampilkan bahwa pemerintah Indonesia membuat pos imigrasi perbatasan Provinsi Aceh dengan Provinsi Sumatera Utara.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</si>
  <si>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https://x.com/MeghUpdates/status/2017177369514307888</t>
    </r>
  </si>
  <si>
    <t>Konten tersebut mengandung unsur disinformasi yang diduga disebarkan oleh akun media sosial yang berbasis di India. Terdapat seorang pria yang dianggap sebagai Presiden ke-7 Indonesia, Joko Widodo yang beribadah di sebuah kuil di India.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</si>
  <si>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https://x.com/Andria75777/status/2017556705081757856?s=20</t>
    </r>
  </si>
  <si>
    <t>Konten tersebut mengandung unsur disinformasi dengan menampilkan pemberitaan palsu Donald Trump meminta Indonesia untuk mencabut sertifikat halal untuk produk yang dijual di Indonesia dan melarang sertifikat halal di Indonesia. Diketahui berita tersebut menyesatkan, kondisi sebenarnya yaitu laporan dari Kantor Perwakilan Dagang AS (USTR) yang menyebutkan hambatan dagang AS, salah satunya regulasi halal di Indonesia yang berubah-ubah.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</si>
  <si>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https://x.com/viprabuddhi/status/2017139885497602061?s=20</t>
    </r>
  </si>
  <si>
    <r>
      <rPr>
        <rFont val="Arial,sans-serif"/>
        <color rgb="FF1155CC"/>
        <sz val="8.0"/>
        <u/>
      </rPr>
      <t>https://www.tiktok.com/@chutnaylanyakputroeaulia/video/7601526620238662930?_r=1&amp;_t=ZS-93Y7sK27dfV</t>
    </r>
  </si>
  <si>
    <t>Provokatfif</t>
  </si>
  <si>
    <t>Konten tersebut memuat narasi provokatif dengan narasi Gerakan Aceh Merdeka dan tuntutan referendum bagi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</si>
  <si>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https://www.facebook.com/story.php?story_fbid=1207216398237001&amp;id=100068459572727&amp;rdid=s3oBjBie2WaXxQwe#</t>
    </r>
  </si>
  <si>
    <t>Konten tersebut mengandung unsur disinformasi yang menampilkan gambar AI-generated Presiden Prabowo yang berpidato dan ditertawakan oleh Presiden AS Donald Trump. Konten tersebut diduga bersifat mendelegitimasi seolah-olah kedaulatan Republik Indonesia dibayang-bayangi negara lain.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</si>
  <si>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https://www.facebook.com/story.php?story_fbid=739619609218117&amp;id=100095102547713&amp;rdid=IMnMkfBOC3BbrnyE#</t>
  </si>
  <si>
    <t>Konten tersebut mengandung narasi provokatif dengan menyebut adanya paradoks dalam Pemerintah Indonesia yang mendukung kemerdekaan Palestina namun terus menjajah bangsa Melanesia di Papua.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</si>
  <si>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https://x.com/MasBRO_back/status/2017640591103066185</t>
    </r>
  </si>
  <si>
    <t>Konten tersebut mengandung unsur disinformasi yang menampilkan video deepfake Joko Widodo yang menjadi seorang biduan.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</si>
  <si>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https://x.com/ommi_siregar/status/2017745266179514740</t>
    </r>
  </si>
  <si>
    <t>Konten tersebut mengandung unsur disinformasi dengan konten palsu (fabricated content) berisi lagu buatan AI namun mencatut nama grup band tertentu. Pada lagu tersebut, terdapat lirik yang berisi tudingan Indonesia dipimpin Wakil Presiden yang merupakan pecandu narkoba, memiliki ijazah SMA palsu, tidak lulus SMP, dan tidak memiliki program kerja.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</si>
  <si>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https://www.tiktok.com/@pengikut6047/video/7601402577296575751?_r=1&amp;_t=ZS-93YL6wwgUMb</t>
    </r>
  </si>
  <si>
    <t>Konten tersebut mengandung unsur disinformasi dengan konten palsu (fabricated content) berisi lagu buatan AI namun mencatut grup band tertentu. Pada lagu tersebut, terdapat lirik yang berisi tudingan Indonesia dipimpin Wakil Presiden yang merupakan pecandu narkoba, memiliki ijazah SMA palsu, tidak lulus SMP, dan tidak memiliki program kerja.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</si>
  <si>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31 Januari 2026</t>
  </si>
  <si>
    <t>https://www.facebook.com/share/p/1GqPSmfY4u/</t>
  </si>
  <si>
    <t>Ditemukan konten pada media sosial Facebook yang diduga memuat unsur provokatif untuk melakukan tindakan anarkis dengan narasi Nepalkan Joko Widodo dan Luhut Binsar Pandjaitan karena dianggap sebagai masalah dari kehancuran Indonesia, salah satunya yaitu terkait permasalahan PT. IMIP Morowali yang dinilai sudah bertindak kurang ajar terhadap bangsa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</si>
  <si>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https://www.facebook.com/share/r/1KnH9q9afA/</t>
  </si>
  <si>
    <t>Ditemukan konten pada media sosial Facebook yang diduga memuat unsur provokatif untuk melakukan tindakan anarkis dengan narasi Nepalkan Joko Widodo karena dianggap sebagai sumber dari penyebab keracunan yang terjadi pada program Makan Bergizi Gratis (MBG).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</si>
  <si>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https://www.facebook.com/share/p/179WFMpcvs/</t>
  </si>
  <si>
    <t>Ditemukan konten pada media sosial Facebook yang diduga memuat unsur provokatif untuk melakukan tindakan anarkis dengan narasi "Nepalkan" Kapolri, Listyo Sigit Prabowo karena dianggap melakukan makar terhadap kekuasaannya di Kepolisian RI saat ini.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</si>
  <si>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https://www.facebook.com/share/p/1AuziWUtTC/</t>
  </si>
  <si>
    <t>Ditemukan konten pada media sosial Facebook yang diduga memuat unsur provokatif untuk melakukan tindakan anarkis dengan narasi "Nepalkan" DPR RI karena dianggap membuat Undang-Undang hanya untuk kepentingan partai politik dan penguasa saja bukan untuk mensejahterakan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</si>
  <si>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https://www.facebook.com/share/p/17nryW7HTK/</t>
  </si>
  <si>
    <t>Ditemukan konten pada media sosial Facebook yang diduga memuat unsur provokatif untuk melakukan tindakan anarkis dengan narasi "Makzulkan” wakil presiden Gibran Rakabuming Raka dan Joko Widodo karena dianggap menggunakan ijazah palsu dan pihak Kepolisian RI berusaha untuk melindungi masalah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</si>
  <si>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https://www.facebook.com/share/v/1GvGsLKsmu/</t>
  </si>
  <si>
    <t>Ditemukan konten pada media sosial Facebook yang diduga memuat unsur provokatif dan gerakan separatisme dengan narasi NTT Merdeka karena dianggap tidak dihargai dan diperhatikan oleh negara Indonesia serta lebih memilih bergabung dengan Australia atau Timor Leste.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</si>
  <si>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https://www.tiktok.com/@ragil_982/video/7601308989552348437</t>
  </si>
  <si>
    <t>Ditemukan konten pada media sosial Tiktok yang diduga memuat unsur provokatif untuk melakukan tindakan anarkis dengan narasi "Nepalkan” Joko Widodo yang dianggap sudah menghina pengadilan karena tidak hadir dalam persidangan walaupun sudah diundang.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</si>
  <si>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https://x.com/BlenkHead3737/status/2017472626395123721</t>
  </si>
  <si>
    <t>Ditemukan konten pada media sosial Twitter yang diduga memuat unsur provokatif untuk melakukan tindakan anarkis dengan narasi "Makzulkan” wakil presiden Gibran Rakabuming Raka dan mengajak masyarakat untuk mencopot Kapolri, Listyo Sigit Prabowo karena dianggap sudah tidak etik.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</si>
  <si>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https://vt.tiktok.com/ZSa4n5DAR/</t>
  </si>
  <si>
    <t>Ditemukan konten pada media sosial Tiktok yang diduga memuat unsur disinformasi berjenis false context. Konten tersebut berisikan narasi yang menggabungkan temuan kementrian keuangan terkait aktivitas finansial disertai informasi palsu bahwa menteri keuangan sekaligus melakukan melakukan gugatan terhadap mantan presiden joko widodo terhadap aktivitas tersebut. Tidak ada informasi bahwa menteri keuangan melakukan gugatan atas kinerja presiden sebelumnya.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</si>
  <si>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https://vt.tiktok.com/ZSa4n9cKs/</t>
  </si>
  <si>
    <t>Ditemukan konten pada media sosial Facebook yang diduga memuat unsur sparatisme bahwa Indonesia haram dalam sudut pandang hukum aceh. Konten tersebut juga dipadukan dengan narasi bahwa aceh sudah selayaknya merdeka dari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</si>
  <si>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https://vt.tiktok.com/ZSa4nKbqm/</t>
  </si>
  <si>
    <t>Ditemukan konten pada media sosial Facebook yang diduga memuat unsur Provokatif berupa video kritikan terhadap presiden dan wakil presiden yang disertai tuduhan dan kalimat provokatif. Koten tersebut berisi ajakan pemakzulan presiden prabowo subianto (yang dalam hal ini disebut produk gagal orde baru) dan wakil presiden Gibran (yang disebut sebagai pelanggar konstitusi).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</si>
  <si>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Ditemukan konten pada media sosial Facebook yang diduga memuat unsur sparatisme. Konten tersebut berisi gambar anak kecil sedang membawa senjata dan dinarasikan sebagai pejuang papua merdeka dan ingin lepas dari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</si>
  <si>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https://vt.tiktok.com/ZSa4vLqKy/</t>
  </si>
  <si>
    <t>Ditemukan unggahan Tiktok yang diduga mengandung unsur disinformasi dengan jenis False Context. Konten tersebut menjelaskan adanya pesawat yang sedang menyebarkan gas ketika proses penerbangan. Pada konten tersebut, gas yang dimaksud dinarasikan sebagai penyakit yang disebarkan dari pesawat. Kenyataannya adalah gas tersebut merupakan zat kimia yang digunakan untuk melakukan rekayasa cuaca untuk membantu mempermudah proses pemulihan pasca bencana.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</si>
  <si>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30 Januari 2026</t>
  </si>
  <si>
    <t>https://www.tiktok.com/@paramex_870/video/7600760916082216213</t>
  </si>
  <si>
    <t>Konten tersebut mengandung unsur provokatif gerakan separatisme yang menampilkan sebuah video tentara dengan bendera “Gerakan Aceh Merdeka” yang disertai dengan tagar #AcehWajibMerdeka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</si>
  <si>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https://www.tiktok.com/@tengku.aneuk.miet/video/7588534515719507208</t>
  </si>
  <si>
    <t>Ditemukan sebuah konten disinformasi berupa fabricated content dengan unsur provokatif gerakan separatisme yang menampilkan sebuah video hasil rekayasa AI tentara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</si>
  <si>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https://www.tiktok.com/@muhammir07/video/7600833930912173320</t>
  </si>
  <si>
    <t>Konten tersebut mengandung unsur provokatif gerakan separatisme yang menampilkan demonstrasi pengibaran bendera Gerakan Aceh Merdeka serta mengaitkan separatisme tersebut dengan bencana yang terjadi di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</si>
  <si>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https://www.tiktok.com/@_nyak_136/video/7600758455002991892</t>
  </si>
  <si>
    <t>Konten tersebut mengandung unsur provokatif gerakan separatisme yang menampilkan foto pengibaran bendera Gerakan Aceh Merdeka disertai dengan tagar “AcehPastiMerdeka”.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</si>
  <si>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https://x.com/OjolNyambi/status/2017094948999614704</t>
  </si>
  <si>
    <t>Konten tersebut mengandung unsur provokatif akan aksi anarkis dengan narasi “Nepalkan” terhadap Joko Widodo dengan ilustrasi hukuman gantung.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</si>
  <si>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https://x.com/MuhammadIkhtid5/status/2017015996255785177</t>
  </si>
  <si>
    <t>Konten tersebut mengandung unsur provokatif aksi anarkis dengan narasi “Nepalkan” terhadap Luhut Panjaitan dan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</si>
  <si>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https://www.facebook.com/share/r/16uyEPLCxe/</t>
  </si>
  <si>
    <t>Ditemukan sebuah konten disinformasi berupa fabricated content dengan unsur provokatif separatisme yang menampilkan sebuah video hasil rekayasa AI peresmian Aceh sebagai sebuah negara dalam konferensi PBB.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</si>
  <si>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https://x.com/Jumianto_RK/status/2017077138604826684</t>
  </si>
  <si>
    <t>Knten tersebut memuat narasi provokatif untuk menjelek jelekan program pemerintah yaitu Makan Bergizi Gratis (MBG). Konten tersebut membandingkan program MBG dengan kasus penjual es gabus untuk memancing amarah pengguna media sosial.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</si>
  <si>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https://x.com/pasifisstate/status/2016837338438258832?t=Ypk8SdK_uw6i07Kt_jIp2g&amp;s=35</t>
  </si>
  <si>
    <t>Konten tersebut memuat narasi provokatif yang ditujukan kepada pejabat negara disebut makan enak sedangkan siswa melalui program MBG memakan racun berkaitan dengan kasus keracunan makanan.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</si>
  <si>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https://x.com/__PASMANTAP/status/2017044336387695031?t=t5TlMaMNd_WA3QtrNiK1DA&amp;s=35</t>
  </si>
  <si>
    <t>Konten tersebut menunjukan kericuhan dengan narasi provokatif untuk mengusir pekerja asing terutama TKA China dari Indonesia. Konten tersebut juga mencatut nama Luhut sebagai penyebab kekacauan di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</si>
  <si>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https://vt.tiktok.com/ZSaC3HsKV/</t>
  </si>
  <si>
    <t>Konten tersebut mngandung narasi provokatif dengan menyebut bahwa rakyat dibodohi oleh orang dungu. konten tersebut juga menggunakan tagar untuk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</si>
  <si>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https://vt.tiktok.com/ZSaC3S1qo/</t>
  </si>
  <si>
    <t>Konten tersebut mengajak masyarakat untuk memakzulkan Gibran karena dinilai tidak jujur karena tidak memiliki ijazah SMA.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</si>
  <si>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https://x.com/ArtaN7707/status/2015002115308200253?t=kNXnuygONGtG2ZeemYBsgA&amp;s=35</t>
  </si>
  <si>
    <t>Konten tersebut menyebut Gibran sebagai orang yang tidak memiliki etika dan adab karena ayahnya adalah penguasa. Konten tersebut juga menyebutkan bahwa Gibran tidak lulus sekolah.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</si>
  <si>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https://www.facebook.com/andra.jee.1/posts/komnas-pigai-jika-semua-tni-ditarik-dari-papua-mungkn-tdk-ada-lagi-k3k3rs4n/1372589964611694</t>
    </r>
  </si>
  <si>
    <r>
      <rPr>
        <rFont val="Arial"/>
        <sz val="8.0"/>
      </rPr>
      <t>Beredar unggahan di media sosial Facebook berisi narasi yang mengeklaim Komisi Nasional Hak Asasi Manusia (Komnas HAM) Pigai desak penarikan semua Tentara Nasional Indonesia (TNI) di Papua.
Faktanya, klaim tersebut adalah tidak benar. Dilansir dari tempo.co, tidak ada pernyataan resmi dari Natalius Pigai maupun Komnas HAM yang mendesak panglima TNI untuk penarikan total TNI dari Papua. Dikutip dari pikiran-rakyat.com,  Komnas HAM merekomendasikan penarikan pasukan secara bertahap, bukan penarikan total dan rekomendasi itu disampaikan oleh Anis Hidayah, bukan Natalius Pigai.  Natalius Pigai bukanlah bagian dari Komnas HAM. Ia merupakan Menteri HAM yang menjabat sejak Oktober 2026. Namun, sebelumnya ia sempat menjadi komisioner Komnas HAM pada 2012—2017. Sementara itu, Panglima TNI menegaskan kehadiran TNI untuk membantu kesulitan masyarakat yang mendapat ancaman gangguan dari kelompok bersenjata.
Link Counter : 
"</t>
    </r>
    <r>
      <rPr>
        <rFont val="Arial"/>
        <color rgb="FF1155CC"/>
        <sz val="8.0"/>
        <u/>
      </rPr>
      <t>https://www.tempo.co/politik/komnas-ham-desak-pemerintah-terapkan-pendekatan-dialog-di-papua-2082094</t>
    </r>
    <r>
      <rPr>
        <rFont val="Arial"/>
        <sz val="8.0"/>
      </rPr>
      <t xml:space="preserve">   
</t>
    </r>
    <r>
      <rPr>
        <rFont val="Arial"/>
        <color rgb="FF1155CC"/>
        <sz val="8.0"/>
        <u/>
      </rPr>
      <t>https://mediakupang.pikiran-rakyat.com/nasional/pr-1389735975/respon-permintaan-komnas-ham-tarik-pasukan-dari-papua-panglima-tni-itu-hal-bodoh?utm_source=chatgpt.com</t>
    </r>
    <r>
      <rPr>
        <rFont val="Arial"/>
        <sz val="8.0"/>
      </rPr>
      <t xml:space="preserve">  </t>
    </r>
  </si>
  <si>
    <r>
      <rPr>
        <rFont val="Arial,sans-serif"/>
        <color rgb="FF1155CC"/>
        <sz val="8.0"/>
        <u/>
      </rPr>
      <t>https://www.facebook.com/100077567691354/posts/komnasham-pigaijika-semua-pasukan-tni-ditarik-mundur-mungkin-tidak-ada-lagi-nama/890912363504345/</t>
    </r>
  </si>
  <si>
    <r>
      <rPr>
        <rFont val="Arial"/>
        <sz val="8.0"/>
      </rPr>
      <t>Beredar unggahan di media sosial Facebook berisi narasi yang mengeklaim Komisi Nasional Hak Asasi Manusia (Komnas HAM) Pigai desak penarikan semua Tentara Nasional Indonesia (TNI) di Papua.
Faktanya, klaim tersebut adalah tidak benar. Dilansir dari tempo.co, tidak ada pernyataan resmi dari Natalius Pigai maupun Komnas HAM yang mendesak panglima TNI untuk penarikan total TNI dari Papua. Dikutip dari pikiran-rakyat.com,  Komnas HAM merekomendasikan penarikan pasukan secara bertahap, bukan penarikan total dan rekomendasi itu disampaikan oleh Anis Hidayah, bukan Natalius Pigai.  Natalius Pigai bukanlah bagian dari Komnas HAM. Ia merupakan Menteri HAM yang menjabat sejak Oktober 2026. Namun, sebelumnya ia sempat menjadi komisioner Komnas HAM pada 2012—2017. Sementara itu, Panglima TNI menegaskan kehadiran TNI untuk membantu kesulitan masyarakat yang mendapat ancaman gangguan dari kelompok bersenjata.
Link Counter : 
"</t>
    </r>
    <r>
      <rPr>
        <rFont val="Arial"/>
        <color rgb="FF1155CC"/>
        <sz val="8.0"/>
        <u/>
      </rPr>
      <t>https://www.tempo.co/politik/komnas-ham-desak-pemerintah-terapkan-pendekatan-dialog-di-papua-2082094</t>
    </r>
    <r>
      <rPr>
        <rFont val="Arial"/>
        <sz val="8.0"/>
      </rPr>
      <t xml:space="preserve">   
</t>
    </r>
    <r>
      <rPr>
        <rFont val="Arial"/>
        <color rgb="FF1155CC"/>
        <sz val="8.0"/>
        <u/>
      </rPr>
      <t>https://mediakupang.pikiran-rakyat.com/nasional/pr-1389735975/respon-permintaan-komnas-ham-tarik-pasukan-dari-papua-panglima-tni-itu-hal-bodoh?utm_source=chatgpt.com</t>
    </r>
    <r>
      <rPr>
        <rFont val="Arial"/>
        <sz val="8.0"/>
      </rPr>
      <t xml:space="preserve">  </t>
    </r>
  </si>
  <si>
    <r>
      <rPr>
        <rFont val="Arial,sans-serif"/>
        <color rgb="FF1155CC"/>
        <sz val="8.0"/>
        <u/>
      </rPr>
      <t>https://web.facebook.com/andra.jee.1/posts/pfbid02faDmxG3fsLEQHjcSVUBmwpkFLajdLC9jQ2mUMoDCfLNKVYHhNfVdfWTshSWd731dl</t>
    </r>
  </si>
  <si>
    <r>
      <rPr>
        <rFont val="Arial"/>
        <sz val="8.0"/>
      </rPr>
      <t>Beredar unggahan di media sosial Facebook berisi narasi yang mengeklaim Komisi Nasional Hak Asasi Manusia (Komnas HAM) Pigai desak penarikan semua Tentara Nasional Indonesia (TNI) di Papua.
Faktanya, klaim tersebut adalah tidak benar. Dilansir dari tempo.co, tidak ada pernyataan resmi dari Natalius Pigai maupun Komnas HAM yang mendesak panglima TNI untuk penarikan total TNI dari Papua. Dikutip dari pikiran-rakyat.com,  Komnas HAM merekomendasikan penarikan pasukan secara bertahap, bukan penarikan total dan rekomendasi itu disampaikan oleh Anis Hidayah, bukan Natalius Pigai.  Natalius Pigai bukanlah bagian dari Komnas HAM. Ia merupakan Menteri HAM yang menjabat sejak Oktober 2026. Namun, sebelumnya ia sempat menjadi komisioner Komnas HAM pada 2012—2017. Sementara itu, Panglima TNI menegaskan kehadiran TNI untuk membantu kesulitan masyarakat yang mendapat ancaman gangguan dari kelompok bersenjata.
Link Counter : 
"</t>
    </r>
    <r>
      <rPr>
        <rFont val="Arial"/>
        <color rgb="FF1155CC"/>
        <sz val="8.0"/>
        <u/>
      </rPr>
      <t>https://www.tempo.co/politik/komnas-ham-desak-pemerintah-terapkan-pendekatan-dialog-di-papua-2082094</t>
    </r>
    <r>
      <rPr>
        <rFont val="Arial"/>
        <sz val="8.0"/>
      </rPr>
      <t xml:space="preserve">   
</t>
    </r>
    <r>
      <rPr>
        <rFont val="Arial"/>
        <color rgb="FF1155CC"/>
        <sz val="8.0"/>
        <u/>
      </rPr>
      <t>https://mediakupang.pikiran-rakyat.com/nasional/pr-1389735975/respon-permintaan-komnas-ham-tarik-pasukan-dari-papua-panglima-tni-itu-hal-bodoh?utm_source=chatgpt.com</t>
    </r>
    <r>
      <rPr>
        <rFont val="Arial"/>
        <sz val="8.0"/>
      </rPr>
      <t xml:space="preserve">  </t>
    </r>
  </si>
  <si>
    <r>
      <rPr>
        <rFont val="Arial,sans-serif"/>
        <color rgb="FF1155CC"/>
        <sz val="8.0"/>
        <u/>
      </rPr>
      <t>https://www.facebook.com/story.php?story_fbid=3380296142125981&amp;id=100004368853728&amp;rdid=MfXIIA407912as1z#</t>
    </r>
  </si>
  <si>
    <r>
      <rPr>
        <rFont val="Arial"/>
        <sz val="8.0"/>
      </rPr>
      <t xml:space="preserve">Beredar unggahan foto di media sosial Facebook yang berisi narasi yang mengeklaim bahwa Presiden Prabowo akan menjual hutan yang berada di Provinsi Aceh dan Sumatra ke Inggris.
Faktanya, klaim tersebut adalah tidak benar. Dilansir dari turnbackhoax.id, setelah dilakukan penelusuran menggunakan mesin pencari Google dengan memasukkan kata kunci "Prabowo jual laut dan hutan Sumatera ke Inggris", pencarian teratas menampilkan artikel yang diterbitkan oleh presidenri.go.id berjudul “Dari Investasi hingga Pendidikan, "Kunjungan Presiden Prabowo ke Inggris Bawa Capaian Konkret" diunggah Kamis, 22 Januari 2026. Artikel tersebut menjelaskan kunjungan Presiden Prabowo Subianto ke Inggris pada 21 Januari 2026 menghasilkan capaian konkret bagi kepentingan nasional, mulai dari komitmen investasi Inggris sebesar 4 miliar poundsterling (sekitar Rp90 triliun), penguatan kerja sama maritim, serta pembangunan 1.582 kapal nelayan yang akan diproduksi di Indonesia. Lebih lanjut, tidak ditemukan tidak ditemukan informasi yang membenarkan klaim.
 Link Counter:
</t>
    </r>
    <r>
      <rPr>
        <rFont val="Arial"/>
        <color rgb="FF1155CC"/>
        <sz val="8.0"/>
        <u/>
      </rPr>
      <t>https://turnbackhoax.id/articles/32049</t>
    </r>
    <r>
      <rPr>
        <rFont val="Arial"/>
        <sz val="8.0"/>
      </rPr>
      <t xml:space="preserve">  
</t>
    </r>
    <r>
      <rPr>
        <rFont val="Arial"/>
        <color rgb="FF1155CC"/>
        <sz val="8.0"/>
        <u/>
      </rPr>
      <t>https://www.presidenri.go.id/siaran-pers/dari-investasi-hingga-pendidikan-kunjungan-presiden-prabowo-ke-inggris-bawa-capaian-konkret/</t>
    </r>
    <r>
      <rPr>
        <rFont val="Arial"/>
        <sz val="8.0"/>
      </rPr>
      <t xml:space="preserve">  </t>
    </r>
  </si>
  <si>
    <t>https://www.instagram.com/p/DQbjx80kr2M/</t>
  </si>
  <si>
    <r>
      <rPr>
        <rFont val="Arial"/>
        <sz val="8.0"/>
      </rPr>
      <t>Beredar unggahan di media sosial Facebook berisi narasi yang mengeklaim Komisi Nasional Hak Asasi Manusia (Komnas HAM) Pigai desak penarikan semua Tentara Nasional Indonesia (TNI) di Papua.
Faktanya, klaim tersebut adalah tidak benar. Dilansir dari tempo.co, tidak ada pernyataan resmi dari Natalius Pigai maupun Komnas HAM yang mendesak panglima TNI untuk penarikan total TNI dari Papua. Dikutip dari pikiran-rakyat.com,  Komnas HAM merekomendasikan penarikan pasukan secara bertahap, bukan penarikan total dan rekomendasi itu disampaikan oleh Anis Hidayah, bukan Natalius Pigai.  Natalius Pigai bukanlah bagian dari Komnas HAM. Ia merupakan Menteri HAM yang menjabat sejak Oktober 2026. Namun, sebelumnya ia sempat menjadi komisioner Komnas HAM pada 2012—2017. Sementara itu, Panglima TNI menegaskan kehadiran TNI untuk membantu kesulitan masyarakat yang mendapat ancaman gangguan dari kelompok bersenjata.
Link Counter : 
"</t>
    </r>
    <r>
      <rPr>
        <rFont val="Arial"/>
        <color rgb="FF1155CC"/>
        <sz val="8.0"/>
        <u/>
      </rPr>
      <t>https://www.tempo.co/politik/komnas-ham-desak-pemerintah-terapkan-pendekatan-dialog-di-papua-2082094</t>
    </r>
    <r>
      <rPr>
        <rFont val="Arial"/>
        <sz val="8.0"/>
      </rPr>
      <t xml:space="preserve">   
</t>
    </r>
    <r>
      <rPr>
        <rFont val="Arial"/>
        <color rgb="FF1155CC"/>
        <sz val="8.0"/>
        <u/>
      </rPr>
      <t>https://mediakupang.pikiran-rakyat.com/nasional/pr-1389735975/respon-permintaan-komnas-ham-tarik-pasukan-dari-papua-panglima-tni-itu-hal-bodoh?utm_source=chatgpt.com</t>
    </r>
    <r>
      <rPr>
        <rFont val="Arial"/>
        <sz val="8.0"/>
      </rPr>
      <t xml:space="preserve">  </t>
    </r>
  </si>
  <si>
    <t>https://www.instagram.com/p/DQbUt2ngaHA/</t>
  </si>
  <si>
    <r>
      <rPr>
        <rFont val="Arial"/>
        <sz val="8.0"/>
      </rPr>
      <t>Beredar unggahan di media sosial Facebook berisi narasi yang mengeklaim Komisi Nasional Hak Asasi Manusia (Komnas HAM) Pigai desak penarikan semua Tentara Nasional Indonesia (TNI) di Papua.
Faktanya, klaim tersebut adalah tidak benar. Dilansir dari tempo.co, tidak ada pernyataan resmi dari Natalius Pigai maupun Komnas HAM yang mendesak panglima TNI untuk penarikan total TNI dari Papua. Dikutip dari pikiran-rakyat.com,  Komnas HAM merekomendasikan penarikan pasukan secara bertahap, bukan penarikan total dan rekomendasi itu disampaikan oleh Anis Hidayah, bukan Natalius Pigai.  Natalius Pigai bukanlah bagian dari Komnas HAM. Ia merupakan Menteri HAM yang menjabat sejak Oktober 2026. Namun, sebelumnya ia sempat menjadi komisioner Komnas HAM pada 2012—2017. Sementara itu, Panglima TNI menegaskan kehadiran TNI untuk membantu kesulitan masyarakat yang mendapat ancaman gangguan dari kelompok bersenjata.
Link Counter : 
"</t>
    </r>
    <r>
      <rPr>
        <rFont val="Arial"/>
        <color rgb="FF1155CC"/>
        <sz val="8.0"/>
        <u/>
      </rPr>
      <t>https://www.tempo.co/politik/komnas-ham-desak-pemerintah-terapkan-pendekatan-dialog-di-papua-2082094</t>
    </r>
    <r>
      <rPr>
        <rFont val="Arial"/>
        <sz val="8.0"/>
      </rPr>
      <t xml:space="preserve">   
</t>
    </r>
    <r>
      <rPr>
        <rFont val="Arial"/>
        <color rgb="FF1155CC"/>
        <sz val="8.0"/>
        <u/>
      </rPr>
      <t>https://mediakupang.pikiran-rakyat.com/nasional/pr-1389735975/respon-permintaan-komnas-ham-tarik-pasukan-dari-papua-panglima-tni-itu-hal-bodoh?utm_source=chatgpt.com</t>
    </r>
    <r>
      <rPr>
        <rFont val="Arial"/>
        <sz val="8.0"/>
      </rPr>
      <t xml:space="preserve">  </t>
    </r>
  </si>
  <si>
    <t>29 Januari 2026</t>
  </si>
  <si>
    <t>https://www.tiktok.com/@fahrul40590/video/7600604897347751188</t>
  </si>
  <si>
    <t>Ditemukan sebuah konten disinformasi berupa fabricated content dengan unsur provokatif separatisme ‘Gerakan Aceh Merdeka’ yang menampilkan sebuah foto hasil rekayasa AI seseorang memegang bendera GAM yang dikelilingi oleh para petinggi di dunia.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</si>
  <si>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https://www.tiktok.com/@bgajuan2/video/7594876711330761992</t>
  </si>
  <si>
    <t>Ditemukan sebuah konten disinformasi berupa misleading content dengan unsur provokatif gerakan separatisme yang menampilkan sebuah narasi bahwa Anies Baswedan akan diangkat menjadi Presiden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</si>
  <si>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https://www.tiktok.com/@cicem.pala.cicem/photo/7600025471253843207</t>
  </si>
  <si>
    <t>Konten tersebut mengandung unsur provokatif gerakan separatisme yang menampilkan foto kelompok ibu rumah tangga yang memegang bendera Gerakan Aceh Merdeka dengan tagar “Aceh Pasti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</si>
  <si>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https://www.tiktok.com/@fadilfitrah03/photo/7595619105093242120</t>
  </si>
  <si>
    <t>Ditemukan sebuah konten disinformasi berupa fabricated content dengan unsur provokatif separatisme yang menampilkan sebuah foto hasil rekayasa AI para pemimpin USA, Korea Utara, Canada, dan China meresmikan Aceh sebagai sebuah negara dalam konferensi PBB.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</si>
  <si>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https://x.com/hasni33064/status/2016505635626684865</t>
  </si>
  <si>
    <t>Konten tersebut mengandung unsur provokatif akan aksi anarkis dengan narasi “Siap siap Indonesia di Nepalkan”.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</si>
  <si>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https://x.com/affanaffa12/status/2016316558642184603</t>
  </si>
  <si>
    <t>Konten tersebut mengandung unsur provokatif aksi anarkis dan disertai dengan kata-kata kasar serta ujaran kebencian dengan narasi “Nepalkan” terhadap DPR RI. Konten ini adalah tanggapan dari pernyataan Komisi III DPR terkait kedudukan Polri.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</si>
  <si>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https://x.com/KiYang4343/status/2016084534081814974</t>
  </si>
  <si>
    <t>Konten tersebut mengandung unsur provokatif akan aksi anarkis dengan narasi “Nepalkan” terhadap Joko Widodo dan Gibran Rakabuming yang menyinggung polemik ijazah Joko Widodo dan Gibran Rakabuming.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</si>
  <si>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https://x.com/Pandawa5321/status/2016061571274051826</t>
  </si>
  <si>
    <t>Konten tersebut mengandung unsur provokatif aksi anarkis dan disertai dengan kata-kata kasar serta ujaran kebencian dengan narasi “Nepalkan” terhadap Bapak Prabowo Subianto.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</si>
  <si>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https://x.com/van88xier/status/2015985678069465505</t>
  </si>
  <si>
    <t>Konten tersebut mengandung unsur provokatif aksi anarkis dan disertai dengan kata-kata kasar serta ujaran kebencian dengan narasi “Nepalkan” terhadap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</si>
  <si>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https://vt.tiktok.com/ZSaxCPM8H/</t>
  </si>
  <si>
    <t>Konten tersebut menyebut Gibran sebagai Wapres ilegal sehingga harus di makzulkan.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</si>
  <si>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https://vt.tiktok.com/ZSaxC9RXP/</t>
  </si>
  <si>
    <t>Konten tersebut menggiring opini dengan mengaitkan kasus ijazah Jokowi dengan Gibran dimana opini dibuat seolah olah Gibran tidak memiliki Ijazah sama seperti ayahnya.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</si>
  <si>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https://x.com/patillele4364/status/2016637696253579627?t=MTqF6pcDnAmGcH4oQfMfTA&amp;s=35</t>
  </si>
  <si>
    <t>Konten tersebut mengandung narasi provokatif dengan menyebut hanya indonesia yang mampu dan tega meracuni anak anak dengan MBG. Narasi ini dibut untuk menjelekan program MBG melalui provokasi terkait kasus keracunan seusai menyantap MBG.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</si>
  <si>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https://x.com/kang___L/status/2016114117061530030?s=35</t>
  </si>
  <si>
    <t>https://x.com/KangManto123/status/2016415411374584131?t=odEeESdQVfGQyXtntajgwQ&amp;s=35</t>
  </si>
  <si>
    <t>Konten tersebut melakukan provokasi dengan menyatakan bergabungnya Indonesia ke dalam Dewan Perdamaian yang dibentuk AS sebagai bentuk tunduknya Indonesia terhadap negara asing.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</si>
  <si>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https://x.com/ochidzz/status/2016453331577864410</t>
  </si>
  <si>
    <t>https://x.com/kopitanpagula09/status/2016666044539293939</t>
  </si>
  <si>
    <t>https://x.com/RiyadiMr2/status/2016663646701834527</t>
  </si>
  <si>
    <t>https://x.com/ka588588/status/2016760502719017206</t>
  </si>
  <si>
    <t>https://x.com/onotohar/status/2016747654152409560</t>
  </si>
  <si>
    <t>https://x.com/blu3blu3blu/status/2016745098860720382</t>
  </si>
  <si>
    <t>https://x.com/lunox__86/status/2016717752262967645</t>
  </si>
  <si>
    <t>https://x.com/asulaut01/status/2016717663968645487</t>
  </si>
  <si>
    <t>https://x.com/hellahammer_/status/2016699683637456916</t>
  </si>
  <si>
    <t>https://x.com/ikudlmt/status/2016657752790356140</t>
  </si>
  <si>
    <t>https://x.com/yonktainment/status/2016641811427815587</t>
  </si>
  <si>
    <t>https://x.com/malesjawab/status/2016625661105099217</t>
  </si>
  <si>
    <t>https://x.com/tobelrei/status/2016623487646126431</t>
  </si>
  <si>
    <t>https://x.com/dalledarrel/status/2016588864702542279</t>
  </si>
  <si>
    <t>https://x.com/arkr0me/status/2016579486809280820</t>
  </si>
  <si>
    <t>https://x.com/rincimolll/status/2016562717386297553</t>
  </si>
  <si>
    <t>https://x.com/yaterserahkao/status/2016496012584784337</t>
  </si>
  <si>
    <t>https://x.com/PngAdilnR4kyt/status/2015979642411483262</t>
  </si>
  <si>
    <t>18,1rb folls</t>
  </si>
  <si>
    <t>https://x.com/Srik4ndiMuslim2/status/2015967423321800978</t>
  </si>
  <si>
    <t>https://x.com/abdullll85/status/2016483888512794789</t>
  </si>
  <si>
    <t>https://www.facebook.com/groups/2479676585560598/posts/3045736208954630/</t>
  </si>
  <si>
    <t>https://www.facebook.com/groups/2479676585560598/posts/3045731238955127/</t>
  </si>
  <si>
    <t>https://www.facebook.com/groups/2479676585560598/posts/3043065679221683/</t>
  </si>
  <si>
    <t>https://www.facebook.com/groups/2479676585560598/posts/3042110395983878/</t>
  </si>
  <si>
    <t>https://www.facebook.com/groups/2479676585560598/posts/3040943796100538/</t>
  </si>
  <si>
    <t>https://www.facebook.com/reel/1179470704292964</t>
  </si>
  <si>
    <r>
      <rPr>
        <rFont val="Arial"/>
        <sz val="8.0"/>
      </rPr>
      <t xml:space="preserve">Beredar sebuah unggahan di media sosial dengan narasi yang mengklaim Menteri Keuangan (Menkeu) Purbaya Yudhi Sadewa ingin menghentikan program Makan Bergizi Gratis (MBG) saat puasa atau bulan Ramadan.
Faktanya, klaim tersebut adalah tidak benar. Dilansir dari turnbackhoax.id, setelah memasukkan kata kunci “MBG Ramadan 2026” ke mesin pencarian Google, hasil penelusuran teratas mengarah ke pemberitaan tempo.co berjudul “Mekanisme MBG pada Ramadhan 2026 Tak Jauh Beda dari Tahun Ini” yang tayang Rabu, 24 Desember 2025. Berita ini melaporkan bahwa skema penyaluran MBG pada Ramadan tahun 2026 serupa dengan sistem penyaluran pada bulan puasa tahun ini. Hidangan yang sebelumnya disajikan untuk makan siang, dapat dibawa pulang dan dikonsumsi setelah waktu Magrib bagi siswa yang berpuasa. Sepanjang penelusuran, tidak ditemukan informasi dari sumber kredibel yang membenarkan klaim dalam unggahan.
Link Counter:
</t>
    </r>
    <r>
      <rPr>
        <rFont val="Arial"/>
        <color rgb="FF1155CC"/>
        <sz val="8.0"/>
        <u/>
      </rPr>
      <t>https://turnbackhoax.id/articles/31228</t>
    </r>
    <r>
      <rPr>
        <rFont val="Arial"/>
        <sz val="8.0"/>
      </rPr>
      <t xml:space="preserve">  
</t>
    </r>
    <r>
      <rPr>
        <rFont val="Arial"/>
        <color rgb="FF1155CC"/>
        <sz val="8.0"/>
        <u/>
      </rPr>
      <t>https://www.tempo.co/politik/mekanisme-mbg-pada-ramadan-2026-tak-jauh-beda-dari-tahun-ini-2101851</t>
    </r>
    <r>
      <rPr>
        <rFont val="Arial"/>
        <sz val="8.0"/>
      </rPr>
      <t xml:space="preserve">  
</t>
    </r>
  </si>
  <si>
    <t xml:space="preserve">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t>
  </si>
  <si>
    <r>
      <rPr>
        <rFont val="Arial"/>
        <color rgb="FF1155CC"/>
        <sz val="8.0"/>
        <u/>
      </rPr>
      <t>https://www.facebook.com/reel/3304447129709384</t>
    </r>
    <r>
      <rPr>
        <rFont val="Arial"/>
        <color rgb="FF1155CC"/>
        <sz val="8.0"/>
        <u/>
      </rPr>
      <t xml:space="preserve">
</t>
    </r>
  </si>
  <si>
    <r>
      <rPr>
        <rFont val="Arial"/>
        <sz val="8.0"/>
      </rPr>
      <t xml:space="preserve">Beredar unggahan di media social Facebook berisi narasi yang mengeklaim Megawati Soekarnoputri dan Puan Maharani memberi peringatan keras kepada Menteri Keuangan Purbaya Yudhi Sadewa jika tak sejalan dengan Dewan Perwakilan Rakyat (DPR).
Faktanya, klaim tersebut adalah tidak benar. Dilansir dari turnbackhoax.id, video yang disebarkan berisi foto-foto yang konteksnya tidak saling berkaitan yang dirangkai dan ditambahkan klaim sehingga menimbulkan kesimpulan yang menyesatkan. Unggahan yang berisi video dengan klaim peringatan keras Megawati dan Puan ke Purbaya jika tidak sejalan dengan DPR merupakan kategori konten yang menyesatkan.
Link Counter :
</t>
    </r>
    <r>
      <rPr>
        <rFont val="Arial"/>
        <color rgb="FF1155CC"/>
        <sz val="8.0"/>
        <u/>
      </rPr>
      <t>https://turnbackhoax.id/articles/32022</t>
    </r>
    <r>
      <rPr>
        <rFont val="Arial"/>
        <sz val="8.0"/>
      </rPr>
      <t xml:space="preserve"> 
</t>
    </r>
  </si>
  <si>
    <t xml:space="preserve">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t>
  </si>
  <si>
    <t xml:space="preserve">https://www.facebook.com/reel/1983410942447387 
</t>
  </si>
  <si>
    <r>
      <rPr>
        <rFont val="Arial"/>
        <sz val="8.0"/>
      </rPr>
      <t xml:space="preserve">Beredar unggahan di media social Facebook berisi narasi yang mengeklaim Megawati Soekarnoputri dan Puan Maharani memberi peringatan keras kepada Menteri Keuangan Purbaya Yudhi Sadewa jika tak sejalan dengan Dewan Perwakilan Rakyat (DPR).
Faktanya, klaim tersebut adalah tidak benar. Dilansir dari turnbackhoax.id, video yang disebarkan berisi foto-foto yang konteksnya tidak saling berkaitan yang dirangkai dan ditambahkan klaim sehingga menimbulkan kesimpulan yang menyesatkan. Unggahan yang berisi video dengan klaim peringatan keras Megawati dan Puan ke Purbaya jika tidak sejalan dengan DPR merupakan kategori konten yang menyesatkan.
Link Counter :
</t>
    </r>
    <r>
      <rPr>
        <rFont val="Arial"/>
        <color rgb="FF1155CC"/>
        <sz val="8.0"/>
        <u/>
      </rPr>
      <t>https://turnbackhoax.id/articles/32022</t>
    </r>
    <r>
      <rPr>
        <rFont val="Arial"/>
        <sz val="8.0"/>
      </rPr>
      <t xml:space="preserve">  
</t>
    </r>
  </si>
  <si>
    <t>28 Januari 2026</t>
  </si>
  <si>
    <t>https://vt.tiktok.com/ZSauqfNXy</t>
  </si>
  <si>
    <t>Ditemukan konten pada media sosial Tiktok yang diduga memuat unsur Disinformasi berupa tuduhan dan adu domba terhadap presiden saat ini dengan presiden sebelumnya. Konten tersebut menarasikan bahwa prabowo tidak berani mengadili jokowi karena adanya kasus yang sedang dijalani oleh presiden prabowo dengan jokowi sebagai pemegang keputusan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</si>
  <si>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</si>
  <si>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r>
      <rPr>
        <rFont val="Arial,sans-serif"/>
        <color rgb="FF1155CC"/>
        <sz val="8.0"/>
        <u/>
      </rPr>
      <t>https://vt.tiktok.com/ZSaubQ6VW/</t>
    </r>
  </si>
  <si>
    <t>Ditemukan konten pada media sosial Facebook yang diduga memuat unsur separatisme berupa adanya konsolidasi dari perwakilan wilayah di aceh yang menyambut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</si>
  <si>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https://www.facebook.com/share/p/1DSuXQ4U9q/</t>
    </r>
  </si>
  <si>
    <r>
      <t xml:space="preserve">Ditemukan konten pada media sosial Facebook yang diduga memuat unsur disinformasi berjenis misleading content. Konten tersebut berisi informasi bahwa menteri ESDM mewajibkan ojek online untuk membeli motor listrik. Informasi yang berkaitan dengan hal tersebut telah dikonfirmasi dan dapat di cek pada tautan berikut: ( </t>
    </r>
    <r>
      <rPr>
        <rFont val="Arial,sans-serif"/>
        <color rgb="FF1155CC"/>
        <sz val="8.0"/>
        <u/>
      </rPr>
      <t>https://www.idntimes.com/business/economy/ojol-wajib-beli-motor-listrik-buat-kurangi-beban-subsidi-ini-faktanya-00-bvq5c-pvtsvq</t>
    </r>
    <r>
      <rPr>
        <rFont val="Arial"/>
        <sz val="8.0"/>
      </rPr>
      <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</si>
  <si>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r>
      <rPr>
        <rFont val="Arial,sans-serif"/>
        <color rgb="FF1155CC"/>
        <sz val="8.0"/>
        <u/>
      </rPr>
      <t>https://www.facebook.com/share/p/1CJ3ASsad2/</t>
    </r>
  </si>
  <si>
    <t>Ditemukan konten pada media sosial Facebook yang diduga memuat unsur provokatif dan gerakan separatisme dengan narasi ajakan pengibaran bendera aceh dan seruan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</si>
  <si>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https://www.facebook.com/share/v/1KPfzyEdWR/</t>
    </r>
  </si>
  <si>
    <t>Separatisme dan Ujaran Kebencian</t>
  </si>
  <si>
    <t>Ditemukan konten pada media sosial Facebook yang diduga memuat unsur ujaran kebencian dan gerakan mengarah ke separatisme dengan narasi bahwa suku jawa merampas sumber daya alam di aceh dan melakukan penjajahan terhadap aceh. Konten tersebut juga disertai narasi seruan terhadap kemerdekaan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</si>
  <si>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https://www.facebook.com/share/p/1AYhNaJ4ZC/</t>
    </r>
  </si>
  <si>
    <t>Ditemukan konten pada media sosial Facebook yang diduga memuat unsur provokatif untuk melakukan tindakan anarkis dengan narasi Nepalkan dan Bubarkan DPR karena diduga memiliki gaji dan tunjangan yang dinilai cukup besar namun banyak rakyat yang merasa kecewa dengan hasil kinerjanya sehingga jika dibubarkan dianggap bisa menghemat anggaran negara tiap tahunnya.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</si>
  <si>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https://www.facebook.com/share/p/1TdV7UwoLP/</t>
    </r>
  </si>
  <si>
    <t>Ditemukan konten pada media sosial Facebook yang diduga memuat unsur provokatif untuk melakukan tindakan anarkis dengan narasi Nepalkan Joko Widodo dan wakil presiden Gibran Rakabuming Raka karena diduga ijazah yang dimiliki adalah ijazah palsu sehingga dianggap sebagai pembohong dan perusak pemerintahan.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</si>
  <si>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https://www.facebook.com/share/p/1CxyKBUXw2/</t>
    </r>
  </si>
  <si>
    <t>Ditemukan konten pada media sosial Facebook yang diduga memuat unsur provokatif untuk melakukan tindakan anarkis dengan narasi Nepalkan Joko Widodo karena kerap disebut oleh Basuki Tjahaja Purnama saat diperiksa terkait kasus dugaan korupsi minyak mentah pertamina sehingga dianggap turut terlibat dalam kasus tersebut namun penegak hukum tidak ada yang memeriksa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</si>
  <si>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https://www.facebook.com/share/v/1DPC9CFaWb/</t>
    </r>
  </si>
  <si>
    <t>Ditemukan konten pada media sosial Facebook yang diduga memuat unsur provokatif untuk melakukan tindakan anarkis dengan narasi menangkap dan menepalkan Joko Widodo karena dianggap sebagai pembohong terkait peresmian bandara IMIP di Morowali, Bantuan Langsung Tunai, dan mobil esemka.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</si>
  <si>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https://www.facebook.com/share/p/17XBqGWX7j/</t>
    </r>
  </si>
  <si>
    <t>Ditemukan konten pada media sosial Facebook yang diduga memuat unsur provokatif untuk melakukan tindakan anarkis dengan narasi Nepalkan presiden Prabowo Subianto karena dianggap mulai mengikuti pola pemerintahan Joko Widodo dengan melakukan kebohongan dan tidak konsisten dalam mengambil suatu keputusan.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</si>
  <si>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https://www.facebook.com/share/p/1HWTdpgJzU/</t>
    </r>
  </si>
  <si>
    <t>Ditemukan konten pada media sosial Facebook yang diduga memuat unsur provokatif untuk melakukan tindakan anarkis dengan narasi Makzulkan wakil presiden Gibran Rakabuming Raka karena dianggap tidak lulus dari pendidikan SMA.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</si>
  <si>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https://www.facebook.com/share/r/1C8riywcWk/</t>
    </r>
  </si>
  <si>
    <t>Ditemukan konten pada media sosial Facebook yang diduga memuat unsur provokatif dan gerakan separatisme dengan narasi Aceh Merdeka dengan meninggalkan negara Indonesia seperti negara Timor Leste karena pemerintahan yang sekarang dianggap sudah tidak mampu untuk mengelola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</si>
  <si>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https://www.facebook.com/share/v/1K5qsfFeya/</t>
    </r>
  </si>
  <si>
    <r>
      <rPr>
        <rFont val="Arial,sans-serif"/>
        <color rgb="FF1155CC"/>
        <sz val="8.0"/>
        <u/>
      </rPr>
      <t>https://www.facebook.com/share/r/1AcGeqnbvi/</t>
    </r>
  </si>
  <si>
    <t>Ditemukan konten pada media sosial Facebook yang diduga memuat unsur provokatif dan gerakan separatisme dengan narasi bahwa bangsa Aceh menuntut untuk merdeka dari Indonesia disertai dengan video sekumpulan orang yang mengibarkan bendera bulan bintang. Konten ini berpotensi untuk mengajak masyarakat untuk mengikuti hal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</si>
  <si>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https://www.facebook.com/groups/948396228550787/?multi_permalinks=25888887280741670&amp;hoisted_section_header_type=recently_seen</t>
  </si>
  <si>
    <t>https://www.facebook.com/groups/948396228550787/?multi_permalinks=25671592689137798&amp;hoisted_section_header_type=recently_seen</t>
  </si>
  <si>
    <t>https://www.facebook.com/groups/858134248869588/?multi_permalinks=1358252478857760&amp;hoisted_section_header_type=recently_seen</t>
  </si>
  <si>
    <t>https://www.facebook.com/groups/948396228550787/?multi_permalinks=25802012762762456&amp;hoisted_section_header_type=recently_seen</t>
  </si>
  <si>
    <t>https://www.facebook.com/groups/272300885661988/?multi_permalinks=877596628465741&amp;hoisted_section_header_type=recently_seen</t>
  </si>
  <si>
    <t>https://www.facebook.com/groups/272300885661988/posts/878109358414468/</t>
  </si>
  <si>
    <t>https://www.facebook.com/antojidhan.yumnafariah/posts/pfbid0VEsmimgUjBtXN12QtjTH4xjvQ9Pds8BfQ9HfMpPh8wayR3wHGukYxjuktkQ2GHqEl</t>
  </si>
  <si>
    <t>https://x.com/asulaut01/status/2016342185332122018</t>
  </si>
  <si>
    <t>https://x.com/sophiehowls_001/status/2016220624201584945</t>
  </si>
  <si>
    <t>https://x.com/irularr_/status/2016128642062155856</t>
  </si>
  <si>
    <t>https://x.com/ephemcre/status/2016088298729701626</t>
  </si>
  <si>
    <t>https://x.com/berrynblush/status/2016076742801457394</t>
  </si>
  <si>
    <r>
      <rPr>
        <rFont val="Arial,sans-serif"/>
        <b/>
        <color rgb="FF1155CC"/>
        <sz val="8.0"/>
        <u/>
      </rPr>
      <t>https://x.com/ArtaN7707/status/2016202788251041916</t>
    </r>
  </si>
  <si>
    <r>
      <rPr>
        <rFont val="Arial,sans-serif"/>
        <b/>
        <color rgb="FF1155CC"/>
        <sz val="8.0"/>
        <u/>
      </rPr>
      <t>https://x.com/FaGtng/status/2016399974364557672</t>
    </r>
  </si>
  <si>
    <r>
      <rPr>
        <rFont val="Arial,sans-serif"/>
        <b/>
        <color rgb="FF1155CC"/>
        <sz val="8.0"/>
        <u/>
      </rPr>
      <t>https://x.com/gulaciamis/status/2016399076171132979</t>
    </r>
  </si>
  <si>
    <t>https://www.facebook.com/reel/1383781369909285</t>
  </si>
  <si>
    <r>
      <rPr>
        <rFont val="Arial"/>
        <sz val="8.0"/>
      </rPr>
      <t xml:space="preserve">Beredar sebuah unggahan di media sosial Facebook yang mengeklaim bahwa Menteri Keuangan Purbaya Yudhi Sadewa mengumumkan dana pensiunan bagi aparatur negara akan naik dan dirapel pada 30 Januari 2026.
Faktanya, klaim tersebut adalah tidak benar. Dilansir dari kompas.com, tidak ditemukan informasi kredibel mengenai isu tersebut. Foto asli pada unggahan adalah hasil rekayasa buatan Artificial Intelligence (AI) foto Purbaya di laman resmi Kementerian Keuangan kemenkeu.go.id. Foto itu adalah momen ketika Purbaya bersama jajarannya memaparkan Rencana Kerja dan Anggaran (RKA) Tahun 2026 dalam Rapat Kerja dengan Komisi XI DPR RI di Kompleks Parlemen, pada 10 September 2025. Dalam rapat itu Purbaya tidak menyinggung terkait dana pensiun mantan aparatur negara.
Link Counter :
</t>
    </r>
    <r>
      <rPr>
        <rFont val="Arial"/>
        <color rgb="FF1155CC"/>
        <sz val="8.0"/>
        <u/>
      </rPr>
      <t>https://www.kompas.com/cekfakta/read/2026/01/26/175100382/-hoaks-purbaya-umumkan-dana-pensiun-naik-dirapel-30-januari-2026</t>
    </r>
    <r>
      <rPr>
        <rFont val="Arial"/>
        <sz val="8.0"/>
      </rPr>
      <t xml:space="preserve"> 
</t>
    </r>
    <r>
      <rPr>
        <rFont val="Arial"/>
        <color rgb="FF1155CC"/>
        <sz val="8.0"/>
        <u/>
      </rPr>
      <t>https://www.kemenkeu.go.id/informasi-publik/publikasi/berita-utama/raker-rka-kemenkeu-26</t>
    </r>
  </si>
  <si>
    <t>https://www.instagram.com/reels/DSWv25dkQ94/</t>
  </si>
  <si>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turnbackhoax.id, konten yang beredar merupakan hasil suntingan dari pemberitaan kompas.com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t>
    </r>
    <r>
      <rPr>
        <rFont val="Arial"/>
        <sz val="8.0"/>
      </rPr>
      <t xml:space="preserve"> 
</t>
    </r>
  </si>
  <si>
    <r>
      <rPr>
        <rFont val="Arial,sans-serif"/>
        <color rgb="FF1155CC"/>
        <sz val="8.0"/>
        <u/>
      </rPr>
      <t>https://www.instagram.com/reels/DSWSTR3kx9C/</t>
    </r>
  </si>
  <si>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turnbackhoax.id, konten yang beredar merupakan hasil suntingan dari pemberitaan kompas.com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t>
    </r>
    <r>
      <rPr>
        <rFont val="Arial"/>
        <sz val="8.0"/>
      </rPr>
      <t xml:space="preserve"> </t>
    </r>
  </si>
  <si>
    <r>
      <rPr>
        <rFont val="Arial,sans-serif"/>
        <color rgb="FF1155CC"/>
        <sz val="8.0"/>
        <u/>
      </rPr>
      <t>https://www.instagram.com/reels/DSU4qhcD9_j/</t>
    </r>
  </si>
  <si>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turnbackhoax.id, konten yang beredar merupakan hasil suntingan dari pemberitaan kompas.com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t>
    </r>
    <r>
      <rPr>
        <rFont val="Arial"/>
        <sz val="8.0"/>
      </rPr>
      <t xml:space="preserve"> </t>
    </r>
  </si>
  <si>
    <r>
      <rPr>
        <rFont val="Arial,sans-serif"/>
        <color rgb="FF1155CC"/>
        <sz val="8.0"/>
        <u/>
      </rPr>
      <t>https://www.instagram.com/p/DSUpY2UAcmE/</t>
    </r>
  </si>
  <si>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turnbackhoax.id, konten yang beredar merupakan hasil suntingan dari pemberitaan kompas.com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t>
    </r>
    <r>
      <rPr>
        <rFont val="Arial"/>
        <sz val="8.0"/>
      </rPr>
      <t xml:space="preserve"> </t>
    </r>
  </si>
  <si>
    <r>
      <rPr>
        <rFont val="Arial,sans-serif"/>
        <color rgb="FF1155CC"/>
        <sz val="8.0"/>
        <u/>
      </rPr>
      <t>https://www.instagram.com/p/DSUrP_pkhOy/</t>
    </r>
  </si>
  <si>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turnbackhoax.id, konten yang beredar merupakan hasil suntingan dari pemberitaan kompas.com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t>
    </r>
    <r>
      <rPr>
        <rFont val="Arial"/>
        <sz val="8.0"/>
      </rPr>
      <t xml:space="preserve"> </t>
    </r>
  </si>
  <si>
    <r>
      <rPr>
        <rFont val="Arial,sans-serif"/>
        <color rgb="FF1155CC"/>
        <sz val="8.0"/>
        <u/>
      </rPr>
      <t>https://www.instagram.com/reels/DSWHUNEAYsa/</t>
    </r>
  </si>
  <si>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turnbackhoax.id, konten yang beredar merupakan hasil suntingan dari pemberitaan kompas.com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t>
    </r>
    <r>
      <rPr>
        <rFont val="Arial"/>
        <sz val="8.0"/>
      </rPr>
      <t xml:space="preserve"> </t>
    </r>
  </si>
  <si>
    <r>
      <rPr>
        <rFont val="Arial,sans-serif"/>
        <color rgb="FF1155CC"/>
        <sz val="8.0"/>
        <u/>
      </rPr>
      <t>https://www.instagram.com/p/DSWPZQzjpc0/</t>
    </r>
  </si>
  <si>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turnbackhoax.id, konten yang beredar merupakan hasil suntingan dari pemberitaan kompas.com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t>
    </r>
    <r>
      <rPr>
        <rFont val="Arial"/>
        <sz val="8.0"/>
      </rPr>
      <t xml:space="preserve"> </t>
    </r>
  </si>
  <si>
    <r>
      <rPr>
        <rFont val="Arial,sans-serif"/>
        <color rgb="FF1155CC"/>
        <sz val="8.0"/>
        <u/>
      </rPr>
      <t>https://www.instagram.com/reels/DSVpLfFE_uS/</t>
    </r>
  </si>
  <si>
    <r>
      <rPr>
        <rFont val="Arial"/>
        <sz val="8.0"/>
      </rPr>
      <t xml:space="preserve">Beredar sebuah unggahan di media sosial Facebook tangkapan layar artikel  yang mengeklaim Luhut Binsar Panjaitan mengatakan biarkan Cina mengelola Bandara Morowali dan jika dicegah, dirinya akan keluar dari negara.
Faktanya klaim tersebut adalah tidak benar. Dilansir dari turnbackhoax.id, konten yang beredar merupakan hasil suntingan dari pemberitaan kompas.com berjudul “China Dianggap jadi Mitra Terpenting Indonesia, Luhut: Kami Ingin Memastikan Hubungan Baik Terus Saling Percaya..” yang tayang Sabtu, 6 Juli 2024. Luhut mengatakan, Cina adalah salah satu mitra komprehensif strategis terpenting Indonesia dalam hal perdagangan dan investasi.
Link Counter:
</t>
    </r>
    <r>
      <rPr>
        <rFont val="Arial"/>
        <color rgb="FF1155CC"/>
        <sz val="8.0"/>
        <u/>
      </rPr>
      <t>https://turnbackhoax.id/articles/30969</t>
    </r>
    <r>
      <rPr>
        <rFont val="Arial"/>
        <sz val="8.0"/>
      </rPr>
      <t xml:space="preserve"> 
</t>
    </r>
    <r>
      <rPr>
        <rFont val="Arial"/>
        <color rgb="FF1155CC"/>
        <sz val="8.0"/>
        <u/>
      </rPr>
      <t>https://money.kompas.com/read/2024/07/06/193000726/china-dianggap-jadi-mitra-terpenting-indonesia-luhut--kami-ingin-memast</t>
    </r>
    <r>
      <rPr>
        <rFont val="Arial"/>
        <sz val="8.0"/>
      </rPr>
      <t xml:space="preserve"> </t>
    </r>
  </si>
  <si>
    <t>27 Januari 2026</t>
  </si>
  <si>
    <t>https://www.facebook.com/share/r/1GSabPQJ1L/</t>
  </si>
  <si>
    <t>Ditemukan konten pada media sosial Facebook yang diduga memuat unsur separatisme berupa tuntutan aceh terhadap pemisahan dengan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</si>
  <si>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</si>
  <si>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r>
      <rPr>
        <rFont val="Arial,sans-serif"/>
        <color rgb="FF1155CC"/>
        <sz val="8.0"/>
        <u/>
      </rPr>
      <t>https://vt.tiktok.com/ZSa5TkvR3/</t>
    </r>
  </si>
  <si>
    <t>Ditemukan konten pada media sosial Tiktok yang diduga memuat unsur ujaran kebencian. Konten tersebut menarasikan bahwa program transmigrasi merupakan langkah penjajahan yang dilakukan suku jawa di pulau lain. Konten tersebut juga menarasikan bahwa suku jawa melakukan tindakan ekspansi yang menyebabkan suku lain menjadi minoritas.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</si>
  <si>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https://vt.tiktok.com/ZSa5EvtbX</t>
    </r>
  </si>
  <si>
    <r>
      <t xml:space="preserve">Ditemukan konten pada media sosial Tiktok yang diduga memuat unsur disinformasi berjenis misleading content. Konten tersebut berisi informasi bahwa presiden AS meminta kepada presiden indonesia agar 1 juta penduduk israel direlokasi ke papua. Informasi tersebut telah dikonfirmasi kebenarannya oleh tempo pada tautan berikut: ( </t>
    </r>
    <r>
      <rPr>
        <rFont val="Arial,sans-serif"/>
        <color rgb="FF1155CC"/>
        <sz val="8.0"/>
        <u/>
      </rPr>
      <t>https://beta.turnbackhoax.id/articles/31971-salah-trump-mau-pindahkan-jutaan-warga-israel-ke-papua</t>
    </r>
    <r>
      <rPr>
        <rFont val="Arial"/>
        <sz val="8.0"/>
      </rPr>
      <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</si>
  <si>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r>
      <rPr>
        <rFont val="Arial,sans-serif"/>
        <color rgb="FF1155CC"/>
        <sz val="8.0"/>
        <u/>
      </rPr>
      <t>https://vt.tiktok.com/ZSa5oSb4B/</t>
    </r>
  </si>
  <si>
    <t>Ditemukan konten pada media sosial Tiktok yang diduga memuat unsur provokatif dan gerakan separatisme dengan narasi bahwa Indonesia melakukan genosida terhadap rakyat aceh dan melanggar perjanjian gencatan senjata. Konten tersebut juga menarasikan bahwa aceh siap untuk melakukan perang (dengan atau tanpa senjata berat).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</si>
  <si>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https://www.facebook.com/share/p/1ATNPsm4pZ/</t>
  </si>
  <si>
    <t>Separatisme dan Disinformasi</t>
  </si>
  <si>
    <t>Ditemukan konten pada media sosial Facebook yang diduga memuat unsur Separatisme dan Disinformasi berupa false context. Konten tersebut menarasikan bahwa gubernur aceh akan mengambil kewenangan khusus dalam MoU Helsinki apabila pemerintah pusat tidak sanggup memulihkan keadaan. Tim telah melakukan penelusuran lebih lanjut dan tidak ditemukan pernyataan gubernur aceh dalam waktu dekat yang menyatakan bahwa akan mengambil langkah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</si>
  <si>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https://www.facebook.com/share/r/1BmVsL53Ms/</t>
    </r>
  </si>
  <si>
    <t>Ditemukan konten pada media sosial Facebook yang diduga memuat unsur ujaran kebencian dan gerakan mengarah ke separatisme dengan narasi bahwa suku jawa mendukung aceh untuk merdeka karena malu terhadap pejabat Indonesia. Konten tersebut juga menarasikan kebencian terhadap pejabat dengan menggunakan kata “rakus” dan “merampas hak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</si>
  <si>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https://vt.tiktok.com/ZSa5nGjLa</t>
    </r>
  </si>
  <si>
    <t>Ditemukan konten pada media sosial Tiktok yang diduga memuat unsur disinformasi berupa misleading content. Konten tersebut menarasikan bahwa presiden prabowo melakukan penjualan laut dan hutan aceh-sumatera ketika pelaksanaan kunjungan ke Inggris. Setelah penelusuran oleh tim, dikonfirmasikan bahwa tidak ada perjanjian prabowo dengan pemerintah inggris perihal penjualan laut dan hutan.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</si>
  <si>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https://www.facebook.com/reel/1603815794374722</t>
    </r>
  </si>
  <si>
    <t>Ditemukan konten pada media sosial Facebook yang diduga memuat unsur disinformasi berupa misleading content. Konten tersebut menarasikan bahwa presiden prabowo melakukan penjualan laut dan hutan aceh-sumatera ketika pelaksanaan kunjungan ke Inggris. Setelah penelusuran oleh tim, dikonfirmasikan bahwa tidak ada perjanjian prabowo dengan pemerintah inggris perihal penjualan laut dan hutan.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</si>
  <si>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https://www.tiktok.com/@internetmasyrakat</t>
    </r>
  </si>
  <si>
    <t>Ditemukan konten pada media sosial Tiktok yang diduga memuat unsur disinformasi dengan jenis scam. postingan dari akun Tiktok bernama "Internet masyarakat" diduga merupakan modus penipuan dengan mengirimkan link pengecekan internet gratis dengan memberikan nomor HP dan nama yang kemudian diarahkan untuk mengirimkan OTP telegram yang diduga berfungsi untuk proses pengambil alihan akun.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</si>
  <si>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https://x.com/RebutKedaulat4n/status/2016023651146211510</t>
    </r>
  </si>
  <si>
    <t>Ditemukan konten pada media sosial Twitter yang diduga memuat unsur provokatif untuk melakukan tindakan anarkis dengan narasi Makzulkan wakil presiden Gibran Rakabuming Raka yang dianggap tidak berguna karena tidak dapat memberikan solusi terhadap masalah yang dialami oleh rakyat, salah satunya yaitu pada saat bencana banjir yang melanda daerah Karawang.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</si>
  <si>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https://x.com/secr3thm4nz56/status/2015977111056720156</t>
    </r>
  </si>
  <si>
    <t>Ditemukan konten pada media sosial Twitter yang diduga memuat unsur provokatif untuk melakukan tindakan anarkis dengan narasi Makzulkan wakil presiden Gibran Rakabuming Raka karena dianggap sebagai wakil presiden yang belum siap yang disebabkan oleh proses pencalonannya diduga melanggar konstitusi.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</si>
  <si>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https://x.com/KiYang4343/status/2016084534081814974</t>
    </r>
  </si>
  <si>
    <t>Ditemukan konten pada media sosial Twitter yang diduga memuat unsur provokatif untuk melakukan tindakan anarkis dengan narasi Nepalkan Joko Widodo dan DPR dengan cara mengajak masyarakat untuk demo turun ke jalan.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</si>
  <si>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https://x.com/Pandawa5321/status/2016061571274051826</t>
    </r>
  </si>
  <si>
    <t>Ditemukan konten pada media sosial Twitter yang diduga memuat unsur provokatif untuk melakukan tindakan anarkis dengan narasi Nepalkan presiden Prabowo Subianto karena dianggap memalukan negara Indonesia pada saat terdapat kunjungan di luar negeri dan mendapatkan ejekan dengan kata-kata yang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</si>
  <si>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https://x.com/OjolNyambi/status/2015442569665413399</t>
    </r>
  </si>
  <si>
    <t>Ditemukan konten pada media sosial Twitter yang diduga memuat unsur provokatif untuk melakukan tindakan anarkis dengan narasi Makzulkan presiden Prabowo Subianto dan wakil presiden Gibran Rakabuming Raka karena dianggap mendukung penjajahan yang dilakukan Israel kepada Palestina dengan bergabung ke dalam asosiasi yang dibentuk oleh Amerika Serikat.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</si>
  <si>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https://www.facebook.com/share/p/1JtbKkZi6x/</t>
    </r>
  </si>
  <si>
    <t>Ditemukan konten pada media sosial Facebook yang diduga memuat unsur provokatif untuk melakukan tindakan anarkis dengan narasi Nepalkan dan Makzulkan wakil presiden Gibran Rakabuming Raka karena dianggap sebagai pengkhianat dan pembohong negara yang diduga disebabkan oleh ijazah yang dimilikinya merupakan ijazah 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</si>
  <si>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https://www.facebook.com/share/p/16Yv2US9yJ/</t>
    </r>
  </si>
  <si>
    <t>Ditemukan konten pada media sosial Facebook yang diduga memuat unsur provokatif untuk melakukan tindakan anarkis dengan narasi Nepalkan pejabat negara dengan mengajak masyarakat untuk perang pada tanggal 20 Februari.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</si>
  <si>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https://www.facebook.com/share/p/1Dhm5RAaHr/</t>
    </r>
  </si>
  <si>
    <t>Ditemukan konten pada media sosial Facebook yang diduga memuat unsur provokatif untuk melakukan tindakan anarkis dengan narasi Nepalkan DPR karena dianggap tidak bermanfaat untuk rakyat disebabkan oleh gaji DPR yang tergolong cukup besar sehingga menghabiskan anggaran yang ada.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</si>
  <si>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https://www.facebook.com/groups/1271958309871151/</t>
  </si>
  <si>
    <t>https://www.facebook.com/permalink.php?story_fbid=pfbid037nKEuVHQKw6D6xYnjArAsQj5xEeRg6YFGk2yFHJ3KjGZJG2U9kjnJbEaTmGDEGUJl&amp;id=61584015115982</t>
  </si>
  <si>
    <t>https://www.facebook.com/watch/?v=1238742024955446</t>
  </si>
  <si>
    <t>https://www.facebook.com/permalink.php?story_fbid=pfbid0VhrHqbTiCLQnJT8QkD6zaNyTj2rasdM35Q5w4yncQNVChKFkdqdFm7eahWyCpSfvl&amp;id=61584015115982</t>
  </si>
  <si>
    <t>https://www.facebook.com/sofhianbinumar/posts/pfbid02nzqQ3g3iumdBC21QtTsUfEinn1JC4sptWqgvRrg2Wx2fYFnKfQAxuQnoGVsoSS4Vl</t>
  </si>
  <si>
    <t>https://www.facebook.com/sofhianbinumar/posts/pfbid02arku75GhiJxfrhTpJeWmGhyzWdHUNBmYYbAGycrSR49KN9Q3bpppnTTDofUsVjTVl</t>
  </si>
  <si>
    <t>102rb folls</t>
  </si>
  <si>
    <t>https://www.instagram.com/p/DSZJyjZEtU0/</t>
  </si>
  <si>
    <t>https://x.com/g4mless/status/2016000992433815864</t>
  </si>
  <si>
    <t>https://x.com/depressedlabubu/status/2015712432069730515</t>
  </si>
  <si>
    <t>https://x.com/TheCreatorSF/status/2012711250367795679</t>
  </si>
  <si>
    <t>https://x.com/Alf90596480/status/2009154533172375774</t>
  </si>
  <si>
    <t>https://x.com/esjeruk_panas_/status/2009214483974246424</t>
  </si>
  <si>
    <t>https://x.com/infoterrupdate/status/2009930920925770043</t>
  </si>
  <si>
    <t>https://x.com/astroharis/status/2010366277660119045</t>
  </si>
  <si>
    <t>https://x.com/salehali2019/status/2015996523029655720</t>
  </si>
  <si>
    <t>https://x.com/jogjaplaza/status/2015747000633786649</t>
  </si>
  <si>
    <t>https://x.com/jogjaplaza/status/2015830849380389076</t>
  </si>
  <si>
    <t>https://www.facebook.com/groups/3722164358033551/posts/4222738754642773/</t>
  </si>
  <si>
    <t>https://www.facebook.com/groups/1259455747553622/?multi_permalinks=3382188468613662&amp;hoisted_section_header_type=recently_seen</t>
  </si>
  <si>
    <t>https://x.com/secr3thm4nz56/status/2015977111056720156</t>
  </si>
  <si>
    <t>https://x.com/SianiparRismon/status/2014218243649765596</t>
  </si>
  <si>
    <t>41,9rb folls</t>
  </si>
  <si>
    <t>https://x.com/SianiparRismon/status/2013828010710065619</t>
  </si>
  <si>
    <t>https://www.facebook.com/groups/516567062999394/posts/1385987912723967/</t>
  </si>
  <si>
    <t>https://www.facebook.com/groups/516567062999394/posts/1385084332814325</t>
  </si>
  <si>
    <t>https://www.facebook.com/sofhianbinumar/posts/pfbid0v2QfaVFtrmR8pm812TLw3ihLmWyWKnVKb5xzNNZrCVgjXnW1MF5s5GH1roGeRvCrl</t>
  </si>
  <si>
    <t>https://www.facebook.com/photo/?fbid=871243098852546&amp;set=g.2479676585560598</t>
  </si>
  <si>
    <t>https://www.facebook.com/photo/?fbid=122246600678255117&amp;set=g.2479676585560598</t>
  </si>
  <si>
    <t>https://www.facebook.com/photo/?fbid=871187502191439&amp;set=g.2479676585560598</t>
  </si>
  <si>
    <t>https://www.facebook.com/photo/?fbid=1239275774806248&amp;set=g.2479676585560598</t>
  </si>
  <si>
    <t>https://www.facebook.com/photo/?fbid=1648586696102992&amp;set=g.2479676585560598</t>
  </si>
  <si>
    <t>https://www.facebook.com/photo/?fbid=918643857513475&amp;set=g.2479676585560598</t>
  </si>
  <si>
    <t>https://www.facebook.com/photo/?fbid=870705435572979&amp;set=g.2479676585560598</t>
  </si>
  <si>
    <t>https://www.facebook.com/photo/?fbid=1238630351537457&amp;set=g.2479676585560598</t>
  </si>
  <si>
    <t>https://www.facebook.com/photo/?fbid=122288298002019985&amp;set=g.2479676585560598</t>
  </si>
  <si>
    <t>https://www.facebook.com/photo/?fbid=25539694262378135&amp;set=g.2479676585560598</t>
  </si>
  <si>
    <t>https://www.facebook.com/permalink.php?story_fbid=pfbid02ZjtPigxaG3Tout3zFb6tFEd361JHjVhaYMzsXgpN8YvCJxYkV87BsH2GXst3pDKSl&amp;id=61581427726113</t>
  </si>
  <si>
    <t>https://www.facebook.com/permalink.php?story_fbid=pfbid0FShAUb6gj17zhnUfLZLTmw42GZfjuxVUPoE6XzyJSVJhgAoTf5dEduWwQWaDXPeZl&amp;id=61581427726113</t>
  </si>
  <si>
    <t>https://www.facebook.com/reel/25958118290480196</t>
  </si>
  <si>
    <t>https://www.facebook.com/permalink.php?story_fbid=pfbid0bin3LMUkBE4nox444rN9xZNxLyaWzv21hxhF1Yj7tMzVNBui2aUGWQY1wZEgQxXjl&amp;id=61581427726113</t>
  </si>
  <si>
    <t>https://www.facebook.com/permalink.php?story_fbid=pfbid0JsnPL3yq9RbjdsTu3P6pqGeD52EMhqXwassJAJeNJJBvZZ8pKTckM8JaCsehzdLql&amp;id=61581427726113</t>
  </si>
  <si>
    <t>https://x.com/trihhh14/status/2016057338923515977</t>
  </si>
  <si>
    <t>https://x.com/yustweet19des22/status/2016055103745368348</t>
  </si>
  <si>
    <t>https://www.facebook.com/groups/3722164358033551/posts/4222655491317766/</t>
  </si>
  <si>
    <t>https://www.facebook.com/groups/3722164358033551/posts/4222632811320034/</t>
  </si>
  <si>
    <t>https://www.tiktok.com/@dualisnasution0/video/7588633989078945045?q=rapat%20dprd%20vasektomi%20sebagai%20syarat%20terima%20bansos&amp;t=1769471104876</t>
  </si>
  <si>
    <t xml:space="preserve">Beredar sebuah unggahan video di media sosial Facebook yang mengeklaim adanya rapat anggota DPRD Jawa Barat yang membahas tentang vasektomi sebagai syarat untuk mendapatkan bantuan sosial (bansos).
Faktanya, klaim tersebut adalah tidak benar. Dilansir dari turnbackhoax.id, tidak ditemukan informasi dari sumber kredibel yang membenarkan klaim. Selain itu, hasil analisis menggunakan alat pendeteksi AI Hive Moderation menunjukkan bahwa video tersebut merupakan hasil rekayasa kecerdasan buatan dengan probabilitas mencapai 99.9 persen.
Link Counter :
https://turnbackhoax.id/articles/31394 </t>
  </si>
  <si>
    <r>
      <rPr>
        <rFont val="Times New Roman"/>
        <color rgb="FF000000"/>
        <sz val="8.0"/>
        <u/>
      </rPr>
      <t>https://www.facebook.com/story.php?story_fbid=846132351679403&amp;id=100088479375062&amp;rdid=r2hWqjWpBkbVHiBG&amp;_rdc=1&amp;_rdr#</t>
    </r>
    <r>
      <rPr>
        <rFont val="Times New Roman"/>
        <sz val="8.0"/>
      </rPr>
      <t xml:space="preserve"> </t>
    </r>
  </si>
  <si>
    <t xml:space="preserve">Beredar unggahan foto yang menampilkan mantan Presiden ke-6 RI Susilo Bambang Yudhoyono (SBY) yang diklaim mengatakan bahwa anaknya yang juga Ketua Umum Partai Demokrat Agus Harimurti Yudhoyono (AHY) akan menang di Pemilihan Umum (Pemilu) 2029 jika Wakil Presiden Gibran Rakabuming Raka tidak berbuat curang.
Faktanya, klaim tersebut tidak benar. Dilansir dari kompas.com, setelah dilakukan penelusuran menggunakan mesin pencari Google dengan memasukan kata kata kunci "SBY Sebut AHY Menang Pemilu 2029 jika Gibran Tidak Curang", hasilnya tidak ditemukan informasi valid yang membenarkan bahwa SBY menyebut AHY akan menang di Pemilu 2029 jika Wakil Presiden Gibran tidak berbuat curang. Selanjutnya, pencarian menggunakan Google Lens dengan memasukan foto SBY yang sedang berpidato, hasilnya mengarah ke kanal YouTube milik Merdekadotcom berjudul "Kekhawatiran SBY Lihat Perang Di mana-mana: Dunia Kita Makin Rumit". Konteks video itu adalah saat SBY sedang memberikan sambutan pada acara yang diadakan oleh The Yudhoyono Institute pada 12 Mei 2025 dan tidak ada tidak ada pernyataan dari SBY yang menyebut AHY akan memenangkan Pemilu 2029.
Link Counter : 
https://www.kompas.com/cekfakta/read/2026/01/24/175400382/-hoaks-sby-sebut-ahy-menang-pemilu-2029-jika-gibran-tidak-curang
https://www.youtube.com/watch?v=Rwql2Tqqf1Y </t>
  </si>
  <si>
    <t>https://www.facebook.com/permalink.php?story_fbid=pfbid02vRzh46pebTDu7UBQqEzGACa8Q6y3hHVbfqWbY1nFxgSTB89F4ZpoudvtPYUB6BNTl&amp;id=100087359721018&amp;rdid=dzDuM2QXEPH843Bq#</t>
  </si>
  <si>
    <t>26 Januari 2026</t>
  </si>
  <si>
    <t>https://x.com/pasifisstate/status/2015022278887825576?t=DyAdMtHkqIEaJhWmsu221g&amp;s=35</t>
  </si>
  <si>
    <t>Konten tersebut memuat gambar Presiden Prabowo yang bersujud di hadapat Donald Trump dengan kalimat provokatif "tiada tuhan selain presiden paman sam"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</si>
  <si>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https://vt.tiktok.com/ZSaPNQmxX/</t>
  </si>
  <si>
    <t>Konten tersebut menggunakan kata kata provokatif untuk memakzulkan Gibran dengan menyebut Gibran sebagai sebagai pelanggar konstitusi dan bahkan pecandu narkoba.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</si>
  <si>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https://www.facebook.com/reel/905101558526128</t>
  </si>
  <si>
    <t>Konten tersebut menyebut Gibran sebagai Wakil Presiden yang planga plongo sebanyak apapun para pendukungnya berusaha membuat citra baik tentangnya.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</si>
  <si>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https://www.instagram.com/reels/DT98CnGk2zp/</t>
  </si>
  <si>
    <t>Konten tersebut menyatakan Gibran sebagai Wakil Presiden paling dungu sepanjang sejarah indonesia dan menyebutnya hanya lulusan SD.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</si>
  <si>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https://www.instagram.com/reel/DT-FGPtksR1/?igsh=OGpmaHZtcXZjdG04</t>
  </si>
  <si>
    <t>Konten tersebut secara tidak langsung membuat narasi yang menggiring opini supaya menganggap Presiden Prabowo sebagai orang yang anti kritik dan menyatakan tidak suka dengan antek asing namun dirinya sendiri ikut propaganda negara asing.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</si>
  <si>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Perlu verifikasi lebih lanjut</t>
  </si>
  <si>
    <t>https://x.com/DidyCare/status/201577161914752643</t>
  </si>
  <si>
    <t>Konten tersebut mengandung unsur provokatif aksi anarkis dan disertai dengan kata-kata kasar serta ujaran kebencian dengan narasi “Nepalkan” terhadap Joko Widodo. Konten ini menyinggung polemik ijazah Joko Widodo dan mempertanyakan kredibilitas UGM.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</si>
  <si>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https://x.com/thiagodhewi/status/2015759702328795193</t>
  </si>
  <si>
    <t>Konten tersebut mengandung unsur provokatif akan aksi anarkis dengan narasi “Nepalkan” terhadap Bapak Prabowo Subianto.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</si>
  <si>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https://x.com/APraja85/status/2015742548460073061</t>
  </si>
  <si>
    <t>Konten tersebut mengandung unsur provokatif, SARA, dan Separatisme Gerakan Aceh Merdeka dengan narasi kasar “Hukum di Indonesia udah kayak kontol..sudah benar Aceh dan Papua minta merdeka,karena JAWA SUKA SEENAK UDEL BUAT ATURAN”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</si>
  <si>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https://x.com/Fauzi56100765/status/2015316561012347340</t>
  </si>
  <si>
    <t>Konten tersebut mengandung unsur provokatif gerakan separatisme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</si>
  <si>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https://www.facebook.com/share/r/1GG4QYdd4n/</t>
  </si>
  <si>
    <t>Ditemukan sebuah konten disinformasi berupa fabricated content dengan unsur provokatif gerakan separatisme “Gerakan Aceh Merdeka” yang menampilkan video hasil rekayasa AI barisan tentara yang mengibarkan bendera GAM.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</si>
  <si>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https://www.facebook.com/share/p/1FeRnLABY3/</t>
  </si>
  <si>
    <t>Konten tersebut mengandung unsur provokatif gerakan separatisme “Gerakan Aceh Merdeka” yang dikaitkan perubahan batas RI-Malaysia di Nunukan.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</si>
  <si>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https://www.tiktok.com/@xray.aceh02/video/7599361105386802452</t>
  </si>
  <si>
    <t>Konten tersebut mengandung unsur provokatif gerakan separatisme “Gerakan Aceh Merdeka” yang menampilkan bendera GAM yang berkibar.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</si>
  <si>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https://www.tiktok.com/@acehmardeka90/video/7599341842840259858</t>
  </si>
  <si>
    <t>Konten tersebut mengandung unsur provokatif gerakan separatisme dengan narasi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</si>
  <si>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https://www.tiktok.com/@tutiarahmi140/video/7599420681050131719</t>
  </si>
  <si>
    <t>Konten tersebut mengandung unsur provokatif gerakan separatisme dengan narasi “IMPIAN TERTINGGI SAYA ADALAH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</si>
  <si>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https://x.com/PimpinanPusat/status/2014931113316360376</t>
  </si>
  <si>
    <t>https://x.com/Offcial_Har/status/2014942821808275764</t>
  </si>
  <si>
    <t>https://x.com/YGundero35921/status/2014946110293610811</t>
  </si>
  <si>
    <t>https://x.com/NHenryp29864/status/2014927935908807138</t>
  </si>
  <si>
    <t>https://x.com/jagabanyu169/status/2014945510822707445</t>
  </si>
  <si>
    <t>https://www.facebook.com/permalink.php?story_fbid=pfbid0Q8oiddgAQCefZDeuKMkBJhMzNQt4uubERyAP7vKNCPshkPoFRPA8c9YVPha8m2Arl&amp;id=100057102564272</t>
  </si>
  <si>
    <t>https://www.facebook.com/anjani.deeandra.9/posts/pfbid02e9DhHHtYx3eFZ3cvDDWQGGFTHLBg3N8qxJHs1D7dMFjfUM4iqDDhZQUni4DNHmrel</t>
  </si>
  <si>
    <t>https://www.facebook.com/dioohs/posts/pfbid075agd6vh51LvcTvEf1k8dyUU15yfXhdRVnGVJtNFAMEjMJXqwoAhRGVbxHWt3RANl</t>
  </si>
  <si>
    <t>https://www.facebook.com/reel/3731813663784345</t>
  </si>
  <si>
    <t>https://x.com/SianiparRismon/status/2014571299759390891</t>
  </si>
  <si>
    <t>https://x.com/PngAdilnR4kyt/status/2014268091786776849</t>
  </si>
  <si>
    <t>https://www.facebook.com/zuchal.jigenryu/posts/pfbid02wNVVwhiPXpEyezMNoHTJLV3SYvSv1Tfq8Www12vaMTYrQFN9FUHUShMBLeeHc82Ll?locale=id_ID</t>
  </si>
  <si>
    <t>https://www.facebook.com/Mas212Mas/posts/pfbid02hz7mawJZkboHLFnVnZJc9SXFED2MvRcxTiSfFdD9Y1cBLhdWw3Y7oavtYK616HDil?locale=id_ID</t>
  </si>
  <si>
    <t>https://www.facebook.com/permalink.php?story_fbid=pfbid02xgcRkxmJc8dx19qopTFnhPr4bLVCQ7HA1yU7gvm1jeS1UVqL2TutNr5Voopz6Jg5l&amp;id=61581381061033&amp;locale=id_ID</t>
  </si>
  <si>
    <t>https://x.com/witchywut/status/2015661963729367337</t>
  </si>
  <si>
    <t>https://x.com/XChenL253/status/2015619968789070082</t>
  </si>
  <si>
    <t>https://x.com/tianlexfor/status/2015475684802744518</t>
  </si>
  <si>
    <t>https://x.com/boss38491/status/2015534931901059259</t>
  </si>
  <si>
    <t>https://x.com/boss38491/status/2015536088492949640</t>
  </si>
  <si>
    <t>https://x.com/Yossyuwono48/status/2015453239635001704</t>
  </si>
  <si>
    <t>https://x.com/Vpal28097/status/2015367300158050428</t>
  </si>
  <si>
    <t>https://x.com/eubreebreeze/status/2015390777904615634</t>
  </si>
  <si>
    <t>https://x.com/Zara_0325/status/2015393944025399703</t>
  </si>
  <si>
    <t>https://x.com/rowrenes/status/2015302589274096100</t>
  </si>
  <si>
    <t>https://x.com/aeroxbahenol/status/2015312114852737050</t>
  </si>
  <si>
    <t>https://x.com/calumhojd/status/2015317910890459523</t>
  </si>
  <si>
    <t>https://x.com/saniamkoga/status/2015324920218349841</t>
  </si>
  <si>
    <t>https://x.com/cookieznrain/status/2015325807829475690</t>
  </si>
  <si>
    <t>https://x.com/dolcelattegrand/status/2015343183669195198</t>
  </si>
  <si>
    <r>
      <rPr>
        <rFont val="Arial,sans-serif"/>
        <color rgb="FF1155CC"/>
        <sz val="8.0"/>
        <u/>
      </rPr>
      <t>https://www.facebook.com/reel/1598623667933651</t>
    </r>
  </si>
  <si>
    <r>
      <rPr>
        <rFont val="Arial"/>
        <sz val="8.0"/>
      </rPr>
      <t xml:space="preserve">Beredar sebuah unggahan di media sosial Facebook yang mengeklaim bahwa Presiden Prabowo Subianto ingin menjadikan Purbaya Yudhi Sadewa sebagai presiden tahun depan.
Faktanya, klaim tersebut adalah tidak benar. Dilansir dari turnbackhoax.id, tidak ditemukan informasi kredibel yang membenarkan isu tersebut. Adapun hasil penelusuran mengarah pada pemberitaan di kanal YouTube KOMPASTV berjudul "Menkeu Purbaya Dipanggil Presiden Prabowo ke Istana, Ada Informasi yang Dicek?”. Video tersebut membahas tentang bantuan dari pemerintah untuk korban banjir di Sumatra dan Aceh. Dalam video tersebut, tidak ada pembahasan mengenai Presiden Prabowo yang ingin menjadikan Purbaya sebagai presiden seperti dalam klaim isu tersebut.
Link Counter :
</t>
    </r>
    <r>
      <rPr>
        <rFont val="Arial"/>
        <color rgb="FF1155CC"/>
        <sz val="8.0"/>
        <u/>
      </rPr>
      <t>https://turnbackhoax.id/articles/31688</t>
    </r>
    <r>
      <rPr>
        <rFont val="Arial"/>
        <sz val="8.0"/>
      </rPr>
      <t xml:space="preserve">  
</t>
    </r>
    <r>
      <rPr>
        <rFont val="Arial"/>
        <color rgb="FF1155CC"/>
        <sz val="8.0"/>
        <u/>
      </rPr>
      <t>https://www.youtube.com/watch?v=VsbKmwdFzcs</t>
    </r>
    <r>
      <rPr>
        <rFont val="Arial"/>
        <sz val="8.0"/>
      </rPr>
      <t xml:space="preserve"> </t>
    </r>
  </si>
  <si>
    <t>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t>
  </si>
  <si>
    <r>
      <rPr>
        <rFont val="Arial,sans-serif"/>
        <color rgb="FF1155CC"/>
        <sz val="8.0"/>
        <u/>
      </rPr>
      <t>https://www.facebook.com/uvbugalu.palopo/posts/pfbid0Nd7NEtd8vK2WvweayQUrmewQmtKK5tGHtTXTULtdFyQVVKvaBZfPz2uRn4u7CN7Pl?rdid=2dxOwMHi7YOzx68n#</t>
    </r>
  </si>
  <si>
    <r>
      <rPr>
        <rFont val="Arial"/>
        <sz val="8.0"/>
      </rPr>
      <t xml:space="preserve">Beredar unggahan foto di media sosial Facebook yang mengeklaim narasi bahwa terjadi aksi demonstrasi besar-besaran kepala desa (kades) yang menuntut Purbaya Yudhi Sadewa untuk mundur dari jabatannya sebagai Menteri Keuangan (Menkeu).
Faktanya, klaim tersebut adalah tidak benar. Dilansir dari tirto.id, setelah dilakukan pengecekan menggunakan mesin pencari Google dengan memasukan kata kunci "Demo Kepala Desa Menuntut Purbaya Mundur dari Menkeu", hasilnya mengarah ke pemberitaan tirto.id berjudul "2.155 Personel Dikerahkan Amankan Aksi APDESI soal Dana Desa" yang tayang pada hari Senin, 8 November 2025. Dalam pemberitaan disebutkan bahwa sekitar 2.155 personel aparat gabungan dikerahkan untuk mengamankan aksi Apdesi. Aksi tersebut diketahui merupakan bentuk penolakan terhadap Peraturan Menteri Keuangan (PMK) Nomor 81 Tahun 2025 yang ditandatangani oleh Menteri Keuangan Purbaya Yudhi Sadewa. Aturan ini dinilai oleh sebagian pemerintah desa berpotensi menghambat pencairan dana desa tahap II serta mengalihkan sebagian anggaran desa ke program-program yang berada di luar kewenangan pemerintah desa. menuntut Purbaya Yudhi Sadewa mundur dari jabatannya sebagai Menteri Keuangan.
Link Counter :
</t>
    </r>
    <r>
      <rPr>
        <rFont val="Arial"/>
        <color rgb="FF1155CC"/>
        <sz val="8.0"/>
        <u/>
      </rPr>
      <t>https://tirto.id/tidak-benar-narasi-demo-kades-minta-purbaya-mundur-dari-menkeu-hojs</t>
    </r>
    <r>
      <rPr>
        <rFont val="Arial"/>
        <sz val="8.0"/>
      </rPr>
      <t xml:space="preserve">  
</t>
    </r>
    <r>
      <rPr>
        <rFont val="Arial"/>
        <color rgb="FF1155CC"/>
        <sz val="8.0"/>
        <u/>
      </rPr>
      <t>https://tirto.id/2155-personel-dikerahkan-amankan-aksi-apdesi-soal-dana-desa-hnlK</t>
    </r>
    <r>
      <rPr>
        <rFont val="Arial"/>
        <sz val="8.0"/>
      </rPr>
      <t xml:space="preserve"> </t>
    </r>
  </si>
  <si>
    <r>
      <rPr>
        <rFont val="Arial,sans-serif"/>
        <color rgb="FF1155CC"/>
        <sz val="8.0"/>
        <u/>
      </rPr>
      <t>https://www.tiktok.com/@kokgitubang.yw/video/7595810379670883592</t>
    </r>
  </si>
  <si>
    <r>
      <rPr>
        <rFont val="Arial"/>
        <sz val="8.0"/>
      </rPr>
      <t xml:space="preserve">Beredar sebuah foto di media sosial Facebook yang mengeklaim narasi bahwa Menteri Keuangan Purbaya akan menghapus dana desa dan menggantinya dengan subsidi listrik, sembako, dan BBM.
Faktanya, klaim dalam unggahan tersebut adalah tidak benar. Dilansir dari turnbackhoax.id, setelah dilakukan pengecekan menggunakan mesin pencari Google dengan memasukan kata kunci “purbaya akan menghapus dana desa dan menggantinya dengan subsidi listrik, bbm, dan sembako”, hasilnya tidak ditemukan informasi valid dari pemberitaan kredibel atau pernyataan resmi Purbaya yang membenarkan klaim. Lebih lanjut, laman resmi milik Kementerian Keuangan kemenkeu.go.id yang berisi tentang informasi Undang-Undang APBN dan Nota Keuangan, dana desa masih dianggarkan oleh pemerintah sebagai bentuk dukungan yang dialokasikan untuk pembangunan desa tertinggal. Tidak ada pernyataan bahwa dana tersebut diganti dengan subsidi listrik, sembako, dan BBM.
Link Counter : 
</t>
    </r>
    <r>
      <rPr>
        <rFont val="Arial"/>
        <color rgb="FF1155CC"/>
        <sz val="8.0"/>
        <u/>
      </rPr>
      <t>https://turnbackhoax.id/articles/31920</t>
    </r>
    <r>
      <rPr>
        <rFont val="Arial"/>
        <sz val="8.0"/>
      </rPr>
      <t xml:space="preserve"> 
</t>
    </r>
    <r>
      <rPr>
        <rFont val="Arial"/>
        <color rgb="FF1155CC"/>
        <sz val="8.0"/>
        <u/>
      </rPr>
      <t>https://www.kemenkeu.go.id/informasi-publik/keuangan-negara/uu-apbn-dan-nota-keuangan</t>
    </r>
    <r>
      <rPr>
        <rFont val="Arial"/>
        <sz val="8.0"/>
      </rPr>
      <t xml:space="preserve">  
</t>
    </r>
  </si>
  <si>
    <r>
      <rPr>
        <rFont val="Arial,sans-serif"/>
        <color rgb="FF1155CC"/>
        <sz val="8.0"/>
        <u/>
      </rPr>
      <t>https://www.tiktok.com/@barokah.jayaplus/video/7588020901149429000</t>
    </r>
  </si>
  <si>
    <r>
      <rPr>
        <rFont val="Arial"/>
        <sz val="8.0"/>
      </rPr>
      <t xml:space="preserve">Beredar sebuah foto di media sosial Facebook yang mengeklaim narasi bahwa Menteri Keuangan Purbaya akan menghapus dana desa dan menggantinya dengan subsidi listrik, sembako, dan BBM.
Faktanya, klaim dalam unggahan tersebut adalah tidak benar. Dilansir dari turnbackhoax.id, setelah dilakukan pengecekan menggunakan mesin pencari Google dengan memasukan kata kunci “purbaya akan menghapus dana desa dan menggantinya dengan subsidi listrik, bbm, dan sembako”, hasilnya tidak ditemukan informasi valid dari pemberitaan kredibel atau pernyataan resmi Purbaya yang membenarkan klaim. Lebih lanjut, laman resmi milik Kementerian Keuangan kemenkeu.go.id yang berisi tentang informasi Undang-Undang APBN dan Nota Keuangan, dana desa masih dianggarkan oleh pemerintah sebagai bentuk dukungan yang dialokasikan untuk pembangunan desa tertinggal. Tidak ada pernyataan bahwa dana tersebut diganti dengan subsidi listrik, sembako, dan BBM.
 Link Counter : 
 </t>
    </r>
    <r>
      <rPr>
        <rFont val="Arial"/>
        <color rgb="FF1155CC"/>
        <sz val="8.0"/>
        <u/>
      </rPr>
      <t>https://turnbackhoax.id/articles/31920</t>
    </r>
    <r>
      <rPr>
        <rFont val="Arial"/>
        <sz val="8.0"/>
      </rPr>
      <t xml:space="preserve">
 </t>
    </r>
    <r>
      <rPr>
        <rFont val="Arial"/>
        <color rgb="FF1155CC"/>
        <sz val="8.0"/>
        <u/>
      </rPr>
      <t>https://www.kemenkeu.go.id/informasi-publik/keuangan-negara/uu-apbn-dan-nota-keuangan</t>
    </r>
  </si>
  <si>
    <t>25 Januari 2026</t>
  </si>
  <si>
    <t>https://vt.tiktok.com/ZSay1Qvwy/</t>
  </si>
  <si>
    <t>Konten tersebut menyebut bahwa Gibran sebagai anak haram konstitusi dan memberikan statement provokasi untuk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</si>
  <si>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https://vt.tiktok.com/ZSay1xguY/</t>
  </si>
  <si>
    <t>https://vt.tiktok.com/ZSay1XRbt/</t>
  </si>
  <si>
    <t>Konten tersebut menyebut bahwa Gibran bisa menjadi Wapres meskipun tidak pernah bersekolah dan memberikan statement provokasi untuk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</si>
  <si>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https://x.com/MurtadhoRoy/status/2015237666682581422?t=rydKRQZA0jMyrtH-tXG03Q&amp;s=35</t>
  </si>
  <si>
    <t>Konten tersebut melakukan satire yang menyebut Presiden Prabowo sebagai antek asing berbanding terbalik dengan jargonnya yang tidak menyukai antek asing.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</si>
  <si>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https://x.com/NHenryp29864/status/2014677674850189639?t=dOIhYaM-Z340c9AFooU1mQ&amp;s=35</t>
  </si>
  <si>
    <t>Konten tersebut menyebut Prabowo menjadi presiden secara De Jure karena dikendalikan oleh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</si>
  <si>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https://www.tiktok.com/@aneuk.ute.en5/video/7597857617410657557</t>
    </r>
  </si>
  <si>
    <t>Ditemukan konten disinformasi berupa fabricated content yang mengandung unsur provokatif gerakan separatisme dengan menampilkan sebuah video hasil rekayasa AI situasi rapat antar pemimpin negara Amerika, Rusia, Korea Utara, China, Iran, dan Turki dengan narasi para pemimpin tersebut sedang merundingkan kemerdekaan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</si>
  <si>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https://x.com/Nabilla_Safina/status/2014552048143106086</t>
    </r>
  </si>
  <si>
    <t>Konten tersebut mengandung unsur provokatif akan aksi anarkis dengan narasi “Nepalkan” terhadap Joko Widodo dan Gibran Rakabuming yang disertai dengan tagar #JokowiGibranPenipuRakyat.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</si>
  <si>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https://x.com/RON1N3535/status/2014508214709326238</t>
    </r>
  </si>
  <si>
    <r>
      <rPr>
        <rFont val="Arial,sans-serif"/>
        <color rgb="FF1155CC"/>
        <sz val="8.0"/>
        <u/>
      </rPr>
      <t>https://x.com/C0BRA3131/status/2014313038464364839</t>
    </r>
  </si>
  <si>
    <t>Konten tersebut mengandung unsur provokatif akan aksi anarkis dengan narasi “Nepalkan” terhadap Joko Widodo yang disertai dengan tagar #JokowiRajaJawaPalsu.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</si>
  <si>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https://x.com/C0BRA3131/status/2014290028382634127</t>
    </r>
  </si>
  <si>
    <r>
      <rPr>
        <rFont val="Arial,sans-serif"/>
        <color rgb="FF1155CC"/>
        <sz val="8.0"/>
        <u/>
      </rPr>
      <t>https://x.com/arafah247/status/2014836691526418737</t>
    </r>
  </si>
  <si>
    <t>Konten tersebut mengandung unsur provokatif aksi separatisme dengan narasi Anies Baswedan adalah Presiden Aceh dan Sumatra Barat.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</si>
  <si>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https://www.facebook.com/reel/1533079337988277  </t>
  </si>
  <si>
    <r>
      <rPr>
        <rFont val="Arial"/>
        <sz val="8.0"/>
      </rPr>
      <t xml:space="preserve">Beredar unggahan video di media sosial Facebook yang mengeklaim narasi bahwa Mahfud MD yang mengingatkan Komisi Pemberantasan Korupsi (KPK) meninjau harta yang dimiliki oleh Luhut Binsar Panjaitan yang mengalami kenaikan.
Faktanya, klaim tersebut adalah tidak benar. Dilansir dari turnbackhoax.id, setelah dilakukan pengecekan dengan Yandex Image menggunakan tangkapan layar video, hasil mengarah ke kanal YouTube milik @BeritaSatu berjudul “Mahfud MD: Papua adalah Bagian NKRI”, tayang Kamis, 3 Desember 2020. Konteks asli video adalah momen Mahfud MD sebagai Menteri Koordinator Bidang Politik dan Keamanan, menegaskan bahwa Papua tidak bisa berdiri menjadi negara sendiri karena Papua sudah final dan sah menjadi bagian dari NKRI sejak Referendum PBB 1969. Lebih lanjut, ditemukan juga pemberitaan dari inilah.com berjudul “Usut Korupsi Whoosh KCIC, KPK Berwenang Periksa Jokowi, Luhut hingga Mahfud”, tayang Selasa 28 Oktober 2025. Berita ini melaporkan bahwa ahli hukum pidana Chairul Huda menegaskan Komisi Pemberantasan Korupsi (KPK) memiliki kewenangan memanggil siapapun untuk dimintai keterangan dalam penyelidikan proyek kereta cepat Whoosh, meski pihak yang dipanggil merupakan tokoh kelas tinggi seperti Joko Widodo, Luhut, dan Mahfud MD.
Link Counter:
</t>
    </r>
    <r>
      <rPr>
        <rFont val="Arial"/>
        <color rgb="FF1155CC"/>
        <sz val="8.0"/>
        <u/>
      </rPr>
      <t>https://turnbackhoax.id/articles/31117</t>
    </r>
    <r>
      <rPr>
        <rFont val="Arial"/>
        <sz val="8.0"/>
      </rPr>
      <t xml:space="preserve">  
</t>
    </r>
    <r>
      <rPr>
        <rFont val="Arial"/>
        <color rgb="FF1155CC"/>
        <sz val="8.0"/>
        <u/>
      </rPr>
      <t>https://www.youtube.com/watch?v=zx8SZeI-8rk</t>
    </r>
    <r>
      <rPr>
        <rFont val="Arial"/>
        <sz val="8.0"/>
      </rPr>
      <t xml:space="preserve">  
</t>
    </r>
    <r>
      <rPr>
        <rFont val="Arial"/>
        <color rgb="FF1155CC"/>
        <sz val="8.0"/>
        <u/>
      </rPr>
      <t>https://www.inilah.com/usut-korupsi-whoosh-kcic-kpk-berwenang-periksa-jokowi-luhut-hingga-mahfud</t>
    </r>
    <r>
      <rPr>
        <rFont val="Arial"/>
        <sz val="8.0"/>
      </rPr>
      <t xml:space="preserve">  
</t>
    </r>
  </si>
  <si>
    <r>
      <rPr>
        <rFont val="Arial,sans-serif"/>
        <color rgb="FF1155CC"/>
        <sz val="8.0"/>
        <u/>
      </rPr>
      <t>https://www.facebook.com/onom.gems/posts/mahfud-mdsemua-wajib-di-periksakpk-harus-lebih-tegas-jangan-biarkan-satupun-mafi/802396639260517/</t>
    </r>
  </si>
  <si>
    <r>
      <rPr>
        <rFont val="Arial"/>
        <sz val="8.0"/>
      </rPr>
      <t xml:space="preserve">Beredar unggahan video di media sosial Facebook yang mengeklaim narasi bahwa Mahfud MD yang mengingatkan Komisi Pemberantasan Korupsi (KPK) meninjau harta yang dimiliki oleh Luhut Binsar Panjaitan yang mengalami kenaikan.
Faktanya, klaim tersebut adalah tidak benar. Dilansir dari turnbackhoax.id, setelah dilakukan pengecekan dengan Yandex Image menggunakan tangkapan layar video, hasil mengarah ke kanal YouTube milik @BeritaSatu berjudul “Mahfud MD: Papua adalah Bagian NKRI”, tayang Kamis, 3 Desember 2020. Konteks asli video adalah momen Mahfud MD sebagai Menteri Koordinator Bidang Politik dan Keamanan, menegaskan bahwa Papua tidak bisa berdiri menjadi negara sendiri karena Papua sudah final dan sah menjadi bagian dari NKRI sejak Referendum PBB 1969. Lebih lanjut, ditemukan juga pemberitaan dari inilah.com berjudul “Usut Korupsi Whoosh KCIC, KPK Berwenang Periksa Jokowi, Luhut hingga Mahfud”, tayang Selasa 28 Oktober 2025. Berita ini melaporkan bahwa ahli hukum pidana Chairul Huda menegaskan Komisi Pemberantasan Korupsi (KPK) memiliki kewenangan memanggil siapapun untuk dimintai keterangan dalam penyelidikan proyek kereta cepat Whoosh, meski pihak yang dipanggil merupakan tokoh kelas tinggi seperti Joko Widodo, Luhut, dan Mahfud MD.
Link Counter:
</t>
    </r>
    <r>
      <rPr>
        <rFont val="Arial"/>
        <color rgb="FF1155CC"/>
        <sz val="8.0"/>
        <u/>
      </rPr>
      <t>https://turnbackhoax.id/articles/31117</t>
    </r>
    <r>
      <rPr>
        <rFont val="Arial"/>
        <sz val="8.0"/>
      </rPr>
      <t xml:space="preserve">  
</t>
    </r>
    <r>
      <rPr>
        <rFont val="Arial"/>
        <color rgb="FF1155CC"/>
        <sz val="8.0"/>
        <u/>
      </rPr>
      <t>https://www.youtube.com/watch?v=zx8SZeI-8rk</t>
    </r>
    <r>
      <rPr>
        <rFont val="Arial"/>
        <sz val="8.0"/>
      </rPr>
      <t xml:space="preserve">  
</t>
    </r>
    <r>
      <rPr>
        <rFont val="Arial"/>
        <color rgb="FF1155CC"/>
        <sz val="8.0"/>
        <u/>
      </rPr>
      <t>https://www.inilah.com/usut-korupsi-whoosh-kcic-kpk-berwenang-periksa-jokowi-luhut-hingga-mahfud</t>
    </r>
    <r>
      <rPr>
        <rFont val="Arial"/>
        <sz val="8.0"/>
      </rPr>
      <t xml:space="preserve">  
</t>
    </r>
  </si>
  <si>
    <r>
      <rPr>
        <rFont val="Arial,sans-serif"/>
        <color rgb="FF1155CC"/>
        <sz val="8.0"/>
        <u/>
      </rPr>
      <t>https://www.tiktok.com/@kemenhan.official/video/7596507065925815572</t>
    </r>
  </si>
  <si>
    <r>
      <rPr>
        <rFont val="Arial"/>
        <sz val="8.0"/>
      </rPr>
      <t xml:space="preserve">Beredar sebuah akun TikTok yang mengatasnamakan Kementerian Pertahanan Republik Indonesia (Kemenhan RI). Akun tersebut menggunakan logo Kementerian Agama sebagai foto profilnya.
Faktanya, akun TikTok tersebut adalah tidak benar atau palsu. Dilansir dari Instagram @ropeg_kemhan, akun TikTok tersebut dipastikan bukan merupakan akun resmi Kementerian Pertahanan RI dan bukan merupakan akun resmi Biro Kepegawaian Sekretariat Jenderal Kemenhan. Akun resmi TikTok Kementerian Pertahanan RI yaitu @kemhanri. Masyarakat diimbau untuk waspada dan hanya mengikuti akun media sosial resmi yang terverifikasi dan centang biru, serta merujuk pada situs resmi melalui lynk.id/kemhanri.
Link Counter : 
</t>
    </r>
    <r>
      <rPr>
        <rFont val="Arial"/>
        <color rgb="FF1155CC"/>
        <sz val="8.0"/>
        <u/>
      </rPr>
      <t>https://www.instagram.com/p/DTryZoCk9F1/</t>
    </r>
    <r>
      <rPr>
        <rFont val="Arial"/>
        <sz val="8.0"/>
      </rPr>
      <t xml:space="preserve"> 
</t>
    </r>
  </si>
  <si>
    <t xml:space="preserve">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t>
  </si>
  <si>
    <r>
      <rPr>
        <rFont val="Arial,sans-serif"/>
        <color rgb="FF1155CC"/>
        <sz val="8.0"/>
        <u/>
      </rPr>
      <t>https://www.tiktok.com/@kemenhan.official/video/7598731983048445205</t>
    </r>
  </si>
  <si>
    <r>
      <rPr>
        <rFont val="Arial"/>
        <sz val="8.0"/>
      </rPr>
      <t xml:space="preserve">Beredar sebuah akun TikTok yang mengatasnamakan Kementerian Pertahanan Republik Indonesia (Kemenhan RI). Akun tersebut menggunakan logo Kementerian Agama sebagai foto profilnya.
Faktanya, akun TikTok tersebut adalah tidak benar atau palsu. Dilansir dari Instagram @ropeg_kemhan, akun TikTok tersebut dipastikan bukan merupakan akun resmi Kementerian Pertahanan RI dan bukan merupakan akun resmi Biro Kepegawaian Sekretariat Jenderal Kemenhan. Akun resmi TikTok Kementerian Pertahanan RI yaitu @kemhanri. Masyarakat diimbau untuk waspada dan hanya mengikuti akun media sosial resmi yang terverifikasi dan centang biru, serta merujuk pada situs resmi melalui lynk.id/kemhanri.
Link Counter : 
</t>
    </r>
    <r>
      <rPr>
        <rFont val="Arial"/>
        <color rgb="FF1155CC"/>
        <sz val="8.0"/>
        <u/>
      </rPr>
      <t>https://www.instagram.com/p/DTryZoCk9F1/</t>
    </r>
    <r>
      <rPr>
        <rFont val="Arial"/>
        <sz val="8.0"/>
      </rPr>
      <t xml:space="preserve"> </t>
    </r>
  </si>
  <si>
    <t>24 Januari 2026</t>
  </si>
  <si>
    <r>
      <rPr>
        <rFont val="Arial,sans-serif"/>
        <color rgb="FF1155CC"/>
        <sz val="8.0"/>
        <u/>
      </rPr>
      <t>https://www.facebook.com/share/r/1DNCT2ENht/</t>
    </r>
  </si>
  <si>
    <t>Ditemukan konten pada media sosial Facebook yang diduga memuat unsur provokatif untuk melakukan tindakan anarkis dengan narasi Bubarkan dan Nepalkan DPR karena dianggap mendapatkan tunjangan pensiun seumur hidup tersebut kurang pas untuk diberikan.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</si>
  <si>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https://www.facebook.com/share/p/16yukMVqA2/</t>
    </r>
  </si>
  <si>
    <t>Ditemukan konten pada media sosial Facebook yang diduga memuat unsur provokatif untuk melakukan tindakan anarkis dengan narasi Nepalkan Joko Widodo karena dianggap menyerahkan 3 desa di Nunukan kepada Malaysia sehingga disebut sebagai pengkhianat.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</si>
  <si>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https://www.facebook.com/share/p/1KyQ7zbYpo/</t>
    </r>
  </si>
  <si>
    <t>Ditemukan konten pada media sosial Facebook yang diduga memuat unsur provokatif untuk melakukan tindakan anarkis dengan narasi "Nepalkan" Joko Widodo karena dianggap menghindar untuk menunjukkan ijazahnya sehingga diduga ijazah yang dimilikinya palsu dan disebut sebagai pengkhianat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</si>
  <si>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https://www.facebook.com/share/r/182AWrXeu9/</t>
    </r>
  </si>
  <si>
    <t>Ditemukan konten pada media sosial Facebook yang diduga memuat unsur provokatif dan gerakan separatisme dengan narasi mendukung Aceh Merdeka karena dianggap telah dijajah oleh orang jawa disertai dengan video beberapa orang yang mengibarkan bendera Gerakan Aceh Merdeka. Konten ini juga berpotensi untuk memecah kedua pihak antara orang aceh dan orang jawa.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</si>
  <si>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https://www.facebook.com/share/v/1DRFQsyh6U/</t>
    </r>
  </si>
  <si>
    <t>Ditemukan konten pada media sosial Facebook yang diduga memuat unsur provokatif dan gerakan separatisme dengan narasi Aceh Merdeka dengan segera meninggalkan bangsa Indonesia karena pemerintah Indonesia dianggap sudah tidak mampu untuk mengelola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</si>
  <si>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https://www.facebook.com/share/r/1BmVsL53Ms/</t>
    </r>
  </si>
  <si>
    <t>Ditemukan konten pada media sosial Facebook yang diduga memuat unsur provokatif dan gerakan mengarah ke separatisme dengan narasi mendukung untuk Aceh Merdeka dan menuntut berpisah dari orang jawa yang dianggap sebagai penjajah disertai dengan video sekumpulan orang yang membawa bendera bulan bintang. Konten ini juga berpotensi untuk memecah kedua pihak antara orang aceh dan orang jawa.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</si>
  <si>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https://www.facebook.com/share/p/1R83ais3QY/</t>
    </r>
  </si>
  <si>
    <t>Ditemukan konten pada media sosial Facebook yang diduga memuat unsur provokatif dan gerakan separatisme dengan narasi Aceh Merdeka dengan menunjukkan hasil survey yang dilakukan kepada warga Aceh mengenai Aceh Merdeka dengan hasil sebagian besar warga memilih untuk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</si>
  <si>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https://www.tiktok.com/@freee.max83/video/7590636589672434952</t>
    </r>
  </si>
  <si>
    <t>Ditemukan konten pada media sosial Tiktok yang diduga memuat unsur provokatif dan gerakan separatisme dengan narasi mengajak Aceh Merdeka disertai dengan kertas suara untuk referendum kemerdekaan Aceh dan mengarahkan warga Aceh untuk memilih opsi yang telah disediakan.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</si>
  <si>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https://www.tiktok.com/@hermanarigo/video/7597719722079177991</t>
    </r>
  </si>
  <si>
    <t>Ditemukan konten pada media sosial Tiktok yang diduga memuat unsur provokatif dan gerakan separatisme dengan narasi Aceh sudah siap untuk Merdeka dan mengajak daerah lain untuk merdeka juga.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</si>
  <si>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https://www.facebook.com/share/r/16JY3HWzC5/</t>
  </si>
  <si>
    <t xml:space="preserve">Ditemukan konten pada media sosial Facebook yang diduga memuat unsur sparatisme bahwa Jawa merupakan penjajah di daerah aceh dan adanya narasi bahwa aceh harus merdeka atas NKRI dan penjajahan jawa.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</si>
  <si>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https://www.facebook.com/share/p/17sMuVRkpP/</t>
  </si>
  <si>
    <t xml:space="preserve">Ditemukan konten pada media sosial Facebook yang diduga memuat unsur sparatisme bahwa Jawa merupakan penjajah di daerah aceh dan adanya narasi bahwa aceh harus merdeka serta tuduhan atas pembuatan bisnis pada wakaf masjid oleh TNI.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</si>
  <si>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https://www.facebook.com/share/p/1C6maPTw4c/</t>
  </si>
  <si>
    <t xml:space="preserve">Ditemukan unggahan Facebook dengan nama yang diduga merupakan disinformasi dengan jenis misleading content. Konten tersebut melakukan upaya penipuan dengan menggunakan narasi adanya bantuan gelombang 2 dengan syarat menghubungi nomor terkait untuk bisa mendapatkan bantuan yang dimaksud.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</si>
  <si>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https://www.facebook.com/reel/1986314688889749</t>
  </si>
  <si>
    <r>
      <rPr>
        <rFont val="Arial"/>
        <sz val="8.0"/>
      </rPr>
      <t xml:space="preserve">Beredar sebuah postingan di media sosial Facebook yang mengeklaim bahwa Menteri Keuangan Purbaya Yudhi Sadewa akan menelusuri aliran dana di era Sri Mulyani saat menjabat sebagai menteri keuangan.
Faktanya, klaim tersebut adalah tidak benar. Dilansir dari turnbackhoax.id, setelah melakukan penelusuran terhadap klaim dengan mengetikkan kata kunci “Purbaya akan telusuri aliran dana di era Sri Mulyani” di mesin pencarian Google. Namun, tidak terdapat informasi kredibel yang membenarkan klaim dalam unggahan.
Link Counter:
</t>
    </r>
    <r>
      <rPr>
        <rFont val="Arial"/>
        <color rgb="FF1155CC"/>
        <sz val="8.0"/>
        <u/>
      </rPr>
      <t>https://turnbackhoax.id/articles/31893</t>
    </r>
    <r>
      <rPr>
        <rFont val="Arial"/>
        <sz val="8.0"/>
      </rPr>
      <t xml:space="preserve"> 
 </t>
    </r>
  </si>
  <si>
    <t xml:space="preserve">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t>
  </si>
  <si>
    <r>
      <rPr>
        <rFont val="Arial"/>
        <color rgb="FF1155CC"/>
        <sz val="8.0"/>
        <u/>
      </rPr>
      <t>https://www.facebook.com/reel/833269999381066</t>
    </r>
    <r>
      <rPr>
        <rFont val="Arial"/>
        <sz val="8.0"/>
      </rPr>
      <t xml:space="preserve"> </t>
    </r>
  </si>
  <si>
    <r>
      <rPr>
        <rFont val="Arial"/>
        <sz val="8.0"/>
      </rPr>
      <t xml:space="preserve">Beredar sebuah postingan di media sosial Facebook yang mengeklaim bahwa Menteri Keuangan Purbaya Yudhi Sadewa akan menelusuri aliran dana di era Sri Mulyani saat menjabat sebagai menteri keuangan.
Faktanya, klaim tersebut adalah tidak benar. Dilansir dari turnbackhoax.id, setelah melakukan penelusuran terhadap klaim dengan mengetikkan kata kunci “Purbaya akan telusuri aliran dana di era Sri Mulyani” di mesin pencarian Google. Namun, tidak terdapat informasi kredibel yang membenarkan klaim dalam unggahan.
Link Counter:
</t>
    </r>
    <r>
      <rPr>
        <rFont val="Arial"/>
        <color rgb="FF1155CC"/>
        <sz val="8.0"/>
        <u/>
      </rPr>
      <t>https://turnbackhoax.id/articles/31893</t>
    </r>
    <r>
      <rPr>
        <rFont val="Arial"/>
        <sz val="8.0"/>
      </rPr>
      <t xml:space="preserve">  
</t>
    </r>
  </si>
  <si>
    <r>
      <rPr>
        <rFont val="Arial"/>
        <color rgb="FF1155CC"/>
        <sz val="8.0"/>
        <u/>
      </rPr>
      <t>https://www.facebook.com/reel/867861599060162</t>
    </r>
    <r>
      <rPr>
        <rFont val="Arial"/>
        <sz val="8.0"/>
      </rPr>
      <t xml:space="preserve"> </t>
    </r>
  </si>
  <si>
    <r>
      <rPr>
        <rFont val="Arial"/>
        <sz val="8.0"/>
      </rPr>
      <t xml:space="preserve">Beredar sebuah unggahan di media sosial Facebook menampilkan narasi yang menyebut Ketua DPR RI Puan Maharani, dan Presiden ke-5 RI Megawati Soekarnoputri, memberikan peringatan keras kepada Menteri Keuangan Purbaya Yudhi Sadewa dengan ancaman akan dilengserkan.
Faktanya, klaim tersebut adalah tidak benar. Dilansir dari jalahoaks.jakarta.go.id, setelah dilakukan penelusuran dengan menggunakan kata kunci "Puan dan Megawati Ancam Lengserkan Menkeu Purbaya", hasilnya tidak ditemukan adanya pemberitaan terverifikasi yang mengangkat isu tersebut. Selain itu, foto dalam video yang disertakan dalam unggahan tersebut merupakan hasil penyuntingan dari sejumlah gambar berbeda yang tidak berkaitan dengan isu yang diangkat.
 Link Counter:
</t>
    </r>
    <r>
      <rPr>
        <rFont val="Arial"/>
        <color rgb="FF1155CC"/>
        <sz val="8.0"/>
        <u/>
      </rPr>
      <t>https://jalahoaks.jakarta.go.id/detail/Hoaks-Ketua-DPR-RI-Puan-dan-Megawati-Ancam-akan-Lengserkan-Menkeu-Purbaya</t>
    </r>
    <r>
      <rPr>
        <rFont val="Arial"/>
        <sz val="8.0"/>
      </rPr>
      <t xml:space="preserve"> 
</t>
    </r>
    <r>
      <rPr>
        <rFont val="Arial"/>
        <color rgb="FF1155CC"/>
        <sz val="8.0"/>
        <u/>
      </rPr>
      <t>https://www.antaranews.com/berita/5278617/hoaks-puan-dan-megawati-ancam-akan-lengserkan-purbaya</t>
    </r>
    <r>
      <rPr>
        <rFont val="Arial"/>
        <sz val="8.0"/>
      </rPr>
      <t xml:space="preserve">  
</t>
    </r>
    <r>
      <rPr>
        <rFont val="Arial"/>
        <color rgb="FF1155CC"/>
        <sz val="8.0"/>
        <u/>
      </rPr>
      <t>https://jatim.suara.com/read/2025/12/01/215213/cek-fakta-puan-maharani-dan-megawati-ancam-lengserkan-purbaya-benarkah</t>
    </r>
    <r>
      <rPr>
        <rFont val="Arial"/>
        <sz val="8.0"/>
      </rPr>
      <t xml:space="preserve"> 
</t>
    </r>
  </si>
  <si>
    <r>
      <rPr>
        <rFont val="Arial"/>
        <color rgb="FF1155CC"/>
        <sz val="8.0"/>
        <u/>
      </rPr>
      <t>https://www.facebook.com/reel/1480423073171090</t>
    </r>
    <r>
      <rPr>
        <rFont val="Arial"/>
        <sz val="8.0"/>
      </rPr>
      <t xml:space="preserve"> </t>
    </r>
  </si>
  <si>
    <r>
      <rPr>
        <rFont val="Arial"/>
        <sz val="8.0"/>
      </rPr>
      <t xml:space="preserve">Beredar unggahan video di media sosial Facebook yang mengeklaim bahwa Menteri Keuangan Purbaya akan menjebloskan Luhut karena kasus Kereta Cepat Indonesia China (KCIC) yang mangkrak.
Faktanya, klaim tersebut adalah tidak benar. Dilansir dari turnbackhoax.id, setelah dilakukan penelusuran menggunakan Google Pencarian dengan memasukan kata kunci “Menkeu Purbaya jebloskan Luhut ke penjara”, hasilnya mengarah ke pemberitaan dari cnbcindonesia.com berjudul “Diam-Diaman Sama Luhut di Rapat Kabinet, Purbaya: Hubungan Kami Baik”, tayang Selasa, 21 Oktober 2025. Dalam berita ini, melaporkan bahwa Menkeu Purbaya merespons pertanyaan tentang mengapa dirinya dan Luhut Binsar Pandjaitan tidak saling menyapa sesaat sebelum Rapat Paripurna Kabinet pada Senin, 20 Oktober 2025. Purbaya menuturkan bahwa hubungannya dengan Luhut baik-baik saja dan tidak ada masalah apa pun. Lebih lanjut, sepanjang penelusuran, tidak ditemukan informasi dari sumber kredibel yang membenarkan klaim dari kabar yang beredar.
Link Counter:
</t>
    </r>
    <r>
      <rPr>
        <rFont val="Arial"/>
        <color rgb="FF1155CC"/>
        <sz val="8.0"/>
        <u/>
      </rPr>
      <t>https://turnbackhoax.id/articles/30085--salah-menkeu-purbaya-jebloskan-luhut-ke-penjara</t>
    </r>
    <r>
      <rPr>
        <rFont val="Arial"/>
        <sz val="8.0"/>
      </rPr>
      <t xml:space="preserve">  
</t>
    </r>
    <r>
      <rPr>
        <rFont val="Arial"/>
        <color rgb="FF1155CC"/>
        <sz val="8.0"/>
        <u/>
      </rPr>
      <t>https://www.cnbcindonesia.com/news/20251021092937-4-677773/diam-diaman-sama-luhut-di-rapat-kabinet-purbaya-hubungan-kami-baik</t>
    </r>
    <r>
      <rPr>
        <rFont val="Arial"/>
        <sz val="8.0"/>
      </rPr>
      <t xml:space="preserve"> 
</t>
    </r>
  </si>
  <si>
    <r>
      <rPr>
        <rFont val="Arial,sans-serif"/>
        <color rgb="FF1155CC"/>
        <sz val="8.0"/>
        <u/>
      </rPr>
      <t>https://www.tiktok.com/@prabowo.gibran80/video/7452983999871388934</t>
    </r>
  </si>
  <si>
    <r>
      <rPr>
        <rFont val="Arial"/>
        <sz val="8.0"/>
      </rPr>
      <t xml:space="preserve">Beredar unggahan video di media sosial Facebook yang mengeklaim bahwa Presiden Prabowo Subianto memberikan dana bantuan untuk melunasi utang dan membangun rumah.
Faktanya, klaim tersebut adalah tidak benar. Dilansir dari kompas.com, setelah dilakukan penelusuran menggunakan Google Lens juga menemukan bahwa unggahan yang beredar menggunakan foto Presiden Prabowo di Instagram @kemensetneg.ri. Konteks foto itu adalah momen ketika Presiden Prabowo meresmikan pabrik Petrokimia senilai 3,9 miliar dollar AS di Kota Cilegon, Provinsi Jawa Barat pada 6 November 2025. Selain itu, suara Provinsi Prabowo yang menjanjikan bantuan dicek menggunakan Hive Moderation, hasilnya suara tersebut terdeteksi dihasilkan oleh AI dengan probabilitas 93 persen. Lebih lanjut, dari laporan media sosial Instagram milik Presiden Prabowo @prabowo, tidak ditemukan informasi bahwa ia memberikan dana bantuan untuk melunasi utang dan pembangunan rumah.
 Link Counter:
</t>
    </r>
    <r>
      <rPr>
        <rFont val="Arial"/>
        <color rgb="FF1155CC"/>
        <sz val="8.0"/>
        <u/>
      </rPr>
      <t>https://www.kompas.com/cekfakta/read/2026/01/22/111100782/-hoaks-prabowo-beri-dana-bantuan-untuk-lunasi-utang-dan-bangun-rumah</t>
    </r>
    <r>
      <rPr>
        <rFont val="Arial"/>
        <sz val="8.0"/>
      </rPr>
      <t xml:space="preserve"> 
</t>
    </r>
    <r>
      <rPr>
        <rFont val="Arial"/>
        <color rgb="FF1155CC"/>
        <sz val="8.0"/>
        <u/>
      </rPr>
      <t>https://www.instagram.com/p/DQtxUtAkgBE/?img_index=5&amp;igsh=aWkxMzV1bmJuY2d6</t>
    </r>
    <r>
      <rPr>
        <rFont val="Arial"/>
        <sz val="8.0"/>
      </rPr>
      <t xml:space="preserve">  
</t>
    </r>
    <r>
      <rPr>
        <rFont val="Arial"/>
        <color rgb="FF1155CC"/>
        <sz val="8.0"/>
        <u/>
      </rPr>
      <t>https://www.instagram.com/prabowo/?hl=en</t>
    </r>
    <r>
      <rPr>
        <rFont val="Arial"/>
        <sz val="8.0"/>
      </rPr>
      <t xml:space="preserve">  
</t>
    </r>
  </si>
  <si>
    <t xml:space="preserve">https://www.tiktok.com/@prabowo._subianto08/video/7427910142663888133 </t>
  </si>
  <si>
    <r>
      <rPr>
        <rFont val="Arial"/>
        <sz val="8.0"/>
      </rPr>
      <t xml:space="preserve">Beredar unggahan video di media sosial Facebook yang mengeklaim bahwa Presiden Prabowo Subianto memberikan dana bantuan untuk melunasi utang dan membangun rumah.
Faktanya, klaim tersebut adalah tidak benar. Dilansir dari kompas.com, setelah dilakukan penelusuran menggunakan Google Lens juga menemukan bahwa unggahan yang beredar menggunakan foto Presiden Prabowo di Instagram @kemensetneg.ri. Konteks foto itu adalah momen ketika Presiden Prabowo meresmikan pabrik Petrokimia senilai 3,9 miliar dollar AS di Kota Cilegon, Provinsi Jawa Barat pada 6 November 2025. Selain itu, suara Provinsi Prabowo yang menjanjikan bantuan dicek menggunakan Hive Moderation, hasilnya suara tersebut terdeteksi dihasilkan oleh AI dengan probabilitas 93 persen. Lebih lanjut, dari laporan media sosial Instagram milik Presiden Prabowo @prabowo, tidak ditemukan informasi bahwa ia memberikan dana bantuan untuk melunasi utang dan pembangunan rumah.
 Link Counter:
</t>
    </r>
    <r>
      <rPr>
        <rFont val="Arial"/>
        <color rgb="FF1155CC"/>
        <sz val="8.0"/>
        <u/>
      </rPr>
      <t>https://www.kompas.com/cekfakta/read/2026/01/22/111100782/-hoaks-prabowo-beri-dana-bantuan-untuk-lunasi-utang-dan-bangun-rumah</t>
    </r>
    <r>
      <rPr>
        <rFont val="Arial"/>
        <sz val="8.0"/>
      </rPr>
      <t xml:space="preserve">  
</t>
    </r>
    <r>
      <rPr>
        <rFont val="Arial"/>
        <color rgb="FF1155CC"/>
        <sz val="8.0"/>
        <u/>
      </rPr>
      <t>https://www.instagram.com/p/DQtxUtAkgBE/?img_index=5&amp;igsh=aWkxMzV1bmJuY2d6</t>
    </r>
    <r>
      <rPr>
        <rFont val="Arial"/>
        <sz val="8.0"/>
      </rPr>
      <t xml:space="preserve"> 
</t>
    </r>
    <r>
      <rPr>
        <rFont val="Arial"/>
        <color rgb="FF1155CC"/>
        <sz val="8.0"/>
        <u/>
      </rPr>
      <t>https://www.instagram.com/prabowo/?hl=en</t>
    </r>
    <r>
      <rPr>
        <rFont val="Arial"/>
        <sz val="8.0"/>
      </rPr>
      <t xml:space="preserve">  </t>
    </r>
  </si>
  <si>
    <t>23 Januari 2026</t>
  </si>
  <si>
    <t xml:space="preserve">https://www.facebook.com/share/p/14MnGRRHSGK/
</t>
  </si>
  <si>
    <t>Ditemukan konten pada media sosial Facebook yang diduga memuat unsur provokatif untuk melakukan tindakan anarkis dengan narasi "Nepalkan" Joko Widodo karena dianggap sebagai agen penjajah dari negara China untuk menguasai Indonesia dan sumber daya yang dimiliki dan diduga menggunakan dana haji untuk memenangkan pemilihan wakil presiden Gibran Rakabuming Raka.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</si>
  <si>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https://www.facebook.com/share/p/17qLtHQvfW/</t>
    </r>
  </si>
  <si>
    <t>Ditemukan konten pada media sosial Facebook yang diduga memuat unsur provokatif untuk melakukan tindakan anarkis dengan narasi Makzulkan wakil presiden Gibran Rakabuming Raka dan Nepalkan Joko Widodo karena dianggap telah menggunakan ijazah palsu tetapi selalu dilindungi oleh hukum dan selalu menghindari forum pengadilan yang diadakan.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</si>
  <si>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https://www.facebook.com/share/v/1G3fCsyvEX/</t>
  </si>
  <si>
    <t>Ditemukan konten pada media sosial Facebook yang diduga memuat unsur provokatif untuk melakukan tindakan anarkis dengan narasi "Nepalkan" Pejabat Mahkamah Agung Zarof Ricar karena dianggap telah melakukan tindak pidana pencucian uang tetapi tidak diproses secara transparan.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</si>
  <si>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https://www.facebook.com/share/v/181btfNWDg/</t>
    </r>
  </si>
  <si>
    <t>Ditemukan konten pada media sosial Facebook yang diduga memuat unsur provokatif untuk melakukan tindakan anarkis dengan narasi untuk menangkap dan menepalkan Joko Widodo yang dianggap sebagai pengkhianat karena diduga tidak memiliki ijazah yang asli.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</si>
  <si>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https://x.com/Denmas881571/status/2014387317793018224</t>
    </r>
  </si>
  <si>
    <t>Ditemukan konten pada media sosial Twitter yang diduga memuat unsur provokatif dan gerakan separatisme dengan narasi Aceh Merdeka dengan menunjukkan hasil survey yang dilakukan kepada warga Aceh mengenai referendum Aceh Merdeka dengan hasil sebagian besar warga memilih untuk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</si>
  <si>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https://x.com/RafiHasibu70974/status/2013979026327499251</t>
    </r>
  </si>
  <si>
    <t>Ditemukan konten pada media sosial Twitter yang diduga memuat unsur provokatif untuk melakukan tindakan anarkis dengan narasi Nepalkan Joko Widodo karena pernyataan dari pengacaranya yang dianggap mengakui bahwa ijazah yang dimiliki oleh Joko Widodo adalah 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</si>
  <si>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https://www.facebook.com/share/r/1ECEFHf6Cf/</t>
    </r>
  </si>
  <si>
    <t>Ditemukan konten pada media sosial Facebook yang diduga memuat unsur provokatif untuk melakukan tindakan anarkis dengan narasi Bubarkan Badan Gizi Nasional karena dianggap sebagai tempat untuk melakukan korupsi.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</si>
  <si>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https://vt.tiktok.com/ZSaBpqpV8/</t>
    </r>
  </si>
  <si>
    <t>Sparatisme dan Provokatif</t>
  </si>
  <si>
    <t>Ditemukan konten pada media sosial Facebook yang diduga memuat unsur sparatisme berupa seruan pembubaran indonesia NKRI disertai lagu Indonesia pusaka yang di rubah liriknya.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</si>
  <si>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https://vt.tiktok.com/ZSaSdegUg/</t>
    </r>
  </si>
  <si>
    <t>Ditemukan konten pada media sosial Tiktok yang diduga memuat unsur Disinformasi berjenis fabricated content. Konten tersebut berisi animasi perihal pertukaran wilayah indonesia dengan malaysia. Pada gambar tersebut, Aparat Indonesia digambarkan tidak memperdulikan rakyat dari 3 desa yang mengalami pertukaran wilayah dan menganggapnya sebagai tindakan acuh kepada masyarakat. Padahal kenyataannya, pemerintah juga telah menyiapkan bantuan dana untuk masyarakat yang terpaksa berpindah kewarganegaraan.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</si>
  <si>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https://vt.tiktok.com/ZSaSRwCtH/</t>
    </r>
  </si>
  <si>
    <t>"Ditemukan konten pada media sosial Facebook yang diduga memuat unsur Disinformasi berjenis Misleading content. Konten tersebut berisi narasi yang menjelaskan bahwa prabowo buta terhadap pendidikan. Pernyataan disertai seruan provokativ bahwa program memijak rakyat dan menghidupkan swasta.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</si>
  <si>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https://www.facebook.com/share/p/1BSQWtUo7G/</t>
    </r>
  </si>
  <si>
    <t>Ditemukan konten pada media sosial Facebook yang diduga memuat unsur sparatisme bahwa pemerintah bertanggung jawab atas aspirasi west papua terkait kemetdekaan. Konten tersebut juga menarasikan secara provokatif bahwa NKIR adalah aktor pelaku kejahatan di west papua dari tahun 60-an hingga hari ini 2026.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</si>
  <si>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https://www.facebook.com/share/188d7sHroY/</t>
    </r>
  </si>
  <si>
    <t>Ditemukan konten pada media sosial Facebook yang diduga memuat unsur sparatisme bahwa kemerdekaan indonesia adalah peralihan kekuasaan dari ratu belanda kepada sukarno dan kawan kawan dengan syarat tertentu pada masa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</si>
  <si>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https://www.facebook.com/profile.php?id=61586575059305</t>
    </r>
  </si>
  <si>
    <t>Ditemukan unggahan Facebook dengan nama yang diduga merupakan disinformasi dengan jenis fabricated content. Konten tersebut melakukan upaya penipuan dengan menggunakan konten AI dengan suara dan wajah menyerupai presiden prabowo subianto yang berisi bantuan negara. Target akan diarahkan untuk menghubungi nomor yang tertera pada postingan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</si>
  <si>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https://www.facebook.com/share/v/1AQ293SL3J/</t>
    </r>
  </si>
  <si>
    <t>Ditemukan unggahan Facebook dengan nama yang diduga merupakan disinformasi dengan jenis fabricated content. Konten tersebut melakukan upaya penipuan dengan menggunakan konten AI dengan suara dan wajah menyerupai mahfud MD yang berisi bantuan negara. Target akan diarahkan untuk menghubungi nomor yang tertera pada postingan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</si>
  <si>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Times New Roman',serif"/>
        <color rgb="FF1155CC"/>
        <sz val="8.0"/>
        <u/>
      </rPr>
      <t>https://www.facebook.com/photo/?fbid=883762787466954&amp;set=g.199908090907381</t>
    </r>
  </si>
  <si>
    <t>https://www.facebook.com/groups/199908090907381/?multi_permalinks=1673955233502652&amp;hoisted_section_header_type=recently_seen</t>
  </si>
  <si>
    <r>
      <rPr>
        <rFont val="'Times New Roman',serif"/>
        <color rgb="FF1155CC"/>
        <sz val="8.0"/>
        <u/>
      </rPr>
      <t>https://www.facebook.com/permalink.php?story_fbid=pfbid02Z3obcu8gWgGE4TBJXBUF88EVmh4fxGLmWQdLimT2EVp5H8ka5qaqTjvKEjyZzcdvl&amp;id=61579195203420</t>
    </r>
  </si>
  <si>
    <r>
      <rPr>
        <rFont val="'Times New Roman',serif"/>
        <color rgb="FF1155CC"/>
        <sz val="8.0"/>
        <u/>
      </rPr>
      <t>https://www.facebook.com/permalink.php?story_fbid=pfbid0s9yF1SqrpwuTCHjFe6hfZwgCscvLWbWQg49HgfCK2tbPftZxkiBfVtmBVZbexKhBl&amp;id=61579195203420</t>
    </r>
  </si>
  <si>
    <r>
      <rPr>
        <rFont val="'Times New Roman',serif"/>
        <color rgb="FF1155CC"/>
        <sz val="8.0"/>
        <u/>
      </rPr>
      <t>https://www.facebook.com/permalink.php?story_fbid=pfbid0uApoB4mcLhPgQw7zcuDGsWPB94WpkNbxdFp8xKgGAaDDuhZgEUtbo4BGZxcM7F4hl&amp;id=61579195203420</t>
    </r>
  </si>
  <si>
    <r>
      <rPr>
        <rFont val="'Times New Roman',serif"/>
        <color rgb="FF1155CC"/>
        <sz val="8.0"/>
        <u/>
      </rPr>
      <t>https://www.facebook.com/permalink.php?story_fbid=pfbid02NqZL74qyocTvc4iqddcqXR5ednbxsBZxWoo2j7NbXtwGcJgCQoaGPTmBmyR6S2tvl&amp;id=61579195203420</t>
    </r>
  </si>
  <si>
    <r>
      <rPr>
        <rFont val="'Times New Roman',serif"/>
        <color rgb="FF1155CC"/>
        <sz val="8.0"/>
        <u/>
      </rPr>
      <t>https://www.facebook.com/permalink.php?story_fbid=pfbid04rGtCy82gcTnwLCYKGggi57xEQ98D6fkqqMA4di2JeXHLbSLt7kb4PyAeZERAP8Xl&amp;id=61579195203420</t>
    </r>
  </si>
  <si>
    <t>https://www.facebook.com/naufaltabalong/posts/presiden-prabowo-perintahkan-auditpenggunaan-dana-desa-seluruhindonesia-presiden/25509565282043417/</t>
  </si>
  <si>
    <r>
      <rPr>
        <rFont val="Arial"/>
        <sz val="8.0"/>
      </rPr>
      <t xml:space="preserve">Beredar unggahan di media sosial Facebook menampilkan Presiden Prabowo berpidato dan memerintahkan seluruh kantor desa diaudit. Unggahan tersebut juga berisi narasi yang mengeklaim bahwa Presiden Prabowo memerintahkan hal tersebut usai aksi demonstrasi yang digelar oleh Asosiasi Pemerintah Desa Seluruh Indonesia.
Faktanya, klaim tersebut adalah tidak benar. Dilansir dari turnbackhoax.id, cuplikan video Presiden Prabowo dalam unggahan tersebut berasal dari akun Instagram @metrotv yang merupakan potongan dokumentasi saat Presiden Prabowo Subianto menggelar sidang kabinet pada Senin 15 Desember 2025. Presiden Prabowo Subianto mengeluarkan instruksi penertiban izin konsesi lahan dan memerintahkan agar dilakukan audit total terhadap perusahaan-perusahaan yang memegang izin konsesi lahan. Tidak ditemukan adanya instruksi Presiden Prabowo yang memerintahkan audit seluruh kantor desa.
Link Counter:
</t>
    </r>
    <r>
      <rPr>
        <rFont val="Arial"/>
        <color rgb="FF1155CC"/>
        <sz val="8.0"/>
        <u/>
      </rPr>
      <t>https://turnbackhoax.id/articles/31115</t>
    </r>
    <r>
      <rPr>
        <rFont val="Arial"/>
        <sz val="8.0"/>
      </rPr>
      <t xml:space="preserve">  
</t>
    </r>
    <r>
      <rPr>
        <rFont val="Arial"/>
        <color rgb="FF1155CC"/>
        <sz val="8.0"/>
        <u/>
      </rPr>
      <t>https://www.instagram.com/reel/DSSW5LyjLQg/?igsh=cWxyOHYyNmF6dmF4</t>
    </r>
    <r>
      <rPr>
        <rFont val="Arial"/>
        <sz val="8.0"/>
      </rPr>
      <t xml:space="preserve"> 
</t>
    </r>
  </si>
  <si>
    <t xml:space="preserve">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t>
  </si>
  <si>
    <t>https://www.facebook.com/reel/1037950158515309</t>
  </si>
  <si>
    <r>
      <rPr>
        <rFont val="Arial"/>
        <sz val="8.0"/>
      </rPr>
      <t xml:space="preserve">Beredar unggahan di media sosial Facebook berisi narasi yang mengeklaim Dewan Perwakilan Rakyat (DPR) mendesak pemerintah untuk tidak menghalangi rakyat kerja ke luar negeri.
Faktanya, klaim tersebut adalah tidak benar. Dilansir dari turnbackhoax.id, hasil penelusuran mengarah pada pemberitaan antaranews.com yang membahas peringatan dari Wakil Ketua DPR Cucun Syamsurijal kepada masyarakat untuk bekerja di luar negeri dengan jalur resmi sehingga tidak terjebak dengan iming-iming lowongan kerja non prosedural. Tidak ditemukan informasi dari sumber kredibel yang membenarkan klaim.
Link Counter :
</t>
    </r>
    <r>
      <rPr>
        <rFont val="Arial"/>
        <color rgb="FF1155CC"/>
        <sz val="8.0"/>
        <u/>
      </rPr>
      <t>https://turnbackhoax.id/articles/31509</t>
    </r>
    <r>
      <rPr>
        <rFont val="Arial"/>
        <sz val="8.0"/>
      </rPr>
      <t xml:space="preserve">   
</t>
    </r>
    <r>
      <rPr>
        <rFont val="Arial"/>
        <color rgb="FF1155CC"/>
        <sz val="8.0"/>
        <u/>
      </rPr>
      <t>https://www.antaranews.com/berita/5174293/dpr-ingatkan-masyarakat-bekerja-di-luar-negeri-dengan-jalur-resmi</t>
    </r>
    <r>
      <rPr>
        <rFont val="Arial"/>
        <sz val="8.0"/>
      </rPr>
      <t xml:space="preserve"> 
</t>
    </r>
  </si>
  <si>
    <r>
      <rPr>
        <rFont val="Arial,sans-serif"/>
        <color rgb="FF1155CC"/>
        <sz val="8.0"/>
        <u/>
      </rPr>
      <t>https://www.facebook.com/reel/1591824858616917</t>
    </r>
  </si>
  <si>
    <r>
      <rPr>
        <rFont val="Arial"/>
        <sz val="8.0"/>
      </rPr>
      <t xml:space="preserve">Beredar sebuah unggahan foto di media sosial Facebook yang mengeklaim narasi bahwa Menteri Koordinator Bidang Hukum, HAM, Imigrasi, dan Pemasyarakatan Yusril Ihza Mahendra menyebutkan adanya oknum polisi yang menjebak Ammar Zoni dalam kasus narkoba. 
Faktanya, klaim tersebut adalah tidak benar. Dilansir dari kompas.com, setelah dilakukan penelusuran menggunakan teknik reverse image search, hasilnya mengarah ke unggahan kanal YouTube milik @tvOneNews pada 12 September 2025 berjudul "Yusril Ihza Mahendra: RUU Perampasan Aset Jadi Prioritas di Prolegnas". Dalam video itu, Menteri Yusril tidak membahas mengenai kasus dugaan peredaran narkoba yang menjerat Ammar Zoni. Namun, ia menyampaikan bahwa Rancangan Undang-Undang (RUU) Perampasan Aset masuk dalam daftar Program Legislasi Nasional (Prolegnas) Prioritas 2025-2026. Lebih lanjut, penelusuran melalui Google Search tidak menemukan informasi kredibel Yusril mengatakan bahwa ada oknum polisi yang menjebak dan menuduh Ammar Zoni mengedarkan narkoba.
Link Counter :
</t>
    </r>
    <r>
      <rPr>
        <rFont val="Arial"/>
        <color rgb="FF1155CC"/>
        <sz val="8.0"/>
        <u/>
      </rPr>
      <t>https://www.kompas.com/cekfakta/read/2025/12/17/111100882/-hoaks-menteri-yusril-sebut-ada-oknum-polisi-yang-jebak-ammar-zoni</t>
    </r>
    <r>
      <rPr>
        <rFont val="Arial"/>
        <sz val="8.0"/>
      </rPr>
      <t xml:space="preserve">  
</t>
    </r>
    <r>
      <rPr>
        <rFont val="Arial"/>
        <color rgb="FF1155CC"/>
        <sz val="8.0"/>
        <u/>
      </rPr>
      <t>https://www.youtube.com/watch?v=Gc9kW9bojB0</t>
    </r>
    <r>
      <rPr>
        <rFont val="Arial"/>
        <sz val="8.0"/>
      </rPr>
      <t xml:space="preserve"> </t>
    </r>
  </si>
  <si>
    <t>https://www.tiktok.com/@jhull_88/video/7585117700062547208</t>
  </si>
  <si>
    <r>
      <rPr>
        <rFont val="Arial"/>
        <sz val="8.0"/>
      </rPr>
      <t xml:space="preserve">Beredar unggahan di media sosial TikTok menampilkan Presiden Prabowo berpidato dan memerintahkan seluruh kantor desa diaudit. Unggahan tersebut juga berisi narasi yang mengeklaim bahwa Presiden Prabowo memerintahkan hal tersebut usai aksi demonstrasi yang digelar oleh Asosiasi Pemerintah Desa Seluruh Indonesia.
Faktanya, klaim tersebut adalah tidak benar. Dilansir dari turnbackhoax.id, cuplikan video Presiden Prabowo dalam unggahan tersebut berasal dari akun Instagram @metrotv yang merupakan potongan dokumentasi saat Presiden Prabowo Subianto menggelar sidang kabinet pada Senin 15 Desember 2025. Presiden Prabowo Subianto mengeluarkan instruksi penertiban izin konsesi lahan dan memerintahkan agar dilakukan audit total terhadap perusahaan-perusahaan yang memegang izin konsesi lahan. Tidak ditemukan adanya instruksi Presiden Prabowo yang memerintahkan audit seluruh kantor desa.
Link Counter:
</t>
    </r>
    <r>
      <rPr>
        <rFont val="Arial"/>
        <color rgb="FF1155CC"/>
        <sz val="8.0"/>
        <u/>
      </rPr>
      <t>https://turnbackhoax.id/articles/31115</t>
    </r>
    <r>
      <rPr>
        <rFont val="Arial"/>
        <sz val="8.0"/>
      </rPr>
      <t xml:space="preserve">  
</t>
    </r>
    <r>
      <rPr>
        <rFont val="Arial"/>
        <color rgb="FF1155CC"/>
        <sz val="8.0"/>
        <u/>
      </rPr>
      <t>https://www.instagram.com/reel/DSSW5LyjLQg/?igsh=cWxyOHYyNmF6dmF4</t>
    </r>
    <r>
      <rPr>
        <rFont val="Arial"/>
        <sz val="8.0"/>
      </rPr>
      <t xml:space="preserve"> </t>
    </r>
  </si>
  <si>
    <t>22 Januari 2026</t>
  </si>
  <si>
    <t>https://www.tiktok.com/@arigo550/video/7597805352419101970</t>
  </si>
  <si>
    <t>Konten tersebut mengandung unsur provokatif gerakan separatisme yang mendukung Gerakan Aceh Merdeka dengan narasi “saat nya#acehbangkitkembali #merdekaaceh”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</si>
  <si>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https://www.tiktok.com/@akibara_20/video/7598006793956052242</t>
  </si>
  <si>
    <t>Konten tersebut mengandung unsur provokatif gerakan separatisme yang mendukung Gerakan Aceh Merdeka dengan narasi puitis yang menjatuhkan NKRI dan memprovokasi masyarakat Aceh untuk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</si>
  <si>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https://x.com/ijazah__palsu/status/2014095967281406140</t>
  </si>
  <si>
    <t>Konten tersebut mengandung unsur provokatif gerakan separatisme dengan narasi “Ini jalan lurus untuk menuju Papua merdeka seperti di Acgan takut merdeka karena Timeh! Janor Leste sudah membuktikannya. Merdeka lebih menguntungkan masyarakat dan tidak memanjakan para pejabat di JAKARTA untuk bebas merampok uang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</si>
  <si>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https://x.com/unaboobies/status/2014123148174909649</t>
  </si>
  <si>
    <t>Ditemukan sebuah konten disinformasi berupa fabricated content yang menampilkan animasi hasil rekayasa AI Joko Widodo yang disertai dengan narasi provokatif akan aksi anarkis terhadap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</si>
  <si>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https://x.com/RafiHasibu70974/status/2013979026327499251</t>
  </si>
  <si>
    <t>Provokatif dan</t>
  </si>
  <si>
    <t>Konten tersebut mengandung unsur provokatif aksi anarkis dengan narasi “Nepalkan” terhadap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</si>
  <si>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https://www.facebook.com/share/p/1KgFgDoL5Y/</t>
  </si>
  <si>
    <t>Konten tersebut diduga memuat unsur provokatif aksi separatisme yang menampilkan dua foto aksi demonstrasi separatisme Papua Merdeka dan Gerakan Aceh Merdeka. Kalimat-kalimat pada konten tersebut diduga dibuat untuk memprovokasi WNI untuk turut serta dalam gerakan separatis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</si>
  <si>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https://www.facebook.com/share/p/184VMhyvAj/</t>
  </si>
  <si>
    <t>Konten tersebut mengandung unsur provokatif gerakan separatisme yang menampilkan foto bendera Gerakan Aceh Merdeka yang disertai dengan narasi ‘apakah ini pertanda aceh akan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</si>
  <si>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https://x.com/NenkMonica/status/2013874863434330346?t=c1w7jWU22i4NTpu8V5m7nQ&amp;s=35</t>
  </si>
  <si>
    <t>Konten tersebut melakukan framing untuk mempengaruhi pengguna internet dengan menyatakan bahwa Gibran sebagai anak SMP berkaitan dengan isu ijazah palsu. Konten tersebut mengandung kampanye negatif tersembunyi yang memprovokasi masyarakat untuk meyakini bahwa ijazah Gibran palsu meskipun belum terdapat bukti yang menguatkan. Kondisi ini dapat menurunkan kepercayaan publik kepada pemerintah.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</si>
  <si>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106K, perlu verifikasi lebih lanjut</t>
  </si>
  <si>
    <t>https://x.com/TaliUdeng/status/2014204097612943672?t=Tle31WrHO5_TVh3XnwQnBg&amp;s=35</t>
  </si>
  <si>
    <t>Konten tersebut membuat narasi provokatif dengan membenturkan pelaksanaan program MBG dengan kondisi guru honorer yang dinilai tidak mendapat perlakuan yang layak. Program MBG merupakan program pemerintah untuk menunjang tumbuk kembang anak sehingga terhidar dari stunting dan meningkatkan tumbuh kembang otak. Konten tersebut membuat narasi yang menyudutkan program MBG seolah olah tidak bermanfaat untuk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</si>
  <si>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18K, perlu verifikasi lebih lanjut</t>
  </si>
  <si>
    <t>https://x.com/ardisatriawan/status/2014241530798854173?t=8vTGSgbvlaLxXkc8KRolqw&amp;s=35</t>
  </si>
  <si>
    <t>Konten tersebut merupakan akun provokatif yang bermuatan fitnah dengan menyebut Presiden Prabowo membuat program secara asal asalan dan membatalkannya supaya terlihat sepeti pahlawan. Narasi menyesatkan tersebut dapat membuat menurunnya kepercayaan publik terhadap program pemerintah.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</si>
  <si>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84K, Engagement cuitan tinggi, perlu verifikasi lebih lanjut</t>
  </si>
  <si>
    <t>https://x.com/TaliUdeng/status/2014158186295808216?t=PdXLackmGXU9ZK4QUGT-JQ&amp;s=35</t>
  </si>
  <si>
    <t>Konten tersebut memuat narasi provokatif dengan dengan melakukan framing seolah olah Presiden Prabowo hendak menyebunyikan kondisi pemerintah yang mengambil utang luar negeri. konten tersebut dapat menimbulkan menurunnya kepercayaan publik kepada pemerintah.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</si>
  <si>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https://x.com/hourly_absurd_3/status/2014153848529764465?t=uvOfBCSku_L_HMKdaQBXTQ&amp;s=35</t>
  </si>
  <si>
    <t>Konten tersebut merupakan konten provokasi yang digunakan untuk menggiring opini masyarakat dengan memanfaatkan isu gaji guru honorer untuk menjatuhkan kepercayaan masyarakat kepada pemerintah.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</si>
  <si>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39K, Hanya kritik, perlu verifikasi lebih lanjut</t>
  </si>
  <si>
    <t>https://x.com/siregar_najeges/status/2013926789693780473?t=PlM4EQDgr9c8m5o8mHvqag&amp;s=35</t>
  </si>
  <si>
    <t>Konten tersebut melakukan provokasi kepada masyarakat untuk menolak program MBG karena disebut rawan korupsi dan manupulasi.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</si>
  <si>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22K, share ulang video kritikan, perlu verifikasi lebih lanjut</t>
  </si>
  <si>
    <t>https://vt.tiktok.com/ZSahqDttr/</t>
  </si>
  <si>
    <t>Konten tersebut memuat ajakan untuk melakukan revolusi dengan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</si>
  <si>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https://x.com/MichelAdam1515/status/2013443987080913368</t>
  </si>
  <si>
    <t>https://x.com/GinaAlwidin/status/2013440841231073601</t>
  </si>
  <si>
    <t>https://x.com/guci_marbawi/status/2013439539839221991</t>
  </si>
  <si>
    <t>https://x.com/SianiparRismon/status/2013413968988258394</t>
  </si>
  <si>
    <t>Akademisi, Ahli Digital Forensik, Akun besar 41k, Engagement cuitan tinggi</t>
  </si>
  <si>
    <t>https://x.com/KurapOCCRP/status/2013422374171947430</t>
  </si>
  <si>
    <t>https://x.com/bambang_su91610/status/2013428258558353803</t>
  </si>
  <si>
    <t>https://x.com/ginamustika/status/2012026406616908244</t>
  </si>
  <si>
    <t xml:space="preserve">https://www.facebook.com/kudis.tivi/posts/pfbid02P3u4vjVQsW4D57hwRptg9zVYYRpEKVDPgUNhbt4rDpPrGFUsDqC9CQmh1KpeLGT9l </t>
  </si>
  <si>
    <t>https://www.facebook.com/kudis.tivi/posts/pfbid0wiUbHqXof1QpPkg4yAMPz1ezgvmzUGnz44Not64fQZr7zyYfQJwcekuWpg4cZJrbl</t>
  </si>
  <si>
    <t>https://www.facebook.com/kudis.tivi/posts/pfbid02BxYNppM5qtXHheNhzqMjHAjtsvi1Qvkoe6Psv4ZwTKyDKakcWecYuuco4kJg3dnKl</t>
  </si>
  <si>
    <t>https://www.instagram.com/p/DSom2wZkssg/?igsh=dDdzenFjM3hveXRr</t>
  </si>
  <si>
    <t>https://www.instagram.com/p/DQZW6SIE6Am/?igsh=MWxoeWowaG1lMjlueA==</t>
  </si>
  <si>
    <t>Isi konten hanya memuat ulang pemberitaan dari media online lain, Akun merupakan homeless media</t>
  </si>
  <si>
    <t>https://x.com/arjer66525/status/2014241344240398665</t>
  </si>
  <si>
    <t>https://x.com/BlenkHead3737/status/2013904058814505181</t>
  </si>
  <si>
    <t>https://x.com/seonghyeonoona_/status/2013865188815216884</t>
  </si>
  <si>
    <t>https://x.com/tpinks4/status/2013914536487829750</t>
  </si>
  <si>
    <t>https://x.com/OnlyOneLee/status/2013842399756534025</t>
  </si>
  <si>
    <t>https://x.com/irwinardianto/status/2013843757381320985</t>
  </si>
  <si>
    <t>https://x.com/Yossyuwono48/status/2013883376546308378</t>
  </si>
  <si>
    <t>https://x.com/Enzzojerry/status/2014016744319553650</t>
  </si>
  <si>
    <t>https://x.com/Tipu2Mul/status/2014240191540867532</t>
  </si>
  <si>
    <t>https://www.facebook.com/groups/890785618559406/permalink/1700808200890473/</t>
  </si>
  <si>
    <t>https://x.com/theluckiestboy/status/2014170928134127643?s=20</t>
  </si>
  <si>
    <t>https://x.com/lunaisloveee/status/2014191336631460145?s=20</t>
  </si>
  <si>
    <t>https://www.facebook.com/permalink.php?story_fbid=pfbid031xxnp34yZGdVFrPKVjbqUYPRir7KjiAmaEpznGkAfnSwydxDHnSpbP7q9pLjtjYEl&amp;id=100075451993994</t>
  </si>
  <si>
    <t>https://www.facebook.com/agues.mois.96/posts/pfbid0SwrXz3JBG6hbZAAZ5x74fPSqBQoUQzbdbtFRGVwZBPEzdKAdxtRHJwbn2RbnZZL4l?rdid=bTqN4PaDKZq23MqT#</t>
  </si>
  <si>
    <t>https://x.com/gnugaifaar/status/2014222244277612621?s=20</t>
  </si>
  <si>
    <t>https://x.com/SianiparRismon/status/2014218243649765596?s=20</t>
  </si>
  <si>
    <r>
      <rPr>
        <rFont val="Arial"/>
        <color rgb="FF1155CC"/>
        <sz val="8.0"/>
        <u/>
      </rPr>
      <t>https://www.facebook.com/permalink.php?story_fbid=pfbid02RVepNZVn4DomEA7HvXWb2MdF7oBwD5V6xvD8vegUA62uoAJD9db2X6bpa4ZfPMEnl&amp;id=61585397584559</t>
    </r>
    <r>
      <rPr>
        <rFont val="Arial"/>
        <sz val="8.0"/>
      </rPr>
      <t xml:space="preserve"> </t>
    </r>
  </si>
  <si>
    <r>
      <rPr>
        <rFont val="Arial"/>
        <sz val="8.0"/>
      </rPr>
      <t xml:space="preserve">Beredar sebuah unggahan video di media sosial yang mengklaim bahwa Purbaya dan Prabowo sepakat turunkan harga BBM jadi Rp7.000 per liter dalam waktu dekat.
Faktanya, klaim bahwa Purbaya dan Prabowo sepakat turunkan harga BBM jadi Rp7.000 per liter dalam waktu dekat adalah hoaks. Dilansir dari tirto.id, tidak ada keputusan resmi maupun kesepakatan Presiden Prabowo Subianto dan Menteri Keuangan Purbaya Yudhi Sadewa untuk menurunkan harga BBM. Penurunan harga BBM dilakukan dengan mengacu pada formula harga dari pemerintah serta mengikuti tren harga rata-rata publikasi minyak dunia, seperti Argus atau Mean of Platts Singapore (MOPS), dan mempertimbangkan nilai tukar rupiah terhadap dolar Amerika Serikat.
Link Counter:
</t>
    </r>
    <r>
      <rPr>
        <rFont val="Arial"/>
        <color rgb="FF1155CC"/>
        <sz val="8.0"/>
        <u/>
      </rPr>
      <t>https://tirto.id/salah-prabowo-dan-purbaya-sepakat-bbm-turun-menjadi-rp7000-ho5Y</t>
    </r>
    <r>
      <rPr>
        <rFont val="Arial"/>
        <sz val="8.0"/>
      </rPr>
      <t xml:space="preserve">  </t>
    </r>
    <r>
      <rPr>
        <rFont val="Arial"/>
        <sz val="8.0"/>
      </rPr>
      <t xml:space="preserve">
</t>
    </r>
  </si>
  <si>
    <t xml:space="preserve">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t>
  </si>
  <si>
    <t xml:space="preserve">https://www.facebook.com/reel/25702904372707748 </t>
  </si>
  <si>
    <r>
      <rPr>
        <rFont val="Arial"/>
        <sz val="8.0"/>
      </rPr>
      <t xml:space="preserve">Beredar sebuah unggahan video di media sosial yang mengklaim bahwa Purbaya dan Prabowo sepakat turunkan harga BBM jadi Rp7.000 per liter dalam waktu dekat.
Faktanya, klaim bahwa Purbaya dan Prabowo sepakat turunkan harga BBM jadi Rp7.000 per liter dalam waktu dekat adalah hoaks. Dilansir dari tirto.id, tidak ada keputusan resmi maupun kesepakatan Presiden Prabowo Subianto dan Menteri Keuangan Purbaya Yudhi Sadewa untuk menurunkan harga BBM. Penurunan harga BBM dilakukan dengan mengacu pada formula harga dari pemerintah serta mengikuti tren harga rata-rata publikasi minyak dunia, seperti Argus atau Mean of Platts Singapore (MOPS), dan mempertimbangkan nilai tukar rupiah terhadap dolar Amerika Serikat.
Link Counter: 
</t>
    </r>
    <r>
      <rPr>
        <rFont val="Arial"/>
        <color rgb="FF1155CC"/>
        <sz val="8.0"/>
        <u/>
      </rPr>
      <t>https://tirto.id/salah-prabowo-dan-purbaya-sepakat-bbm-turun-menjadi-rp7000-ho5Y</t>
    </r>
    <r>
      <rPr>
        <rFont val="Arial"/>
        <sz val="8.0"/>
      </rPr>
      <t xml:space="preserve">  
</t>
    </r>
    <r>
      <rPr>
        <rFont val="Arial"/>
        <color rgb="FF1155CC"/>
        <sz val="8.0"/>
        <u/>
      </rPr>
      <t>https://www.cnbcindonesia.com/news/20260105071242-4-699547/resmi-turun-ini-daftar-harga-bbm-di-semua-spbu-ri-berlaku-5-januari</t>
    </r>
    <r>
      <rPr>
        <rFont val="Arial"/>
        <sz val="8.0"/>
      </rPr>
      <t xml:space="preserve"> </t>
    </r>
    <r>
      <rPr>
        <rFont val="Arial"/>
        <sz val="8.0"/>
      </rPr>
      <t xml:space="preserve">
</t>
    </r>
  </si>
  <si>
    <r>
      <rPr>
        <rFont val="Arial"/>
        <color rgb="FF1155CC"/>
        <sz val="8.0"/>
        <u/>
      </rPr>
      <t>https://www.facebook.com/permalink.php?story_fbid=pfbid02WkTAFgNFYNhFSHB8poYir18CPtYpPRfmGEp8S55KBm4RPU5ELJtzrhmqRBbEbaspl&amp;id=61559882156709</t>
    </r>
    <r>
      <rPr>
        <rFont val="Arial"/>
        <sz val="8.0"/>
        <u/>
      </rPr>
      <t xml:space="preserve"> </t>
    </r>
  </si>
  <si>
    <r>
      <rPr>
        <rFont val="Arial"/>
        <sz val="8.0"/>
      </rPr>
      <t xml:space="preserve">Beredar sebuah unggahan di media sosial Facebook yang mengeklaim bahwa menurut Menteri Agama (Menag) Republik Indonesia Nasaruddin Umar, dua juta umat muslim murtad tiap tahun.
Faktanya, klaim tersebut adalah tidak benar. Dilansir dari turnbackhoax.id, tidak ada informasi kredibel yang membenarkan isu tersebut. Foto asli pada unggahan merupakan hasil rekayasa dari artikel detik.com yang berjudul "Setahun Pemerintahan Prabowo, Menag Ungkap Indeks Kerukunan Baik". Diketahui bahwa Menag RI menyampaikan indeks kerukunan di Indonesia mencapai angka tertinggi sepanjang sejarah.
Link Counter:
</t>
    </r>
    <r>
      <rPr>
        <rFont val="Arial"/>
        <color rgb="FF1155CC"/>
        <sz val="8.0"/>
        <u/>
      </rPr>
      <t>https://turnbackhoax.id/articles/31540</t>
    </r>
    <r>
      <rPr>
        <rFont val="Arial"/>
        <sz val="8.0"/>
      </rPr>
      <t xml:space="preserve">  
</t>
    </r>
    <r>
      <rPr>
        <rFont val="Arial"/>
        <color rgb="FF1155CC"/>
        <sz val="8.0"/>
        <u/>
      </rPr>
      <t>https://news.detik.com/berita/d-8192237/setahun-pemerintahan-prabowo-menag-ungkap-indeks-kerukunan-terbaik</t>
    </r>
    <r>
      <rPr>
        <rFont val="Arial"/>
        <sz val="8.0"/>
      </rPr>
      <t xml:space="preserve"> </t>
    </r>
  </si>
  <si>
    <r>
      <rPr>
        <rFont val="Arial"/>
        <color rgb="FF1155CC"/>
        <sz val="8.0"/>
        <u/>
      </rPr>
      <t>https://www.facebook.com/kezia.manurung.3785/posts/menurut-mentri-ag4ma-ri-sebanyak-2-juta-muslim-indonesia-murt4d-dan-memeluk-ag4m/1989856824913656/</t>
    </r>
    <r>
      <rPr>
        <rFont val="Arial"/>
        <sz val="8.0"/>
      </rPr>
      <t xml:space="preserve"> </t>
    </r>
  </si>
  <si>
    <r>
      <rPr>
        <rFont val="Arial"/>
        <sz val="8.0"/>
      </rPr>
      <t xml:space="preserve">Beredar sebuah unggahan di media sosial Facebook yang mengeklaim bahwa menurut Menteri Agama (Menag) Republik Indonesia Nasaruddin Umar, dua juta umat muslim murtad tiap tahun.
Faktanya, klaim tersebut adalah tidak benar. Dilansir dari turnbackhoax.id, tidak ada informasi kredibel yang membenarkan isu tersebut. Foto asli pada unggahan merupakan hasil rekayasa dari artikel detik.com yang berjudul "Setahun Pemerintahan Prabowo, Menag Ungkap Indeks Kerukunan Baik". Diketahui bahwa Menag RI menyampaikan indeks kerukunan di Indonesia mencapai angka tertinggi sepanjang sejarah.
Link Counter:
</t>
    </r>
    <r>
      <rPr>
        <rFont val="Arial"/>
        <color rgb="FF1155CC"/>
        <sz val="8.0"/>
        <u/>
      </rPr>
      <t>https://turnbackhoax.id/articles/31540</t>
    </r>
    <r>
      <rPr>
        <rFont val="Arial"/>
        <sz val="8.0"/>
      </rPr>
      <t xml:space="preserve">  
</t>
    </r>
    <r>
      <rPr>
        <rFont val="Arial"/>
        <color rgb="FF1155CC"/>
        <sz val="8.0"/>
        <u/>
      </rPr>
      <t>https://news.detik.com/berita/d-8192237/setahun-pemerintahan-prabowo-menag-ungkap-indeks-kerukunan-terbaik</t>
    </r>
    <r>
      <rPr>
        <rFont val="Arial"/>
        <sz val="8.0"/>
      </rPr>
      <t xml:space="preserve">  </t>
    </r>
    <r>
      <rPr>
        <rFont val="Arial"/>
        <sz val="8.0"/>
      </rPr>
      <t xml:space="preserve">
</t>
    </r>
  </si>
  <si>
    <r>
      <rPr>
        <rFont val="Arial"/>
        <sz val="8.0"/>
      </rPr>
      <t xml:space="preserve"> </t>
    </r>
    <r>
      <rPr>
        <rFont val="Arial"/>
        <color rgb="FF1155CC"/>
        <sz val="8.0"/>
        <u/>
      </rPr>
      <t>https://www.facebook.com/photo/?fbid=25332034209757556&amp;set=a.25332054449755532&amp;_rdc=1&amp;</t>
    </r>
    <r>
      <rPr>
        <rFont val="Arial"/>
        <sz val="8.0"/>
      </rPr>
      <t xml:space="preserve"> </t>
    </r>
  </si>
  <si>
    <r>
      <rPr>
        <rFont val="Arial"/>
        <sz val="8.0"/>
      </rPr>
      <t xml:space="preserve">Beredar unggahan di media sosial Facebook berisi narasi yang menyebut Badan Meteorologi Klimatologi dan Geofisika (BMKG) disebut mengeluarkan peringatan soal ancaman garis badai atau fenomena Squall Line di wilayah Jakarta dan sekitarnya atau Jabodetabek. Informasi itu beredar di media sosial pada 31 Desember 2025.
Faktanya, narasi tersebut adalah tidak benar. Dikutip dari kompas.com, Kepala Biro Hukum, Hubungan Masyarakat, dan Kerja Sama BMKG RR Rima Eryani mengatakan informasi tersebut bukan berasal dari BMKG dan merupakan informasi palsu. Berdasarkan data pemantauan cuaca BMKG tidak mendeteksi adanya pembentukan awan cumulonimbus berupa barisan memanjang Squall Line di Samudra Hindia yang bergerak menuju pesisir Jawa sebagaimana seperti narasi yang beredar. Dikutip dari akun Instagram resmi BMKG @infobmkg, BMKG tidak pernah mengeluarkan peringatan maupun informasi terkait kejadian tersebut. Masyarakat diimbau tidak mudah percaya dan menyebarkan informasi yang belum terverifikasi. Selalu cek sumber resmi BMKG untuk mendapatkan info cuaca yang akurat dan dapat dipertanggungjawabkan.
Link Counter :
</t>
    </r>
    <r>
      <rPr>
        <rFont val="Arial"/>
        <color rgb="FF1155CC"/>
        <sz val="8.0"/>
        <u/>
      </rPr>
      <t>https://www.kompas.com/cekfakta/read/2026/01/05/202200682/-hoaks-peringatan-bmkg-soal-ancaman-garis-badai-atau-squall-line</t>
    </r>
    <r>
      <rPr>
        <rFont val="Arial"/>
        <sz val="8.0"/>
      </rPr>
      <t xml:space="preserve">  
</t>
    </r>
    <r>
      <rPr>
        <rFont val="Arial"/>
        <color rgb="FF1155CC"/>
        <sz val="8.0"/>
        <u/>
      </rPr>
      <t>https://www.instagram.com/p/DS6NV99Ae-Y/?utm_source=ig_embed&amp;ig_rid=086abaa7-2d42-4eda-ad09-358e4f7ff86e</t>
    </r>
    <r>
      <rPr>
        <rFont val="Arial"/>
        <sz val="8.0"/>
      </rPr>
      <t xml:space="preserve"> </t>
    </r>
    <r>
      <rPr>
        <rFont val="Arial"/>
        <sz val="8.0"/>
      </rPr>
      <t xml:space="preserve">
</t>
    </r>
  </si>
  <si>
    <r>
      <rPr>
        <rFont val="Arial"/>
        <color rgb="FF1155CC"/>
        <sz val="8.0"/>
        <u/>
      </rPr>
      <t>https://www.facebook.com/groups/1110525038988862/permalink/33551852461096033/?mibextid=wwXIfr&amp;_rdc=1&amp;_rdr</t>
    </r>
    <r>
      <rPr>
        <rFont val="Arial"/>
        <sz val="8.0"/>
      </rPr>
      <t xml:space="preserve"> </t>
    </r>
  </si>
  <si>
    <r>
      <rPr>
        <rFont val="Arial"/>
        <sz val="8.0"/>
      </rPr>
      <t xml:space="preserve">Beredar sebuah unggahan di media sosial  yang mengklaim bahwa Joko Widodo menyebut Gibran Rakabuming Raka dan Kaesang Pangarep akan menjadi Presiden dan Wakil Presiden pada 2029.
Faktanya, klaim yang menyebut Joko Widodo menyatakan bahwa Gibran dan Kaesang akan menjadi Presiden pada 2029 adalah hoaks. Dilansir dari tirto.id, tidak ada sumber informasi kredibel yang menyebut Joko Widodo menyatakan Gibran dan Kaesang akan maju di pemilihan presiden 2029. Foto yang di gunakaan identik dengan berita lain yang diunggah pada 14 Januari 2026, yakni menampilkan Joko Widodo tersenyum, memakai peci hitam, dan kemeja biru. Namun, judul serta isi berita tersebut tidak memuat pernyataan mengenai Gibran Rakabuming Raka dan Kaesang Pangarep sebagai Presiden dan Wakil Presiden 2029. 
Link Counter :
</t>
    </r>
    <r>
      <rPr>
        <rFont val="Arial"/>
        <color rgb="FF1155CC"/>
        <sz val="8.0"/>
        <u/>
      </rPr>
      <t>https://tirto.id/tak-benar-jokowi-sebut-gibran-kaesang-akan-jadi-presiden-wapres-hpAV</t>
    </r>
    <r>
      <rPr>
        <rFont val="Arial"/>
        <sz val="8.0"/>
      </rPr>
      <t xml:space="preserve">  </t>
    </r>
  </si>
  <si>
    <t xml:space="preserve">a.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b. Pasal 45A ayat (2) Setiap orang yang melanggar Pasal 28 ayat (3) UU 1/2024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t>
  </si>
  <si>
    <t>21 Januari 2026</t>
  </si>
  <si>
    <r>
      <rPr>
        <rFont val="Arial,sans-serif"/>
        <color rgb="FF1155CC"/>
        <sz val="8.0"/>
        <u/>
      </rPr>
      <t>https://www.tiktok.com/@bang_random1986/video/7596732878227082503</t>
    </r>
  </si>
  <si>
    <t>Konten tersebut mengandung unsur provokatif gerakan separatisme yang mendukung Gerakan Aceh Merdeka dengan narasi “Bagi orang Jawa yg lahir di Aceh dan sudah lama tinggal di Aceh ber-KTP Aceh, jangan takut bila Aceh merdeka” dan ditutup dengan narasi “ACEH HARUS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</si>
  <si>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https://www.tiktok.com/@cek.sall5/video/7583421512871415061</t>
    </r>
  </si>
  <si>
    <t>Konten tersebut mengandung unsur provokatif gerakan separatisme yang mendukung Gerakan Aceh Merdeka dengan narasi “SUMPAH GAM - GERAKAN ACEH MERDEKA” dan menampilkan kaitan dengan unsur agama.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</si>
  <si>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https://x.com/Nacan297264/status/2013627808552231248</t>
    </r>
  </si>
  <si>
    <t>Konten tersebut mengandung unsur provokatif gerakan separatisme yang mendukung Gerakan Aceh Merdeka dengan narasi “Kita dukung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</si>
  <si>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https://x.com/yaniarsim/status/2013172932319858815</t>
    </r>
  </si>
  <si>
    <t>Ditemukan sebuah konten disinformasi berupa misleading content dengan unsur separatisme yang menampilkan foto Gubernur Aceh, Muzakir Manaf, dengan pernyataan palsu dengan tujuan memecah belah NKRI dengan narasi “Kami Ingin Hidup Seperti Timor Leste”.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</si>
  <si>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https://x.com/Denmas881571/status/2013268404799766795</t>
    </r>
  </si>
  <si>
    <t>Konten tersebut mengandung unsur provokatif gerakan separatisme yang menampilkan pernyataan palsu dari Gubernur Aceh dengan tujuan memecah belah NKRI dengan narasi “Kami Ingin Hidup Seperti Timor Leste” serta “ACEH INGIN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</si>
  <si>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https://x.com/Ron1n2222/status/2013861091797872859</t>
    </r>
  </si>
  <si>
    <r>
      <rPr>
        <rFont val="Arial,sans-serif"/>
        <color rgb="FF1155CC"/>
        <sz val="8.0"/>
        <u/>
      </rPr>
      <t>https://x.com/KayadiMur/status/2013579749197595042</t>
    </r>
  </si>
  <si>
    <t>Konten tersebut diduga memuat unsur provokatif aksi anarkis dengan narasi “Nepalkan” terhadap Joko Widodo dan Luhut Panjaitan. Konten ini menyinggung polemik perkebunan sawit yang tidak membayar pajak di era Joko Widodo menjabat sebagai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</si>
  <si>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https://x.com/Sahal12482H/status/2013568487067918840</t>
    </r>
  </si>
  <si>
    <t>Konten tersebut diduga memuat unsur provokatif aksi anarkis dengan narasi “Nepalkan” serta mengandung unsur ujaran kebencian terhadap program MBG.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</si>
  <si>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https://x.com/ade745780/status/2013557832642154959</t>
    </r>
  </si>
  <si>
    <t>Konten tersebut diduga memuat unsur provokatif aksi anarkis dengan narasi “Nepalkan” terhadap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</si>
  <si>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https://www.facebook.com/reel/637315436138326</t>
  </si>
  <si>
    <t>Konten tersebut mengandung unsur provokatif gerakan separatisme yang menampilkan sebuah video pembakaran Bendera Merah-Putih dengan narasi “Haram ada di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</si>
  <si>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https://x.com/denni_sauya/status/2013894240640946213</t>
  </si>
  <si>
    <t>Konten tersebut dinilai berupaya untuk menggiring opini bahwa dibalik program MBG rakyat dibebani utang oleh Pemerintah. Narasi sepeti ini dapat menimbulkan dampak negatif sehingga menurunkan kepercayaan publik terhadap program pemerintah.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</si>
  <si>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https://x.com/NHenryp29864/status/2013485493359411587?t=ITycjLMd5UP4YMRtFaEYOQ&amp;s=35</t>
  </si>
  <si>
    <t>Akun tersebut membuat narasi negatif terkait kunjungan Presiden Prabowo ke Inggris. Konten tersebut melakukan framing dengan narasi bahwa Presiden Prabowo sering melakukan perjalanan dinas ke luar negeri tapi tidak menghasilkan apa apa. narasi tersebut menggiring opini sehingga menurunkan kepercayaan publik kepada pemerintah.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</si>
  <si>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https://x.com/regar_op0sisi/status/2013494754739138861?t=_vfa5DVMLVMa8MBqV4_yFA&amp;s=35</t>
  </si>
  <si>
    <t>akun tersebut menyebut Presiden Prabowo sebagai Presiden omon omon karena sebelumnya menolak pembagian kartu bantuan sosial namun sekarang membangga banggakan program tersebut. Konten tersebut tidak relevan dengan kondisi saat ini dan berpotensi menimbulkan kesalahpahaman di masyarakat.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</si>
  <si>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https://x.com/B4n6_H4n5/status/2013892348460069343</t>
  </si>
  <si>
    <t>Konten tersebut menyebut bahwa MBG menjadikan guru dan siswa sebagai tumbal MBG. pernyataan tersebut dapat menimbulkan respon negatif dan provokasi di masyarakat.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</si>
  <si>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https://vt.tiktok.com/ZSaMNH6Ro/</t>
  </si>
  <si>
    <t>Konten tersebut menyebut Gibran sebagai Wapres dari hasil kecurangan dan kebohongan sehingga layak untuk dimakzulkan.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</si>
  <si>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Times New Roman',serif"/>
        <color rgb="FF1155CC"/>
        <sz val="8.0"/>
        <u/>
      </rPr>
      <t>https://www.facebook.com/groups/523183267134157/posts/875566738562473/</t>
    </r>
  </si>
  <si>
    <r>
      <rPr>
        <rFont val="'Times New Roman',serif"/>
        <color rgb="FF1155CC"/>
        <sz val="8.0"/>
        <u/>
      </rPr>
      <t>https://www.facebook.com/aji.kj.1481/posts/pfbid0mQDhNWLVVeCroaX8REwxJy8GjMk2eLJNiCESdw53F64V5qFdv2oguFDNrs1DA7knl</t>
    </r>
  </si>
  <si>
    <r>
      <rPr>
        <rFont val="'Times New Roman',serif"/>
        <color rgb="FF1155CC"/>
        <sz val="8.0"/>
        <u/>
      </rPr>
      <t>https://www.facebook.com/groups/523183267134157/posts/874781391974341/</t>
    </r>
  </si>
  <si>
    <r>
      <rPr>
        <rFont val="'Times New Roman',serif"/>
        <color rgb="FF1155CC"/>
        <sz val="8.0"/>
        <u/>
      </rPr>
      <t>https://www.facebook.com/groups/523183267134157/posts/870709085714905/</t>
    </r>
  </si>
  <si>
    <r>
      <rPr>
        <rFont val="'Times New Roman',serif"/>
        <color rgb="FF1155CC"/>
        <sz val="8.0"/>
        <u/>
      </rPr>
      <t>https://www.facebook.com/groups/523183267134157/posts/870251079094039/</t>
    </r>
  </si>
  <si>
    <r>
      <rPr>
        <rFont val="'Times New Roman',serif"/>
        <color rgb="FF1155CC"/>
        <sz val="8.0"/>
        <u/>
      </rPr>
      <t>https://www.facebook.com/groups/647302417514795/posts/1199547182290313/</t>
    </r>
  </si>
  <si>
    <r>
      <rPr>
        <rFont val="'Times New Roman',serif"/>
        <color rgb="FF1155CC"/>
        <sz val="8.0"/>
        <u/>
      </rPr>
      <t>https://www.facebook.com/groups/647302417514795/posts/1198930255685339/</t>
    </r>
  </si>
  <si>
    <r>
      <rPr>
        <rFont val="'Times New Roman',serif"/>
        <color rgb="FF1155CC"/>
        <sz val="8.0"/>
        <u/>
      </rPr>
      <t>https://www.facebook.com/groups/647302417514795/posts/1198254589086239/</t>
    </r>
  </si>
  <si>
    <t xml:space="preserve">https://www.facebook.com/reel/2067741010680214 </t>
  </si>
  <si>
    <r>
      <rPr>
        <rFont val="Arial"/>
        <sz val="8.0"/>
      </rPr>
      <t xml:space="preserve">Beredar sebuah unggahan di media sosial Facebook yang mengeklaim bahwa Presiden Republik Indonesia Prabowo Subianto membagikan dana bantuan Rp50 juta untuk masyarakat miskin.
Faktanya, klaim tersebut adalah tidak benar. Dilansir dari kompas.com, tidak ditemukan informasi kredibel terkait isu tersebut. Dengan menggunakan Hive Moderation, unggahan tersebut merupakan hasil rekayasa Artificial Intelligence dengan probabilitas 99,8 persen. Konten manipulatif menawarkan bantuan dana mengatasnamakan Presiden Prabowo telah beredar sebelumnya. Melansir kompas.com, video tersebut menggunakan gambar dan suara yang berbeda, tetapi muatan narasinya serupa yakni bantuan senilai Rp50 juta.
Link Counter :
</t>
    </r>
    <r>
      <rPr>
        <rFont val="Arial"/>
        <color rgb="FF1155CC"/>
        <sz val="8.0"/>
        <u/>
      </rPr>
      <t>https://www.kompas.com/cekfakta/read/2026/01/20/121700482/-hoaks-prabowo-membagikan-bantuan-rp-50-juta</t>
    </r>
    <r>
      <rPr>
        <rFont val="Arial"/>
        <sz val="8.0"/>
      </rPr>
      <t xml:space="preserve">  
</t>
    </r>
    <r>
      <rPr>
        <rFont val="Arial"/>
        <color rgb="FF1155CC"/>
        <sz val="8.0"/>
        <u/>
      </rPr>
      <t>https://www.kompas.com/cekfakta/read/2025/11/27/111200282/-hoaks-video-prabowo-beri-dana-bantuan-akhir-tahun</t>
    </r>
  </si>
  <si>
    <t xml:space="preserve">https://www.facebook.com/100072063022776/posts/890900176655408/?rdid=bCkdH54vqrWX0ooL&amp;_rdc=1&amp;_rdr# </t>
  </si>
  <si>
    <r>
      <rPr>
        <rFont val="Arial"/>
        <sz val="8.0"/>
      </rPr>
      <t xml:space="preserve">Beredar unggahan foto di media sosial Facebook yang mengeklaim bahwa Komisi Pemberantasan Korupsi (KPK) akan memanggil mantan Presiden ke-7 RI Joko Widodo (Jokowi) dalam Kasus korupsi kuota haji eks Menteri Agama Yaqut Cholil Qoumas.
Faktanya, klaim tersebut adalah tidak benar. Dilansir dari turnbackhoax.id, setelah dilakukan penelusuran melalui mesin pencari Google dengan menggunakan kata kunci “KPK panggil Jokowi dalam kasus korupsi kuota haji”, hasilnya mengarah ke pemberitaan tvonenews.com berjudul “Kenapa Jokowi Tak Diperiksa KPK dalam Kasus Korupsi Kuota Haji?”. Dalam berita yang tayang Selasa, 13 Januari 2026 itu, dilaporkan bahwa Komisi Pemberantasan Korupsi (KPK) memastikan tidak akan memeriksa Presiden ke-7 Joko Widodo dalam kasus dugaan korupsi pembagian kuota haji tambahan tahun 2024. KPK menilai dugaan perbuatan melawan hukum itu terjadi pada tahap operasional di level Kementerian Agama, bukan pada pengambilan kebijakan di tingkat presiden.
Link Counter :
</t>
    </r>
    <r>
      <rPr>
        <rFont val="Arial"/>
        <color rgb="FF1155CC"/>
        <sz val="8.0"/>
        <u/>
      </rPr>
      <t>https://turnbackhoax.id/articles/31783</t>
    </r>
    <r>
      <rPr>
        <rFont val="Arial"/>
        <sz val="8.0"/>
      </rPr>
      <t xml:space="preserve"> 
</t>
    </r>
    <r>
      <rPr>
        <rFont val="Arial"/>
        <color rgb="FF1155CC"/>
        <sz val="8.0"/>
        <u/>
      </rPr>
      <t>https://www.tvonenews.com/channel/news/359311-kenapa-jokowi-tak-diperiksa-kpk-dalam-kasus-korupsi-kuota-haji</t>
    </r>
    <r>
      <rPr>
        <rFont val="Arial"/>
        <sz val="8.0"/>
      </rPr>
      <t xml:space="preserve">  </t>
    </r>
  </si>
  <si>
    <t>https://www.facebook.com/permalink.php?story_fbid=pfbid0PThgdKFEcMBgLsBZobyVZadt3SZYFLbhBmd72CRfHGrB5YqMD3gNjJ9SHSqW2ssvl&amp;id=61576294846791&amp;rdid=dTPkKuDTxpjtBQEh#</t>
  </si>
  <si>
    <r>
      <rPr>
        <rFont val="Arial"/>
        <sz val="8.0"/>
      </rPr>
      <t xml:space="preserve">Beredar sebuah unggahan di media sosial yang mengeklaim Menteri Keuangan Purbaya Yudhi Sadewa menemukan data uang milik mantan Presiden Joko Widodo (Jokowi) di bank Cina. Unggahan tersebut menampilkan tumpukan uang di Gedung Komisi Pemberantasan Korupsi (KPK) dan menyatakan jumlah uang Jokowi yang ditemukan mencapai ribuan triliun rupiah.
Faktanya, klaim tersebut adalah tidak benar. Dilansir dari kompas.com, setelah telusuri foto dalam unggahan tersebut identik dengan artikel di laman resmi harian.fajar.co.id. Dalam artikel menyebutkan bahwa uang tersebut merupakan hasil rampasan KPK dalam kasus korupsi investasi fiktif di PT Taspen (Persero). KPK menjelaskan uang Rp300 miliar yang dipamerkan hanya sebagian dari Rp883 miliar aset yang berhasil dipulihkan dalam kasus korupsi investasi fiktif di tubuh Taspen itu. Jadi, hingga kini tidak ditemukan informasi valid Purbaya menemukan data uang milik Jokowi di bank Cina senilai ribuan triliun.Warga hingga Kibarkan Bendera Putih | BOLA LIAR”, memberitakan di wilayah terdampak bencana Sumatra, warga berekspresi mengibarkan bendera putih sebagai isyarat mendesak agar pemerintah lebih cepat dan serius merespons bencana.
Link Counter :
</t>
    </r>
    <r>
      <rPr>
        <rFont val="Arial"/>
        <color rgb="FF1155CC"/>
        <sz val="8.0"/>
        <u/>
      </rPr>
      <t>https://www.kompas.com/cekfakta/read/2026/01/14/164500882/-hoaks-purbaya-temukan-data-uang-jokowi-di-bank-china-senilai-ribuan</t>
    </r>
    <r>
      <rPr>
        <rFont val="Arial"/>
        <sz val="8.0"/>
      </rPr>
      <t xml:space="preserve"> 
</t>
    </r>
    <r>
      <rPr>
        <rFont val="Arial"/>
        <color rgb="FF1155CC"/>
        <sz val="8.0"/>
        <u/>
      </rPr>
      <t>https://harian.fajar.co.id/2025/11/20/kpk-pajang-uang-rp300-miliar-hasil-korupsi-investasi-fiktif-taspen-begini-penampakannya/</t>
    </r>
    <r>
      <rPr>
        <rFont val="Arial"/>
        <sz val="8.0"/>
      </rPr>
      <t xml:space="preserve"> </t>
    </r>
  </si>
  <si>
    <t>https://www.facebook.com/reel/893623820014127</t>
  </si>
  <si>
    <r>
      <rPr>
        <rFont val="Arial"/>
        <sz val="8.0"/>
      </rPr>
      <t xml:space="preserve">Beredar sebuah unggahan di media sosial yang mengklaim Presiden Prabowo ultimatum jenderal polisi di kementerian untuk balik ke barak atau pensiun dini.
Faktanya, klaim Presiden Prabowo ultimatum jenderal polisi di kementerian untuk balik ke barak atau pensiun dini adalah hoaks. Dilansir dari turnbackhoax.id, tidak ditemukan pernyataan resmi, regulasi, maupun pemberitaan kredibel yang menyebut Presiden Prabowo ultimatum jenderal polisi di kementerian untuk balik ke barak atau pensiun dini. Setelah di telusuri video tersebut mengarahkan pada video pemberitaan di kanal YouTube Tribunnews “Prabowo Keras Ultimatum TNI-Polri Minta Bersihkan Diri: Beresin, Sebelum Saya Ambil Tindakan”. Pada video itu, Presiden Prabowo secara tegas meminta institusi Polri dan TNI berbenah internal berkaitan dengan Revisi UU TNI. Namun, Presiden Prabowo tidak menyebutkan bahwa Polri/TNI harus mundur atau pensiun dini saat menduduki jabatan tertentu.
Link ounter: 
</t>
    </r>
    <r>
      <rPr>
        <rFont val="Arial"/>
        <color rgb="FF1155CC"/>
        <sz val="8.0"/>
        <u/>
      </rPr>
      <t>https://turnbackhoax.id/articles/31510</t>
    </r>
    <r>
      <rPr>
        <rFont val="Arial"/>
        <sz val="8.0"/>
      </rPr>
      <t xml:space="preserve">
</t>
    </r>
    <r>
      <rPr>
        <rFont val="Arial"/>
        <color rgb="FF1155CC"/>
        <sz val="8.0"/>
        <u/>
      </rPr>
      <t>https://www.youtube.com/shorts/bXgm89IHLq4</t>
    </r>
    <r>
      <rPr>
        <rFont val="Arial"/>
        <sz val="8.0"/>
      </rPr>
      <t xml:space="preserve"> </t>
    </r>
  </si>
  <si>
    <r>
      <rPr>
        <rFont val="Arial,sans-serif"/>
        <color rgb="FF1155CC"/>
        <sz val="8.0"/>
        <u/>
      </rPr>
      <t>https://www.instagram.com/reels/DTcMaCJEleM/</t>
    </r>
  </si>
  <si>
    <r>
      <rPr>
        <rFont val="Arial"/>
        <sz val="8.0"/>
      </rPr>
      <t xml:space="preserve">Beredar unggahan foto di media sosial Instagram yang mengeklaim bahwa Komisi Pemberantasan Korupsi (KPK) akan memanggil mantan Presiden ke-7 RI Joko Widodo (Jokowi) dalam Kasus korupsi kuota haji eks Menteri Agama Yaqut Cholil Qoumas.
Faktanya, klaim tersebut adalah tidak benar. Dilansir dari turnbackhoax.id, setelah dilakukan penelusuran melalui mesin pencari Google dengan menggunakan kata kunci “KPK panggil Jokowi dalam kasus korupsi kuota haji”, hasilnya mengarah ke pemberitaan tvonenews.com berjudul “Kenapa Jokowi Tak Diperiksa KPK dalam Kasus Korupsi Kuota Haji?”. Dalam berita yang tayang Selasa, 13 Januari 2026 itu, dilaporkan bahwa Komisi Pemberantasan Korupsi (KPK) memastikan tidak akan memeriksa Presiden ke-7 Joko Widodo dalam kasus dugaan korupsi pembagian kuota haji tambahan tahun 2024. KPK menilai dugaan perbuatan melawan hukum itu terjadi pada tahap operasional di level Kementerian Agama, bukan pada pengambilan kebijakan di tingkat presiden.
Link Counter :
</t>
    </r>
    <r>
      <rPr>
        <rFont val="Arial"/>
        <color rgb="FF1155CC"/>
        <sz val="8.0"/>
        <u/>
      </rPr>
      <t>https://turnbackhoax.id/articles/31783</t>
    </r>
    <r>
      <rPr>
        <rFont val="Arial"/>
        <sz val="8.0"/>
      </rPr>
      <t xml:space="preserve">  
</t>
    </r>
    <r>
      <rPr>
        <rFont val="Arial"/>
        <color rgb="FF1155CC"/>
        <sz val="8.0"/>
        <u/>
      </rPr>
      <t>https://www.tvonenews.com/channel/news/359311-kenapa-jokowi-tak-diperiksa-kpk-dalam-kasus-korupsi-kuota-haji</t>
    </r>
    <r>
      <rPr>
        <rFont val="Arial"/>
        <sz val="8.0"/>
      </rPr>
      <t xml:space="preserve"> </t>
    </r>
  </si>
  <si>
    <t>https://vt.tiktok.com/ZSaY84aGh/</t>
  </si>
  <si>
    <t>Ditemukan konten pada media sosial Tiktok yang diduga memuat unsur separatisme. Akun Tiktok bernama “Alpen” diduga membagikan konten bernuansa propaganda kemerdekaan Papua dengan mendukung bahwa papua berhak menerima referendum dari Indonesia dan berhak menerima kemerdekaan.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</si>
  <si>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https://www.facebook.com/share/p/1AoNzY2aNR/</t>
    </r>
  </si>
  <si>
    <t>Ditemukan konten pada media sosial Facebook yang diduga memuat unsur separatisme. akun bernama “NDUGA WENE” diduga membagikan konten bernuansa propaganda kemerdekaan Papua dengan bahwa rakyat papua berhak menentukan nasib bangsanya dan berhak memerdekakan diri.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</si>
  <si>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https://www.facebook.com/share/p/1be2uBjV2d/</t>
    </r>
  </si>
  <si>
    <t>Ditemukan konten pada media sosial Facebook yang diduga memuat unsur separatisme. Akun “Megapura_Music_Production” diduga membagikan konten propaganda kemerdekaan Papua dengan narasi provokatif bahwa negara indonesia dapat menyebabkan kepunahan identitas papua seperti budaya, bahasa dan Adat sehingga hal tersebut dijadikan landasan keinginan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</si>
  <si>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https://vt.tiktok.com/ZSaY21D6K/</t>
    </r>
  </si>
  <si>
    <t>Ditemukan konten pada media sosial Tiktok yang diduga memuat unsur misleading content yang disertai unsur hate speech. Konten tersebut berisi narasi bahwa presiden dan wakil presiden saat ini rakus terhadap kekuasaan dan menjadi penyebab kehancuran suatu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</si>
  <si>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https://www.facebook.com/share/p/1FqcH2ptxN/</t>
    </r>
  </si>
  <si>
    <t>Ditemukan konten pada media sosial Facebook yang diduga memuat unsur provokatif. Konten tersebut berisi ajakan untuk melakukan pemakzulan terhadap wakil presiden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</si>
  <si>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</si>
  <si>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r>
      <rPr>
        <rFont val="Arial,sans-serif"/>
        <color rgb="FF1155CC"/>
        <sz val="8.0"/>
        <u/>
      </rPr>
      <t>https://www.facebook.com/share/p/17yeN5DN85/</t>
    </r>
  </si>
  <si>
    <t>Ditemukan konten disinformasi berjenis fabricated content yang disertai unsur imposter content, false accusation, dan hate speech di platform media sosial, yang menampilkan poster palsu “International Arrest Warrant” dengan menempatkan Presiden Prabowo Subianto sebagai individu buronan internasional atas tuduhan genosida dan kejahatan perang di Timor Timur dan Papua. Konten tersebut merekayasa format visual menyerupai pengumuman resmi dengan mencantumkan logo Perserikatan Bangsa - Bangsa (PBB) dan Mahkamah Internasional (ICJ), seolah-olah terdapat surat penangkapan internasional yang sah, padahal tidak ada putusan, dakwaan, atau surat perintah penangkapan dari lembaga internasional manapun yang menyatakan Presiden Prabowo sebagai buronan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</si>
  <si>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https://vt.tiktok.com/ZSaYerMXe/</t>
    </r>
  </si>
  <si>
    <t>Ditemukan unggahan Tiktok yang diduga merupakan disinformasi dengan jenis Fabricated content. Konten tersebut melakukan upaya penipuan dengan modus operandi berupa program bantuan dana hibah dari arab melalui video dengan suara dan sosok yang menyerupai menteri agama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</si>
  <si>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https://www.tiktok.com/@gibran.rakabuming22</t>
    </r>
  </si>
  <si>
    <t>Ditemukan unggahan Tiktok dengan nama yang diduga merupakan disinformasi dengan jenis fabricated content. Konten tersebut melakukan upaya penipuan dengan menggunakan konten AI dengan suara dan wajah menyerupai wakil presiden gibran yang berisi bantuan negara. Target akan diarahkan untuk menghubungi nomor yang tertera pada postingan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</si>
  <si>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https://www.facebook.com/share/r/1GQyAenNBg/</t>
    </r>
  </si>
  <si>
    <t>Ditemukan konten pada media sosial Facebook yang diduga memuat unsur provokatif untuk melakukan tindakan anarkis dengan narasi “Nepalkan” Joko Widodo karena diduga melakukan pembangunan bendungan tetapi tidak bisa berfungsi saat ini karena tidak adanya jaringan irigasi yang dibuat dan hanya membuang anggaran yang ada.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</si>
  <si>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https://x.com/MichelAdam1515/status/2013104679199379964</t>
    </r>
  </si>
  <si>
    <t>Ditemukan konten pada media sosial Twitter yang diduga memuat unsur provokatif untuk melakukan tindakan anarkis dengan narasi “Makzulkan wakil presiden Gibran Rakabuming Raka yang dianggap melakukan perbuatan yang tidak baik karena diduga menggunakan ijazah palsu saat proses pencalonan menjadi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</si>
  <si>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https://x.com/KayadiMur/status/2012725444274229593</t>
    </r>
  </si>
  <si>
    <t>Ditemukan konten pada media sosial Twitter yang diduga memuat unsur provokatif untuk melakukan tindakan anarkis dengan narasi “Nepalkan” Joko Widodo karena dianggap sebagai dalang kasus korupsi yang terjadi di Indonesia, salah satunya yaitu kasus korupsi kuota haji yang terjadi pada masa pemerintahannya.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</si>
  <si>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https://x.com/AddaRul49854/status/2013213916751647219</t>
    </r>
  </si>
  <si>
    <t>Ditemukan konten pada media sosial Facebook yang diduga memuat unsur provokatif dan gerakan separatisme dengan narasi jika Aceh melakukan referendum dan merdeka maka Sumatera juga akan melakukan referendum juga.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</si>
  <si>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https://x.com/Nacan297264/status/2013627808552231248</t>
    </r>
  </si>
  <si>
    <t>Ditemukan konten pada media sosial Twitter yang diduga memuat unsur provokatif dan gerakan separatisme dengan narasi mendukung “Aceh Merdeka” dan setelah itu akan hidup seperti Timor Leste.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</si>
  <si>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https://www.facebook.com/share/v/1AhteATbDw/</t>
    </r>
  </si>
  <si>
    <t>Ditemukan konten pada media sosial Facebook yang diduga memuat unsur provokatif dan gerakan separatisme dengan narasi Aceh akan memisahkan diri dari Indonesia dan akan hidup seperti Timor Leste dan jika Aceh merdeka maka Sulawesi juga akan ikut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</si>
  <si>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https://www.facebook.com/jumikomprank/posts/pfbid02CrXNjagWELBXRqrTbPaJFForoZiiVUK5vZnR4yH1QbYrxHqCnC42UiufrgF1doMQl</t>
    </r>
  </si>
  <si>
    <t>Beredar sebuah unggahan di media sosial yang mengeklaim Menteri Keuangan Purbaya Yudhi Sadewa menemukan data uang milik mantan Presiden Joko Widodo (Jokowi) di bank Cina. Unggahan tersebut menampilkan tumpukan uang di Gedung Komisi Pemberantasan Korupsi (KPK) dan menyatakan jumlah uang Jokowi yang ditemukan mencapai ribuan triliun rupiah.
Faktanya, klaim tersebut adalah tidak benar. Dilansir dari kompas.com, setelah telusuri foto dalam unggahan tersebut identik dengan artikel di laman resmi harian.fajar.co.id. Dalam artikel menyebutkan bahwa uang tersebut merupakan hasil rampasan KPK dalam kasus korupsi investasi fiktif di PT Taspen (Persero). KPK menjelaskan uang Rp300 miliar yang dipamerkan hanya sebagian dari Rp883 miliar aset yang berhasil dipulihkan dalam kasus korupsi investasi fiktif di tubuh Taspen itu. Jadi, hingga kini tidak ditemukan informasi valid Purbaya menemukan data uang milik Jokowi di bank Cina senilai ribuan triliun.Warga hingga Kibarkan Bendera Putih | BOLA LIAR”, memberitakan di wilayah terdampak bencana Sumatra, warga berekspresi mengibarkan bendera putih sebagai isyarat mendesak agar pemerintah lebih cepat dan serius merespons bencana.</t>
  </si>
  <si>
    <r>
      <rPr>
        <rFont val="Arial,sans-serif"/>
        <color rgb="FF1155CC"/>
        <sz val="8.0"/>
        <u/>
      </rPr>
      <t>https://www.facebook.com/permalink.php?story_fbid=pfbid02gEf7Un38aaNnsb52F72z4FFRB4kDWWrNDvxSD9fcxTmPUSFQc4Zv3soiuhjFd4cjl&amp;id=61577900456840</t>
    </r>
  </si>
  <si>
    <r>
      <rPr>
        <rFont val="Arial,sans-serif"/>
        <color rgb="FF1155CC"/>
        <sz val="8.0"/>
        <u/>
      </rPr>
      <t>https://www.facebook.com/sabar.s.7906/posts/pfbid0CcKzSTTxyZfgswTEeifadL3FVgQSapHuTutsYLWJ57jvQXB4pR3oSASHtMxEtdDnl</t>
    </r>
  </si>
  <si>
    <t>20 Januari 2026</t>
  </si>
  <si>
    <r>
      <rPr>
        <rFont val="Arial,sans-serif"/>
        <color rgb="FF1155CC"/>
        <sz val="8.0"/>
        <u/>
      </rPr>
      <t>https://www.facebook.com/share/p/1AoNzY2aNR/</t>
    </r>
  </si>
  <si>
    <r>
      <rPr>
        <rFont val="Arial,sans-serif"/>
        <color rgb="FF1155CC"/>
        <sz val="8.0"/>
        <u/>
      </rPr>
      <t>https://www.facebook.com/share/p/1be2uBjV2d/</t>
    </r>
  </si>
  <si>
    <r>
      <rPr>
        <rFont val="Arial,sans-serif"/>
        <color rgb="FF1155CC"/>
        <sz val="8.0"/>
        <u/>
      </rPr>
      <t>https://vt.tiktok.com/ZSaY21D6K/</t>
    </r>
  </si>
  <si>
    <r>
      <rPr>
        <rFont val="Arial,sans-serif"/>
        <color rgb="FF1155CC"/>
        <sz val="8.0"/>
        <u/>
      </rPr>
      <t>https://www.facebook.com/share/p/1FqcH2ptxN/</t>
    </r>
  </si>
  <si>
    <r>
      <rPr>
        <rFont val="Arial,sans-serif"/>
        <color rgb="FF1155CC"/>
        <sz val="8.0"/>
        <u/>
      </rPr>
      <t>https://www.facebook.com/share/p/17yeN5DN85/</t>
    </r>
  </si>
  <si>
    <r>
      <rPr>
        <rFont val="Arial,sans-serif"/>
        <color rgb="FF1155CC"/>
        <sz val="8.0"/>
        <u/>
      </rPr>
      <t>https://vt.tiktok.com/ZSaYerMXe/</t>
    </r>
  </si>
  <si>
    <r>
      <rPr>
        <rFont val="Arial,sans-serif"/>
        <color rgb="FF1155CC"/>
        <sz val="8.0"/>
        <u/>
      </rPr>
      <t>https://www.tiktok.com/@gibran.rakabuming22</t>
    </r>
  </si>
  <si>
    <r>
      <rPr>
        <rFont val="Arial,sans-serif"/>
        <color rgb="FF1155CC"/>
        <sz val="8.0"/>
        <u/>
      </rPr>
      <t>https://www.facebook.com/share/r/1GQyAenNBg/</t>
    </r>
  </si>
  <si>
    <r>
      <rPr>
        <rFont val="Arial,sans-serif"/>
        <color rgb="FF1155CC"/>
        <sz val="8.0"/>
        <u/>
      </rPr>
      <t>https://x.com/MichelAdam1515/status/2013104679199379964</t>
    </r>
  </si>
  <si>
    <r>
      <rPr>
        <rFont val="Arial,sans-serif"/>
        <color rgb="FF1155CC"/>
        <sz val="8.0"/>
        <u/>
      </rPr>
      <t>https://x.com/KayadiMur/status/2012725444274229593</t>
    </r>
  </si>
  <si>
    <r>
      <rPr>
        <rFont val="Arial,sans-serif"/>
        <color rgb="FF1155CC"/>
        <sz val="8.0"/>
        <u/>
      </rPr>
      <t>https://x.com/AddaRul49854/status/2013213916751647219</t>
    </r>
  </si>
  <si>
    <r>
      <rPr>
        <rFont val="Arial,sans-serif"/>
        <color rgb="FF1155CC"/>
        <sz val="8.0"/>
        <u/>
      </rPr>
      <t>https://x.com/Nacan297264/status/2013627808552231248</t>
    </r>
  </si>
  <si>
    <r>
      <rPr>
        <rFont val="Arial,sans-serif"/>
        <color rgb="FF1155CC"/>
        <sz val="8.0"/>
        <u/>
      </rPr>
      <t>https://www.facebook.com/share/v/1AhteATbDw/</t>
    </r>
  </si>
  <si>
    <r>
      <rPr>
        <rFont val="Arial,sans-serif"/>
        <color rgb="FF1155CC"/>
        <sz val="8.0"/>
        <u/>
      </rPr>
      <t>https://www.facebook.com/jumikomprank/posts/pfbid02CrXNjagWELBXRqrTbPaJFForoZiiVUK5vZnR4yH1QbYrxHqCnC42UiufrgF1doMQl</t>
    </r>
  </si>
  <si>
    <r>
      <rPr>
        <rFont val="Arial,sans-serif"/>
        <color rgb="FF1155CC"/>
        <sz val="8.0"/>
        <u/>
      </rPr>
      <t>https://www.facebook.com/permalink.php?story_fbid=pfbid02gEf7Un38aaNnsb52F72z4FFRB4kDWWrNDvxSD9fcxTmPUSFQc4Zv3soiuhjFd4cjl&amp;id=61577900456840</t>
    </r>
  </si>
  <si>
    <r>
      <rPr>
        <rFont val="Arial,sans-serif"/>
        <color rgb="FF1155CC"/>
        <sz val="8.0"/>
        <u/>
      </rPr>
      <t>https://www.facebook.com/sabar.s.7906/posts/pfbid0CcKzSTTxyZfgswTEeifadL3FVgQSapHuTutsYLWJ57jvQXB4pR3oSASHtMxEtdDnl</t>
    </r>
  </si>
  <si>
    <t>19 Januari 2026</t>
  </si>
  <si>
    <r>
      <rPr>
        <rFont val="Arial,sans-serif"/>
        <color rgb="FF1155CC"/>
        <sz val="8.0"/>
        <u/>
      </rPr>
      <t>https://www.facebook.com/share/p/1PLiGhq6UR/</t>
    </r>
  </si>
  <si>
    <t>Ditemukan konten pada media sosial Facebook yang diduga memuat unsur separatisme disertai ujaran kebencian. Konten tersebut menarasikan bahwa jawa merupakan penjajah beberapa wilayah di Indonesia yakni maluku, west papua dan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</si>
  <si>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https://www.facebook.com/share/r/1KYP9Croqs/</t>
    </r>
  </si>
  <si>
    <t>Ditemukan konten pada media sosial Facebook yang diduga memuat unsur separatisme disertai ujaran kebencian. Konten tersebut menarasikan bahwa aceh mengalami penjajahan oleh jawa sehingga pembuat merasa wajib untuk merdeka dari penjajahan jawa.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</si>
  <si>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https://www.facebook.com/share/p/1CHVeR8Gta/</t>
    </r>
  </si>
  <si>
    <t>Ditemukan konten pada media sosial Facebook yang diduga memuat unsur separatisme disertai ujaran kebencian. Konten tersebut menarasikan bahwa aceh mengalami penjajahan oleh indonesia dengan kolonialisme.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</si>
  <si>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https://www.facebook.com/share/p/1EGUu93J4n/</t>
    </r>
  </si>
  <si>
    <t>Ditemukan konten pada media sosial Facebook yang diduga memuat unsur fabricated content yang disertai unsur imposter content, hate speech, dan indikasi separatisme. Konten tersebut dibuat menggunakan AI dengan yang menampilkan visual hasil rekayasa AI seolah-olah seorang prajurit TNI mencium bendera Papua Barat sebagai simbol dukungan terhadap agenda kemerdekaan. Konten tersebut juga disertai kalimat merendahkan TNI dengan narasi hanya menjalankan tugas seperti anjing peliharaan manusia berdasi. Konten tersebut menggunakan manipulasi visual dan teks naratif untuk membangun kesan bahwa institusi TNI mendukung gerakan separatis, meskipun tidak terdapat peristiwa nyata, pernyataan resmi, maupun dokumentasi faktual yang mengonfirmasi klaim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</si>
  <si>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https://www.facebook.com/share/p/1PLiGhq6UR/</t>
    </r>
  </si>
  <si>
    <t>Ditemukan konten pada media sosial Facebook yang diduga memuat unsur separatisme. Konten tersebut menarasikan bahwa militer mengorbankan rakyat papua dengan dibunuh mati demi NKRI sehingga menyebabkan timbulnya rasa tidak percaya terhadap pemerintah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</si>
  <si>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t>
  </si>
  <si>
    <r>
      <rPr>
        <rFont val="Arial,sans-serif"/>
        <color rgb="FF1155CC"/>
        <sz val="8.0"/>
        <u/>
      </rPr>
      <t>https://www.facebook.com/share/r/1KYP9Croqs/</t>
    </r>
  </si>
  <si>
    <r>
      <t xml:space="preserve">Ditemukan konten pada media sosial Tiktok yang diduga memuat unsur Disinformasi berupa misleading content. Konten tersebut berupa video perayaan yang merupakan peringatan 81 tahun pembebasan Leningrad dari blokade Nazi. (informasi dapat diakses pada tautan berikut : </t>
    </r>
    <r>
      <rPr>
        <rFont val="Arial,sans-serif"/>
        <color rgb="FF1155CC"/>
        <sz val="8.0"/>
        <u/>
      </rPr>
      <t>Konser Kemenangan Leningrad • Presiden Rusia</t>
    </r>
    <r>
      <rPr>
        <rFont val="Arial"/>
        <sz val="8.0"/>
      </rPr>
      <t>) 
Dalam acara tersebut, Tidak ada sama sekali pernyataan putin perihal ajakan rusia dan sekutu yang mendukung perjuangan rakyat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</si>
  <si>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r>
      <rPr>
        <rFont val="Arial,sans-serif"/>
        <color rgb="FF1155CC"/>
        <sz val="8.0"/>
        <u/>
      </rPr>
      <t>https://www.facebook.com/share/p/1CHVeR8Gta/</t>
    </r>
  </si>
  <si>
    <r>
      <t xml:space="preserve">Ditemukan unggahan Instagram dengan nama ‘blt umkm_‘ yang diduga merupakan disinformasi dengan jenis impersonate. Konten tersebut melakukan upaya penipuan dengan ymodus operandi bantuan budidaya ikan air tawar dengan melakukan klik phising pada tautan berikut </t>
    </r>
    <r>
      <rPr>
        <rFont val="Arial,sans-serif"/>
        <color rgb="FF1155CC"/>
        <sz val="8.0"/>
        <u/>
      </rPr>
      <t>https://a2.regiis2025.online</t>
    </r>
    <r>
      <rPr>
        <rFont val="Arial"/>
        <sz val="8.0"/>
      </rPr>
      <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</si>
  <si>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r>
      <rPr>
        <rFont val="Arial,sans-serif"/>
        <color rgb="FF1155CC"/>
        <sz val="8.0"/>
        <u/>
      </rPr>
      <t>https://www.facebook.com/share/p/1EGUu93J4n/</t>
    </r>
  </si>
  <si>
    <t>Ditemukan unggahan Facebook dengan nama yang diduga merupakan disinformasi dengan jenis fabricated content. Konten tersebut melakukan upaya penipuan dengan menggunakan konten AI dengan suara dan wajah menyerupai presiden prabowo subianto yang berisi bantuan negara. Target akan diarahkan untuk menghubungi nomor yang tertera pada postingan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</si>
  <si>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https://www.facebook.com/share/v/1D5WypDkxe/</t>
    </r>
  </si>
  <si>
    <t>Ditemukan konten pada media sosial Facebook yang diduga memuat unsur provokatif untuk melakukan tindakan anarkis dengan narasi makzulkan Gibran Rakabuming Raka serta menangkap dan menepalkan Joko Widodo karena diduga ijazah sarjana yang dimilikinya dianggap palsu oleh pengadilan negeri di Surakarta.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</si>
  <si>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https://www.facebook.com/share/r/1DF6rttfAg/</t>
  </si>
  <si>
    <t>Ditemukan konten pada media sosial Facebook yang diduga memuat unsur provokatif untuk melakukan tindakan anarkis dengan narasi “Nepalkan” Joko Widodo karena dianggap pemilihan ibukota di Kalimantan Timur merupakan pilihan yang salah sehingga disebut sebagai pemimpin yang kurang baik dan pengkhianat bangsa.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</si>
  <si>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https://www.facebook.com/share/p/1DE2k5ESvg/</t>
  </si>
  <si>
    <t>Ditemukan konten pada media sosial Facebook yang diduga memuat unsur provokatif untuk melakukan tindakan anarkis dengan narasi “Makzulkan” wakil presiden Gibran Rakabuming Raka dan menangkap Joko Widodo karena kasus ijazah yang dimilikinya yang dianggap palsu dan dilindungi oleh pihak kepolisian.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</si>
  <si>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https://www.facebook.com/share/p/1AbYp1dVaV/</t>
    </r>
  </si>
  <si>
    <t>Provokatif, Ujaran Kebencian, dan SARA</t>
  </si>
  <si>
    <t>Ditemukan konten pada media sosial Facebook yang diduga memuat unsur provokatif untuk melakukan tindakan anarkis dan ujaran kebencian mengenai SARA dengan narasi “Bubarkan” NKRI dan mencela suku jawa dengan kata-kata yang tidak pantas karena dianggap melakukan penjajahan dan perampokan pada pulau diluar jawa.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</si>
  <si>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https://www.facebook.com/share/p/1JwDghScER/</t>
  </si>
  <si>
    <t>Ditemukan konten pada media sosial Facebook yang diduga memuat unsur provokatif untuk melakukan tindakan anarkis dengan narasi “Bubarkan” DPR karena dianggap tidak berguna untuk rakyat dan terdapat salah satu anggota DPR yang mengusulkan agar pemilihan umum digelar 10 tahun sekali supaya bisa balik modal.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</si>
  <si>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https://www.facebook.com/share/p/1FQjUgS19U/</t>
  </si>
  <si>
    <t>Ditemukan konten pada media sosial Facebook yang diduga memuat unsur provokatif dan gerakan separatisme dengan narasi “Aceh Merdeka” disertai gambar seseorang yang sedang mengibarkan bendera bulan bintang dengan informasi yang diduga tidak benar adanya mengenai survei yang dilakukan terhadap warga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</si>
  <si>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https://www.facebook.com/share/p/1FYJr1AsjK/</t>
    </r>
  </si>
  <si>
    <t>Ditemukan konten pada media sosial Facebook yang diduga memuat unsur provokatif dan gerakan separatisme dengan narasi Aceh akan memisahkan diri dari NKRI dan akan hidup seperti Timor Leste karena dianggap pemerintah tidak benar serius dalam menanggapi bencana yang melanda wilayah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</si>
  <si>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https://x.com/pokenpwt567/status/2012016272423469341</t>
  </si>
  <si>
    <t>https://x.com/van88xier/status/2012016133856170411</t>
  </si>
  <si>
    <t>https://x.com/RebutKedaulat4n/status/2012016885064482946</t>
  </si>
  <si>
    <t>https://www.facebook.com/reel/2117585009069955</t>
  </si>
  <si>
    <r>
      <rPr>
        <rFont val="Arial"/>
        <sz val="8.0"/>
      </rPr>
      <t xml:space="preserve">Beredar sebuah unggahan video di media sosial Facebook dengan narasi terjadi ledakan galian tambang PT Aneka Tambang (Antam) di Kecamatan Nanggung, Kabupaten Bogor, Provinsi Jawa Barat. Ledakan itu diklaim menewaskan 700 orang yang berada dalam lubang tambang.
Faktanya, klaim tersebut adalah tidak benar. Dilansir dari kompas.com, salah satu area tambang milik PT Aneka Tambang (Antam) Unit Bisnis Pertambangan Emas (UBPE) Pongkor memunculkan kepulan asap sekitar pukul 00.30 WIB pada Selasa, 13 Januari 2026. Namun, sejauh ini belum ada laporan ledakan. Kepolisian belum dapat memastikan penyebab kebakaran atau jumlah korban meninggal dunia, tetapi dapat dipastikan tidak ada ledakan yang mengakibatkan 700 orang tewas.
Link Counter :
https://www.kompas.com/cekfakta/read/2026/01/15/153900582/-klarifikasi-pt-antam-bantah-ada-ledakan-di-tambang-tewaskan-700-orang?page=all#page2 
</t>
    </r>
    <r>
      <rPr>
        <rFont val="Arial"/>
        <color rgb="FF1155CC"/>
        <sz val="8.0"/>
        <u/>
      </rPr>
      <t>https://regional.kompas.com/read/2026/01/15/091501778/pt-antam-tepis-isu-orang-terjebak-asap-di-tambang-nanggung-bogor-berasal</t>
    </r>
  </si>
  <si>
    <t>https://www.facebook.com/reel/879590531146169</t>
  </si>
  <si>
    <t xml:space="preserve">Beredar sebuah unggahan video di media sosial Facebook dengan narasi terjadi ledakan galian tambang PT Aneka Tambang (Antam) di Kecamatan Nanggung, Kabupaten Bogor, Provinsi Jawa Barat. Ledakan itu diklaim menewaskan 700 orang yang berada dalam lubang tambang.
Faktanya, klaim tersebut adalah tidak benar. Dilansir dari kompas.com, salah satu area tambang milik PT Aneka Tambang (Antam) Unit Bisnis Pertambangan Emas (UBPE) Pongkor memunculkan kepulan asap sekitar pukul 00.30 WIB pada Selasa, 13 Januari 2026. Namun, sejauh ini belum ada laporan ledakan. Kepolisian belum dapat memastikan penyebab kebakaran atau jumlah korban meninggal dunia, tetapi dapat dipastikan tidak ada ledakan yang mengakibatkan 700 orang tewas.
Link Counter :
https://www.kompas.com/cekfakta/read/2026/01/15/153900582/-klarifikasi-pt-antam-bantah-ada-ledakan-di-tambang-tewaskan-700-orang?page=all#page2 
https://regional.kompas.com/read/2026/01/15/091501778/pt-antam-tepis-isu-orang-terjebak-asap-di-tambang-nanggung-bogor-berasal
</t>
  </si>
  <si>
    <t>https://www.tiktok.com/@hamzahali_1978</t>
  </si>
  <si>
    <t>18 Januari 2026</t>
  </si>
  <si>
    <t>https://x.com/Dee_Rose82/status/2012465950096814505</t>
  </si>
  <si>
    <t>Konten tersebut menyebut bahwa Balil sebagai orang yang bodoh atas pernyataanya terkait dengan pencalonan Gibran sebagai Cawapres. Kata kata yang digunakan merupakan kata kata kasar dan seolah oleh mengaitkan hal tersebut dengan profesi Bahlil yang dulunya supir angkot.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</si>
  <si>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https://x.com/SenopatiDiAnno/status/2012470566989738040</t>
  </si>
  <si>
    <t>Beredar video yang bernarasikan bahwa MBG merupakan program yang ngawur karena tetap berjalan di bulan puasa. Program ini dinilai mengganggu ibadah anak anak yang menerima MBG sehingga tidak fokus saat beribadah.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</si>
  <si>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https://x.com/patillele4364/status/2012107904112082945</t>
  </si>
  <si>
    <t>Konten tersebut menyebut MBG sebagai proyek balas budi dari pemerinta yang zalim. Konten tersebut juga menyebut bahwa guru dan siswa menjadi budak politik melalui program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</si>
  <si>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https://x.com/yaniarsim/status/2012475543975858295</t>
  </si>
  <si>
    <t>Konten tersebut menyebutkan bahwa terdapat siasat busuk dari wacana kepala daerah dipilih oleh DPRD dan presiden dipilih oleh DPR. Hal ini disebut sebagai upaya Prabowo untuk menjadi presiden seumur hidup.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</si>
  <si>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https://x.com/yaniarsim/status/2012684272901984631</t>
  </si>
  <si>
    <t>Konten tersebut menyebut MBG sebagai proyek Globalis yang dikendalikan pihak asing. Program mbg disebut sebut bukan untuk mencerdaskan masyarakat namun untuk mengendalikan masyarakat.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</si>
  <si>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https://x.com/YgMenang_KPU_MK/status/2012864312185155746</t>
    </r>
  </si>
  <si>
    <t>Konten tersebut mengandung unsur provokatif gerakan separatisme yang mendukung Gerakan Aceh Merdeka dengan narasi “Aceh harus memanfaatkan bencana ini untuk memisahkan diri dari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</si>
  <si>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https://x.com/kuntoadji/status/2012870177109516729</t>
    </r>
  </si>
  <si>
    <r>
      <rPr>
        <rFont val="Arial,sans-serif"/>
        <color rgb="FF1155CC"/>
        <sz val="8.0"/>
        <u/>
      </rPr>
      <t>https://x.com/P3M4LSUIJ4Z4H/status/2012693888176394481</t>
    </r>
  </si>
  <si>
    <t>Konten tersebut diduga memuat unsur provokatif aksi anarkis dengan narasi “Nepalkan” terhadap Joko Widodo dan Gibran Rakabuming.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</si>
  <si>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https://x.com/unaboobies/status/2012637554282017152</t>
    </r>
  </si>
  <si>
    <t>Konten ini mengandung unsur provokatif revolusi Indonesia dengan narasi “-perang kelas (nepalkan)
-kamp kosentrasi pekerja paksa
-depopulation pulau jawa (propaganda suicide &amp; free child)”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</si>
  <si>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https://www.facebook.com/share/p/1DAo1LWVEj/</t>
    </r>
  </si>
  <si>
    <t>Konten tersebut diduga memuat unsur provokatif aksi anarkis dengan narasi “Nepalkan” terhadap Joko Widodo disertai dengan tagar “MakzulkanGibran”.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</si>
  <si>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https://www.facebook.com/share/p/1HJatm81SB/</t>
    </r>
  </si>
  <si>
    <t>Ditemukan konten disinformasi berupa fabricated content dengan unsur separatisme dan menampilkan gambar hasil rekayasa AI “Kartu Tanda Penduduk Republik Aceh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</si>
  <si>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https://x.com/myshawti/status/2012745615491420317</t>
    </r>
  </si>
  <si>
    <t>Ditemukan sebuah konten disinformasi berupa false context yang disertai unsur provocative framing. Pernyataan yang disampaikan merupakan argumen dari Bapak Prabowo Subianto ketika acara debat dengan kamar dagang Indonesia pada tahun 2024 dengan konteks pengibaratan petani di Indonesia dapat seperti di jerman, bahwa anak muda memiliki minat untuk menjadi petani, yang kemudian disampaikan kembali hanya sebagian tanpa konteks yang penuh sehingga menimbulkan kesan provokatif berupa pernyataan bahwa presiden prabowo subianto memiliki keinginan untuk petani pergi ke disko.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</si>
  <si>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https://www.facebook.com/share/p/1DzsyqE6zH/</t>
    </r>
  </si>
  <si>
    <t>Ditemukan konten disinformasi berupa fabricated content dengan unsur separatisme dan menampilkan gambar hasil rekayasa AI situasi rapat PBB dan terdapat bendera Gerakan Aceh Merdeka seakan-akan Aceh sudah menjadi negara sendiri dengan narasi “deklarasi kemerdekaan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</si>
  <si>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https://x.com/miyaminkomplit/status/2006741948292542835</t>
    </r>
  </si>
  <si>
    <t>Ujaran Kebencian &amp; Penghinaan</t>
  </si>
  <si>
    <t>Memposting konten 
menghina Presiden &amp; Pemerintah.</t>
  </si>
  <si>
    <t>"Pasal 27A UU ITE :
 ”Setiap Orang dengan sengaja menyerang kehormatan atau 
nama baik orang lain dengan cara menuduhkan suatu hal, 
dengan maksud supaya hal tersebut diketahui umum 
dalam bentuk Informasi Elektronik dan/ atau Dokumen 
Elektronik yang dilakukan melalui Sistem Elektronik.”"</t>
  </si>
  <si>
    <t>Dapat membentuk persepsi negatif 
masyarakat terhadap Presiden.</t>
  </si>
  <si>
    <r>
      <rPr>
        <rFont val="Arial,sans-serif"/>
        <color rgb="FF1155CC"/>
        <sz val="8.0"/>
        <u/>
      </rPr>
      <t>https://x.com/achehsultanate/status/2001289038356251036?s=20</t>
    </r>
  </si>
  <si>
    <r>
      <rPr>
        <rFont val="Arial,sans-serif"/>
        <color rgb="FF1155CC"/>
        <sz val="8.0"/>
        <u/>
      </rPr>
      <t>https://x.com/blu3blu3blu/status/2001923304039551363?s=20</t>
    </r>
  </si>
  <si>
    <t>17Januari 2026</t>
  </si>
  <si>
    <t>https://vt.tiktok.com/ZSaJSjgSb/</t>
  </si>
  <si>
    <t>Konten tersebut menunjukan seorang pria yang meminta pertanggungjawaban Gibran terkait dengan janji 19 juta lapangan kerja. Pada konten tersebut Gibran disebut wajah ngantuk yang tidak kelihatan hasil kerjanya sehingga tidak pantas menjadi Wakil Presiden. Pria tersebut menyebut negara menjadi tambah hancur karena dipimpin oleh Gibran. Caption yang digunakan juga mengandung unsur provokasi untuk memakzulkan Gibran dari jabatan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</si>
  <si>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Munculnya akun dan/atau konten provokatif, ujaran kebencian, SARA menyebabkan meningkatkan persebaran manipulasi dan disinformasi, menimbulkan kegaduhan di publik, ruang menciptakan polarisasi sosial, meningkatkan ketegangan sosial yang berdampak pada gangguan keamanan dan ketertiban masyarakat serta mengganggu stabilitas dan integrasi nasional.
</t>
  </si>
  <si>
    <t>https://vt.tiktok.com/ZSaJSBXdh/</t>
  </si>
  <si>
    <t>Konten tersebut mengajak masyarakat untuk berhati hati dengan propaganda Gibran yang disebut menggunakan buzzer untuk membangun citra baik seolah oleh menjadi Wakil Presiden terbaik. konten tersebut menggiring opini yang dapat menurunkan kepercayaan masyarakat kepada pemerintah. Caption pada konten tersebut juga mengandung unsur provokasi untuk segera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</si>
  <si>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https://vt.tiktok.com/ZSaJSHgAq/</t>
  </si>
  <si>
    <t>https://x.com/PutriKayan16645/status/2011340235964399815?t=jEK3vDiG2uDC8PHlt20zXw&amp;s=35</t>
  </si>
  <si>
    <t>Konten tersebut menunjukan kegiatan menanam bakau di daerah Yogyakarta yang dlaksanakan oleh Wapres Gibran. Konten tersebut melakukan provokasi dengan menyebut kegiatan yang dilakukan Gibran sebagai sebuah acting receh dengan pemeran bayaran. Konten tersebut memiliki dampak negatif dengan menggiring opini sehingga kepercayaan masyarakat kepada pemerintah menjadi menurun.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</si>
  <si>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https://x.com/FayaAtika/status/2011320724385104309?t=0SmDYm-PQjro-UF-2KvW6w&amp;s=35</t>
  </si>
  <si>
    <t>Konten tersebut menyebut Gibran sebagai orang yang tidak cerdas dan memiliki otak bermasalah. Konten tersebut memiliki muatan kebencian terhadap Wakil Presiden Gibran tanpa memiliki dasar yang jelas.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</si>
  <si>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https://www.tiktok.com/@store94518/video/7596232725502184722</t>
  </si>
  <si>
    <t>Konten tersebut mengandung unsur provokatif gerakan separatisme yang menampilkan narasi puitis dan mendukung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</si>
  <si>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https://www.tiktok.com/@rifi.yadi/video/7594348346446302471</t>
  </si>
  <si>
    <t>Ditemukan konten disinformasi berupa fabricated content dengan unsur provokatif gerakan separatisme yang menampilkan video hasil rekayasa AI demonstrasi pendukung Gerakan Aceh Merdeka di Wembley Stadium, Inggris.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</si>
  <si>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https://x.com/dundunthetruth/status/2012463728604893574</t>
  </si>
  <si>
    <t>Konten tersebut mengandung unsur provokatif gerakan separatisme “Gerakan Aceh Merdeka”. Konten ini adalah sebuah komentar dari pernyataan kontroversial dari cuplikan ceramah Kiyai asal Jawa Tengah.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</si>
  <si>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https://x.com/AMPONCUT_ACEH/status/2011826562602320193</t>
  </si>
  <si>
    <t>Ditemukan konten disinformasi berupa fabricated content yang menampilkan video hasil rekayasa AI situasi rapat PBB dengan narasi separatisme mendukung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</si>
  <si>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https://x.com/GondewaHati321/status/2012422258887647432</t>
  </si>
  <si>
    <t>Konten tersebut diduga memuat unsur provokatif aksi anarkis dengan narasi “Nepalkan” dan disertai dengan kata-kata cacian dan ujaran kebencian terhadap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</si>
  <si>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Ditemukan konten disinformasi berupa fabricated content dengan narasi misleading content yang bersifat provokatif “Nepalkan” dengan gambar hasil rekayasa AI yang menampilkan Bapak Prabowo Subianto adalah dalang korupsi di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</si>
  <si>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https://x.com/JokowiP3n1pu/status/2011671442015076420</t>
  </si>
  <si>
    <r>
      <rPr>
        <rFont val="Arial,sans-serif"/>
        <color rgb="FF1155CC"/>
        <sz val="8.0"/>
        <u/>
      </rPr>
      <t>https://www.facebook.com/share/p/1EvpvSewgZ/</t>
    </r>
  </si>
  <si>
    <t xml:space="preserve">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 
</t>
  </si>
  <si>
    <t>https://www.facebook.com/share/r/1WiNGhkmiM/</t>
  </si>
  <si>
    <t>16 Januari 2026</t>
  </si>
  <si>
    <r>
      <rPr>
        <rFont val="Arial,sans-serif"/>
        <color rgb="FF1155CC"/>
        <sz val="8.0"/>
        <u/>
      </rPr>
      <t>https://x.com/Qoqo_2020/status/2011626259768570205</t>
    </r>
  </si>
  <si>
    <t>Ditemukan konten pada media sosial Twitter yang diduga memuat unsur provokatif untuk melakukan tindakan anarkis dengan narasi "Nepalkan" Menteri Koordinator Bidang pangan, Zulkifli Hasan karena dianggap sebagai pengkhianat bangsa dan terdapat kutipan video juga yang seperti melecehkan gerakan dalam sholat.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</si>
  <si>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</si>
  <si>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r>
      <rPr>
        <rFont val="Arial,sans-serif"/>
        <color rgb="FF1155CC"/>
        <sz val="8.0"/>
        <u/>
      </rPr>
      <t>https://x.com/dewimajid4/status/2011430443263176856</t>
    </r>
  </si>
  <si>
    <t>Ditemukan konten pada media sosial twitter yang diduga memuat unsur provokatif untuk melakukan tindakan anarkis dengan narasi Nepalkan Joko Widodo karena dianggap sebagai pembohong termasuk dengan keluarganya dan masih terdapat keturunan dari komunis.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</si>
  <si>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https://x.com/KayadiMur/status/2011261540234928360</t>
    </r>
  </si>
  <si>
    <t>Ditemukan konten pada media sosial twitter yang diduga memuat unsur provokatif untuk melakukan tindakan anarkis dengan narasi "Nepalkan" Joko Widodo karena dianggap ikut disebutkan oleh beberapa menteri yang tersangkut kasus korupsi, salah satunya adalah mantan Menteri Agama, Yaqut Cholil terkait kasus korupsi kuota haji yang diselenggarakan.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</si>
  <si>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https://x.com/PEOPLEOFTHELIE4/status/2011248084131700898</t>
    </r>
  </si>
  <si>
    <t>Ditemukan konten pada media sosial Twitter yang diduga memuat unsur provokatif untuk melakukan tindakan anarkis dengan narasi Nepalkan dan Bubarkan pemerintahan karena dianggap rakyat masih bisa bertahan tanpa adanya pemerintahan dan mengajak untuk meninggalkan sistem pemerintahan demokrasi serta terdapat kata-kata yang kurang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</si>
  <si>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https://www.tiktok.com/@mzabdl.kata/photo/7582650523342441736</t>
    </r>
  </si>
  <si>
    <t>Ditemukan konten pada media sosial Tiktok yang diduga memuat unsur provokatif dan gerakan separatisme dengan narasi mengajak masyarakat untuk mendukung referendum Aceh Merdeka karena menganggap Indonesia tidak mampu untuk mengatasi bencana banjir di Aceh dan menyebutkan juga bahwa Indonesia merupakan penjajah.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</si>
  <si>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https://www.tiktok.com/@hennisrirahayu/video/7595831047783206151</t>
    </r>
  </si>
  <si>
    <t>Ditemukan konten pada media sosial Tiktok yang diduga memuat unsur ujaran kebencian kepada wakil presiden Gibran Rakabuming Raka dengan menggunakan kata-kata yang kurang pantas untuk diucapkan.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</si>
  <si>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https://www.facebook.com/share/p/15UowAxJQUr/</t>
    </r>
  </si>
  <si>
    <t>Ditemukan konten pada media sosial Facebook yang diduga memuat unsur provokatif dan gerakan separatisme dengan narasi mengajak masyarakat untuk mendukung referendum Aceh Merdeka disertai dengan beberapa gambar sekumpulan orang sedang mengibarkan bendera bulan bintang yang digunakan untuk mengkampanyekan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</si>
  <si>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https://www.facebook.com/share/p/1JKaWhy2Zp/</t>
    </r>
  </si>
  <si>
    <t>Ditemukan konten pada media sosial Facebook yang diduga memuat unsur provokatif untuk melakukan tindakan anarkis dengan narasi Nepalkan Joko Widodo karena pernyataan dari pengacaranya yang menganggap bahwa Joko Widodo akan menang dalam sidang yang dikarenakan tidak ada dalam sejarah mantan presiden yang di penjara karena kasus ijazah 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</si>
  <si>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https://www.facebook.com/share/p/18AsHazXBM/</t>
    </r>
  </si>
  <si>
    <t>Ditemukan konten pada media sosial Facebook yang diduga memuat unsur provokatif untuk melakukan tindakan anarkis dengan narasi Nepalkan DPR karena diduga mengeluarkan pernyataan bahwa pemilihan kepala daerah akan dilakukan oleh DPR sehingga hal tersebut dianggap mengambil kedaulatan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</si>
  <si>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https://vt.tiktok.com/ZS5oJJvHK/</t>
  </si>
  <si>
    <t>"Ditemukan konten pada media sosial Facebook yang diduga memuat unsur Disinformasi berjenis Misleading content. Konten tersebut berisi narasi yang menjelaskan kemana perginya uang korupsi setelah pers. Uang hasil korupsi akan masuk kas negara sebagai Penerimaan Negara Bukan Pajak (PNBP) untuk dikembalikan ke APBN, diatur dalam UU Tipikor (UU No. 31/1999 jo. UU No. 20/2001), tetapi dalam narasi video tersebut, uang hasil korupsi akan di gunakan secara sepihak (bukan untuk negara) dalam bentuk program yang sifatnya hanya formalitas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</si>
  <si>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https://www.facebook.com/share/p/1Ed7uCMoTG/</t>
  </si>
  <si>
    <t>"Ditemukan konten pada media sosial Facebook yang diduga memuat unsur Disinformasi berjenis false context. Konten tersebut berisi ujaran provokatif bahwa koruptor di Indonesia bebas berkeliaran, sedangkan kritikus akan semakin banyak ditangkap dengan mengambil kejadian nyata yaitu kasus laras faizati terkait pengambilan permanen device iphone yang dimiliki. narasi tersebut mengambil potongan perkara yang tidak utuh dan saling tidak keterkaitan sehingga dapat menimbulkan kesalahan dalam memahami konten.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</si>
  <si>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https://vt.tiktok.com/ZS5oPWJma/</t>
  </si>
  <si>
    <t>"Ditemukan konten pada media sosial Facebook yang diduga memuat unsur Disinformasi berjenis Fabricated content. Konten tersebut berisi baju yang dibuat dengan desain fiktif dan berisi ujaran kebencian terhadap wakil presiden dengan slogan "jaid orang jangan terlalu bego nanti dikira wapres"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</si>
  <si>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https://www.facebook.com/arnima.pekanbaru/posts/pfbid0nJy8hdWjjZazGu99gENGaosj1KHMUen6ARnzHginLwexothkpujbtHJWbXsNvhE3l</t>
  </si>
  <si>
    <t xml:space="preserve">Beredar sebuah unggahan di media sosial yang mengeklaim Menteri Keuangan Purbaya Yudhi Sadewa menemukan data uang milik mantan Presiden Joko Widodo (Jokowi) di bank Cina. Unggahan tersebut menampilkan tumpukan uang di Gedung Komisi Pemberantasan Korupsi (KPK) dan menyatakan jumlah uang Jokowi yang ditemukan mencapai ribuan triliun rupiah.
Faktanya, klaim tersebut adalah tidak benar. Dilansir dari kompas.com, setelah telusuri foto dalam unggahan tersebut identik dengan artikel di laman resmi harian.fajar.co.id. Dalam artikel menyebutkan bahwa uang tersebut merupakan hasil rampasan KPK dalam kasus korupsi investasi fiktif di PT Taspen (Persero). KPK menjelaskan uang Rp300 miliar yang dipamerkan hanya sebagian dari Rp883 miliar aset yang berhasil dipulihkan dalam kasus korupsi investasi fiktif di tubuh Taspen itu. Jadi, hingga kini tidak ditemukan informasi valid Purbaya menemukan data uang milik Jokowi di bank Cina senilai ribuan triliun.
</t>
  </si>
  <si>
    <t>https://www.facebook.com/om.d.aja/posts/pfbid02tdUbvZWDujMZBHXJ6LjySYF4hxDotsgH6A6rjYsB8tw8cea1YHboMQtxJ9avzfbVl</t>
  </si>
  <si>
    <t>15 Januari 2026</t>
  </si>
  <si>
    <r>
      <rPr>
        <rFont val="Arial,sans-serif"/>
        <color rgb="FF1155CC"/>
        <sz val="8.0"/>
        <u/>
      </rPr>
      <t>https://www.facebook.com/share/r/1CugpXEF59/</t>
    </r>
  </si>
  <si>
    <t>Ditemukan konten pada media sosial Facebook yang diduga memuat unsur provokatif untuk melakukan tindakan anarkis dengan narasi "Nepalkan" Joko Widodo yang dianggap sebagai pengkhianat dan penjajah karena merampas tanah bangsa dari rakyat sendiri.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</si>
  <si>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https://www.facebook.com/share/v/16j2zhVm3K/</t>
    </r>
  </si>
  <si>
    <t>Ditemukan konten pada media sosial Facebook yang diduga memuat unsur provokatif untuk melakukan tindakan anarkis dengan narasi Nepalkan dan Tangkap Joko Widodo dengan mengepung Rumah Joko Widodo dan Kampus UGM karena terkait kasus ijazahnya yang dianggap palsu dan bukan merupakan lulusan dari UGM.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</si>
  <si>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https://www.facebook.com/share/r/1AWzauK3vM/</t>
    </r>
  </si>
  <si>
    <t>Ditemukan konten pada media sosial Facebook yang diduga memuat unsur provokatif untuk melakukan tindakan anarkis dengan narasi "Makzulkan" wakil presiden Gibran Rakabuming Raka karena tidak segera memberikan 19 juta lapangan pekerjaan yang dijanjikan dan dianggap tidak pantas untuk menjadi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</si>
  <si>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https://www.facebook.com/share/p/1KCNn521VX/</t>
    </r>
  </si>
  <si>
    <t>Ditemukan konten pada media sosial Facebook yang diduga memuat unsur provokatif dan disinformasi berjenis manipulated content dengan narasi menepalkan Joko Widodo karena terkait kasus ijazah miliknya yang dianggap palsu oleh pengadilan di Surakarta. Konten tersebut merupakan konten dengan konteks yang salah yaitu dengan menggunakan gambar asli tetapi narasi yang digunakan tidak benar dengan menyebutkan bahwa pengadilan Surakarta mengeluarkan putusan yang menyatakan ijazah dari Joko Widodo adalah 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</si>
  <si>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https://www.facebook.com/share/p/1BvkyM6D8o/</t>
    </r>
  </si>
  <si>
    <t>Ditemukan konten pada media sosial Facebook yang diduga memuat unsur provokatif untuk melakukan tindakan anarkis dengan narasi "Nepalkan" Joko Widodo karena dianggap menerima sejumlah uang dari mantan Menteri Agama, Yaqut Cholil terkait kasus korupsi kuota haji yang diselenggarakan.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</si>
  <si>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https://www.facebook.com/share/p/16TWNqxH4b/</t>
    </r>
  </si>
  <si>
    <t>Ditemukan konten pada media sosial Facebook yang diduga memuat unsur provokatif untuk melakukan tindakan anarkis dan ujaran kebencian dengan narasi "Tangkap” Joko Widodo dan “Makzulkan” wakil presiden Gibran Rakabuming Raka karena dianggap Joko Widodo tidak berani menunjukkan ijazah yang dimilikinya ke publik sehingga menduga bahwa ijazah yang dimiliki adalah 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</si>
  <si>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https://www.facebook.com/share/p/1AGS9UkCDy/</t>
    </r>
  </si>
  <si>
    <t>Ditemukan konten pada media sosial Facebook yang diduga memuat unsur provokatif untuk melakukan tindakan anarkis dengan narasi “Nepalkan” Joko Widodo dan wakil presiden Gibran Rakabuming Raka karena dianggap memiliki ijazah palsu dan menerapkan praktik nepotisme dengan memasukkan orang yang masih memiliki hubungan saudara ke dalam kantor pemerintahan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</si>
  <si>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https://vt.tiktok.com/ZS5TCNBAV/</t>
  </si>
  <si>
    <t>Ditemukan konten pada media sosial Tiktok yang diduga memuat unsur Dinsiformasi berjenis Fabricated Content berisi gambar Prabowo mencium kaki Jokowi. Konten tersebut berisi narasi bahwa jabatan presiden saat ini merupakan hasil dari menjilat presiden sebelumnya disertai tuduhan korupsi.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</si>
  <si>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https://vt.tiktok.com/ZS5TXYpWM/</t>
  </si>
  <si>
    <t>Ditemukan konten disinformasi yang diduga berjenis Mislieadig Content berisi tuduhan tidak berdasar atas tindakan yang menyebutkan bahwa wajik presiden saat ini akan melakukan kudeta kepada presiden dengan tujuan menggantikan posisi presiden saat ini.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</si>
  <si>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https://web.facebook.com/photo/?fbid=26807117282212199&amp;set=a.484721761545110</t>
  </si>
  <si>
    <t>Ditemukan konten disinformasi berjenis misleading content di platform media sosial facebook yang membingkai keberangkatan TNI yang baru dilantik menuju papua merupakan agenda penipuan dari negara. Konten tersebut disertai narasi ujaran kebencian terhadap para tentara yang baru dilantik dengan ujaran “sia sia” dan “tolol”.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</si>
  <si>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https://web.facebook.com/share/p/14TECmbg4jh/</t>
  </si>
  <si>
    <t>Ditemukan konten pada media sosial Facebook yang diduga memuat unsur disinformasi berupa misleading content, dimana terdapat narasi yang membingkai bahwa program makan bergizi nasional diberikan ilustrasi yang mirip dengan identitas presiden dan wakil presiden sehingga menimbulkan kesan bahwa program tersebut dibiayai oleh presiden dan wakil presiden, dengan narasi provokatif berupa dana PBN hanya digunakan sebagai pencitraan yang bersifat abadi.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</si>
  <si>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https://vt.tiktok.com/ZS5w9JnGh/</t>
  </si>
  <si>
    <t>Ditemukan konten pada media sosial Tiktok yang diduga memuat unsur provokatif disertai ujaran kebencian berupa tuduhan kepada presiden yang memberi izin untuk menjarah hutan kalimantan demi kepentingan suku tertentu (jawa). Konten tersebut disertai narasi provokatif berupa “jawa penjajah indonesia menjarah hutan dayak”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</si>
  <si>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https://vt.tiktok.com/ZS5wxnSvC/</t>
  </si>
  <si>
    <t>Ditemukan konten pada media sosial Tiktok yang diduga memuat unsur disinformasi berupa Misleading content. Konten tersebut berisi tuduhan terhadap presiden terkait korupsi disertai narasi disinformasi yang hingga saat ini belum ada informasi terkait perihal penyelidikan lembaga anti korupsi uni eropa kepada presiden prabowo.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</si>
  <si>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https://www.facebook.com/photo/?fbid=1416879546766783&amp;set=g.600655398635239</t>
  </si>
  <si>
    <r>
      <rPr>
        <rFont val="'Times New Roman',serif"/>
        <color rgb="FF1155CC"/>
        <sz val="8.0"/>
        <u/>
      </rPr>
      <t>https://www.facebook.com/groups/600655398635239/posts/1252619003438872/</t>
    </r>
  </si>
  <si>
    <t>https://www.facebook.com/groups/600655398635239/posts/1252961686737937/</t>
  </si>
  <si>
    <r>
      <rPr>
        <rFont val="'Times New Roman',serif"/>
        <color rgb="FF1155CC"/>
        <sz val="8.0"/>
        <u/>
      </rPr>
      <t>https://www.facebook.com/aji.kj.1481/posts/pfbid022sANM1yWC3NjWpiL6te2TF8ZEjA2xFGkEsqy9v9PzCjjF2cdURQpJAcaHYnsjuY1l</t>
    </r>
  </si>
  <si>
    <r>
      <rPr>
        <rFont val="'Times New Roman',serif"/>
        <color rgb="FF1155CC"/>
        <sz val="8.0"/>
        <u/>
      </rPr>
      <t>https://www.facebook.com/aji.kj.1481/posts/pfbid0mQDhNWLVVeCroaX8REwxJy8GjMk2eLJNiCESdw53F64V5qFdv2oguFDNrs1DA7knl</t>
    </r>
  </si>
  <si>
    <r>
      <rPr>
        <rFont val="'Times New Roman',serif"/>
        <color rgb="FF1155CC"/>
        <sz val="8.0"/>
        <u/>
      </rPr>
      <t>https://www.facebook.com/aji.kj.1481/posts/pfbid0jXSpfQyrznKvjj2u4sYmeabtFqdV8scf8uPNQCo7qF7zdj1iknNS7Qaf8JvxzsFul</t>
    </r>
  </si>
  <si>
    <r>
      <rPr>
        <rFont val="'Times New Roman',serif"/>
        <color rgb="FF1155CC"/>
        <sz val="8.0"/>
        <u/>
      </rPr>
      <t>https://www.facebook.com/aji.kj.1481/posts/pfbid0PvMGuEgSp4JGm4pEXdi3Q5398NY2SaPctqr5ekwLddrao2VwE81KyEnWCeUcAA6Wl</t>
    </r>
  </si>
  <si>
    <r>
      <rPr>
        <rFont val="'Times New Roman',serif"/>
        <color rgb="FF1155CC"/>
        <sz val="8.0"/>
        <u/>
      </rPr>
      <t>https://www.facebook.com/aji.kj.1481/posts/pfbid02WteQ1XT43bMyHjeD32GVG7LVSZfc5X4dYAP2b84EQ72HQF2vrukxZ2ByM5dSqLctl</t>
    </r>
  </si>
  <si>
    <r>
      <rPr>
        <rFont val="'Times New Roman',serif"/>
        <color rgb="FF1155CC"/>
        <sz val="8.0"/>
        <u/>
      </rPr>
      <t>https://www.facebook.com/groups/9767428643312271/posts/25384713454490538/</t>
    </r>
  </si>
  <si>
    <r>
      <rPr>
        <rFont val="'Times New Roman',serif"/>
        <color rgb="FF1155CC"/>
        <sz val="8.0"/>
        <u/>
      </rPr>
      <t>https://www.facebook.com/groups/9767428643312271/posts/25369361006025783/</t>
    </r>
  </si>
  <si>
    <t xml:space="preserve">https://www.facebook.com/reel/737347499023839 </t>
  </si>
  <si>
    <t>https://www.facebook.com/groups/meikolektif/posts/1985686975540746/</t>
  </si>
  <si>
    <t>DItemukan konten pada platform X yang bermuatan separatisme dengan narasi “udah paling bener aceh merdeka...pemerintah indon di jawa penjahat semua” Konten ini secara langsung mendukung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</si>
  <si>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t>
  </si>
  <si>
    <t xml:space="preserve">Munculnya akun dan/atau konten provokatif, ujaran kebencian, SARA menyebabkan meningkatkan persebaran manipulasi dan disinformasi, menimbulkan kegaduhan di publik, ruang menciptakan polarisasi sosial, meningkatkan ketegangan sosial yang berdampak pada gangguan keamanan dan ketertiban masyarakat serta mengganggu stabilitas dan integrasi nasional.
</t>
  </si>
  <si>
    <t>https://x.com/DhonieJoe/status/2006281784603156567</t>
  </si>
  <si>
    <t>https://www.facebook.com/groups/1010933189941887/?multi_permalinks=1147791346256070&amp;hoisted_section_header_type=recently_seen</t>
  </si>
  <si>
    <t>https://www.facebook.com/groups/1010933189941887/?multi_permalinks=1148630886172116&amp;hoisted_section_header_type=recently_seen</t>
  </si>
  <si>
    <t>https://www.facebook.com/reel/1403374597831143</t>
  </si>
  <si>
    <r>
      <rPr>
        <rFont val="Arial"/>
        <color theme="1"/>
        <sz val="8.0"/>
      </rPr>
      <t xml:space="preserve">Beredar unggahan berisi narasi di media sosial Facebook yang mengeklaim Ketua Dewan Ekonomi Nasional (DEN) Luhut Binsar Pandjaitan mengancam akan menghentikan bantuan jika Aceh meminta bantuan negara lain.
Faktanya, klaim tersebut adalah tidak benar. Dilansir dari turnbackhoax.id, setelah memasukkan kata kunci “Luhut hentikan bantuan Aceh” ke mesin pencarian Google, hasilnya mengarah ke pemberitaan cnbcindonesia.com berjudul “Kampungnya Ikut Terdampak Banjir, Luhut Gercep Lakukan Ini”. Berita ini melaporkan bahwa Ketua Dewan Ekonomi Nasional (DEN) Luhut Binsar Pandjaitan bergerak cepat melakukan koordinasi intensif untuk penanganan bencana banjir bandang yang melanda Sumatra, termasuk kampung halamannya di Provinsi Sumatra Utara. Kemudian artikel kompas.tv berjudul “Polemik Bantuan Asing, DPD Aceh Beber Kegelisahan Warga hingga Kibarkan Bendera Putih | BOLA LIAR”, memberitakan di wilayah terdampak bencana Sumatra, warga berekspresi mengibarkan bendera putih sebagai isyarat mendesak agar pemerintah lebih cepat dan serius merespons bencana.
Link Counter :
</t>
    </r>
    <r>
      <rPr>
        <rFont val="Arial"/>
        <color rgb="FF1155CC"/>
        <sz val="8.0"/>
        <u/>
      </rPr>
      <t xml:space="preserve">https://turnbackhoax.id/articles/31084 
https://www.cnbcindonesia.com/news/20251205103323-4-691382/kampungnya-ikut-terdampak-banjir-luhut-gercep-lakukan-ini 
https://www.kompas.tv/nasional/638580/polemik-bantuan-asing-dpd-aceh-beber-kegelisahan-warga-hingga-kibarkan-bendera-putih-bola-liar </t>
    </r>
  </si>
  <si>
    <t>https://www.facebook.com/reel/2676066502728997</t>
  </si>
  <si>
    <r>
      <rPr>
        <rFont val="Arial"/>
        <sz val="8.0"/>
      </rPr>
      <t xml:space="preserve">Beredar unggahan di media sosial Facebook dengan narasi yang mengeklaim Menteri Keuangan (Menkeu) Purbaya Yudhi Sadewa mengancam Luhut Binsar Pandjaitan dan Sri Mulyani untuk mengembalikan uang negara yang dikantongi secara pribadi selama menjabat di pemerintahan.
Faktanya, klaim tersebut adalah tidak benar. Dilansir dari turnbackhoax.id, setelah memasukkan kata kunci “Menkeu Purbaya ancam Luhut dan Sri Mulyani jika tak kembalikan uang negara” di mesin pencarian Google. Namun, tidak ditemukan satupun informasi dari sumber kredibel yang membahas klaim tersebut.
Link Counter :
</t>
    </r>
    <r>
      <rPr>
        <rFont val="Arial"/>
        <color rgb="FF1155CC"/>
        <sz val="8.0"/>
        <u/>
      </rPr>
      <t>https://turnbackhoax.id/articles/31633</t>
    </r>
  </si>
  <si>
    <t>14 Januari 2026</t>
  </si>
  <si>
    <t>https://www.tiktok.com/@buyawoyla/video/7594889927821823240</t>
  </si>
  <si>
    <t>Konten tersebut adalah disinformasi berupa fabricated content yang mengandung unsur provokatif gerakan separatisme yang menampilkan video hasil rekayasa AI terkait demo Gerakan Aceh Merdeka dan menuntut Aceh untuk dimerdekakan.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</si>
  <si>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https://x.com/PEOPLEOFTHELIE4/status/2011275936591987201</t>
  </si>
  <si>
    <t>Konten tersebut diduga memuat unsur provokatif aksi anarkis dengan narasi “Nepalkan” terhadap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</si>
  <si>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https://x.com/RoemahDjoeang45/status/2011268169747591511</t>
  </si>
  <si>
    <t>Konten tersebut diduga memuat unsur provokatif aksi anarkis dengan narasi “Nepalkan” terhadap Geng Solo, yang merujuk kepada Joko Widodo dan Gibran Rakabuming.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</si>
  <si>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https://x.com/RoemahDjoeang45/status/2011267758789628211</t>
  </si>
  <si>
    <t>https://x.com/PEOPLEOFTHELIE4/status/2011097311284535630</t>
  </si>
  <si>
    <t>Konten tersebut diduga memuat unsur provokatif aksi anarkis dengan narasi “Nepalkan” dan disertai dengan kata-kata cacian dan ujaran kebencian terhadap Luhut Panjaitan.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</si>
  <si>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https://x.com/van88xier/status/2010590003240612200</t>
  </si>
  <si>
    <t>Ditemukan sebuah konten disinformasi berupa fabricated content yang memuat unsur provokatif aksi anarkis dengan narasi “Nepalkan” terhadap Gibran Rakabuming. Konten tersebut juga menyebutkan bahwa Gibran Rakabuming adalah bagian dari PKI.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</si>
  <si>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https://x.com/Strata388594/status/2010519384285126688</t>
  </si>
  <si>
    <t>https://www.facebook.com/share/p/14XB8Yr2aAs/</t>
  </si>
  <si>
    <t>Konten tersebut mengandung unsur provokatif gerakan separatisme “Gerakan Aceh Merdeka” yang sudah mengarah juga ke unsur SARA dengan narasi “Masyarakat Aceh Menolak Transformasi Dari Jawa”. Konten ini diduga dibuat untuk memecah belah dan adu domba antar warga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</si>
  <si>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https://www.facebook.com/share/p/14Sx87gxzsL/</t>
  </si>
  <si>
    <t>Ditemukan konten disinformasi berupa misleading content dengan unsur provokatif gerakan separatisme dengan narasi “10 Kelompok Yang Ingin Merdeka Dari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</si>
  <si>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https://vt.tiktok.com/ZS5cseou9/</t>
  </si>
  <si>
    <t>Ditemukan konten disinformasi yang menyebutkan bahwa Hakim PN Surakarta menyatakan bahwa Ijaah Jokowi palsu. Berdasarkan penelusuran yang dilakukan tidak ditemukan keterangan resmi yang mendukung klaim tersebut. konten juga menggunakan caption yang bersifat provokatif untuk memakzulkan Gibran dari jabatan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</si>
  <si>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https://vt.tiktok.com/ZS5cshBmw/</t>
  </si>
  <si>
    <t>Ditemukan konten pada media sosial yang mengklaim bahwa 97% masyarakat Indonesia merasa kecewa dengan kinerja Gibran. tidak ditemukan data yang mendukung klaim tersebut dan cenderung bersifat menjatuhkan. caption yang digunakan juga bersifat provokatif untuk memakzulkan Gibran dari jabatan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</si>
  <si>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https://vt.tiktok.com/ZS5csQX3f/</t>
  </si>
  <si>
    <t>Ditemukan konten pada media sosial yang mengklaim bahwa 97% masyarakat Indonesia merasa kecewa dengan kinerja Gibran. tidak ditemukan data yang mendukung klaim tersebut dan cenderung bersifat menjatuhkan. caption yang digunakan juga bersifat provokatif untuk memakzulkan Gibran dari jabatan Wakil Presiden. Konten tersebut juga menyebut Gibran sebagai orang yang bodoh dan kekanak kanakan.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</si>
  <si>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https://vt.tiktok.com/ZS5csXeew/</t>
  </si>
  <si>
    <t>Konten tersebut bermuatan provokatif dengan narasi untuk memakzulkan Wapres Gibran. dalam konten tersebut juga menyebut Gibran dengan kata kata kasar dan menyebut Gibran kerja dibantu oleh ayahnya.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</si>
  <si>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https://vt.tiktok.com/ZS5csfuv4/</t>
  </si>
  <si>
    <t>Pada konten tersebut menyatakan bahwa Gibran tidak lulus SMP karena pernah terjerat kasus Narkoba dan dikeluarkan dari sekolah. Gibran juga disebut dibebaskan karena ayahnya merupakan Wali Kota Solo Pada masa itu.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</si>
  <si>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https://www.tiktok.com/@arielkeisya/video/7367022505799748869?q=meme%20gibran%20ngantuk&amp;t=1768360895285</t>
  </si>
  <si>
    <t>https://www.tiktok.com/@memeow113/video/7363607541764361478?q=meme%20gibran%20ngantuk&amp;t=1768360895285</t>
  </si>
  <si>
    <t>https://www.tiktok.com/@m4rs_93/video/7554518978551500088?q=meme%20gibran%20ngantuk&amp;t=1768360895285</t>
  </si>
  <si>
    <t>https://www.facebook.com/groups/805384549471574?multi_permalinks=25941802072069808&amp;hoisted_section_header_type=recently_seen</t>
  </si>
  <si>
    <t>https://x.com/SenopatiDiAnno/status/2005549462790533133</t>
  </si>
  <si>
    <t>https://x.com/124hmahHastuti1/status/2010181473316548973</t>
  </si>
  <si>
    <t>https://x.com/yaniarsim/status/2009056273086771592</t>
  </si>
  <si>
    <r>
      <rPr>
        <rFont val="Arial"/>
        <color rgb="FF1155CC"/>
        <sz val="8.0"/>
        <u/>
      </rPr>
      <t>https://www.tiktok.com/@wan.limpeun.pasee/video/7581527010246233364</t>
    </r>
    <r>
      <rPr>
        <rFont val="Arial"/>
        <sz val="8.0"/>
      </rPr>
      <t xml:space="preserve"> </t>
    </r>
  </si>
  <si>
    <r>
      <rPr>
        <rFont val="Arial"/>
        <sz val="8.0"/>
      </rPr>
      <t xml:space="preserve">Beredar unggahan video di media sosial TikTok yang mengeklaim sebuah tangkapan layar berisi narasi bahwa Duta Besar Inggris mengatakan keberadaan Indonesia di Aceh tidak sah.
Faktanya, klaim tersebut adalah tidak benar. Dilansir dari turnbackhoax.id, setelah dilakukan pengecekan menggunakan mesin pencari Google dengan memasukan kata kunci “Duta Besar Inggris mengatakan keberadaan Indonesia di Aceh tidak sah", hasilnya tidak ditemukan informasi kredibel yang membenarkan klaim tersebut. Selain itu, pencarian menggunakan Google Lens, hasilnya ditemukan konten serupa dari laman bmcc.org.my berjudul “Welcoming H.E. Ajay Sharma, British High Commissioner to Malaysia at EQ Hotel Kuala Lumpur”. Diketahui konteks asli foto tersebut adalah dokumentasi penyambutan Ajay Sharma, komisaris tinggi Inggris untuk Malaysia atau diplomat senior yang mewakili Britania Raya di negara-negara anggota PBB, pada Juni 2025 di EQ Kuala Lumpur.
Link Counter :
https://turnbackhoax.id/articles/30795  
</t>
    </r>
    <r>
      <rPr>
        <rFont val="Arial"/>
        <color rgb="FF1155CC"/>
        <sz val="8.0"/>
        <u/>
      </rPr>
      <t>https://bmcc.org.my/welcoming-h-e-ajay-sharma-british-high-commissioner-to-malaysia-at-eq-hotel-kuala-lumpur/</t>
    </r>
    <r>
      <rPr>
        <rFont val="Arial"/>
        <sz val="8.0"/>
      </rPr>
      <t xml:space="preserve">  </t>
    </r>
  </si>
  <si>
    <t>https://www.tiktok.com/@murdani5957/video/7590423045597105428</t>
  </si>
  <si>
    <t xml:space="preserve">Beredar unggahan video di media sosial TikTok yang mengeklaim sebuah tangkapan layar berisi narasi bahwa Duta Besar Inggris mengatakan keberadaan Indonesia di Aceh tidak sah.
Faktanya, klaim tersebut adalah tidak benar. Dilansir dari turnbackhoax.id, setelah dilakukan pengecekan menggunakan mesin pencari Google dengan memasukan kata kunci “Duta Besar Inggris mengatakan keberadaan Indonesia di Aceh tidak sah", hasilnya tidak ditemukan informasi kredibel yang membenarkan klaim tersebut. Selain itu, pencarian menggunakan Google Lens, hasilnya ditemukan konten serupa dari laman bmcc.org.my berjudul “Welcoming H.E. Ajay Sharma, British High Commissioner to Malaysia at EQ Hotel Kuala Lumpur”. Diketahui konteks asli foto tersebut adalah dokumentasi penyambutan Ajay Sharma, komisaris tinggi Inggris untuk Malaysia atau diplomat senior yang mewakili Britania Raya di negara-negara anggota PBB, pada Juni 2025 di EQ Kuala Lumpur.
Link Counter :
https://turnbackhoax.id/articles/30795
https://bmcc.org.my/welcoming-h-e-ajay-sharma-british-high-commissioner-to-malaysia-at-eq-hotel-kuala-lumpur/ </t>
  </si>
  <si>
    <t>13 Januari 2026</t>
  </si>
  <si>
    <t>https://www.tiktok.com/@aliamin1605/video/7594463638841216264</t>
  </si>
  <si>
    <t>Konten tersebut adalah disinformasi berupa fabricated content yang mengandung unsur provokatif gerakan separatisme yang menampilkan video hasil rekayasa AI terkait demo Gerakan Aceh Merdeka di jalan tol.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</si>
  <si>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https://www.tiktok.com/@aliamin1605/video/7594665212050132231</t>
  </si>
  <si>
    <t>Ditemukan sebuah konten disinformasi berupa misleading content dengan narasi provokatif serta separatisme yang menyebutkan bahwa Anies Baswedan adalah Calon Presiden Aceh dalam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</si>
  <si>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https://x.com/JkBataona_09/status/2010688133088575783</t>
  </si>
  <si>
    <t>Konten tersebut diduga mengandung unsur provokatif gerakan separatisme yang mendukung Gerakan Aceh Merdeka secara eksplisit dengan narasi “Saya Mendukung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</si>
  <si>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https://x.com/fransis74201222/status/2010632612189176228</t>
  </si>
  <si>
    <t>Konten tersebut diduga mengandung unsur provokatif gerakan separatisme yang mendukung Gerakan Aceh Merdeka dengan narasi “ACEH HARUS LEPAS DARI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</si>
  <si>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https://x.com/Dirgahayu394/status/2010810281195422057</t>
  </si>
  <si>
    <t>Konten tersebut diduga mengandung unsur provokatif gerakan separatisme yang mendukung Gerakan Aceh Merdeka dengan narasi yang mengaitkan hal tersebut dengan agama.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</si>
  <si>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https://www.facebook.com/share/p/17muFBiN9f/</t>
  </si>
  <si>
    <t>Konten tersebut diduga memuat unsur provokatif aksi anarkis dengan narasi “nepalkan” terhadap Joko Widodo. Konten tersebut juga menyebutkan bahwa Joko Widodo adalah Ketua PKI.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</si>
  <si>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https://www.facebook.com/share/r/1ECvqWGPMV/</t>
  </si>
  <si>
    <t>Konten tersebut diduga memuat unsur provokatif aksi anarkis dengan narasi “nepalkan” terhadap Prabowo. Konten tersebut juga memuat narasi bahwa Prabowo adalah dalang dari ‘drama’ kekacauan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</si>
  <si>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https://x.com/denni_sauya/status/2010657767200346231?t=gzlYX-z7CewSugqh-0qpng&amp;s=35</t>
  </si>
  <si>
    <t>Konten tersebut menyebutkan bahwa pendukung Gibran marah saat Pandji menghina Gibran namun diam saat Gibran menghina Prabowo melalui akun Fufufafa. Konten tersebut dapat menimbulkan polarisasi di masyarakat dan mewajarkan penghinaan kepada kepala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</si>
  <si>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https://x.com/didiek_murdock/status/2010408095185592721?t=UT0_1Pra6kBZxogpgD5MWQ&amp;s=35</t>
  </si>
  <si>
    <t>Konten tersebut bernarasikan bahwa rakyat sudah mulai melawan kezaliman penguasa dan menyebarkan provokasi kepada daerah lainnya. kondisi tersebut dapat menyebabkan situasi yang mengancam kondusivitas dan keamanan.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</si>
  <si>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https://x.com/MayaA62580468/status/2010637884517470700?t=2wbdp7Wdt9A6m7zJqPYh5Q&amp;s=35</t>
  </si>
  <si>
    <t>Konten tersebut bernarasikan bahwa Prabowo merupakan manusia bermasa depan kelam, hal ini berkaitan dengan video lama Raja Juli yang sudah tidak relevan dengan kondisi saat ini. konten tersebut dapat menyebabkan polarisasi di masyarakat dan mengganggu keamanan.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</si>
  <si>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https://x.com/MichelAdam1515/status/2010919107160654016?t=TzwoSy_kjfy5yIMBcNewBA&amp;s=35</t>
  </si>
  <si>
    <t>Konten tersebut mengandung unsur provokatif dengan menggunakan tagar #PrabowoPresidenTerpasung  sehingga dapat menimbulkan persepsi di masyarakat bahwa Presiden tidak memiliki kekuasaan dan tidak independen.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</si>
  <si>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https://x.com/PngAdilnR4kyt/status/2010927110073041357?t=7XNxGfd8INA56YeY3slbZA&amp;s=35</t>
  </si>
  <si>
    <t>Konten tersebut menggiring opini bahwa KUHP yang disahkan baru baru ini merupakan upaya untuk melemahkan Kementerian Keuangan dibawah Purbaya. Hal ini dapat menyesatkan pembaca dengan narasi yang tidak bertanggung jawab.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</si>
  <si>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https://www.facebook.com/groups/566857346817339/posts/3534501720052872/</t>
  </si>
  <si>
    <r>
      <rPr>
        <rFont val="Arial"/>
        <sz val="8.0"/>
      </rPr>
      <t xml:space="preserve">Beredar unggahan di media sosial mengeklaim Presiden Prabowo Subianto meminta warga Aceh untuk mengeroyok Bahlil
Faktanya, unggahan tersebut adalah tidak benar. Dilansir dari liputan6.com, unggahan tersebut identik dengan video di kanal YouTube CNN Indonesia yang berjudul ""BREAKING NEWS Presiden Prabowo Tinjau Posko Pengungsian di Aceh Tamiang"". Dalam video teks yang asli bertuliskan ""Presiden Prabowo Tinjau Posko Pengungsian"" bukan meminta warga Aceh untuk keroyok Bahlil. Selain itu CNN Indonesia juga mengunggah video yang sama dengan teks bertuliskan ""Prabowo Minta Maaf Listrik Belum Nyala Merata di Aceh"".
Link Counter:
https://www.liputan6.com/cek-fakta/read/6253065/cek-fakta-hoaks-presiden-prabowo-minta-warga-aceh-keroyok-bahlil
https://www.youtube.com/watch?v=Xc5kZFg4vxs&amp;t=977s
</t>
    </r>
    <r>
      <rPr>
        <rFont val="Arial"/>
        <color rgb="FF1155CC"/>
        <sz val="8.0"/>
        <u/>
      </rPr>
      <t>https://www.youtube.com/watch?v=q-eQvEI74Ik</t>
    </r>
  </si>
  <si>
    <t>https://www.facebook.com/groups/1151853379265315/posts/1558344315282884/</t>
  </si>
  <si>
    <r>
      <rPr>
        <rFont val="Arial"/>
        <sz val="8.0"/>
      </rPr>
      <t xml:space="preserve">Beredar sebuah unggahan menampilkan tangkapan layar pemberitaan artikel dari Gelora News dengan judul "Komisi Pemberantasan Korupsi KPK Uang Yang Diterima Mantan Presiden Jokowi Dari Bupati Bekasi Mencapai 87 Miliar, KPK: Jokowi Belum Bisa Diperiksa karena Sakit kurapnya Belum Sembuh Total". Unggahan tersebut diunggah pada 24 Desember 2025.
Faktanya, klaim tersebut adalah tidak benar. Dilansir dari liputan6.com, setelah dilakukan penelusuran pada situs gelora.co, artikel aslinya berjudul "Jadi Tersangka KPK, Harta Bupati Bekasi Naik Rp68 Miliar selama 6 Tahun". Artikel tersebut sama sekali tidak membahas mantan Presiden Joko Widodo. Artikel asli hanya membahas kenaikan harta Bupati Bekasi Ade Kuswara selama enam tahun terakhir. Bupati Bekasi Ade Kuswara sendiri resmi ditetapkan tersangka kasus dugaan suap usai terjaring Operasi Tangkap Tangan Komisi Pemberantasan Korupsi (OTT KPK) pekan lalu.
Link Counter:
https://www.liputan6.com/cek-fakta/read/6244549/cek-fakta-hoaks-artikel-mantan-presiden-jokowi-terima-uang-rp-87-miliar-dari-bupati-bekasi?page=3
</t>
    </r>
    <r>
      <rPr>
        <rFont val="Arial"/>
        <color rgb="FF1155CC"/>
        <sz val="8.0"/>
        <u/>
      </rPr>
      <t>https://www.gelora.co/2025/12/jadi-tersangka-kpk-harta-bupati-bekasi.html</t>
    </r>
  </si>
  <si>
    <t>12 Januari 2026</t>
  </si>
  <si>
    <r>
      <rPr>
        <rFont val="Arial,sans-serif"/>
        <color rgb="FF1155CC"/>
        <sz val="8.0"/>
        <u/>
      </rPr>
      <t>https://www.facebook.com/share/p/164CZT4yeD/</t>
    </r>
  </si>
  <si>
    <t>Ditemukan konten pada media sosial Facebook yang diduga memuat unsur ujaran kebencian terhadap wakil presiden gibran berupa narasi ajakan kepada rakyat untuk melengserkan disertai narasi merendahkan terhadap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</si>
  <si>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</si>
  <si>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r>
      <rPr>
        <rFont val="Arial,sans-serif"/>
        <color rgb="FF1155CC"/>
        <sz val="8.0"/>
        <u/>
      </rPr>
      <t>https://www.facebook.com/profile.php?id=100092282271526</t>
    </r>
  </si>
  <si>
    <t>Ditemukan konten pada media sosial Facebook yang diduga memuat unsur ujaran kebencian kepada suku jawa. Diduga akun mulyadi san jawir jakon memposting narasi yang menyudutkan suku jawa seperti narasi bahwa jawa pendukung belanda pada masa penjajahan serta membandingkan suku jawa dengan suku lainnya dari sudut pandang negatif.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</si>
  <si>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https://vt.tiktok.com/ZS5snS4PR/</t>
    </r>
  </si>
  <si>
    <t>Ditemukan konten pada media sosial Tiktok yang diduga memuat unsur provokatif berupa gambar yang merendahkan bendera merah putih.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</si>
  <si>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https://www.tiktok.com/@purbayas_kemenkeu</t>
    </r>
  </si>
  <si>
    <t>Ditemukan unggahan Tiktok dari akun ‘purbaya kemenkeu‘ yang mengklaim bantuan akhir tahun melalui fabricated content berupa video AI dengan suara dan wajah menteri keuangan dengan menghubungi nomor yang tertera pada akun tersebut sebagai bukti penerimaan bantuan.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</si>
  <si>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https://www.facebook.com/dana.bantuan.pemerintah.indonesia.920429</t>
  </si>
  <si>
    <t>Ditemukan konten pada media sosial Facebook yang diduga memuat unsur Disinformasi berjenis Misleading content. Konten tersebut berisi pertemuan dibuat menggunakan suara presiden prabowo yang di generate menggunakan AI dengan narasi bahwa Indonesia tidak pantas bertindak sebagai pemilik sumber daya.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</si>
  <si>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https://www.facebook.com/profile.php?id=61585992870726</t>
    </r>
  </si>
  <si>
    <t>Ditemukan konten pada media sosial Facebook yang diduga memuat unsur Disinformasi berjenis Misleading content. Konten tersebut melakukan impersonate terhadap BPUP Kemenparekraf yang kemudian melakukan penawaran terhadap bantuan BPUP pemerintah.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</si>
  <si>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https://www.facebook.com/profile.php?id=61551680884218</t>
  </si>
  <si>
    <t>Ditemukan konten pada media sosial Facebook yang diduga memuat unsur Disinformasi berjenis Misleading content. Konten tersebut melakukan impersonate terhadap BSSN yang menawarkan proses penyelesaian penipuan online.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</si>
  <si>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https://vt.tiktok.com/ZS5GSsUVG/</t>
  </si>
  <si>
    <t>Ditemukan konten pada media sosial Tiktok yang diduga memuat unsur separatisme berisi narasi aceh berdaulat tanpa indonesia dan memberikan pernyataan bahwa indonesia melakukan deforestasi di wilayah aceh sehingga menyebabkan bencana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</si>
  <si>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https://vt.tiktok.com/ZS5GA2NaH/</t>
    </r>
  </si>
  <si>
    <t>Ditemukan konten pada media sosial Tiktok yang diduga memuat unsur separatisme berisi narasi bahwa aceh membutuhkan referendum sebagai solusi permasalahan bencana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</si>
  <si>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https://www.facebook.com/share/r/17xYcY6BwP/</t>
    </r>
  </si>
  <si>
    <t>Ditemukan konten pada media sosial Facebook yang diduga memuat unsur provokatif untuk melakukan tindakan anarkis dengan narasi "Nepalkan" dan “Makzulkan” wakil presiden Gibran Rakabuming Raka karena dianggap terdapat kesalahan dalam pidatonya karena tidak lulus SMA disertai dengan kata yang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</si>
  <si>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https://www.facebook.com/share/p/1Fv7as3nBa/</t>
  </si>
  <si>
    <t>Ditemukan konten pada media sosial Facebook yang diduga memuat unsur provokatif untuk melakukan tindakan anarkis dengan narasi "Nepalkan" Joko Widodo karena dianggap sebagai anggota PKI dan menyebutkan bahwa Joko Widodo sumber dari masalah.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</si>
  <si>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https://www.facebook.com/share/p/1HUkDsw6pU/</t>
    </r>
  </si>
  <si>
    <t>Ditemukan konten pada media sosial Facebook yang diduga memuat unsur provokatif untuk melakukan tindakan anarkis dengan narasi "Nepalkan" DPR karena dianggap tidak segera mengesahkan RUU Perampasan Aset.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</si>
  <si>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https://www.facebook.com/share/p/1817yLNzYq/</t>
    </r>
  </si>
  <si>
    <t>Ditemukan konten pada media sosial Facebook yang diduga memuat unsur provokatif untuk melakukan tindakan anarkis dengan narasi "Makzulkan” wakil presiden Gibran Rakabuming Raka karena dianggap telah membohongi rakyat dan melawan hukum konstitusi dengan menggunakan ijazah palsu.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</si>
  <si>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https://www.facebook.com/share/p/17kw9G3Woy/</t>
  </si>
  <si>
    <t>Ditemukan konten pada media sosial Facebook yang diduga memuat unsur provokatif dan gerakan separatisme dengan narasi "Aceh Merdeka” karena menganggap jika Aceh merdeka maka dapat menjadi daerah yang makmur dan memiliki etika terbaik di dunia..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</si>
  <si>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https://x.com/fransis74201222/status/2009807304854823271</t>
    </r>
  </si>
  <si>
    <t>Ditemukan konten pada media sosial Twitter yang diduga memuat unsur provokatif dan gerakan separatisme dengan narasi "Aceh Merdeka” karena dianggap daerah Aceh sengaja dihancurkan oleh pemerintah disebabkan oleh pemerintah yang benci dengan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</si>
  <si>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https://x.com/fransis74201222/status/2010632612189176228</t>
    </r>
  </si>
  <si>
    <t>Ditemukan konten pada media sosial Twitter yang diduga memuat unsur provokatif dan gerakan separatisme dengan narasi "Aceh Merdeka” karena menganggap bahwa jika Aceh masih bersama Indonesia maka akan dibantai secara terus menerus sehingga Aceh harus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</si>
  <si>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https://www.facebook.com/groups/3065799250328878/?multi_permalinks=4258718524370272&amp;hoisted_section_header_type=recently_seen</t>
  </si>
  <si>
    <t>https://www.facebook.com/reel/1811536512787700</t>
  </si>
  <si>
    <t>https://www.facebook.com/groups/324646180513763/?multi_permalinks=933130482998660&amp;hoisted_section_header_type=recently_seen</t>
  </si>
  <si>
    <t>https://www.facebook.com/reel/839883595364566</t>
  </si>
  <si>
    <t>https://www.facebook.com/reel/1943189663111756</t>
  </si>
  <si>
    <t>https://www.facebook.com/groups/416141525935651/?multi_permalinks=1852685618947894&amp;hoisted_section_header_type=recently_seen</t>
  </si>
  <si>
    <t>https://www.facebook.com/groups/416141525935651/?multi_permalinks=1821552542061202&amp;hoisted_section_header_type=recently_seen</t>
  </si>
  <si>
    <t>https://www.facebook.com/groups/416141525935651/?multi_permalinks=1828164968066626&amp;hoisted_section_header_type=recently_seen</t>
  </si>
  <si>
    <t>https://www.facebook.com/groups/416141525935651/?multi_permalinks=1848017796081343&amp;hoisted_section_header_type=recently_seen</t>
  </si>
  <si>
    <t>https://www.facebook.com/groups/416141525935651/?multi_permalinks=1847370736146049&amp;hoisted_section_header_type=recently_seen</t>
  </si>
  <si>
    <t>https://x.com/devprinceps/status/2006976269146272131</t>
  </si>
  <si>
    <t>https://x.com/Txtpersonograta/status/2008441693281132937</t>
  </si>
  <si>
    <t>https://www.facebook.com/sanusi.anwar.37/posts/pfbid023AR3es2PgFej76B3HGD6ucpFkdW3xTyLKq1v2sxAX84ER1gWWwVRD1kzvFnvQpHKl</t>
  </si>
  <si>
    <t>https://kbanews.com/resonansi/utang-sebagai-jalan-pintas-arah-berbahaya-kebijakan-prabowo-gibran/</t>
  </si>
  <si>
    <t>Filesharing</t>
  </si>
  <si>
    <t>https://x.com/zetsuboujin/status/2010569568763449444</t>
  </si>
  <si>
    <t>https://x.com/MahadewaDharne/status/2010567920343281930</t>
  </si>
  <si>
    <t>https://www.kompas.tv/nasional/643312/roy-suryo-rismon-dan-tifa-geruduk-kemendikdasmen-tagih-surat-penyetaraan-wapres-gibran</t>
  </si>
  <si>
    <t>https://www.satuju.com/berita/13654/sabar-tambunan-tak-ada-maaf-untuk-kepentingan-rakyat-jokowi-harus-diadili-gibran-dimakzulkan.html</t>
  </si>
  <si>
    <t>https://www.suara.com/news/2026/01/12/151222/rismon-siap-buka-bukaan-di-sidang-kip-besok-sebut-ijazah-gibran-tak-penuhi-dua-syarat-krusial</t>
  </si>
  <si>
    <t>https://x.com/HoyacOnly/status/2010565547944198472</t>
  </si>
  <si>
    <t>https://x.com/celerio1132/status/2010549471378334060</t>
  </si>
  <si>
    <t>https://x.com/DoankWarto/status/2010546838198468909</t>
  </si>
  <si>
    <t>https://www.facebook.com/groups/776406629631198/posts/1793981751207009/</t>
  </si>
  <si>
    <t>"Beredar unggahan di media sosial mengeklaim Presiden Prabowo Subianto meminta warga Aceh untuk mengeroyok Bahlil
Faktanya, unggahan tersebut adalah tidak benar. Dilansir dari liputan6.com, unggahan tersebut identik dengan video di kanal YouTube CNN Indonesia yang berjudul ""BREAKING NEWS Presiden Prabowo Tinjau Posko Pengungsian di Aceh Tamiang"". Dalam video teks yang asli bertuliskan ""Presiden Prabowo Tinjau Posko Pengungsian"" bukan meminta warga Aceh untuk keroyok Bahlil. Selain itu CNN Indonesia juga mengunggah video yang sama dengan teks bertuliskan ""Prabowo Minta Maaf Listrik Belum Nyala Merata di Aceh"".
Link Counter:
https://www.liputan6.com/cek-fakta/read/6253065/cek-fakta-hoaks-presiden-prabowo-minta-warga-aceh-keroyok-bahlil
https://www.youtube.com/watch?v=Xc5kZFg4vxs&amp;t=977s
https://www.youtube.com/watch?v=q-eQvEI74Ik"</t>
  </si>
  <si>
    <t>https://www.facebook.com/groups/SpOotaXxkEerR/posts/25687380370903080/</t>
  </si>
  <si>
    <t>https://www.facebook.com/groups/776406629631198/posts/1795419091063275/</t>
  </si>
  <si>
    <t>11 Januari 2026</t>
  </si>
  <si>
    <t>https://vt.tiktok.com/ZS5gkUqNE/</t>
  </si>
  <si>
    <t>Ditemukan konten pada media sosial Facebook yang diduga memuat unsur ujaran kebencian terhadap presiden prabowo dengan tuduhan adanya korupsi ketika presiden menjabat sebagai menteri pertahanan serta adanya disinformasi bahwa presiden prabowo akan masuk penjara.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</si>
  <si>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</si>
  <si>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t>https://vt.tiktok.com/ZS5gk8UCS/</t>
  </si>
  <si>
    <t>Ditemukan konten pada media sosial Tiktok yang diduga memuat unsur ujaran kebencian berisi tuduhan bahwa presiden prabowo subianto melindungi koruptor.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</si>
  <si>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https://vt.tiktok.com/ZS5gS1sB7/</t>
  </si>
  <si>
    <t>Ditemukan konten pada media sosial Facebook yang diduga memuat unsur disinformasi provokatif untuk berupa statement gatot nurmantyo terkait ajakan demo sebagai bentuk mengguncang politik nasional. Berdasarkan telaah lebih lanjut, tidak ada informasi dalam 1 minggu terakhir terkait ajakan gatot nurmantio perihal ajakan demo.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</si>
  <si>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https://www.facebook.com/berbagaidanabantuanprab0w0</t>
  </si>
  <si>
    <t>Ditemukan unggahan Facebook dari akun ‘Dana bantuan bansos untuk masyarakat‘ yang mengklaim bantuan akhir tahun melalui fabricated content berupa video AI dengan suara dan wajah presiden Prabowo Subianto dengan menghubungi nomor yang tertera pada akun tersebut sebagai bukti penerimaan bantuan.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</si>
  <si>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https://www.facebook.com/reel/732053996253602</t>
  </si>
  <si>
    <t>Ditemukan konten pada media sosial Facebook yang diduga memuat unsur Disinformasi berjenis Misleading content. Konten tersebut  berisi pertemuan dibuat menggunakan suara presiden prabowo yang digenerate menggunakan AI dengan narasi bahwa Indonesia tidak pantas bertindak sebagai pemilik sumber daya.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</si>
  <si>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https://www.facebook.com/profile.php?id=61586153737758</t>
  </si>
  <si>
    <t>Ditemukan konten disinformasi berjenis misleading content di platform media sosial Facebook yang membingkai pemberian tanda kehormatan negara oleh Presiden Prabowo sebagai bentuk pengagungan terhadap koruptor, disertai narasi emosional bahwa korupsi justru “dihargai” oleh negara. Konten tersebut menampilkan potongan visual penganugerahan dan teks provokatif yang menyimpulkan bahwa penghargaan diberikan semata-mata karena status individu, tanpa menjelaskan dasar hukum dan kriteria resmi pemberian tanda kehormatan yang menilai jasa dan kontribusi tertentu, bukan penghapusan kesalahan masa lalu.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</si>
  <si>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https://x.com/volterposisi/status/2009968671956054332</t>
  </si>
  <si>
    <t>Ditemukan konten pada media sosial Facebook yang diduga memuat unsur Ujaran Kebencian kepada Presiden Prabowo Subianto bahwa tindakan penyampaian korupsi dengan menunjukkan uang tanpa pelaku merupakan tindakan omong kosong seperti yang dilakukan oleh presiden sebelumnya.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</si>
  <si>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https://x.com/__anomali__/status/2010192090219851882</t>
  </si>
  <si>
    <t>Ditemukan konten disinformasi berjenis misleading content yang disertai unsur hate speech dan delegitimization framing di platform media sosial Twitter, yang menuduh Presiden Prabowo Subianto berada dalam “genggaman” presiden sebelumnya serta menyatakan bahwa Program Makan Bergizi Gratis (MBG) hanyalah permainan politik untuk kepentingan pribadi. Konten tersebut menggunakan potongan video pertemuan resmi yang diberi caption provokatif, dikombinasikan dengan bahasa merendahkan dan insinuasi konspiratif untuk membangun kesan bahwa Presiden tidak memiliki kemandirian politik dan bertindak tidak tulus dalam menjalankan kebijakan publik.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</si>
  <si>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https://www.facebook.com/share/p/1G1MR6dY4o/</t>
  </si>
  <si>
    <t xml:space="preserve">Ditemukan konten pada media sosial Facebook yang diduga memuat unsur provokatif untuk melakukan tindakan anarkis dengan narasi "Indonesia akan dijadikan nepal ke-2" dengan narasi tuduhan kepada presiden sebelumnya yang akan mempercepat proses gibran sebagai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</si>
  <si>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https://vt.tiktok.com/ZS5pdxN7Y/</t>
  </si>
  <si>
    <t xml:space="preserve">Ditemukan konten disinformasi berjenis misleading content yang disertai unsur hate speech dan false analogy di platform media sosial, yang menyatakan bahwa bencana dan kerusakan lingkungan di Sumatera merupakan bagian dari “program genosida” yang secara sengaja dijalankan oleh pemerintah Indonesia terhadap rakyat Aceh. Konten tersebut menggunakan istilah ekstrem seperti genosida serta menyamakan kondisi Aceh dengan Gaza Palestina, disertai visual bencana, peta deforestasi, dan narasi emosional.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</si>
  <si>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https://www.instagram.com/reel/DTUSrj5kViC/?igsh=MWMzMm5id2NiMW9vYg==</t>
  </si>
  <si>
    <t xml:space="preserve">Ditemukan konten pada media sosial Facebook yang diduga memuat unsur disinformasi berupa misleading content, dimana terdapat narasi provokatif terhadap Prabowo Subianto. Konten tersebut berisi narasi asumsi bahwa kemenangan prabowo merupakan pemberian dari presiden sebelumnya dengan mengambil salah satu scene kartun spongebob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</si>
  <si>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https://www.instagram.com/reel/DTU4v3VkVGH/?igsh=MW4xdmtueWhmdWgyNQ==</t>
  </si>
  <si>
    <t>Ditemukan konten pada media sosial Facebook yang diduga memuat unsur disinformasi berupa misleading content, dimana terdapat narasi provokatif terhadap Prabowo Subianto. Konten tersebut berisi narasi asumsi bahwa kemenangan prabowo merupakan pemberian dari presiden sebelumnya dengan mengambil salah satu scene kartun spongebob.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</si>
  <si>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https://www.facebook.com/share/p/1Bw3ANMQSA/</t>
    </r>
  </si>
  <si>
    <t>Ditemukan konten pada media sosial Facebook yang diduga memuat unsur provokatif untuk melakukan tindakan anarkis dengan narasi "Nepalkan" Joko Widodo karena pernyataan Menteri Keuangan yang menduga menemukan aliran dana ke Joko Widodo.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</si>
  <si>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https://www.facebook.com/share/p/1AQ3ykdYgf/</t>
    </r>
  </si>
  <si>
    <t>Ditemukan konten pada media sosial Facebook yang diduga memuat unsur provokatif untuk melakukan tindakan anarkis dengan narasi "Nepalkan" Joko Widodo karena dianggap telah menjual pulau Kalimantan ke negara China yang disebabkan oleh hutang proyek kereta cepat yang semakin besar membebani negara.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</si>
  <si>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https://www.facebook.com/share/p/16mmK2WPpf/</t>
    </r>
  </si>
  <si>
    <t>Ditemukan konten pada media sosial Facebook yang diduga memuat unsur provokatif untuk melakukan tindakan anarkis dengan narasi "Nepalkan" Joko Widodo karena dianggap menerima dana korupsi terkait kuota haji yang menjerat mantan Menteri Agama, Yaqut Cholil Qoumas.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</si>
  <si>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https://www.facebook.com/share/r/1D68dmMhJ9/</t>
    </r>
  </si>
  <si>
    <t>Ditemukan konten pada media sosial Facebook yang diduga memuat unsur provokatif untuk melakukan tindakan anarkis dengan narasi "Nepalkan" Joko Widodo karena dianggap telah menerima dana korupsi terkait kuota haji yang menjerat mantan Menteri Agama, Yaqut Cholil Qoumas pada era pemerintahan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</si>
  <si>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https://www.facebook.com/share/r/14SocWRdLYo/</t>
    </r>
  </si>
  <si>
    <t>Ditemukan konten pada media sosial Facebook yang diduga memuat unsur provokatif untuk melakukan tindakan anarkis dengan narasi "Nepalkan" Joko Widodo dan Luhut Binsar Pandjaitan karena diduga sebanyak 9 juta hektar perkebunan kelapa sawit yang dimiliki oleh beberapa perusahaan tidak membayar pajak ke negara tetapi langsung membayar ke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</si>
  <si>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https://www.facebook.com/share/p/1Cykvw2ZXz/</t>
    </r>
  </si>
  <si>
    <t>Ditemukan konten pada media sosial Facebook yang diduga memuat unsur provokatif untuk melakukan tindakan anarkis dengan narasi "Bubarkan” DPR karena dianggap tidak bermanfaat bagi rakyat karena telah gagal mewakili suara rakyat dan lebih baik kedaulatan dikembalikan ke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</si>
  <si>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https://x.com/M3di4Upd4t3/status/2010181642258919786</t>
    </r>
  </si>
  <si>
    <t>Ditemukan konten pada media sosial Twitter yang diduga memuat unsur provokatif untuk melakukan tindakan anarkis dengan narasi "Makzulkan" wakil presiden Gibran Rakabuming Raka karena dianggap tidak memenuhi syarat sebagai wakil presiden karena tidak pernah lulus dari SMA.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</si>
  <si>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https://x.com/JendralKepitin9/status/2010359264083341395</t>
    </r>
  </si>
  <si>
    <t>Ditemukan konten pada media sosial Twitter yang diduga memuat unsur provokatif untuk melakukan tindakan anarkis dengan narasi "Bubarkan” DPR karena dianggap telah mengesahkan KUHAP yang baru dimana KPK tidak diperbolehkan untuk menampilkan tersangka korupsi dalam konferensi pers.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</si>
  <si>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https://x.com/Hnirankara/status/2010217520331186232</t>
  </si>
  <si>
    <t>https://www.facebook.com/groups/523183267134157/posts/869324795853334/</t>
  </si>
  <si>
    <t>https://www.facebook.com/groups/523183267134157/posts/869196489199498/</t>
  </si>
  <si>
    <t>https://www.facebook.com/groups/523183267134157/posts/869184195867394/</t>
  </si>
  <si>
    <t>https://www.facebook.com/groups/523183267134157/posts/869161889202958/</t>
  </si>
  <si>
    <t>https://www.facebook.com/groups/523183267134157/posts/869150342537446/</t>
  </si>
  <si>
    <t>10 Januari 2026</t>
  </si>
  <si>
    <t>https://x.com/pakaipeci/status/2009086511757894026?t=R9q_Yg5DB5yD8Lm7kdP12w&amp;s=35</t>
  </si>
  <si>
    <t>Konten tersebut menyebut Wakil Presiden Gibran sebagai anak kecil yang bangga saat meledek Mahfud MD pada saat Debat Capres. Namun saat ia di ejek oleh Pandji Pragiwaksono para pendukungnya menjadi marah. Konten tersebut menggunakan kata kata yang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</si>
  <si>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https://x.com/Tan_Mar3M/status/2009286701315772458?t=-kmmJmmPa3HlTbhKaxqCiA&amp;s=35</t>
  </si>
  <si>
    <t>Konten tersebut menyebut Wakil Presiden Gibran sebagai anak kecil yang bangga saat meledek Mahfud MD pada saat Konten tersebut melakukan framing bahwa Gibran sebagai orang yang lebih muda tidak sopan terhadap Mahfud MD yang lebih tua.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</si>
  <si>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https://x.com/M3di4Upd4t3/status/2009465382634205418?t=mNI7uGEMvCeKiGflpCnbjg&amp;s=35</t>
  </si>
  <si>
    <t>Konten tersebut menyebut Jokowi dan Luhut sebagai petinggi negara yang merampok rakyat dengan membiarka 9 juta hektar lahan sawit tidak bayar pajak ke negara tapi setor langsung ke Solo.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</si>
  <si>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https://x.com/MichelAdam1515/status/2009462650133168617?t=5j2DuLfghg_Uw7d4Yyyitw&amp;s=35</t>
  </si>
  <si>
    <t>Konten tersebut menyatakan bahwa Indonesia akan jijadikan seperti nepal karena Jokowi ingin Gibran segera menjadi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</si>
  <si>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https://twitter.com/Anak__Ogi/status/2009445651428594005?t=PFUg-yR678gVQoPCGgIHNA&amp;s=19</t>
  </si>
  <si>
    <t>Konten tersebut menyebut bahwa Gibran melalui akun Fufufafa menghina Prabowo, anak, dan mantan istrinya serta Prabowo hendak dilengserkan PSI pendukung Gibran diam. namun saat Gibran di roasting oleh Pandji pendukungnya menjadi marah. konten tersebut dapat menimbulkan perpecahan di dalam pemerintahan dan pendukung dari masing masing pihak dan masyarakat umum.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</si>
  <si>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centang biru, 35K followers</t>
  </si>
  <si>
    <t>https://x.com/didiek_murdock/status/2009514048531124725?t=nLaw7H_nOb0o8XlvVPRM1w&amp;s=35</t>
  </si>
  <si>
    <t>Konten tersebut merupakan video AI yang menyebut pembagian MBG pada bulan puasa sebagai upaya mengganggu akidah Islam dikarenakan membuat anak anak berpotensi batal puasa. Hal ini dapat menggiring opini masyarakat dengan membenturkan program pemerintah dengan keyakinan umat Islam.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</si>
  <si>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https://www.tiktok.com/@ayra.humayraa0/video/7593657047808281877</t>
  </si>
  <si>
    <t>Konten tersebut diduga mengandung unsur provokatif gerakan separatisme yang berisikan video aksi demonstrasi separatisme dengan mengibarkan bendera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</si>
  <si>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https://www.tiktok.com/@tchello_ai/video/7591967134448684308</t>
    </r>
  </si>
  <si>
    <t>Hinaan</t>
  </si>
  <si>
    <t>Ditemukan konten disinformasi berupa fabricated content yang menampilkan video hasil rekayasa AI terhadap bapak Presiden Prabowo Subianto. Video ini diduga sebagai bentuk hinaan terhadap Presiden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</si>
  <si>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https://x.com/PEOPLEOFTHELIE4/status/2009842362672132355</t>
    </r>
  </si>
  <si>
    <t>Konten tersebut memuat unsur provokatif aksi yang anarkis dengan narasi “Nepalkan” terhadap Joko Widodo. Konten ini juga bersifat adu domba terhadap Joko Widodo dengan bapak Prabowo Subianto, dimana konten ini adalah sebuah komentar terhadap konten disinformasi yang menyatakan bahwa Indonesia akan dijadikan seperti nepal karena Jokowi ingin Gibran segera menjadi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</si>
  <si>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https://x.com/rinalnardi/status/2009638065908953475</t>
    </r>
  </si>
  <si>
    <t>Konten tersebut diduga mengandung unsur provokatif gerakan separatisme yang menampilkan foto senjata api dan mengaitkannya dengan bendera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</si>
  <si>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https://www.facebook.com/share/r/1bPNL2AVpC/</t>
    </r>
  </si>
  <si>
    <t>Konten tersebut memuat unsur provokatif aksi yang anarkis dengan narasi “Nepalkan” terhadap Joko Widodo dan bapak Prabowo Subianto.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</si>
  <si>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https://www.facebook.com/share/r/1GKYRPXUjZ/</t>
    </r>
  </si>
  <si>
    <t>Konten tersebut memuat unsur provokatif aksi yang anarkis dengan narasi “Nepalkan” terhadap Joko Widodo dan Luhut Panjaitan serta menuduh sebagai “Mafia Sawit”.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</si>
  <si>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9 Januari 2026</t>
  </si>
  <si>
    <t>https://x.com/ommi_siregar/status/2009035337419698370?t=Sjv7RCqE_nYZrepmEZNzbQ&amp;s=35</t>
  </si>
  <si>
    <t>Konten tersebut menyampaikan klaim menyesatkan yang menyebutkan bahwa terdapat niatan Presiden Prabowo untuk menjadi presiden seumur hidup dengan mengusulkan presiden dipilih oleh DPR. pada video tersebut mengunakan kata kata yang tidak pantas dan terkesan menjatuhkan.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</si>
  <si>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</si>
  <si>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t>https://x.com/pakaipeci/status/2009086511757894026?t=PKJQDeOYuXQtsc_x4sgdtg&amp;s=35</t>
  </si>
  <si>
    <t>Konten tersebut membandingkan antara kasus Pandji Pragiwaksono  yang merosting Gibran dan tindakan Gibran pada saat debat capres yang diduga meledek Mahfud MD. Akun tersebut menyatakan bahwa pendukung Gibran marah ketika Gibran mengejek Mahfud MD semua pendukungnya diam. Konten tersebut juga menggunakan kata kata yang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</si>
  <si>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https://x.com/Bambangmulyonoo/status/2009069513439134009?t=c3OHWuaE5vP5h1l3Kla8QQ&amp;s=35</t>
  </si>
  <si>
    <t>Konten tersebut membandingkan antara kasus Pandji Pragiwaksono  yang merosting Gibran dan tindakan Gibran pada saat debat capres yang diduga meledek Mahfud MD. Akun tersebut menyatakan bahwa pendukung Gibran marah ketika Gibran mengejek Mahfud MD semua pendukungnya diam. Akun tersebut menyebutkan dibandingkan dengan Pandji Gibran lebih tidak beretika.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</si>
  <si>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https://x.com/BelengBeleng687/status/2008358907799105725</t>
  </si>
  <si>
    <t>Akun tersebut membuat postingan untuk mengajak pengguna media sosial untuk menyebarkan tagar #PeoplePowerMakzulkanGibran.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</si>
  <si>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https://www.tiktok.com/@prab0wosubianto2</t>
  </si>
  <si>
    <t>Akun tersebut merupakan akun palsu mengatasnamakan Presiden Prabowo yang dibuat menggunakan AI sehingga terlihat seperti sedang bagi bagi uang.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</si>
  <si>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https://x.com/MichelAdam1515/status/2009462650133168617</t>
    </r>
  </si>
  <si>
    <t>Ditemukan sebuah konten disinformasi berupa misleading content yang memuat narasi provokatif dan adu domba terkait Joko Widodo ingin melengserkan Prabowo dan menjadikan Gibran sebagai presiden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</si>
  <si>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https://www.tiktok.com/@zainalbfc/video/7592552267018931476</t>
    </r>
  </si>
  <si>
    <t>Konten tersebut diduga mengandung unsur provokatif gerakan separatisme yang menampilkan video pengibaran bendera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</si>
  <si>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https://www.tiktok.com/@ekalc1/video/7591146975119035655</t>
    </r>
  </si>
  <si>
    <t>Konten tersebut diduga mengandung unsur provokatif gerakan separatisme yang berisikan video aksi demonstrasi separatisme dengan mengibarkan bendera Gerakan Aceh Merdeka yang berlokasi di Swiss serta melibatkan WNA.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</si>
  <si>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https://www.tiktok.com/@zulfadlikofa/photo/7585497410118356232</t>
    </r>
  </si>
  <si>
    <t>Konten tersebut diduga mengandung unsur provokatif gerakan separatisme yang memuat narasi ‘Gerakan Aceh Merdeka’ serta filosofi bendera GAM.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</si>
  <si>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https://www.facebook.com/share/r/17hpvAEiUz/</t>
    </r>
  </si>
  <si>
    <t>Konten tersebut memuat unsur provokatif aksi yang anarkis dengan narasi “Nepalkan” terhadap Joko Widodo dan Luhut Panjaitan yang disertai dengan tuduhan sebagai “Mafia Sawit”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</si>
  <si>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https://www.tiktok.com/@andyputra9330/video/7593351964004568328</t>
    </r>
  </si>
  <si>
    <t>Konten tersebut diduga mengandung unsur provokatif gerakan separatisme yang menampilkan video pengibaran bendera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</si>
  <si>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https://www.facebook.com/samuel.rakinaung/posts/pfbid02rZ1mmuGuN1TiAkU5qUZ8BL9snX2ZaXXa75Kr7fp1V3AjQhk9Bmkg8YpMKbreqxiYl</t>
  </si>
  <si>
    <t>https://www.facebook.com/johnki.johndeer/posts/pfbid0SprkXJkzQkQJ9tYrsdRBfTrg2tsFxeQ7c1BrYCjeDYYRQutiHRvGTSii5mwVaXvnl</t>
  </si>
  <si>
    <t>https://www.facebook.com/groups/3981440815329599/?multi_permalinks=4740013562805650&amp;hoisted_section_header_type=recently_seen</t>
  </si>
  <si>
    <t>https://www.tiktok.com/@onoff6024/video/7504929322591849735?q=gibran%20BODOH&amp;t=1767944945500</t>
  </si>
  <si>
    <t>https://www.tiktok.com/@pahlawangitarsibocchi/video/7592422656104828167?q=PRABOWO%20KACAU&amp;t=1767945052143</t>
  </si>
  <si>
    <t>https://x.com/PngAdilnR4kyt/status/2009141685910126601</t>
  </si>
  <si>
    <t>https://www.facebook.com/share/r/1Ji93kRNyj/</t>
  </si>
  <si>
    <t>https://www.tiktok.com/@thesiliters/video/7588380835154300178?q=PRABOWO%20KACAU&amp;t=1767945052143</t>
  </si>
  <si>
    <t>https://www.tiktok.com/@suara.netizen_/video/7584821151113678101?q=presiden%20omon&amp;t=1767945445252</t>
  </si>
  <si>
    <t>https://www.tiktok.com/@story.aceh81/video/7585034564339354901?q=presiden%20omon&amp;t=1767945445252</t>
  </si>
  <si>
    <t>https://www.facebook.com/share/r/1BfQXii3wC/</t>
  </si>
  <si>
    <t>https://x.com/i/status/2009543007356502432</t>
  </si>
  <si>
    <t>https://x.com/i/status/2009537695102775583</t>
  </si>
  <si>
    <t>https://x.com/xlongnyan/status/2006619679134199929</t>
  </si>
  <si>
    <t>https://vt.tiktok.com/ZS548wao3/</t>
  </si>
  <si>
    <t>https://x.com/ade_rusmaya/status/2009447093296091187</t>
  </si>
  <si>
    <t>https://x.com/tukangtwittter/status/2003467422213501000</t>
  </si>
  <si>
    <t>8 Januari 2026</t>
  </si>
  <si>
    <r>
      <rPr>
        <rFont val="Arial,sans-serif"/>
        <color rgb="FF1155CC"/>
        <sz val="8.0"/>
        <u/>
      </rPr>
      <t>https://www.facebook.com/share/r/1AvCBAfouX/</t>
    </r>
  </si>
  <si>
    <t>Ditemukan konten pada media sosial Facebook yang diduga memuat unsur provokatif untuk melakukan tindakan anarkis dengan narasi "Nepalkan" DPR karena telah mengesahkan KUHP yang baru secara cepat, dimana terdapat pasal dari isi KUHP tersebut yang dianggap bermasalah.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</si>
  <si>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</si>
  <si>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r>
      <rPr>
        <rFont val="Arial,sans-serif"/>
        <color rgb="FF1155CC"/>
        <sz val="8.0"/>
        <u/>
      </rPr>
      <t>https://www.facebook.com/share/p/1Br3g79aGj/</t>
    </r>
  </si>
  <si>
    <t>Ditemukan konten pada media sosial Facebook yang diduga memuat unsur provokatif untuk melakukan tindakan anarkis dengan narasi "Nepalkan" DPR karena diduga mengusulkan pemilihan umum dilakukan 10 tahun sekali saja dengan alasan agar kembali modal yang digunakan pada pemilihan umum.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</si>
  <si>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https://www.facebook.com/share/p/1AQz3QzVGs/</t>
    </r>
  </si>
  <si>
    <t>Ditemukan konten pada media sosial Facebook yang diduga memuat unsur provokatif untuk melakukan tindakan anarkis dengan narasi "Nepalkan" dan “Rudalkan” DPR karena dianggap sebagian besar anggota DPR di Senayan mendukung agar pemilihan kepala daerah melalui DPRD saja.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</si>
  <si>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https://www.facebook.com/share/p/1D3myp6FNj/</t>
    </r>
  </si>
  <si>
    <t>Ditemukan konten pada media sosial Facebook yang diduga memuat unsur provokatif untuk melakukan tindakan anarkis dengan narasi "Nepalkan" Joko Widodo karena tidak hadir dalam sidang terkait persoalan ijazah yang dimilikinya dan dianggap dilindungi oleh Undang-Undang.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</si>
  <si>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https://www.facebook.com/share/r/1Je68YWXFN/</t>
    </r>
  </si>
  <si>
    <t>Ditemukan konten pada media sosial Facebook yang diduga memuat unsur provokatif untuk melakukan tindakan anarkis dengan narasi "Nepalkan" Joko Widodo karena tidak segera menunjukkan ijazah asli yang dimilikinya sehingga dianggap mempermainkan hukum dan membohongi masyarakat.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</si>
  <si>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https://www.facebook.com/share/p/1FscoJULLL/</t>
    </r>
  </si>
  <si>
    <t>Ditemukan konten pada media sosial Facebook yang diduga memuat unsur provokatif untuk melakukan tindakan anarkis dan dengan narasi "Nepalkan” DPR karena sebagian besar anggota DPR RI memilih setuju terkait pemilihan kepala daerah yang dilakukan melalui DPRD, bukan dipilih melalui rakyat lagi sehingga DPR dianggap telah berkhianat kepada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</si>
  <si>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https://www.facebook.com/share/p/1CKkomUyfd/</t>
    </r>
  </si>
  <si>
    <t>Ditemukan konten pada media sosial Facebook yang diduga memuat unsur provokatif untuk melakukan tindakan anarkis dengan narasi "Nepalkan” dan “Bubarkan” DPR karena telah mengesahkan KUHP dan KUHAP yang baru yang diduga terdapat pasal kontroversial yaitu jika menghina pejabat maka dapat dipenjara sehingga hal tersebut dianggap arogansi terhadap kekuasaan yang dimilikinya.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</si>
  <si>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https://www.facebook.com/share/p/1cFMp4vkjZ/</t>
    </r>
  </si>
  <si>
    <t>Ditemukan konten pada media sosial Facebook yang diduga memuat unsur provokatif untuk melakukan tindakan anarkis dengan narasi "Nepalkan" semua Menteri dan DPR karena telah mengesahkan KUHP dan KUHAP, dimana terdapat pasal jika menghina pejabat maupun presiden dapat dipidana dan dipenjara sehingga hal tersebut dianggap sebagai pembungkaman rakyat terhadap pemerintah.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</si>
  <si>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https://www.facebook.com/share/r/1BUxgyj5Fb/</t>
    </r>
  </si>
  <si>
    <t>Ditemukan konten pada media sosial Facebook yang diduga memuat unsur provokatif untuk melakukan tindakan anarkis dengan narasi "Nepalkan" Joko Widodo karena dianggap masyarakat Indonesia sudah tahu terkait ijazah yang dimiliki Joko Widodo tersebut merupakan ijazah 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</si>
  <si>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https://www.facebook.com/share/p/1Cnnuj11Zf/</t>
  </si>
  <si>
    <t>Ditemukan konten yang diduga memuat unsur ujaran kebencian melalui narasi provokatif bahwa program transmigrasi pada era orde baru merupakan senjata untuk menaklukan aceh. Transmigrasi merupakan program unggulan pemerintah pada masa orde baru untuk memecah masalah kependudukan. Hal tersebut bertentangan dengan narasi postingan bahwa transmigrasi merupakan tindakan penjajahan dengan menyudutkan suku jawa.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</si>
  <si>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https://www.facebook.com/share/p/1HX7tHEm5f/</t>
    </r>
  </si>
  <si>
    <t>Ditemukan konten pada media sosial Facebook yang diduga memuat unsur disinformasi berupa misleading content, dimana terdapat narasi provokatif terhadap pangeran diponergoro. Konten tersebut merendahkan pejuang kemerdekaan melalui asumsi tidak berdasar dan bertentangan dengan sejarah.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</si>
  <si>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https://www.facebook.com/profile.php?id=61584367992916</t>
    </r>
  </si>
  <si>
    <t>Ditemukan unggahan Facebook dari akun ‘Dana bantuan bansos untuk masyarakat‘ yang mengklaim bantuan akhir tahun melalui fabricated content berupa video AI dengan suara dan wajah Menkeu Purbaya disertai ajakan melakukan transfer sebesar Rp100.000 sebagai pengganti tanda tangan.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</si>
  <si>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https://www.facebook.com/program.bantuan.akhiir.tahun.2025</t>
    </r>
  </si>
  <si>
    <t>Ditemukan unggahan Facebook dari akun ‘Dana bantuan bansos untuk masyarakat‘ yang mengklaim bantuan akhir tahun melalui fabricated content berupa video AI dengan suara dan wajah prabowo subianto disertai ajakan mengirimkan data pribadi.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</si>
  <si>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https://vt.tiktok.com/ZS5CShxLY/</t>
    </r>
  </si>
  <si>
    <t>Ditemukan konten pada media sosial Facebook yang diduga memuat unsur disinformasi berupa false content, dimana terdapat narasi bahwa kondisi bencana aceh merupakan bentuk genosida dari pemerintah indonesia terhadap rakyat aceh. Narasi tersebut berpotensi untuk menyudutkan pemerintah dengan tuduhan tidak berdasar.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</si>
  <si>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https://www.facebook.com/share/p/1GbzVyF8S5/</t>
    </r>
  </si>
  <si>
    <t>Disinformasi dan Sparatisme</t>
  </si>
  <si>
    <t>Ditemukan konten pada media sosial Facebook yang diduga memuat unsur disinformasi berupa misleading content dengan konteks sparatisme berupa foto generated AI pengibaran bendera papua merdeka di area kodam XVIII/Kasuari. Setelah ditelusuri, tidak ada informasi mengenai adanya dukungan TNI terhadap papua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</si>
  <si>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https://www.facebook.com/reel/1579761459695369</t>
  </si>
  <si>
    <t>7 Januari 2026</t>
  </si>
  <si>
    <t>https://www.facebook.com/share/p/17zBuTJkRq/</t>
  </si>
  <si>
    <t>Ditemukan konten pada media sosial Facebook yang diduga memuat unsur provokatif untuk melakukan tindakan anarkis dengan narasi "Nepalkan" Joko Widodo karena tidak dapat hadir dengan keterangan yang jelas ketika persidangan terkait ijazahnya sehingga dianggap ijazah yang dimiliki merupakan ijazah 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</si>
  <si>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https://www.facebook.com/share/p/14Y4NNYBNNV/</t>
  </si>
  <si>
    <t>Ditemukan konten pada media sosial Facebook yang diduga memuat unsur provokatif untuk melakukan tindakan anarkis dengan narasi "Nepalkan" DPR RI karena diduga telah menyetujui RUU KUHAP dan akan disahkan menjadi UU, dimana isi dari RUU tersebut semua orang dapat ditangkap tanpa kejelasan.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</si>
  <si>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https://www.facebook.com/share/p/1ApvZS6dHE/</t>
  </si>
  <si>
    <t>Ditemukan konten pada media sosial Facebook yang diduga memuat unsur provokatif untuk melakukan tindakan anarkis dengan narasi "Nepalkan" dan “Bubarkan” DPR karena dianggap membuat Undang-Undang yang dikerjakan semalam untuk melindungi DPR sendiri dengan kewenangan dapat mencopot pimpinan KPK sampai TNI yang seharusnya itu merupakan wewenang dari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</si>
  <si>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https://www.facebook.com/share/p/1D1rY1LBHB/</t>
  </si>
  <si>
    <t>Ditemukan konten pada media sosial Facebook yang diduga memuat unsur provokatif untuk melakukan tindakan anarkis dengan narasi "Nepalkan" DPR karena terdapat pernyataan terkait pemilihan kepala daerah yang akan dipilih oleh anggota DPR sedangkan banyak anggota DPR yang diduga terjerat kasus korupsi.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</si>
  <si>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https://www.facebook.com/share/r/17jyX2WST8/</t>
  </si>
  <si>
    <t>Ditemukan konten pada media sosial Facebook yang diduga memuat unsur provokatif untuk melakukan tindakan anarkis dengan narasi "Nepalkan" DPR karena dianggap hanya mengesahkan Undang-Undang yang menguntungkan anggota DPR saja dan menolak untuk mengesahkan Undang-Undang yang dibutuhkan oleh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</si>
  <si>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https://www.facebook.com/share/v/1MPssCYm5z/</t>
  </si>
  <si>
    <t>Ditemukan konten pada media sosial Facebook yang diduga memuat unsur provokatif untuk melakukan tindakan anarkis dan ujaran kebencian dengan narasi "Makzulkan” wakil presiden Gibran Rakabuming Raka karena dianggap wakil presiden ilegal yang tidak sesuai konstitusi dan disertai kata-kata yang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</si>
  <si>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https://www.facebook.com/share/p/17trzcfZss/</t>
  </si>
  <si>
    <t>Ditemukan konten pada media sosial Facebook yang diduga memuat unsur provokatif untuk melakukan tindakan anarkis dan gerakan separatisme dengan narasi "Aceh Merdeka” dikarenakan kekecewaan rakyat Aceh terhadap pemerintah pusat saat penanganan bencana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</si>
  <si>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https://x.com/ArdieSuhardi321/status/2008773985883009516</t>
  </si>
  <si>
    <r>
      <rPr>
        <rFont val="Arial,sans-serif"/>
        <color rgb="FF1155CC"/>
        <sz val="8.0"/>
        <u/>
      </rPr>
      <t>https://vt.tiktok.com/ZS599L6ND/</t>
    </r>
  </si>
  <si>
    <t>Ditemukan konten disinformasi yang diduga berjenis Fabricated Content dari akun tiktok 'black_jaguar1969'. Konten tersebut dibuat oleh AI dengan mengatasnamakan mahasiwa yang berisi penyampaian penolakan terhadap program MBG di bulan Ramadhan. Video tersebut disertai narasi provokatif terhadap kebijakan yang dianggap sebagai pelecehan akal sehat.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</si>
  <si>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https://www.facebook.com/share/p/18HvNECiNQ/</t>
  </si>
  <si>
    <t>Ditemukan konten disinformasi berjenis misleading content di platform media sosial yang membingkai pernyataan Presiden Prabowo terkait keberlanjutan program MBG di Aceh dan Sumatera Barat sebagai sikap tidak adil, tidak bermoral, dan bernuansa politis terhadap wilayah yang tidak memberikan dukungan elektoral signifikan. Konten tersebut mengaitkan pernyataan kebijakan publik dengan insinuasi bahwa pemerintah mengabaikan loyalitas daerah, bahkan mendorong narasi emosional hingga wacana separatisme dengan menyebut Aceh sebagai wilayah yang “wajar ingin merdeka” dan memicu sentimen disintegratif melalui penggiringan opini yang tidak didasarkan pada makna pernyataan kebijakan secara utuh dan terverifikasi.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</si>
  <si>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https://www.facebook.com/share/p/17qVGJLrrV/</t>
  </si>
  <si>
    <t>Ditemukan konten pada media sosial Facebook yang diduga memuat unsur disinformasi berupa misleading content, dimana terdapat narasi bahwa uang negara digunakan untuk membayar buzzer dengan harga 1 juta per detik dan digunakan untuk membela koruptor. Informasi tersebut tidak didasari oleh bukti dan bersifat provokatif sehingga dapat menimbulkan misskonsepsi terhadap penggunaan anggaran negara.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</si>
  <si>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https://www.facebook.com/share/p/17qMnENeqy/</t>
  </si>
  <si>
    <t>Ditemukan konten pada media sosial Facebook yang diduga memuat unsur provokatif untuk melakukan tindakan anarkis dan gerakan separatisme dengan narasi "Referendum bagi Aceh” dikarenakan kekecewaan rakyat Aceh karena SDA dianggap milik nasional sedangkan bencana hanya ditanggung oleh sumatra.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</si>
  <si>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https://www.instagram.com/reel/DTIxeUGEweh/?igsh=MWNrdGdraTI1cG41Yg==</t>
  </si>
  <si>
    <t>Ditemukan konten pada media sosial Facebook yang diduga memuat unsur provokatif berupa tindakan pembakaran foto presiden RI disertai narasi sikap Indonesia terhadap Aceh sama dengan sikap Israel terhadap Palestina.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</si>
  <si>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https://www.facebook.com/share/r/1ANg1AS54A/</t>
  </si>
  <si>
    <t>Ditemukan konten pada media sosial Facebook yang diduga memuat unsur disinformasi berupa false content, dimana terdapat narasi bahwa kaesang membocorkan rencana gibran mengkudeta prabowo. Informasi sesungguhnya adalah video tersebut diambil dari cuplikan dimana kaesang memberikan tanggapan candaan kepada bobon santoso bahwa bobon santoso mau mendorong gibran utnuk mengkudeta prabowo di 2029.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</si>
  <si>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https://www.facebook.com/share/p/14NMHL7TZ37/</t>
  </si>
  <si>
    <t>Ditemukan konten pada media sosial Facebook yang diduga memuat unsur provokatif untuk melakukan tindakan sparatisme berupa adanya foto generated AI berupa gedung dengan tulisan “negara aceh” dengan bendera bulan bintang yang berkibar.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</si>
  <si>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6 Januari 2026</t>
  </si>
  <si>
    <r>
      <rPr>
        <rFont val="Arial,sans-serif"/>
        <color rgb="FF1155CC"/>
        <sz val="8.0"/>
        <u/>
      </rPr>
      <t>https://x.com/mukabeton/status/2008372216505762249</t>
    </r>
  </si>
  <si>
    <r>
      <rPr>
        <rFont val="Arial,sans-serif"/>
        <color rgb="FF1155CC"/>
        <sz val="8.0"/>
        <u/>
      </rPr>
      <t>https://x.com/langitbirubth/status/2008145440173416544</t>
    </r>
  </si>
  <si>
    <t>DItemukan konten pada platform X yang bermuatan separatisme dengan narasi .”saya dukung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</si>
  <si>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https://www.facebook.com/share/p/1JAeS11VYz/</t>
    </r>
  </si>
  <si>
    <t>Provokatif, Separatisme, dan Hinaan terhadap NKRI</t>
  </si>
  <si>
    <t>Ditemukan sebuah konten disinformasi berupa fabricated content yang bersifat provokatif akan aksi separatisme dan merendahkan bendera NKRI. Konten ini menampilkan sebuah foto hasil rekayasa AI yang memuat seorang wanita berlaku tidak pantas terhadap bendera NKRI dengan narasi “Hinakan Merah Putih di London”.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</si>
  <si>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https://www.facebook.com/share/p/1SBbuzkw6T/</t>
    </r>
  </si>
  <si>
    <t>Konten tersebut memuat narasi kiasan yang tersusupi unsur provokatif gerakan separatisme. Konten ini juga menampilkan sebuah foto pengibaran bendera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</si>
  <si>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https://x.com/MafiosoGengSolo/status/2008077516452544977</t>
    </r>
  </si>
  <si>
    <t>Konten tersebut diduga mengandung unsur provokatif dengan ajakan untuk melakukan tindak anarkis dengan narasi “Nepalkan Genk Solo”, yang merujuk kepada Joko Widodo dan Gibran Rakabuming.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</si>
  <si>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https://x.com/MisterVakum/status/2008064379284271442</t>
    </r>
  </si>
  <si>
    <t>Konten tersebut diduga mengandung unsur provokatif dengan ajakan untuk melakukan tindak anarkis dengan kalimat kasar serta narasi “NEPALKAN PENGHIANAT NEGERI INI”, yang merujuk kepada bapak Prabowo Subianto dan Gibran Rakabuming.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</si>
  <si>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https://www.facebook.com/share/v/1bgVfMe3vk/</t>
    </r>
  </si>
  <si>
    <t>Konten tersebut diduga mengandung unsur provokatif dengan ajakan untuk melakukan tindak anarkis dengan narasi “Perlu di Nepalkan” terhadap Joko Widodo dan Bapak Prabowo Subianto.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</si>
  <si>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https://www.facebook.com/share/r/1ApX83umLm/</t>
  </si>
  <si>
    <t>Konten tersebut bernarasikan bahwa Dewan Perwakilan rakyat sangat licik, dimana membuat undang undang dalam semalam yang menguntungkan diri sendiri. Postingan tersebut juga memuat tuduhan bahwa alasan RUU Perampasan aset tidak segera disahkan karena DPR sibuk melindungi dirinya sendiri. Konten tersebut menggiring pini sehingga menimbulkan sentimen negatif kepada pemerintah.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</si>
  <si>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https://www.facebook.com/share/r/1Hc94MaF7J/
</t>
  </si>
  <si>
    <t>Konten tersebut bernarasikan bahwa DPR melalui Puan Maharani seolah melindungi koruptor dan mengajak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</si>
  <si>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https://vt.tiktok.com/ZS5udRan3/</t>
  </si>
  <si>
    <t>Konten tersebut bernarasikan bahwa Gibran adalah wapres terbodoh sepanjang sejarah. Ia disebut sebagai bocah bloon yang dipaksakan untuk menjadi wapres.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</si>
  <si>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https://www.facebook.com/groups/523183267134157/posts/864418796343934/</t>
    </r>
  </si>
  <si>
    <r>
      <rPr>
        <rFont val="Arial,sans-serif"/>
        <color rgb="FF1155CC"/>
        <sz val="8.0"/>
        <u/>
      </rPr>
      <t>https://www.facebook.com/groups/523183267134157/posts/862197813232699/</t>
    </r>
  </si>
  <si>
    <r>
      <rPr>
        <rFont val="Arial,sans-serif"/>
        <color rgb="FF1155CC"/>
        <sz val="8.0"/>
        <u/>
      </rPr>
      <t>https://www.facebook.com/groups/523183267134157/posts/858413103611170/</t>
    </r>
  </si>
  <si>
    <r>
      <rPr>
        <rFont val="Calibri,sans-serif"/>
        <color rgb="FF1155CC"/>
        <sz val="8.0"/>
        <u/>
      </rPr>
      <t>https://www.facebook.com/groups/523183267134157/posts/865026349616512/</t>
    </r>
  </si>
  <si>
    <r>
      <rPr>
        <rFont val="Calibri,sans-serif"/>
        <color rgb="FF1155CC"/>
        <sz val="8.0"/>
        <u/>
      </rPr>
      <t>https://www.facebook.com/groups/523183267134157/posts/865004496285364/</t>
    </r>
  </si>
  <si>
    <r>
      <rPr>
        <rFont val="Calibri,sans-serif"/>
        <color rgb="FF1155CC"/>
        <sz val="8.0"/>
        <u/>
      </rPr>
      <t>https://www.facebook.com/groups/523183267134157/posts/864745982977882/</t>
    </r>
  </si>
  <si>
    <r>
      <rPr>
        <rFont val="Calibri,sans-serif"/>
        <color rgb="FF1155CC"/>
        <sz val="8.0"/>
        <u/>
      </rPr>
      <t>https://www.facebook.com/groups/523183267134157/posts/864674659651681/</t>
    </r>
  </si>
  <si>
    <r>
      <rPr>
        <rFont val="Calibri,sans-serif"/>
        <color rgb="FF1155CC"/>
        <sz val="8.0"/>
        <u/>
      </rPr>
      <t>https://www.facebook.com/groups/523183267134157/posts/864462096339604/</t>
    </r>
  </si>
  <si>
    <t>https://www.facebook.com/reel/26481536834767390</t>
  </si>
  <si>
    <t>Dilaporkan telah melakukan tindak pidana penyebaran provokasi terkait narasi benturab antara Tentara Nasional Indonesia (TNI) terhadap Gerakan Aceh Merdeka (GAM). Hal ini akan berdampak memicu sentimen anti-NKRI, menghidupkan kembali potensi konflik keamanan, serta berpotensi mengancam kedaulatan negara dan stabilitas nasional. Hal ini sudah melanggar undang-undang yang berlaku dalam Negara Kesatuan Republik Indonesia terkait ketertiban masyarakat dan  dapat menimbulkan perpecahan sehingga dapat menimbulkan Ancaman Perang.</t>
  </si>
  <si>
    <t>https://www.facebook.com/reel/2645394685830072</t>
  </si>
  <si>
    <t>5 Januari 2026</t>
  </si>
  <si>
    <r>
      <rPr>
        <rFont val="Arial,sans-serif"/>
        <color rgb="FF1155CC"/>
        <sz val="8.0"/>
        <u/>
      </rPr>
      <t>https://x.com/__anomali__/status/2007659143289811359</t>
    </r>
  </si>
  <si>
    <t>DItemukan konten pada platform X yang bermuatan separatisme dengan narasi “Daripada Bumi Aceh DIEKSPLOITASI Jakarta, saya lebih Ikhlas Aceh Merdeka” Konten ini secara langsung mendukung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</si>
  <si>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https://x.com/fransis74201222/status/2007629936702701797</t>
    </r>
  </si>
  <si>
    <t>Provokatif, Separatisme, dan Disinformasi</t>
  </si>
  <si>
    <t>DItemukan konten pada platform X yang bermuatan separatisme dengan narasi .”DAERAH BERHAK MEMISAH KAN DIRI SUDAH 80 TH BERSAMA JUSTRU JADI HANCUR”. Konten ini juga mengandung unsur disinformasi yang menyebutkan narasi “DUNIA INTERNASIONAL INDONESIA DI ANGGAP BUKAN NEGARA LAGI” dan “SEMUA TANAH PAPUA &amp; ACEH MAU DI JUAL KE KHO PHING HO”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</si>
  <si>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https://x.com/fransis74201222/status/2007623744911814902</t>
    </r>
  </si>
  <si>
    <t>DItemukan konten pada platform X yang bermuatan separatisme dengan narasi setiap daerah selain Jakarta berhak untuk memerdekakan atau memisahkan diri dari Negara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</si>
  <si>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https://x.com/Ahmad14752769/status/2007550502184329309</t>
    </r>
  </si>
  <si>
    <t>Konten tersebut diduga mengandung unsur provokatif gerakan separatisme dengan narasi “akan bubar Indonesia ditahun 2030... Hidup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</si>
  <si>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https://x.com/RUW3TNES14__/status/2008003317591650797</t>
    </r>
  </si>
  <si>
    <t>Konten tersebut diduga mengandung unsur provokatif dengan ajakan untuk melakukan tindak anarkis dengan narasi “Tritura utk nepalkan Genk Solo”, yang merujuk kepada Joko Widodo dan Gibran Rakabuming.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</si>
  <si>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https://x.com/bravojumadi/status/2007504714339172562</t>
    </r>
  </si>
  <si>
    <t>Konten tersebut diduga mengandung unsur provokatif dengan ajakan untuk melakukan tindak anarkis dengan narasi “REVOLUSI TOTAL, NEPALKAN” terhadap DPR, Pemerintah, Polri, MK, dan KPU.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</si>
  <si>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https://x.com/bravojumadi/status/2007500595855540621</t>
    </r>
  </si>
  <si>
    <t>Konten tersebut diduga mengandung unsur provokatif dengan ajakan untuk melakukan tindak anarkis dengan narasi “REVOLUSI TOTAL, NEPALKAN” terhadap DPR, Pemerintah, Polri, MK, dan KPU.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</si>
  <si>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https://vt.tiktok.com/ZS555mc2Q/</t>
  </si>
  <si>
    <t>Konten tersebut diduga mengandung muatan separatisme dengan membuat seolah olah Bangsa Indonesia hanya perduli dengan Aceh saat dahulu masih di jajah dan mendapat bantuan dari Aceh, namun setelah merdeka Aceh seakan diabaikan.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</si>
  <si>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https://vt.tiktok.com/ZS55uVKgw/</t>
  </si>
  <si>
    <t>KOnten tersebut menyatakan bahwa Gibran merupakan hasil dari kecurangan dan kebohongan sehingga wajib dimakzulkan dan diadili.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</si>
  <si>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https://vt.tiktok.com/ZS55uDy76/</t>
  </si>
  <si>
    <t>Pada konten tersebut menyampaikan bahwa resolusi 2026 adalah untuk memakzulkan Gibran. Pada konten tersebut terdapat ajakan untuk masyarakat turun ke jalan untuk menuntut pemakzulan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</si>
  <si>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Times New Roman',serif"/>
        <color rgb="FF1155CC"/>
        <sz val="8.0"/>
        <u/>
      </rPr>
      <t>https://www.facebook.com/photo/?fbid=889005860727546&amp;set=gm.3023291004532484&amp;idorvanity=2479676585560598</t>
    </r>
  </si>
  <si>
    <r>
      <rPr>
        <rFont val="'Times New Roman',serif"/>
        <color rgb="FF1155CC"/>
        <sz val="8.0"/>
        <u/>
      </rPr>
      <t>https://www.facebook.com/photo/?fbid=886897047605094&amp;set=gm.3020753768119541&amp;idorvanity=2479676585560598</t>
    </r>
  </si>
  <si>
    <r>
      <rPr>
        <rFont val="'Times New Roman',serif"/>
        <color rgb="FF1155CC"/>
        <sz val="8.0"/>
        <u/>
      </rPr>
      <t>https://www.facebook.com/photo/?fbid=884798704481595&amp;set=gm.3018235171704734&amp;idorvanity=2479676585560598</t>
    </r>
  </si>
  <si>
    <r>
      <rPr>
        <rFont val="'Times New Roman',serif"/>
        <color rgb="FF1155CC"/>
        <sz val="8.0"/>
        <u/>
      </rPr>
      <t>https://www.facebook.com/photo/?fbid=1432820841920711&amp;set=gm.3003925486469036&amp;idorvanity=2479676585560598</t>
    </r>
  </si>
  <si>
    <r>
      <rPr>
        <rFont val="'Times New Roman',serif"/>
        <color rgb="FF1155CC"/>
        <sz val="8.0"/>
        <u/>
      </rPr>
      <t>https://www.facebook.com/photo/?fbid=1443050387564423&amp;set=gm.3016522598542658&amp;idorvanity=2479676585560598</t>
    </r>
  </si>
  <si>
    <r>
      <rPr>
        <rFont val="'Times New Roman',serif"/>
        <color rgb="FF1155CC"/>
        <sz val="8.0"/>
        <u/>
      </rPr>
      <t>https://www.facebook.com/photo/?fbid=1384950383426390&amp;set=g.2479676585560598</t>
    </r>
  </si>
  <si>
    <r>
      <rPr>
        <rFont val="'Times New Roman',serif"/>
        <color rgb="FF1155CC"/>
        <sz val="8.0"/>
        <u/>
      </rPr>
      <t>https://www.facebook.com/groups/9767428643312271/posts/25302592406035977/</t>
    </r>
  </si>
  <si>
    <r>
      <rPr>
        <rFont val="'Times New Roman',serif"/>
        <color rgb="FF1155CC"/>
        <sz val="8.0"/>
        <u/>
      </rPr>
      <t>https://www.facebook.com/groups/9767428643312271/posts/25301747676120450/</t>
    </r>
  </si>
  <si>
    <r>
      <rPr>
        <rFont val="'Times New Roman',serif"/>
        <color rgb="FF1155CC"/>
        <sz val="8.0"/>
        <u/>
      </rPr>
      <t>https://www.facebook.com/groups/9767428643312271/posts/25301190729509478/</t>
    </r>
  </si>
  <si>
    <r>
      <rPr>
        <rFont val="'Times New Roman',serif"/>
        <color rgb="FF1155CC"/>
        <sz val="8.0"/>
        <u/>
      </rPr>
      <t>https://www.facebook.com/groups/523183267134157/posts/863362713116209/</t>
    </r>
  </si>
  <si>
    <r>
      <rPr>
        <rFont val="'Times New Roman',serif"/>
        <color rgb="FF1155CC"/>
        <sz val="8.0"/>
        <u/>
      </rPr>
      <t>https://www.facebook.com/groups/523183267134157/posts/863360559783091/</t>
    </r>
  </si>
  <si>
    <r>
      <rPr>
        <rFont val="'Times New Roman',serif"/>
        <color rgb="FF1155CC"/>
        <sz val="8.0"/>
        <u/>
      </rPr>
      <t>https://www.facebook.com/groups/523183267134157/posts/858739650245182/</t>
    </r>
  </si>
  <si>
    <r>
      <rPr>
        <rFont val="'Times New Roman',serif"/>
        <color rgb="FF1155CC"/>
        <sz val="8.0"/>
        <u/>
      </rPr>
      <t>https://www.facebook.com/groups/523183267134157/posts/858737416912072/</t>
    </r>
  </si>
  <si>
    <r>
      <rPr>
        <rFont val="'Times New Roman',serif"/>
        <color rgb="FF1155CC"/>
        <sz val="8.0"/>
        <u/>
      </rPr>
      <t>https://www.facebook.com/groups/523183267134157/posts/851786374273843/</t>
    </r>
  </si>
  <si>
    <t>https://www.facebook.com/reel/1977276102858061</t>
  </si>
  <si>
    <t>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t>
  </si>
  <si>
    <t>4 Januari 2026</t>
  </si>
  <si>
    <r>
      <rPr>
        <rFont val="Arial,sans-serif"/>
        <color rgb="FF1155CC"/>
        <sz val="8.0"/>
        <u/>
      </rPr>
      <t>https://vt.tiktok.com/ZS5UKkbd2/</t>
    </r>
  </si>
  <si>
    <t>Ditemukan konten pada media sosial Tiktok yang diduga memuat unsur separatisme berupa modifikasi bendera merah putih menjadi bendera bulan bintang yang dinarasikan sebagai bendera jawa disertai kalimat “jawa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</si>
  <si>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https://vt.tiktok.com/ZS5UKQTa7/</t>
    </r>
  </si>
  <si>
    <t>Ditemukan konten pada media sosial Tiktok yang diduga memuat unsur Separatisme berupa pernyataan bahwa bendera aceh dapat berkibar diseluruh dunia, namun bendera tersebut dilarang di negara sendiri karena kaum yahudi berkedok jawa.
Penyebaran informasi yang mengandung unsur provokatif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</si>
  <si>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https://vt.tiktok.com/ZS5UEeMvV/</t>
    </r>
  </si>
  <si>
    <t>Ditemukan konten pada media sosial Tiktok yang diduga memuat unsur Separatisme berisi republik atjeh sumatera dengan narasi Indonesia sedang membunuh rakyat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</si>
  <si>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https://web.facebook.com/share/p/1ExZEDvQ29/</t>
    </r>
  </si>
  <si>
    <t>Disinformasi dan Ujaran Kebencian</t>
  </si>
  <si>
    <t>Ditemukan akun Facebook bernama “Uwais Nur Rahman Rahman” yang mengunggah konten penghinaan berupa fabricated content berisi foto hasil suntingan yang diduga sebagai figur menyerupai ‘Yesus’, sedang merokok dan berjualan di Pasar. Unggahan ini dapat memicu munculnya perspektif negatif publik yang menimbulkan kericuhan dan keretakan antar umat beragama.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</si>
  <si>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https://www.facebook.com/share/p/17M2u5KeLZ/</t>
    </r>
  </si>
  <si>
    <t>Ditemukan akun Facebook bernama “Murtadin Indonesia” yang mengunggah konten Disinformasi berupa fabricated content dengan menampilkan perbandingan sifat figur keagamaan disertai informasi yang tidak sesuai bahwa muslim merupakan pengikut yesus. Unggahan ini dapat memicu munculnya perspektif negatif publik yang menimbulkan kericuhan dan keretakan antar umat beragama.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</si>
  <si>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https://www.facebook.com/share/r/1CGtJWbm7u/</t>
    </r>
  </si>
  <si>
    <t>Ditemukan akun Facebook bernama “Michael Asa” yang mengunggah konten disinformasi berupa False content dimana ustadz abdul somad memberikan informasi bersifat satire yang direpresentasikan dengan serius berupa informasi bahwa daging babi halal bagi agama islam. Unggahan ini dapat memicu munculnya perspektif negatif publik yang menimbulkan kericuhan dan persepsi yang salah mengenai hukum agama.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</si>
  <si>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https://www.facebook.com/share/r/1PRvzcYqbM/</t>
    </r>
  </si>
  <si>
    <t>Ditemukan konten pada media sosial Facebook yang diduga memuat unsur provokatif untuk melakukan tindakan anarkis dengan narasi "Nepalkan" Joko Widodo dan para pengikutnya karena dianggap telah merusak konstitusi negara demi kekuasaa keluarga.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</si>
  <si>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https://www.facebook.com/share/v/1BgPPk4Abb/</t>
    </r>
  </si>
  <si>
    <t>Ditemukan konten pada media sosial Facebook yang diduga memuat unsur provokatif untuk melakukan tindakan anarkis dengan narasi "Nepalkan" Joko Widodo dan para pengikutnya karena dianggap salah dalam mengambil keputusan terkait pemilihan kereta cepat Whoosh yang akhirnya merugikan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</si>
  <si>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https://www.facebook.com/share/p/17DjZieGER/</t>
    </r>
  </si>
  <si>
    <t>Ditemukan konten pada media sosial Facebook yang diduga memuat unsur provokatif untuk melakukan tindakan anarkis dengan narasi "Nepalkan" Indonesia karena presiden Prabowo Subianto dianggap tidak mampu memimpin negara Indonesia dengan mengeluarkan kebijakan yang membingungkan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</si>
  <si>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https://www.facebook.com/share/p/1aaZKwWCpB/</t>
  </si>
  <si>
    <t>Ditemukan konten pada media sosial Facebook yang diduga memuat unsur provokatif untuk melakukan tindakan anarkis dengan narasi "Bubarkan” DPR dan turunkan Puan Maharani karena pernyataannya mengusulkan kenaikan pajak untuk bantuan korban banjir di Sumatera. Hal tersebut dianggap rakyat yang harus dikorbankan lagi dengan kenaikan pajak sedangkan hasil kekayaan alam tidak jelas kegunaannya.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</si>
  <si>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https://www.tiktok.com/@berita.politik66/video/7589338261160545556</t>
  </si>
  <si>
    <t>Ditemukan konten pada media sosial Tiktok yang diduga memuat unsur provokatif untuk melakukan tindakan anarkis dengan narasi "Nepalkan" presiden Prabowo Subianto karena pemerintahannya dianggap telah merusak hutan dengan melakukan penebangan pohon secara liar.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</si>
  <si>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https://www.tiktok.com/@akbarullah171/video/7590806603918478613</t>
  </si>
  <si>
    <t>Ditemukan konten pada media sosial Tiktok yang diduga memuat unsur provokatif dan gerakan separatisme dengan narasi "Aceh Merdeka” karena pemerintah dianggap melakukan ketimpangan terhadap Sumatera dan mengubah daerah hutan menjadi kebun kelapa sawit.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</si>
  <si>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https://x.com/Satria93602/status/2007718362894479585</t>
    </r>
  </si>
  <si>
    <t>Ditemukan konten pada media sosial Twitter yang diduga memuat unsur provokatif untuk melakukan tindakan anarkis dengan narasi "Nepalkan" Komisi Pemilihan Umum karena dianggap telah melakukan kecurangan terkait hasil pilpres yang dimenangkan oleh pasangan Prabowo-Gibran.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</si>
  <si>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Times New Roman',serif"/>
        <color rgb="FF1155CC"/>
        <sz val="8.0"/>
        <u/>
      </rPr>
      <t>https://www.facebook.com/groups/2378433292339269/posts/3095598277289430/</t>
    </r>
  </si>
  <si>
    <r>
      <rPr>
        <rFont val="'Times New Roman',serif"/>
        <color rgb="FF1155CC"/>
        <sz val="8.0"/>
        <u/>
      </rPr>
      <t>https://www.facebook.com/groups/2378433292339269/posts/3083527495163175/</t>
    </r>
  </si>
  <si>
    <r>
      <rPr>
        <rFont val="'Times New Roman',serif"/>
        <color rgb="FF1155CC"/>
        <sz val="8.0"/>
        <u/>
      </rPr>
      <t>https://www.facebook.com/groups/2378433292339269/posts/3076039102578681/</t>
    </r>
  </si>
  <si>
    <r>
      <rPr>
        <rFont val="'Times New Roman',serif"/>
        <color rgb="FF1155CC"/>
        <sz val="8.0"/>
        <u/>
      </rPr>
      <t>https://www.facebook.com/groups/1652536848794280/posts/1799096340804996/</t>
    </r>
  </si>
  <si>
    <r>
      <rPr>
        <rFont val="'Times New Roman',serif"/>
        <color rgb="FF1155CC"/>
        <sz val="8.0"/>
        <u/>
      </rPr>
      <t>https://www.facebook.com/groups/1652536848794280/posts/1796870927694204/</t>
    </r>
  </si>
  <si>
    <r>
      <rPr>
        <rFont val="'Times New Roman',serif"/>
        <color rgb="FF1155CC"/>
        <sz val="8.0"/>
        <u/>
      </rPr>
      <t>https://www.facebook.com/groups/1652536848794280/posts/1795870761127554/</t>
    </r>
  </si>
  <si>
    <t>https://www.facebook.com/reel/2405833189852423</t>
  </si>
  <si>
    <t>https://www.facebook.com/reel/1263377548971148</t>
  </si>
  <si>
    <t>3 Januari 2026</t>
  </si>
  <si>
    <t>https://www.facebook.com/share/v/17aHe1HUfK/</t>
  </si>
  <si>
    <t>Ditemukan konten pada media sosial Facebook yang diduga memuat unsur provokatif untuk melakukan tindakan anarkis dengan narasi "Nepalkan" Luhut Binsar Padjaitan dan Joko Widodo karena wilayah Morowali dan PIK 2 dianggap sebagai negara dalam negara yang merupakan akibat dari kekuasaan Joko Widodo selama 10 tahun.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</si>
  <si>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https://www.facebook.com/share/p/1GMmS3gXcL/</t>
  </si>
  <si>
    <t>Ditemukan konten pada media sosial Facebook yang diduga memuat unsur provokatif untuk melakukan tindakan anarkis dengan narasi "Nepalkan" Pemerintah karena dianggap sudah tidak bisa menghargai rakyat karena tidak mau dikritik oleh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</si>
  <si>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https://www.facebook.com/share/p/1BvN9A9xTk/</t>
    </r>
  </si>
  <si>
    <t>Ditemukan konten pada media sosial Facebook yang diduga memuat unsur provokatif untuk melakukan tindakan anarkis dengan narasi "Nepalkan" DPR karena dianggap mendukung pemilihan kepala daerah melalui DPRD, tanpa pemilihan umum secara langsung oleh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</si>
  <si>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https://www.facebook.com/share/r/1KJu6TZ47V/</t>
    </r>
  </si>
  <si>
    <t>Ditemukan konten pada media sosial Facebook yang diduga memuat unsur provokatif untuk melakukan tindakan anarkis dengan narasi "Nepalkan" Joko Widodo dan Luhut Binsar Pandjaitan karena didaerah Morowali sudah terdapat kantor polisi dari china yang dianggap sebagai akibat dari pemerintahan yang dipimpin oleh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</si>
  <si>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https://www.facebook.com/share/r/1ANxiCBEen/</t>
    </r>
  </si>
  <si>
    <t>Ditemukan konten pada media sosial Facebook yang diduga memuat unsur provokatif untuk melakukan tindakan anarkis dengan narasi "Nepalkan" Pemerintah Provinsi Sumatera Utara karena dianggap menahan bantuan yang akan diberikan kepada korban bencana di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</si>
  <si>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https://www.facebook.com/share/r/1CGtJWbm7u/</t>
    </r>
  </si>
  <si>
    <t>Ditemukan konten pada media sosial Facebook yang diduga memuat unsur provokatif untuk melakukan tindakan anarkis dengan narasi "Nepalkan" presiden Prabowo Subianto dan wakil presiden Gibran Rakabuming Raka karena terdapat peraturan di KUHAP yang menyatakan bahwa menghina presiden maupun lembaga negara dapat dihukum penjara selama 3 tahun.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</si>
  <si>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https://www.facebook.com/share/v/1akDQNMrCc/</t>
    </r>
  </si>
  <si>
    <t>Ditemukan konten pada media sosial Facebook yang diduga memuat unsur provokatif untuk melakukan tindakan anarkis dengan narasi "Nepalkan" pejabat negara karena dianggap tidak memiliki rasa empati dengan melakukan pesta ditengah bencana Sumatera yang masih melanda.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</si>
  <si>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https://www.facebook.com/share/p/1AwFjdiXQ6/</t>
    </r>
  </si>
  <si>
    <t>Ditemukan konten pada media sosial Facebook yang diduga memuat unsur provokatif untuk melakukan tindakan anarkis dengan narasi "Nepalkan" Menteri Hukum Supratman Andi Agtas karena pernyataannya yaitu koruptor bisa diampuni jika membayar denda damai.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</si>
  <si>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https://www.facebook.com/share/p/1DBuo73cgb/</t>
    </r>
  </si>
  <si>
    <t>Ditemukan konten pada media sosial Facebook yang diduga memuat unsur provokatif untuk melakukan tindakan anarkis dengan narasi "Bubarkan” DPR RI karena dianggap sebagai sumber masalah di negara ini dan mengarahkan Joko Widodo untuk dihukum mati.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</si>
  <si>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https://www.facebook.com/share/r/1Ab3mERExA/</t>
  </si>
  <si>
    <t>Ditemukan konten pada media sosial Facebook yang diduga memuat unsur provokatif dan gerakan separatisme dengan narasi "Aceh Merdeka” karena menganggap bangsa Indonesia merupakan bangsa pengkhianat yang tidak tau diri.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</si>
  <si>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https://x.com/HisyamMochtar/status/2007420524281163986</t>
  </si>
  <si>
    <t>Ditemukan konten pada media sosial Twitter yang diduga memuat unsur provokatif untuk melakukan tindakan anarkis dengan narasi "Bubarkan” DPR karena terdapat salah satu anggota DPR yang memberikan pernyataan bahwa agar pemilu dilakukan setiap 10 tahun supaya dapat mengembalikan uang yang dipakai untuk mencalonkan diri.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</si>
  <si>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 (39.8K Followers)</t>
  </si>
  <si>
    <r>
      <rPr>
        <rFont val="Arial,sans-serif"/>
        <color rgb="FF1155CC"/>
        <sz val="8.0"/>
        <u/>
      </rPr>
      <t>https://x.com/KayadiMur/status/2007396857270657280</t>
    </r>
  </si>
  <si>
    <t>https://www.facebook.com/reel/1410840013785850</t>
  </si>
  <si>
    <t>https://www.facebook.com/reel/1140859521212297</t>
  </si>
  <si>
    <t>2 Januari 2026</t>
  </si>
  <si>
    <r>
      <rPr>
        <rFont val="Arial,sans-serif"/>
        <color rgb="FF1155CC"/>
        <sz val="8.0"/>
        <u/>
      </rPr>
      <t>https://www.facebook.com/share/v/1C4DzzdKdR/</t>
    </r>
  </si>
  <si>
    <t>DItemukan konten pada media sosial Facebook yang bermuatan Separatisme terkait memerdekakan Aceh. Pada konten tersebut memuat Caption agar Aceh merdeka dengan video menunjukkan pawai mengibarkan bendera GAM.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</si>
  <si>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https://www.facebook.com/share/r/16kCssWvPR/</t>
    </r>
  </si>
  <si>
    <t>DItemukan konten pada media sosial Facebook yang bermuatan Separatisme terkait memerdekakan Aceh. Pada Video tersebut menunjukan konvoi dengan atribut bendera GAM serta seruan Aceh untuk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</si>
  <si>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https://www.facebook.com/share/r/1CbpD2quvh/</t>
    </r>
  </si>
  <si>
    <r>
      <rPr>
        <rFont val="Arial,sans-serif"/>
        <color rgb="FF1155CC"/>
        <sz val="8.0"/>
        <u/>
      </rPr>
      <t>https://x.com/sugengyuli45786/status/2006914952397996250</t>
    </r>
  </si>
  <si>
    <t>Konten tersebut diduga mengandung unsur provokatif dengan ajakan untuk melakukan tindak anarkis dengan narasi “Nepalkan” terhadap pejabat KPU, hal ini merujuk terhadap polemik ijazah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</si>
  <si>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https://x.com/thiagodhewi/status/2006896263711830442</t>
    </r>
  </si>
  <si>
    <t>Konten tersebut diduga mengandung unsur provokatif dengan ajakan untuk melakukan tindak anarkis dengan kalimat kasar dan narasi “NEPALKAN SEGERA PEMERINTAHAN PRABOWO”. Konten ini merupakan sebuah komentar terhadap cuplikan video acara internal di kediaman Maruarar Sirait, Menteri PKP.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</si>
  <si>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https://x.com/budisetyo5273/status/2006732867293032629</t>
    </r>
  </si>
  <si>
    <t>Konten tersebut diduga mengandung unsur provokatif dengan ajakan untuk melakukan tindak anarkis dengan kalimat kasar dan narasi “NEPALKAN SEGERA” terhadap Joko Widodo dan Keluarga.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</si>
  <si>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https://x.com/fransis74201222/status/2006945970500808810</t>
    </r>
  </si>
  <si>
    <t>Konten tersebut diduga mengandung unsur provokatif dengan ajakan untuk melakukan tindakan separatisme dengan narasi “HARUS MEN DIRI KAN NEGARA DI WILAYAH MU DARI PADA DI OBRAK- ABRIK SEPERTI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</si>
  <si>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https://x.com/surya0377/status/2006939747172888603</t>
    </r>
  </si>
  <si>
    <t>Konten tersebut diduga mengandung unsur provokatif karena secara langsung menyasar Presiden Prabowo dengan nada ejekan, mengaitkan isu keamanan, perkebunan sawit, dan pertambangan sebagai bentuk kegagalan negara. Konten ini juga memuat ajakan untuk melakukan tindakan separatisme dengan tagar #2030IndonesiaBUBAR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</si>
  <si>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https://www.facebook.com/share/p/1Co4BJezGH/</t>
    </r>
  </si>
  <si>
    <t>Konten tersebut mengandung unsur separatisme yang memuat sebuah gambar hasil rekayasa AI dengan narasi “Merdeka Aceh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</si>
  <si>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https://www.facebook.com/share/v/1E9Tx8BqHV/</t>
    </r>
  </si>
  <si>
    <t>Ditemukan sebuah konten pada platform Facebook yang mengandung unsur separatisme dengan memuat cuplikan video pengibaran bendera GAM dan narasi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</si>
  <si>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https://www.facebook.com/share/p/1BJeHzvaAF/</t>
    </r>
  </si>
  <si>
    <t>Konten tersebut diduga mengandung unsur provokatif dengan ajakan untuk melakukan tindak anarkis dengan narasi “Bagusnya di Nepal kan saja” terhadap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</si>
  <si>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https://www.facebook.com/reel/798407069311932/</t>
    </r>
  </si>
  <si>
    <t>Konten tersebut diduga mengandung unsur provokatif dengan ajakan untuk melakukan tindak anarkis dengan narasi “JIKA HUKUM NEGARA TIDAK MAMPU MENGADILI JOKOWI, MAKA RAKYAT HARUS BERSATU NEPALKAN JOKOWI” terhadap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</si>
  <si>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https://www.facebook.com/reel/910583871476225</t>
  </si>
  <si>
    <t>https://www.facebook.com/reel/897847916108432</t>
  </si>
  <si>
    <t>31 Desember 2025</t>
  </si>
  <si>
    <r>
      <rPr>
        <rFont val="Arial,sans-serif"/>
        <color rgb="FF1155CC"/>
        <sz val="8.0"/>
        <u/>
      </rPr>
      <t>https://www.tiktok.com/@gerbangaceh/video/7589325511600377108?_r=1&amp;_t=ZS-92ftl3rcgYi</t>
    </r>
  </si>
  <si>
    <t>Konten tersebut mengandung unsur separatisme dengan tujuan Aceh merdeka menggunakan sentimen ujaran kebencian kepada suku Jawa yang dianggap sebagai penjajah.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</si>
  <si>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https://www.tiktok.com/@aneukacehsumatra/video/7589409945309826322?_r=1&amp;_t=ZS-92ftg3Ugyaf</t>
    </r>
  </si>
  <si>
    <t>Konten tersebut mengandung unsur provokatif dengan menganggap penertiban bendera bulan bintang di Aceh sebagai bentuk gangguan terhadap aktivitas bangsa Aceh. Narasi seperti ini dapat menyebabkan provokasi terutama berkaitan dengan isu separatisme terhadap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</si>
  <si>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https://www.tiktok.com/@aneukacehsumatra/video/7588670523106708744?_r=1&amp;_t=ZS-92ftZGV04O1</t>
    </r>
  </si>
  <si>
    <t>Konten tersebut merupakan disinformasi berjenis misleading content (konten menyesatkan) dengan menyebut bahwa kemerdekaan Indonesia tanggal 17 Agustus 1945 tidak berkaitan sama sekali dengan Aceh. Terdapat pernyataan bahwa pihak pembuat konten sudah pernah berdebat dengan menteri Pemerintah Indonesia di Uni Eropa terkait bukti legalitas pemerintahan Indonesia di Aceh yang diklaim tidak ada oleh pembuat konten.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</si>
  <si>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https://www.tiktok.com/@mediterania6/video/7589267351057599765?_r=1&amp;_t=ZS-92ft9VcGlIu</t>
    </r>
  </si>
  <si>
    <t>Ditemukan konten pada media sosial Tiktok yang mengandung unsur separatisme dengan narasi Presiden pembohong dan membuat warga kelaparan. Narasi ini kemudian disertakan dengan video liputan pengungsi di Aceh yang mengeluhkan minimnya jumlah bantuan pangan dari pemerintah. Kemudian, terdapat narasi bahwa lebih baik wilayah Aceh, Riau, Sumatra, Padang, Nias, Kalimantan, Sulawesi, Ambon, dan Papua berpisah dari Indonesia.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</si>
  <si>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https://www.tiktok.com/@welcomeback670/photo/7589630526747643143?_r=1&amp;_t=ZS-92fjyiqFfqD</t>
    </r>
  </si>
  <si>
    <t>Konten tersebut mengandung unsur provokasi dengan menampilkan bendera bulan bintang dan sebuah senapan laras panjang beserta sebuah kalimat dalam bahasa Aceh yang bermakna “tidak sabar untuk berperang lagi”yang dapat dikonotasikan sebagai ekspresi provokatif untuk melakukan separatisme dengan senjata.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</si>
  <si>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https://www.facebook.com/reel/3934505636846220</t>
    </r>
  </si>
  <si>
    <t>Konten tersebut mengandung unsur provokasi dengan narasi separatisme dukungan kemerdekaan Aceh dan Sumatra sebagai etnis Melayu.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</si>
  <si>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https://www.facebook.com/share/p/1SWaFds6nu/</t>
    </r>
  </si>
  <si>
    <t>Provokatifdan Separatisme</t>
  </si>
  <si>
    <t>Konten tersebut mengandung unsur provokasi dengan narasi separatisme yang diduga sengaja dibuat oleh warga Malaysia untuk memecah belah negara. Terdapat dalih bahwa bagi Malaysia, Aceh adalah bagian dari sejarah mereka, sedangkan Indonesia datang ke Aceh sebagai pengemis dan pulang sebagai pengkhianat.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</si>
  <si>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https://www.facebook.com/share/p/1Dp3JCNqiH/</t>
    </r>
  </si>
  <si>
    <t>Ditemukan konten pada media sosial Facebook yang mengandung unsur disinformasi berjenis manipulated content (konten yang dimanipulasi) dengan mengunggah gambar kendaraan taktis milik PBB yang kemudian direkayasa digital dengan menempelkan bendera bulan bintang dan bendera PBB dengan caption bernarasi Aceh akan menjadi sebuah negara setelah PBB akhirnya turun tangan.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</si>
  <si>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https://www.facebook.com/share/p/188BbvMSbZ/</t>
  </si>
  <si>
    <t>Konten tersebut mengandung unsur provokasi dengan berisi ilustrasi mengenai isu pemerintahan selama 1 tahun kebelakang dan terdapat ajakan anarkis untuk “bubarkan NKRI”.
Penyebaran informasi yang mengandung unsur provokatif dengan narasi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</si>
  <si>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https://www.facebook.com/share/p/16pTLEca2L/</t>
    </r>
  </si>
  <si>
    <t>Ditemukan sebuah konten disinformasi berjenis fabricated content (konten palsu) yang menampilkan Foto Editan yang menarasikan bahwa Islam dilarang mengikuti tahun baru dan menganggap tahun baru sebagai perayaan yang hanya dilaksanakan oleh agama kristen.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</si>
  <si>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https://vt.tiktok.com/ZS5j4jbB6/</t>
    </r>
  </si>
  <si>
    <t>Konten tersebut mengandung unsur separatisme dengan tujuan NKRI akan punah dan NKRI akan kalah dengan Aceh menggunakan disinformasi bahwa Indonesia dalam bahasa yunani berarti negara Hindu.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</si>
  <si>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https://www.facebook.com/groups/2144232016009025/user/61576746098877/</t>
    </r>
  </si>
  <si>
    <t>Konten tersebut merupakan disinformasi berjenis Fabricated Content dengan menyebut gibran sebagai tuhan pagan dan memplesetkan kalimat agama lain menjadi “alay-lu-yah”.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</si>
  <si>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https://www.facebook.com/share/p/17jNe364Ng/</t>
    </r>
  </si>
  <si>
    <t>Konten tersebut mengandung unsur separatisme dengan berisi penyampaian papua merdeka dan sehingga lagu “dari sabang sampai merauke” tidak akan dapat berkumandang.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</si>
  <si>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https://www.facebook.com/share/p/1BUgihVuRF/</t>
    </r>
  </si>
  <si>
    <t>Konten tersebut mengandung unsur separatisme dengan berisi penyampaian lebih baik papua merdeka daripada dijajah oleh jakarta.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</si>
  <si>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https://www.tiktok.com/@otto.vianus61?_r=1&amp;_t=ZS-92baEMcMNU1</t>
    </r>
  </si>
  <si>
    <t>Ditemukan sebuah akun tiktok yang aktif membagikan konten dengan narasi menyesatkan yang bersifat delegitimasi terhadap presiden, narasi berisi pernyataan bahwa prabowo hanya menonjolkan kebohongan dan pernyataan bahwa pemimpin yang dipilih dari jendral pecatan membuat negara hancur.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</si>
  <si>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30 Desember 2025</t>
  </si>
  <si>
    <t>https://www.facebook.com/share/r/1EvCMyF3qn/</t>
  </si>
  <si>
    <t>Ditemukan sebuah akun Tiktok yang berisi narasi provokatif berupa pemberian narasi adanya acara pemerintahan yang dibingkai dengan narasi negatif sehingga menggiring opini bahwa pemerintahan sedang berpesta di saat rakyat menderita. Video tersebut juga ditambahkan narasi berupa “selamat natal dan orde baru”.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</si>
  <si>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https://www.facebook.com/share/r/1CgqQKYfW7/</t>
    </r>
  </si>
  <si>
    <t>Ditemukan konten pada media sosial Facebook yang diduga memuat unsur provokatif untuk melakukan tindakan anarkis dengan narasi "Nepalkan" Luhut Binsar Padjaitan karena dianggap telah mengkhianati negara dan membohongi rakyat hanya demi sebuah jabatan.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</si>
  <si>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https://www.facebook.com/share/r/1QjzPfZ6jK/</t>
    </r>
  </si>
  <si>
    <t>Ditemukan konten pada media sosial Facebook yang diduga memuat unsur provokatif untuk melakukan tindakan anarkis dengan narasi "Nepalkan" Joko Widodo karena dianggap memiliki sifat pembohong terkait ijazah yang dimiliki dan tidak hadir dalam persidangan kasus ijazah.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</si>
  <si>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https://www.facebook.com/share/v/1MQeTGnFRR/</t>
    </r>
  </si>
  <si>
    <t>Ditemukan konten pada media sosial Facebook yang diduga memuat unsur provokatif untuk melakukan tindakan anarkis dengan narasi "Nepalkan" Luhut Binsar Pandjaitan setelah diteriaki maling saat datang pada suatu acara di Universitas Panca Budi Medan.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</si>
  <si>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https://x.com/Loveinloveyz/status/2005145942669041849</t>
    </r>
  </si>
  <si>
    <t>Ditemukan konten pada media sosial Twitter yang diduga memuat unsur provokatif untuk melakukan tindakan anarkis dengan narasi "Makzulkan” Wakil Presiden Gibran Rakabuming Raka karena dianggap pembohong karena menggunakan ijazah palsu dalam pencalonan menjadi kepala daerah maupun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</si>
  <si>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https://x.com/ceritatati/status/2005985041244119550</t>
    </r>
  </si>
  <si>
    <t>Ditemukan konten pada media sosial Twitter yang diduga memuat unsur provokatif untuk melakukan tindakan anarkis dengan narasi "Makzulkan” Wakil Presiden Gibran Rakabuming Raka dan mengadili Joko Widodo karena dianggap menjadi penyebab bangsa Indonesia menjadi jelek di dunia.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</si>
  <si>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https://x.com/MamanPiyul/status/2005646758588879204</t>
    </r>
  </si>
  <si>
    <t>Ditemukan konten pada media sosial Twitter yang diduga memuat unsur provokatif untuk melakukan tindakan anarkis dengan narasi "Makzulkan” Wakil Presiden Gibran Rakabuming Raka pada tahun 2026 karena dianggap tidak lulus dari SMA sehingga tidak memenuhi kriteria pencalonan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</si>
  <si>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https://www.facebook.com/share/r/17dbU6ci3d/</t>
    </r>
  </si>
  <si>
    <t>Ditemukan konten pada media sosial Facebook yang diduga memuat unsur provokatif untuk melakukan tindakan anarkis dengan narasi "Nepalkan" Joko Widodo karena dianggap ijazah yang dimiliki oleh Joko Widodo adalah palsu disertai video seseorang yang mengaku dirinya ponakan dari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</si>
  <si>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https://www.facebook.com/share/r/1GuLkEWFaH/</t>
    </r>
  </si>
  <si>
    <t>Ditemukan konten pada media sosial Facebook yang diduga memuat unsur provokatif untuk melakukan tindakan anarkis dengan narasi "Nepalkan" Luhut Binsar Padjaitan dan merampas aset yang dimiliki serta mengusir dari Indonesia karena dianggap menentang hukum yang ada.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</si>
  <si>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https://www.facebook.com/share/p/1C9s3P2vAR/</t>
    </r>
  </si>
  <si>
    <t>Ditemukan konten pada media sosial Facebook yang diduga memuat unsur provokatif untuk melakukan tindakan anarkis dengan narasi "Nepalkan" Pemerintah Provinsi Sumatera Utara karena dianggap menghambat pemberian bantuan dari Jawa Timur kepada korban banjir Sumatera dan diharuskan membayar terlebih dahulu.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</si>
  <si>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https://www.facebook.com/share/p/16xkVgALEp/</t>
    </r>
  </si>
  <si>
    <t>Ditemukan konten pada media sosial Facebook yang diduga memuat unsur provokatif untuk melakukan tindakan anarkis dengan narasi "Makzulkan” Wakil Presiden Gibran Rakabuming Raka dan mengadili Joko Widodo karena dianggap terdapat aliran dana triliunan yang digunakan oleh Joko Widodo untuk melindungi pihak-pihak tertentu.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</si>
  <si>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https://www.facebook.com/share/p/1AmYjDX6cX/</t>
    </r>
  </si>
  <si>
    <t>Ditemukan konten pada media sosial Facebook yang diduga memuat unsur provokatif untuk melakukan tindakan anarkis dengan narasi "Makzulkan” Wakil Presiden Gibran Rakabuming Raka pada tahun 2026 karena dianggap tidak lulus dari SMA sehingga tidak memenuhi kriteria pencalonan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</si>
  <si>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https://x.com/jawir69/status/2005979531610640513</t>
    </r>
  </si>
  <si>
    <t>Ditemukan konten pada media sosial Twitter yang diduga memuat unsur provokatif untuk melakukan tindakan anarkis dengan narasi Kudeta Presiden Prabowo Subianto karena dianggap membela para koruptor dan mendukung Gibran Rakabuming Raka dalam pemilihan presiden tahun 2029.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</si>
  <si>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https://www.facebook.com/share/p/1DaLq8Xtxe/</t>
    </r>
  </si>
  <si>
    <t>Ditemukan konten pada media sosial Twitter yang diduga memuat unsur provokatif untuk melakukan tindakan anarkis dengan narasi “Bubarkan” Kepolisian Republik Indonesia karena dianggap sudah jelek dan melawan hukum Negara Kesatuan Republik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</si>
  <si>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https://www.tiktok.com/@pey230786/video/7588450509195922695</t>
  </si>
  <si>
    <t>Ditemukan konten pada media sosial Tiktok yang diduga memuat unsur provokatif untuk melakukan tindakan anarkis dengan narasi "Makzulkan” Wakil Presiden Gibran Rakabuming Raka pada tahun 2026 karena dianggap tidak lulus dari SMA.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</si>
  <si>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https://www.facebook.com/share/p/17rNa4dxmy/</t>
    </r>
  </si>
  <si>
    <t>Ditemukan konten pada media sosial Tiktok yang diduga memuat unsur provokatif untuk melakukan tindakan anarkis dengan narasi "Bubarkan” DPR karena dianggap sudah tidak bisa lagi mendengar aspirasi rakyat dan hanya mementingkan diri sendiri saja.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</si>
  <si>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https://www.facebook.com/groups/600655398635239/posts/1244389504261822/</t>
  </si>
  <si>
    <t>https://www.facebook.com/groups/600655398635239/posts/1240266614674111/</t>
  </si>
  <si>
    <t>https://www.facebook.com/groups/600655398635239/posts/1229902575710515/</t>
  </si>
  <si>
    <t>https://www.facebook.com/groups/9767428643312271/posts/25254902367471648/</t>
  </si>
  <si>
    <t>https://www.facebook.com/groups/9767428643312271/posts/25254854617476423/</t>
  </si>
  <si>
    <t>https://www.facebook.com/groups/9767428643312271/posts/25252900924338459/</t>
  </si>
  <si>
    <t>https://www.facebook.com/groups/1179856566370579/posts/1566334281056137/</t>
  </si>
  <si>
    <t>https://www.facebook.com/groups/1179856566370579/posts/1566020651087500/</t>
  </si>
  <si>
    <t>https://www.facebook.com/groups/1179856566370579/posts/1564830931206472/</t>
  </si>
  <si>
    <t>https://www.facebook.com/groups/1179856566370579/posts/1564252137931018/</t>
  </si>
  <si>
    <t>https://www.facebook.com/groups/1179856566370579/posts/1555442255478673/</t>
  </si>
  <si>
    <t>https://www.facebook.com/reel/1351977506225968</t>
  </si>
  <si>
    <t>29 Desember 2025</t>
  </si>
  <si>
    <t>https://www.facebook.com/takin.sidqialubis/videos/1508220236927616/</t>
  </si>
  <si>
    <t xml:space="preserve">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 
</t>
  </si>
  <si>
    <t>https://x.com/RomoMoses3/status/2004063007308148862</t>
  </si>
  <si>
    <t>https://x.com/LazuardiOsado/status/2004511466855292965</t>
  </si>
  <si>
    <t>https://x.com/LazuardiOsado/status/2004508949568200833</t>
  </si>
  <si>
    <t>https://x.com/BiskuitReg42464/status/2003128496697344301</t>
  </si>
  <si>
    <t>https://x.com/08Tukijan/status/2002389877300613584</t>
  </si>
  <si>
    <t>https://x.com/RSuntya44707/status/2001648712377061735</t>
  </si>
  <si>
    <t>https://x.com/Fernaly06/status/1996420942822854865</t>
  </si>
  <si>
    <t>https://www.facebook.com/groups/9767428643312271/posts/25186309570997595</t>
  </si>
  <si>
    <t>https://www.facebook.com/groups/9767428643312271/posts/25186260451002507</t>
  </si>
  <si>
    <t>https://www.facebook.com/groups/9767428643312271/posts/25182989971329555</t>
  </si>
  <si>
    <t>https://www.facebook.com/groups/9767428643312271/posts/25181943864767499</t>
  </si>
  <si>
    <t>https://www.facebook.com/groups/9767428643312271/posts/25181560201472532</t>
  </si>
  <si>
    <r>
      <rPr>
        <rFont val="Arial,sans-serif"/>
        <color rgb="FF1155CC"/>
        <sz val="8.0"/>
        <u/>
      </rPr>
      <t>https://www.facebook.com/share/p/1RgfU5GnBP/</t>
    </r>
  </si>
  <si>
    <t>Ditemukan konten pada media sosial Facebook yang diduga memuat unsur provokatif untuk melakukan tindakan anarkis dengan narasi "Nepalkan" pihak-pihak yang terlibat dalam pemberian izin eksplorasi hutan seperti Dinas Kehutanan, Dinas Perhubungan, Polsek, dan Kepala Desa karena dianggap tidak berani memberikan argumentasi kepada pemerintah pusat terkait izin eksploitasi hutan yang besar-besaran.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</si>
  <si>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https://www.facebook.com/share/r/19ztWpYwWe/</t>
    </r>
  </si>
  <si>
    <t>Ditemukan konten pada media sosial Facebook yang diduga memuat unsur provokatif untuk melakukan tindakan anarkis dengan narasi "Nepalkan" Hakim Pengadilan karena dianggap kabur saat sidang terkait ijazah Joko Widodo sedang berlangsung tanpa alasan yang jelas.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</si>
  <si>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https://www.facebook.com/share/r/19sAknDNRY/</t>
    </r>
  </si>
  <si>
    <t>Ditemukan konten pada media sosial Facebook yang diduga memuat unsur provokatif untuk melakukan tindakan anarkis dengan narasi "Nepalkan" Joko Widodo disertai video yang menampilkan sekumpulan orang sedang demo di depan gedung DPR sehingga dapat memengaruhi masyarakat untuk melakukan hal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</si>
  <si>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https://www.facebook.com/share/r/1KW1sfe2RA/</t>
    </r>
  </si>
  <si>
    <t>Ditemukan konten pada media sosial Facebook yang diduga memuat unsur provokatif dan SARA dengan narasi mengadu domba kedua agama tanpa menjunjung toleransi dalam beragama dan disertai video yang menampilkan orang kristen sedang merayakan natal di dalam Masjid Istiqlal.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</si>
  <si>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https://www.facebook.com/share/p/1CFkuWztiE/</t>
    </r>
  </si>
  <si>
    <t>Ditemukan konten pada media sosial Facebook yang diduga memuat unsur provokatif untuk melakukan tindakan anarkis dengan narasi "Bubarkan” perayaan Natal se-Jawa Bali dan menuntut agar uang yang digunakan dalam perayaan Natal dialihkan untuk melakukan referendum di Papua Barat.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</si>
  <si>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https://www.facebook.com/share/v/1c6QVvngN3/</t>
    </r>
  </si>
  <si>
    <t>Ditemukan konten pada media sosial Facebook yang diduga memuat unsur provokatif untuk melakukan tindakan anarkis dengan narasi "Nepalkan" Menteri ESDM, Bahlil Lahadalia karena diduga pernyataannya yaitu untuk mengajak PLN menaikkan harga listrik dengan alasan agar perusahaan PLN tidak rugi dan masyarakat bisa belajar hemat.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</si>
  <si>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https://www.facebook.com/share/p/1AMQSKyxj1/</t>
    </r>
  </si>
  <si>
    <t>Ditemukan konten pada media sosial Facebook yang diduga memuat unsur provokatif untuk melakukan tindakan anarkis dengan narasi "Nepalkan" DPR RI dan mengancam pada tahun 2026 akan kembali untuk demo di jalan jika RUU Perampasan Aset dan hukuman mati bagi koruptor tidak segera disahkan.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</si>
  <si>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https://www.facebook.com/share/p/1AScjdGfCx/</t>
    </r>
  </si>
  <si>
    <r>
      <rPr>
        <rFont val="Arial,sans-serif"/>
        <color rgb="FF1155CC"/>
        <sz val="8.0"/>
        <u/>
      </rPr>
      <t>https://www.facebook.com/share/p/16xNNUxMSw/</t>
    </r>
  </si>
  <si>
    <t>Ditemukan konten pada media sosial Facebook yang diduga memuat unsur provokatif untuk melakukan tindakan anarkis dengan narasi "Nepalkan" Joko Widodo karena dianggap terdapat masalah pada ijazahnya dan disertai video yang menampilkan sekumpulan orang sedang demo dengan beberapa tuntutan diantaranya mengadili Joko Widodo, Bubarkan DPR, dan Bubarkan seluruh partai politik sehingga dapat memicu aksi yang sama di berbagai daerah.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</si>
  <si>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https://www.facebook.com/share/p/17Dnau2ovB/</t>
    </r>
  </si>
  <si>
    <t>Ditemukan konten pada media sosial Facebook yang diduga memuat unsur provokatif untuk melakukan tindakan anarkis dengan narasi "Nepalkan" Joko Widodo karena terdapat 11 masyarakat adat yang menolak tambang nikel karena berusaha untuk melindungi tanah adat tetapi justru divonis penjara.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</si>
  <si>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https://www.facebook.com/share/v/1AbArdjG3E/</t>
    </r>
  </si>
  <si>
    <r>
      <rPr>
        <rFont val="Arial,sans-serif"/>
        <color rgb="FF1155CC"/>
        <sz val="8.0"/>
        <u/>
      </rPr>
      <t>https://www.facebook.com/share/r/1Ni7arUtmT/</t>
    </r>
  </si>
  <si>
    <t>Ditemukan konten pada media sosial Facebook yang diduga memuat unsur provokatif untuk melakukan tindakan anarkis dengan narasi "Nepalkan" Menteri Hukum, Supratman Andi Agtas karena mengeluarkan kebijakan bahwa koruptor bisa diampuni atau tidak diproses secara hukum apabila membayar denda damai.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</si>
  <si>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https://www.facebook.com/share/r/14SNuPm3Xhb/</t>
    </r>
  </si>
  <si>
    <t>Ditemukan konten pada media sosial Facebook yang diduga memuat unsur provokatif untuk melakukan tindakan anarkis dengan narasi "Nepalkan" Joko Widodo karena dianggap semua tersangka koruptor mengikuti arahan dari Joko Widodo, salah satu yang disebutkan adalah korupsi satelit oleh Kementerian Pertahanan pada pemerintahan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</si>
  <si>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https://www.facebook.com/share/r/1A85mqs4Co/</t>
    </r>
  </si>
  <si>
    <t>Ditemukan konten pada media sosial Facebook yang diduga memuat unsur provokatif untuk melakukan tindakan anarkis dengan narasi "Nepalkan" Joko Widodo karena dianggap membohongi rakyat terkait ijazah yang dimilikinya dan menantang agar Joko Widodo membawa bukti asli semua ijazahnya ke pengadilan.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</si>
  <si>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28 Desember 2025</t>
  </si>
  <si>
    <t>https://www.facebook.com/reel/1673714476549740</t>
  </si>
  <si>
    <r>
      <rPr>
        <rFont val="Arial"/>
        <color rgb="FF1155CC"/>
        <sz val="8.0"/>
        <u/>
      </rPr>
      <t>https://www.facebook.com/reel/972938809230942</t>
    </r>
  </si>
  <si>
    <t>https://www.facebook.com/share/p/17pF3YvLAb/</t>
  </si>
  <si>
    <t>Konten tersebut mengandung unsur ujaran kebencian dengan narasi negatif berisi opini hari raya salah satu agama disertai perlakuan merendahkan atas simbol dari agama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</si>
  <si>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https://www.facebook.com/share/p/17TwZkV8TA/</t>
  </si>
  <si>
    <t>Konten tersebut mengandung unsur ujaran kebencian dengan narasi negatif berisi merendahkan agama kristen daripada agama islam disertai karikatur dengan kata kata yang memungkinkan perpecahan.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</si>
  <si>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https://www.facebook.com/share/p/1GZ2H4RMLV/</t>
  </si>
  <si>
    <t>Konten tersebut mengandung unsur ujaran kebencian dengan narasi negatif “tuhan kok dijual” sedangkan dalam konteks sesungguhnya, pating tersebut digunakan sebagai media untuk ibadah.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</si>
  <si>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https://www.facebook.com/share/p/17qDWaXLva/</t>
  </si>
  <si>
    <t>Ditemukan konten pada media sosial Tiktok yang mengandung unsur separatisme dengan narasi bahwa Indonesia menjadikan aceh sebagai sapi perah, bukan sebagai subjek keadilan. Narasi tersebut disertai dengan kalimat “Aceh Merdeka”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</si>
  <si>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https://www.youtube.com/shorts/ptyz6ymshE0</t>
  </si>
  <si>
    <t>Ditemukan konten disinformasi berjenis fabricated content di platform media sosial facebook yang menampilkan figur Presiden mengenakan atribut Santa Claus dengan latar pohon yang dianalogikan sebagai pohon sawit. video tersebut diduga dikaitkan dengan isu lingkungan yang berkembang saat ini. Konten tersebut memanfaatkan permainan kata “Orde Baru” sebagai plesetan dari perayaan Natal dan Tahun Baru, dengan menggabungkan simbol keagamaan, politik, dan isu kebijakan secara simbolik untuk menyampaikan sindiran. Meskipun dikemas sebagai parodi, pembingkaian visual dan narasi ini berpotensi disalahartikan sebagai pesan politik faktual atau kritik kebijakan langsung, sehingga dapat memicu pemahaman keliru dan memperkuat sentimen negatif.</t>
  </si>
  <si>
    <t>https://www.facebook.com/share/p/17WhJjeyHF/</t>
  </si>
  <si>
    <t>Ditemukan konten disinformasi berjenis misleading content pada platform Facebook yang diunggah oleh akun Marsinah.id. postingan memuat narasi opini refleksi tahun baru yang disertai ilustrasi visual bertajuk “Orde Baru yang Lebih Baru Versi Prabowo” yang membingkai pemerintahan Presiden Prabowo Subianto sebagai kelanjutan rezim otoritarian Orde Baru dalam bentuk yang lebih halus, terstruktur, dan modern. Pembingkaian visual dan naratif menimbulkan pengkaburan batas antara kritik normatif dan fakta, sehingga berpotensi menyesatkan publik serta membangun persepsi negatif yang berlebihan terhadap arah pemerintahan.</t>
  </si>
  <si>
    <t>https://vt.tiktok.com/ZS5d19MxN/</t>
  </si>
  <si>
    <r>
      <t xml:space="preserve">Ditemukan konten pada media sosial Tiktok yang mengandung unsur disinformasi berupa narasi bahwa Indonesia gubernur aceh bahwa malaysia menjadi kiblat dalam pemerintahan dan menjadi ciri dari kebangkitan GAM. Informasi sesungguhnya adalah kiblat yang dimaksudkan adalah dalam hal ekonomi. detail dapat diakses pada tautan berikut : 
</t>
    </r>
    <r>
      <rPr>
        <rFont val="Arial,sans-serif"/>
        <color rgb="FF1155CC"/>
        <sz val="8.0"/>
        <u/>
      </rPr>
      <t>https://themerdekatimes.com/news/2025/08/kiblat-ekonomi-baharu-aceh-kini-ke-kuala-lumpur-bukan-lagi-jakarta/</t>
    </r>
    <r>
      <rPr>
        <rFont val="Arial"/>
        <sz val="8.0"/>
      </rPr>
      <t xml:space="preserve">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</si>
  <si>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r>
      <rPr>
        <rFont val="Arial,sans-serif"/>
        <color rgb="FF1155CC"/>
        <sz val="8.0"/>
        <u/>
      </rPr>
      <t>https://www.facebook.com/share/p/14NwCMrsNRC/</t>
    </r>
  </si>
  <si>
    <t>Ditemukan konten pada media sosial Facebook yang mengandung unsur separatisme dengan narasi menyesatkan yang mem-framing kalimat “penjajahan di atas dunia harus dihapuskan” dengan argumen bahwa Indonesia harus menghentikan penjajahan atas Aceh.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</si>
  <si>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Tidak ada di rekapan</t>
  </si>
  <si>
    <r>
      <rPr>
        <rFont val="Arial,sans-serif"/>
        <color rgb="FF1155CC"/>
        <sz val="8.0"/>
        <u/>
      </rPr>
      <t>https://www.facebook.com/share/p/17igfZYcA2/</t>
    </r>
  </si>
  <si>
    <t>Ditemukan konten pada media sosial Facebook yang mengandung unsur separatisme dengan narasi menyesatkan dengan pernyataan bahwa Aceh, Papua, dan Maluku akan segera merdeka dan PBB menyetujui adanya referendum. Pernyataan ini semakin menyesatkan dan memprovokasi dengan pernyataan bahwa nantinya wilayah lain seperti Sumut, Sumbar, dan Kalimantan akan merdeka dan tahun 2030 Indonesia bubar.
Penyebaran informasi yang mengandung unsur provokatif dengan narasi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</si>
  <si>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https://www.facebook.com/share/p/17xZTdZDTk/</t>
    </r>
  </si>
  <si>
    <t>Konten tersebut mengandung unsur provokasi dengan membandingkan Anies Baswedan dengan Joko Widodo, namun dengan kalimat yang bersifat framing bahwa Joko Widodo adalah PKI dan terdapat ajakan anarkis untuk “Nepalkan”.
Penyebaran informasi yang mengandung unsur provokasi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</si>
  <si>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https://x.com/myshawti/status/2005202104923865294?s=20</t>
    </r>
  </si>
  <si>
    <t>Konten tersebut mengandung unsur disinformasi berjenis misleading content (konten menyesatkan) yang menampilkan narasi palsu mengenai Seskab Teddy dengan Presiden Prabowo. Narasi yang ditampilkan pada konten tersebut bersifat seksual dan mengarah kepada penghinaan.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</si>
  <si>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https://x.com/tgk_skandinavia/status/2005269527441887258?s=20</t>
    </r>
  </si>
  <si>
    <t>Ditemukan sebuah konten disinformasi berjenis fabricated content (konten palsu) yang menampilkan video AI-generated sebuah liputan berita berbahasa melayu yang diduga dibuat oleh warga negara Malaysia. Video ini berisi berita palsu yang membingkai isu Aceh yang dinarasikan tidak dipedulikan oleh masyarakat dan pemerintah “Konoha”.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</si>
  <si>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https://x.com/tgk_skandinavia/status/1967247981738168727?s=20</t>
    </r>
  </si>
  <si>
    <t>Ditemukan sebuah konten disinformasi berjenis fabricated content (konten palsu) yang menampilkan video AI-generated sebuah liputan berita yang membingkai isu demonstrasi di “Konoha” dengan dukungan kemerdekaan Aceh. Konten ini diduga dibuat oleh warga negara Malaysia dengan tujuan memecah belah persatuan negara Indonesia.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</si>
  <si>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https://x.com/Johnzizzy</t>
    </r>
  </si>
  <si>
    <t>Ditemukan sebuah akun X yang diduga dimiliki oleh warga negara Malaysia dan aktif mengunggah konten yang bersifat mendiskreditkan dan memprovokasi antar masyarakat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</si>
  <si>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https://x.com/AnshariJasmine</t>
    </r>
  </si>
  <si>
    <t>Ditemukan sebuah akun X yang aktif mengunggah konten bermuatan provokatif maupun disinformasi dengan ajakan untuk melakukan kekerasan terhadap beberapa pihak.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</si>
  <si>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https://www.tiktok.com/@emizumaidar98/video/7588238153085881607?_r=1&amp;_t=ZS-92ba7fvXjkH</t>
    </r>
  </si>
  <si>
    <t>Provokatif, separatisme, dan disinformasi</t>
  </si>
  <si>
    <t>Konten tersebut mengandung unsur provokatif dengan membingkai peristiwa penertiban atribut GAM oleh TNI sebagai bentuk kekerasan dan penjajahan Indonesia atas Aceh. Selain itu, terdapat ujaran kebencian dengan pernyataan Indonesia adalah yahudi penjajah dalam bumi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</si>
  <si>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https://www.tiktok.com/@otto.vianus61?_r=1&amp;_t=ZS-92baEMcMNU1</t>
    </r>
  </si>
  <si>
    <t>Ditemukan sebuah akun tiktok yang aktif membagikan konten dengan narasi menyesatkan yang bersifat delegitimasi terhadap pemerintah, seperti menyatakan bahwa Belanda merupakan penjajah terbaik, sedangkan pejabat NKRI merupakan penjajah terburuk. Selain itu, konten yang diunggah banyak bersifat delegitimasi terhadap instansi TNI yang dinarasikan lemah.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</si>
  <si>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https://www.tiktok.com/@zakir.nis?_r=1&amp;_t=ZS-92baH8tiyS9</t>
    </r>
  </si>
  <si>
    <t>Ditemukan sebuah akun Tiktok yang aktif mengunggah konten dengan narasi dukungan terhadap GAM.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</si>
  <si>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tiktok.com/@timsirege/video/7587522752165317908?_t=ZS-92baL0IfK2j&amp;_r=1</t>
    </r>
  </si>
  <si>
    <t>Ditemukan sebuah akun tiktok yang mengunggah konten disinformasi berjenis fabricated content (konten palsu) yang menampilkan video AI Presiden Prabowo yang digambarkan menggunakan kostum menyerupai pohon sawit. Konten tersebut juga menampilkan nama “Prabodo Sawitanto” yang merupakan plesetan dari nama Presiden Prabowo.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</si>
  <si>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27 Desember 2025</t>
  </si>
  <si>
    <t>https://vt.tiktok.com/ZS51rgpR5/</t>
  </si>
  <si>
    <t>Ditemukan konten pada media sosial Tiktok yang mengandung unsur provokatif dan separatisme dengan narasi Gerakan sumatera merdeka dengan slogan sumatera harus berjaya dan sumatera harus berdiri sendiri.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</si>
  <si>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https://www.facebook.com/share/p/1DVF9RrN2b/</t>
  </si>
  <si>
    <t>Ditemukan akun media sosial facebook yang mengunggah konten bermuatan provokatif dan disinformasi dengan jenis false context. Pada konten tersebut, disebutkan bahwa personel brimob polda banten yang diberangkatkan ke Aceh dengan tujuan membantu proses pemulihan pasca bencana, dibingkai menjadi personil untuk melakukan tindakan pembunuhan.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</si>
  <si>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https://vt.tiktok.com/ZS51rktRA/</t>
  </si>
  <si>
    <t>Ditemukan konten disinformasi berjenis misleading content di platform Tiktok yang membingkai seolah-olah seorang model majalah dewasa, Ayu Aulia, diangkat dan dilantik sebagai menteri atau pejabat resmi di Kementerian Pertahanan, dengan narasi yang mengaitkannya pada kemunduran tata kelola pemerintahan. Konten tersebut menggunakan judul provokatif, visual manipulatif, dan generalisasi informasi untuk membangun persepsi negatif terhadap pemerintah, khususnya Presiden, tanpa menyajikan klarifikasi faktual. Faktanya, tidak terdapat informasi resmi mengenai pelantikan Ayu Aulia sebagai pejabat di lingkungan Kementerian Pertahanan, melainkan yang bersangkutan dilantik sebagai staf pada sebuah organisasi yang dibentuk oleh Kemenhan namun berada di luar struktur dan kewenangan institusional Kemenhan. Pembingkaian keliru ini berpotensi menyesatkan publik, menciptakan persepsi salah mengenai proses pengangkatan pejabat negara, serta memperkuat sentimen negatif terhadap pemerintah tanpa dasar informasi yang terverifikasi.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</si>
  <si>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https://www.facebook.com/reel/1360125352090539</t>
  </si>
  <si>
    <r>
      <t xml:space="preserve">Ditemukan konten disinformasi berjenis false context di platform Facebook. Pada konten tersebut, dinarasikan adanya kegiatan natal di dalam masjid istiqlal. Konten sesungguhnya menyatakan bahwa kegiatan yang dilaksanakan pada video tersebut merupakan kegiatan pengajian. Video sumber dapat dilihat pada tautan berikut : 
</t>
    </r>
    <r>
      <rPr>
        <rFont val="Arial,sans-serif"/>
        <color rgb="FF1155CC"/>
        <sz val="8.0"/>
        <u/>
      </rPr>
      <t>https://www.tiktok.com/@yosepriadi1238ria</t>
    </r>
    <r>
      <rPr>
        <rFont val="Arial"/>
        <sz val="8.0"/>
      </rPr>
      <t xml:space="preserv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</si>
  <si>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https://www.facebook.com/share/p/1AN89AT9At/</t>
  </si>
  <si>
    <t>Konten tersebut mengandung unsur ujaran kebencian dengan adanya narasi negatif yang menyudutkan agama tertentu melalui pembuatan sertifikat dengan menilai salah satu agama menggunakan istilah tertentu untuk memberikan nilai negatif.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</si>
  <si>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https://www.facebook.com/share/p/1G5MW4HYng/</t>
  </si>
  <si>
    <t>Konten tersebut mengandung unsur provokatif dengan adanya narasi negatif bahwa negara Indonesia memberikan perlakuan berbeda terhadap agama non-muslim dengan adanya pembubaran terhadap agama kristen ketika ibadah. Tidak ada informasi detail mengenai kejadian pelaksanaan kegiatan yang dimaksud dari foto. Foto tersebut hanya di bingkai narasi negatif bahwa adanya pembubaran terhadap agama kristen ketika ibadah.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</si>
  <si>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https://vt.tiktok.com/ZS51X1Wja/</t>
  </si>
  <si>
    <r>
      <rPr>
        <rFont val="Arial,sans-serif"/>
        <color rgb="FF1155CC"/>
        <sz val="8.0"/>
        <u/>
      </rPr>
      <t>https://www.facebook.com/share/p/16dqVYXinw/</t>
    </r>
  </si>
  <si>
    <t>Ditemukan konten pada media sosial Facebook yang mengandung unsur separatisme dengan narasi Indonesia zionis jawa penjajah. Selain itu pembuat konten menyamakan aparat yang bertugas di Aceh sebagai “anjing-anjing pembunuh”. Terdapat upaya provokasi kepada masyarakat dengan kalimat ajakan waspada untuk menghadapi tentara dan brimob yang bertugas di Aceh.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</si>
  <si>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https://www.facebook.com/share/p/1BdKjc9zrD/</t>
    </r>
  </si>
  <si>
    <t>Ditemukan konten pada media sosial Facebook yang mengandung unsur separatisme dengan narasi penghinaan kepada TNI dengan menyamakan instansi tersebut dengan “anjing setia zionis Indonesia jawa penjajah”. Terdapat narasi menyesatkan yang menyatakan bahwa TNI aktif meneror bangsa Aceh yang sedang dilanda musibah.
Penyebaran informasi yang mengandung unsur provokatif dengan narasi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</si>
  <si>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https://www.facebook.com/profile.php?id=61581381061033</t>
    </r>
  </si>
  <si>
    <t>Ditemukan sebuah akun Facebook dengan nama “Darah Peujuang” yang aktif mengunggah konten provokatif dengan narasi separatisme dan kebencian terhadap Pemerintah Indonesia dan etnis lain di Indonesia.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</si>
  <si>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https://www.facebook.com/share/r/1YuEqngLFF/</t>
    </r>
  </si>
  <si>
    <t>Provokatif, Separatisme, dan Ujaran Kebencian</t>
  </si>
  <si>
    <t>Konten tersebut mengandung unsur provokasi dengan sentimen kebencian antara etnis Aceh dengan etnis Jawa. Selain itu, terdapat upaya melakukan framing bahwa Indonesia berarti “Jawa penjajah”. Dengan narasi ini, pembuat konten berupaya memprovokasi masyarakat dengan narasi separatisme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</si>
  <si>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https://www.tiktok.com/@thesiliters/video/7588147155202886930?_r=1&amp;_t=ZS-92Zcr6rYALI</t>
    </r>
  </si>
  <si>
    <t>Ditemukan sebuah konten pada platform Tiktok dengan unsur disinformasi berjenis fabricated content yang menampilkan potongan video Presiden Prabowo menggunakan lagu AI-generated dengan suara Presiden Prabowo yang menyindir pernyataan Presiden mengenai sawit.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</si>
  <si>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https://www.tiktok.com/@profesorbahlul/video/7586635277695733013?_r=1&amp;_t=ZS-92Zcv38o4LQ</t>
    </r>
  </si>
  <si>
    <t>Ditemukan sebuah konten pada platform Tiktok dengan unsur disinformasi yang menampilkan narasi yang menyamakan kisah “Habibie Ainun” dengan “Prabowo dan Sawit”. Pada konten tersebut, juga ditampilkan berbagai gambar AI-generated Presiden Prabowo yang memeluk pohon kelapa sawit.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</si>
  <si>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https://x.com/myshawti/status/2004832288144851103?s=20</t>
    </r>
  </si>
  <si>
    <t>Ditemukan sebuah konten dengan unsur disinformasi berjenis satire dengan gambar rekayasa digital menampilkan sebuah cuplikan adegan kartun berisi koran dengan judul “Indonesian Presiden Married Palm Tree” beserta foto Presiden Prabowo dengan pohon kelapa sawit.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</si>
  <si>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26 Desember 2025</t>
  </si>
  <si>
    <r>
      <rPr>
        <rFont val="Arial,sans-serif"/>
        <color rgb="FF1155CC"/>
        <sz val="8.0"/>
        <u/>
      </rPr>
      <t>https://www.facebook.com/reel/1616700239515916</t>
    </r>
  </si>
  <si>
    <r>
      <rPr>
        <rFont val="Arial,sans-serif"/>
        <color rgb="FF1155CC"/>
        <sz val="8.0"/>
        <u/>
      </rPr>
      <t>https://www.facebook.com/reel/756607640135305</t>
    </r>
  </si>
  <si>
    <r>
      <rPr>
        <rFont val="Arial,sans-serif"/>
        <color rgb="FF1155CC"/>
        <sz val="8.0"/>
        <u/>
      </rPr>
      <t>https://twitter.com/indepenSumatera/status/2004219388803915845</t>
    </r>
  </si>
  <si>
    <t>https://www.instagram.com/reels/DSsGaxTEhFE/</t>
  </si>
  <si>
    <t>https://www.instagram.com/reels/DSsUE-iEvNF/</t>
  </si>
  <si>
    <t>https://www.instagram.com/reels/DSsToJ9gSVu/</t>
  </si>
  <si>
    <t>https://x.com/blue_berets7/status/2004325572990865709</t>
  </si>
  <si>
    <t>Ditemukan konten pada media sosial Twitter yang diduga memuat unsur provokatif untuk melakukan tindakan anarkis dengan narasi "Nepalkan" Menteri ESDM, Bahlil Lahadalia karena diduga pernyataannya yang menyebutkan bahwa kenaikan harga token listrik beralasan agar perusahaan PLN tidak rugi dan masyarakat bisa belajar hemat sehingga hal tersebut dapat menyengsarakan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</si>
  <si>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https://www.facebook.com/share/p/1DHwfxrB6j/</t>
    </r>
  </si>
  <si>
    <t>Ditemukan konten pada media sosial Facebook yang diduga memuat unsur provokatif untuk melakukan tindakan anarkis dengan narasi "Nepalkan" Presiden Prabowo Subianto karena menganggap bahwa rakyat sudah tidak percaya lagi terhadap pemerintahan yang dipimpin oleh Presiden Subianto dan menuntut untuk mundur dari jabatannya.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</si>
  <si>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https://www.facebook.com/share/v/1AKr4UhRtU/</t>
    </r>
  </si>
  <si>
    <t>Ditemukan konten pada media sosial Facebook yang diduga memuat unsur provokatif untuk melakukan tindakan anarkis dengan narasi "Nepalkan" dan “Makzulkan” Presiden Prabowo Subianto karena dianggap sebagai presiden yang curang dan mengikuti paham komunis.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</si>
  <si>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https://www.facebook.com/share/p/17xqQJhpGq/</t>
    </r>
  </si>
  <si>
    <t>Ditemukan konten pada media sosial Facebook yang diduga memuat unsur provokatif untuk melakukan tindakan anarkis dengan narasi “Bubarkan” Mahkamah Konstitusi karena putusan yang dikeluarkan oleh Mahkamah Konstitusi bisa dianulir oleh Peraturan Pemerintah yang seharusnya hal tersebut tidak bisa dilakukan karena putusan Mahkamah Konstitusi lebih tinggi kedudukannya. Hal tersebut menjadikan Mahkamah Konstitusi seakan bisa dilewati oleh peraturan yang ada dibawahnya.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</si>
  <si>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https://www.facebook.com/share/p/17xYDxoTY1/</t>
    </r>
  </si>
  <si>
    <t>Ditemukan konten pada media sosial Facebook yang diduga memuat unsur provokatif untuk melakukan tindakan anarkis dengan narasi "Makzulkan" Wakil Presiden Gibran Rakabuming Raka karena dianggap tidak memiliki pengalaman yang cukup untuk memimpin Indonesia sehingga dinilai bisa merusak negara dan menjadikan rakyat semakin menderita.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</si>
  <si>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https://www.tiktok.com/@acehmelawan/video/7584423835533937941</t>
    </r>
  </si>
  <si>
    <t>Ditemukan konten pada media sosial Facebook yang diduga memuat unsur provokatif dan gerakan separatisme dengan narasi Aceh Merdeka disertai gambar bendera GAM karena merasa ditipu dan tidak dihargai oleh negara Indonesia setelah bencana banjir yang melanda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</si>
  <si>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https://www.tiktok.com/@pidie5177/video/7587713524051299605</t>
    </r>
  </si>
  <si>
    <t>Ditemukan konten pada media sosial Threads yang diduga memuat unsur provokatif, gerakan separatisme, dan disinformasi dengan narasi Aceh Merdeka disertai video yang menampilkan TNI ikut mengibarkan bendera bulan bintang tetapi video tersebut merupakan video yang reverse. Pada kenyataannya video tersebut merupakan anggota TNI yang sedang menurunkan bendera bulan bintang.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</si>
  <si>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https://x.com/mukidioon3/status/2004332042251878486</t>
    </r>
  </si>
  <si>
    <t>Ditemukan konten pada media sosial Twitter yang diduga memuat unsur provokatif untuk melakukan tindakan anarkis dengan narasi "Nepalkan" Menteri ESDM, Bahlil Lahadalia karena diduga pernyataannya yaitu untuk mengajak PLN menaikkan harga listrik dengan alasan agar perusahaan PLN tidak rugi dan masyarakat bisa belajar hemat.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</si>
  <si>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https://www.tiktok.com/@nangroh.sumatra.i/video/7587719122897603861</t>
  </si>
  <si>
    <t>Ditemukan konten pada platform media sosial TikTok yang diduga mengandung unsur provokasi dan separatisme, dengan narasi yang menyatakan bahwa wilayah Aceh, Sumatera Barat, Riau, Jambi, Bengkulu, Palembang, Sumatera Selatan, dan Lampung termasuk ke dalam entitas yang disebut Nangroh Sumatera Islamiyah Darussalam. Konten tersebut disertai penggunaan tagar #merdeka serta visualisasi bendera yang diklaim sebagai simbol wilayah dimaksud, yang secara eksplisit mencerminkan dorongan terhadap pemisahan dan kemerdekaan wilayah-wilayah tersebut.
Penyebaran informasi yang mengandung unsur provokatifyang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</si>
  <si>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https://www.facebook.com/permalink.php?story_fbid=pfbid0QdBeC9xe33m3SePp1YoxmuusPNCUELrtc3fystAezaN4XQ6GAhXPJMGVrEbhbFH7l&amp;id=61565492452343&amp;rdid=qXlIBLwmZ81DhVm0#</t>
  </si>
  <si>
    <t>Provokatif, Fitnah dan Disinformasi</t>
  </si>
  <si>
    <t>Ditemukan konten pada platform media sosial Facebook yang diduga mengandung unsur disinformasi dan fitnah, dengan narasi yang menuduh tanpa disertai bukti bahwa Direktur Utama PLN menyalahgunakan keuangan perusahaan untuk melakukan setoran rutin kepada pihak-pihak tertentu, termasuk mantan Presiden Joko Widodo dan Kapolri Jenderal Listyo Sigit Prabowo, yang diklaim berdampak pada kerugian PLN. Selain itu, konten tersebut juga mengandung unsur provokatif yang berpotensi membentuk persepsi negatif serta menstigmatisasi para pejabat yang disebutkan.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</si>
  <si>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https://www.facebook.com/reel/1324583045334050</t>
  </si>
  <si>
    <t>Ditemukan konten pada platform media sosial Facebook yang diduga mengandung unsur provokatif dengan tujuan menstigmatisasi serta mendorong delegitimasi dan pembubaran institusi Polri. Konten tersebut disertai narasi tuduhan bahwa di dalam tubuh Polri terdapat skandal asusila yang diklaim telah menjadi praktik atau tradisi, sehingga berpotensi membentuk persepsi negatif dan merusak kepercayaan publik terhadap institusi penegak hukum.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</si>
  <si>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https://www.facebook.com/reel/1435746247882896</t>
  </si>
  <si>
    <t>Fitnah dan Disinformasi</t>
  </si>
  <si>
    <t>Ditemukan konten pada platform media sosial Facebook yang diduga mengandung unsur disinformasi dan fitnah, dengan narasi yang menyampaikan tuduhan tanpa didukung bukti yang sah bahwa perusahaan milik Luhut Binsar Pandjaitan bekerja sama dengan Kementerian Kehutanan terkait penemuan kayu gelondongan yang diduga berasal dari aktivitas penebangan liar.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</si>
  <si>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https://x.com/OjolNyambi/status/2003681607828578782</t>
  </si>
  <si>
    <t>Ditemukan konten pada media sosial twitter yang diduga memuat unsur provokatif untuk menepalkan mantan Presiden Jokowi dan keluarganya.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</si>
  <si>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https://www.facebook.com/reel/862997379761096</t>
  </si>
  <si>
    <t>Ditemukan konten pada platform media sosial Facebook yang diduga mengandung unsur provokatif dengan tujuan menstigmatisasi Menteri Kehutanan dan institusi TNI, disertai narasi tuduhan yang menyatakan bahwa telah disampaikan klaim tidak adanya praktik pembalakan liar sebagai penyebab terjadinya banjir bandang, sehingga berpotensi menyesatkan opini publik dan memperkeruh persepsi terhadap pihak-pihak terkait.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</si>
  <si>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https://x.com/ihugkd/status/2004508175337456027</t>
  </si>
  <si>
    <t>Ditemukan konten pada platform media sosial Twitter (X) yang diduga mengandung unsur ujaran kebencian, ditandai dengan penggunaan kata-kata kasar, ofensif, dan tidak pantas yang ditujukan kepada Presiden Prabowo Subianto serta Menteri Energi dan Sumber Daya Mineral Bahlil Lahadalia.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</si>
  <si>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https://www.facebook.com/share/p/14TfjXAKGPi/</t>
  </si>
  <si>
    <t>Ditemukan sebuah unggahan disinformasi di media sosial Facebook oleh akun ‘Mazmur’ yang menggunakan sebuah foto lama artis bernama Nia Daniaty yang berpose dengan pohon natal, namun disajikan secara menyesatkan seolah-olah artis terkait sedang merayakan Natal. Unggahan tersebut disertai narasi bernada provokatif diduga untuk memperkeruh kerukunan beragama.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</si>
  <si>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https://www.facebook.com/share/p/17wL9SpTm1/</t>
  </si>
  <si>
    <t>Ditemukan sebuah unggahan di Facebook oleh akun ‘Arief Irawan’ di grup RUMAH APOLOGET KRISTEN INDONESIA yang menyebutkan bahwa umat muslim merasa ‘sewot’ dengan perayaan natal umat kristiani. Klaim tersebut tidak didukung sumber resmi dan diduga tak berdasar. Narasi dalam unggahan ini mengandung generalisasi dan framing provokatif yang berpotensi memicu sentimen negatif terhadap kelompok tertentu dan memperkeruh kerukunan beragama.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</si>
  <si>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21 Desember 2025</t>
  </si>
  <si>
    <t>https://x.com/indonesiaeffort/status/2002433725091734000</t>
  </si>
  <si>
    <t>Ditemukan konten pada media sosial Twitter yang diduga memuat unsur provokatif dengan narasi bubarkan dan nepalkan institusi Polri.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</si>
  <si>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https://x.com/indonesiaeffort/status/2002425932968333573</t>
    </r>
  </si>
  <si>
    <t>Ditemukan konten pada media sosial Twitter yang diduga memuat unsur provokatif dengan narasi nepalkan DPR, Polri dan Presiden Prabowo karena diduga membiarkan polemik Bandara Morowali dan bencana alam.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</si>
  <si>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https://www.tiktok.com/@vidio_ia/video/7580631157780417799?_r=1&amp;_t=ZS-92OkLcMeSfM</t>
    </r>
  </si>
  <si>
    <t>Ditemukan konten disinformasi berjenis fabricated content (konten palsu) berupa video hasil rekayasa menggunakan teknologi kecerdasan buatan (AI) yang menampilkan seolah-olah terjadi perseteruan antara TNI dan Polri di Bandara Morowali dan memprovokasi kedua institusi tersebut. Dalam video tersebut digambarkan aparat kepolisian menghalangi personel TNI dengan alasan memasuki area bandara tanpa pelaporan, disertai dialog terkait penanyakan pangkat, sementara pihak TNI dinarasikan menyatakan bahwa tindakan tersebut berkaitan dengan isu keamanan akibat dugaan adanya ketidakberesan di Bandara Morowali. Pada bagian akhir, video tersebut memuat ajakan atau tuntutan agar Bandara Morowali ditutup.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</si>
  <si>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https://x.com/aldadbcfgc/status/2002691623738917074</t>
    </r>
  </si>
  <si>
    <t>Ditemukan konten pada media sosial Twitter yang diduga memuat unsur ujaran kebencian terhadap Presiden Prabowo dan Sekretaris Kabinet Letkol Teddy dengan kata-kata yang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</si>
  <si>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https://www.threads.com/@rasokisir11?xmt=AQF06yHz4RJgjzs5e3270jMqsq_QbnGXYYBRtrbT7kxrf0IkQs0HVGpszqvAKl8Ls3IDkXg</t>
    </r>
  </si>
  <si>
    <t>Ditemukan konten disinformasi berjenis misleading content (konten menyesatkan) pada platform Threads yang memuat narasi dugaan bahwa Uni Emirat Arab memberikan donasi sebesar 50 juta dolar AS untuk rehabilitasi hutan NKRI, disertai tuduhan bahwa Luhut Binsar Pandjaitan menerima dana donasi tersebut tanpa adanya transparansi dan kejelasan peruntukannya, serta dibarengi dengan muatan ujaran kebencian terhadap Luhut Binsar Pandjaitan.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</si>
  <si>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Out</t>
  </si>
  <si>
    <r>
      <rPr>
        <rFont val="Arial,sans-serif"/>
        <color rgb="FF1155CC"/>
        <sz val="8.0"/>
        <u/>
      </rPr>
      <t>https://www.facebook.com/permalink.php?story_fbid=pfbid031m9fCGh62eMj3qh3DKZfhpQAtymw1dPv88pkgSEj2ynxQt9vpNSDrmNRPAFzToYEl&amp;id=100080149846423</t>
    </r>
  </si>
  <si>
    <t>Ditemukan konten di platform Facebook yang diduga mengandung unsur provokatif dan ajakan separatisme, dengan kampanye yang menyerukan pengibaran bendera Bintang Bulan (simbol Gerakan Aceh Merdeka) pada tanggal 24, 25, dan 26 Desember, disertai narasi tentang kemerdekaan Aceh dan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</si>
  <si>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https://www.facebook.com/share/r/1Bw1U8m1nr/</t>
    </r>
  </si>
  <si>
    <t>Ditemukan konten pada media sosial Facebook yang diduga memuat unsur provokatif untuk melakukan tindakan anarkis dengan narasi "Nepalkan” Menteri ESDM Bahlil Lahadalia karena diduga sebagai orang yang memberikan izin konsesi tambang kepada organisasi masyarakat PBNU.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</si>
  <si>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https://www.facebook.com/share/p/1C28D5Bqxs/</t>
    </r>
  </si>
  <si>
    <t>Ditemukan konten pada media sosial Facebook yang diduga memuat unsur provokatif untuk melakukan tindakan anarkis dengan narasi "Nepalkan Presiden Prabowo Subianto karena dianggap pemerintahan yang dipimpinnya sudah tidak dijalankan dengan benar dan juga anti kritik.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</si>
  <si>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https://www.facebook.com/share/p/1agQb8gpUJ/</t>
    </r>
  </si>
  <si>
    <t>Ditemukan konten pada media sosial Facebook yang diduga memuat unsur provokatif untuk melakukan tindakan anarkis dengan narasi "Nepalkan” Joko Widodo karena dianggap sebagai perusak negeri.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</si>
  <si>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https://www.facebook.com/share/r/1AY9UYaWbD/</t>
    </r>
  </si>
  <si>
    <t>Ditemukan konten pada media sosial Facebook yang diduga memuat unsur provokatif dan disinformasi berjenis fabricated content (konten palsu) dengan narasi “Nepalkan” DPR yang menampilkan video AI berupa mahasiswa yang sedang berada diruangan rapat dengan mengatakan bahwa DPR bukan mewakili rakyat dan hanya mementingkan kelompoknya.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</si>
  <si>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https://www.facebook.com/reel/1227201412668275</t>
  </si>
  <si>
    <t>Dilaporkan telah melakukan tindak pidana penyebaran propaganda separatisme dan provokasi terkait narasi dukungan terhadap Gerakan Aceh Merdeka (GAM). Hal ini akan berdampak memicu sentimen anti-NKRI, menghidupkan kembali potensi konflik keamanan, serta berpotensi mengancam kedaulatan negara dan stabilitas nasional. Hal ini sudah melanggar undang-undang yang berlaku dalam Negara Kesatuan Republik Indonesia terkait larangan simbol separatis dan makar, sehingga hal tersebut dapat</t>
  </si>
  <si>
    <t>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t>
  </si>
  <si>
    <t>22 Desember 2025</t>
  </si>
  <si>
    <r>
      <rPr>
        <rFont val="Arial,sans-serif"/>
        <color rgb="FF1155CC"/>
        <sz val="8.0"/>
        <u/>
      </rPr>
      <t>https://x.com/Anfieldbreath/status/2002968115572015387</t>
    </r>
  </si>
  <si>
    <t>Ditemukan konten pada platform media sosial Twitter yang diduga mengandung unsur provokatif berupa narasi ajakan tindakan anarkis dengan istilah “Nepalkan” yang ditujukan kepada Presiden Prabowo Subianto, serta disertai ujaran kebencian menggunakan kata-kata yang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</si>
  <si>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Nunggu Surat</t>
  </si>
  <si>
    <r>
      <rPr>
        <rFont val="Arial,sans-serif"/>
        <color rgb="FF1155CC"/>
        <sz val="8.0"/>
        <u/>
      </rPr>
      <t>https://www.facebook.com/masayu.devina.salsabila.putri/posts/pfbid0c2LdeTeXWPyFPSAb7JSsZdjuzV7Cg316PoGYuSE7syLWLM8FPUU8mzBLYrLhaZgkl</t>
    </r>
  </si>
  <si>
    <t>Ditemukan konten pada platform media sosial Facebook yang diduga mengandung muatan provokatif serta indikasi paham separatisme, dengan menyebarkan narasi bahwa Aceh dan Sumatera berkeinginan untuk memisahkan diri dari Negara Kesatuan Republik Indonesia. Narasi tersebut disertai ancaman apabila pemerintah dinilai tidak menunjukkan kepedulian terhadap penanganan bencana di wilayah Aceh–Sumatera, serta tudingan yang menggambarkan pemerintah dan tenaga kerja asing asal Tiongkok sebagai pihak penjajah.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</si>
  <si>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https://www.facebook.com/groups/1417103738524228/?multi_permalinks=4513372142230690</t>
    </r>
  </si>
  <si>
    <t>Ditemukan konten pada platform media sosial Facebook yang diduga memuat unsur provokatif berupa tuntutan pemakzulan Wakil Presiden Gibran Rakabuming Raka serta ajakan untuk mengadili Presiden Joko Widodo atas tuduhan penggunaan ijazah 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</si>
  <si>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https://www.facebook.com/share/p/17qBgdW2wg/</t>
    </r>
  </si>
  <si>
    <t>Ditemukan konten pada platform media sosial Facebook yang diduga mengandung unsur provokatif berupa narasi ajakan tindakan anarkis dengan istilah “Nepalkan” komisaris pertamina Hasan Nasbi karena pernyataannya yang menyebutkan bahwa minum kopi dan makan gorengan juga merupakan penyebab dari kerusakan alam.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</si>
  <si>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https://www.facebook.com/share/p/14RXw8N3HdP/</t>
    </r>
  </si>
  <si>
    <t>Ditemukan konten pada platform media sosial Facebook yang diduga mengandung unsur provokatif berupa narasi ajakan tindakan anarkis dengan istilah “Bubarkan” DPR disertai dengan video yang menampilkan sekumpulan orang yang sedang melakukan demonstrasi seakan menuntut untuk membubarkan DPR.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</si>
  <si>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https://www.facebook.com/share/p/17zufG9VEG/</t>
    </r>
  </si>
  <si>
    <t>Ditemukan konten pada platform media sosial Facebook yang diduga mengandung unsur provokatif berupa narasi ajakan tindakan anarkis dengan istilah “Nepalkan” Mantan Presiden Joko Widodo karena dianggap sebagai penjahat negara dengan memerintahkan Presiden Prabowo Subianto membuat surat.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</si>
  <si>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https://www.facebook.com/share/p/1MUeA4kZyd/</t>
    </r>
  </si>
  <si>
    <t>Ditemukan konten pada media sosial Facebook yang diduga memuat unsur provokatif dan indikasi gerakan separatisme dengan narasi Sumatera Merdeka jika bencana di Sumatera tidak segera ditetapkan sebagai bencana nasional.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</si>
  <si>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37K</t>
  </si>
  <si>
    <r>
      <rPr>
        <rFont val="Arial,sans-serif"/>
        <color rgb="FF1155CC"/>
        <sz val="8.0"/>
        <u/>
      </rPr>
      <t>https://www.facebook.com/share/p/1HJnjfV4dz/</t>
    </r>
  </si>
  <si>
    <t>Ditemukan konten pada media sosial Facebook yang diduga memuat unsur provokatif dan indikasi gerakan separatisme dengan narasi Aceh Merdeka pada akhir tahun ini karena akibat dari bencana yang melanda wilayah Aceh dan Sumatera sehingga negara Indonesia tidak memiliki apa-apa lagi. Hal ini dapat menyebabkan retaknya persatuan bangsa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</si>
  <si>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10K</t>
  </si>
  <si>
    <r>
      <rPr>
        <rFont val="Arial,sans-serif"/>
        <color rgb="FF1155CC"/>
        <sz val="8.0"/>
        <u/>
      </rPr>
      <t>https://www.facebook.com/share/p/1NPNu6D5io/</t>
    </r>
  </si>
  <si>
    <t>Ditemukan konten pada media sosial Facebook yang diduga memuat unsur provokatif dan indikasi paham separatisme dengan narasi Aceh Merdeka karena merasa dikhianati oleh presiden Indonesia dari Soekarno hingga Prabowo Subianto, sebagai contoh bencana yang terjadi sebagai bentuk genosida didukung dengan menampilkan gambar masyarakat yang membawa bendera GAM.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</si>
  <si>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https://www.facebook.com/share/r/1FCzY3KcxF/</t>
    </r>
  </si>
  <si>
    <t>Ditemukan konten pada platform media sosial Facebook yang diduga mengandung unsur provokatif berupa narasi ajakan tindakan anarkis dengan istilah “Makzulkan” wakil presiden Gibran Rakabuming Raka karena perkataannya yang menyebutkan bahwa anak sekolah dasar harus mengecek kehamilan sebanyak minimal 6 kali.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</si>
  <si>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Akun besar 16K</t>
  </si>
  <si>
    <r>
      <rPr>
        <rFont val="Arial,sans-serif"/>
        <color rgb="FF1155CC"/>
        <sz val="8.0"/>
        <u/>
      </rPr>
      <t>https://www.facebook.com/share/p/14YYi8mdLDy/</t>
    </r>
  </si>
  <si>
    <t>Ditemukan konten pada platform media sosial Facebook yang diduga mengandung unsur provokatif berupa narasi ajakan tindakan anarkis dengan istilah “Makzulkan” wakil presiden Gibran Rakabuming Raka dan memecat beberapa menteri yang berada pada kabinet Prabowo Subianto karena dianggap sebagai perusak negara Indonesia dan merendahkan martabat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</si>
  <si>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https://www.instagram.com/reel/DSgUBBpkaWA/?igsh=dTE5cTJpbG9pOWE1</t>
    </r>
  </si>
  <si>
    <t>Ditemukan konten pada media sosial Facebook yang diduga memuat unsur provokatif dan indikasi paham separatisme dengan narasi Sumatera Merdeka dikarenakan menolak bantuan asing ketika akan diberikan ke bencana yang melanda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</si>
  <si>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https://x.com/subidabidu/status/2002743715623059514</t>
    </r>
  </si>
  <si>
    <t>Ditemukan konten pada media sosial Twitter yang diduga memuat unsur ujaran kebencian terhadap Presiden Prabowo Subianto dengan kata-kata yang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</si>
  <si>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https://www.facebook.com/groups/523183267134157/posts/849826257803188/</t>
  </si>
  <si>
    <t>https://www.facebook.com/groups/523183267134157/posts/849521017833712/</t>
  </si>
  <si>
    <t>https://www.facebook.com/groups/523183267134157/posts/848806527905161/</t>
  </si>
  <si>
    <t>https://www.facebook.com/groups/523183267134157/posts/848094451309702/</t>
  </si>
  <si>
    <t>https://www.facebook.com/groups/523183267134157/posts/845099764942504/</t>
  </si>
  <si>
    <t>https://www.facebook.com/groups/600655398635239/?multi_permalinks=1231348885565884&amp;hoisted_section_header_type=recently_seen</t>
  </si>
  <si>
    <t>https://www.facebook.com/groups/600655398635239/posts/1237911338242972/</t>
  </si>
  <si>
    <t>https://www.facebook.com/groups/600655398635239/posts/1235660998468006/</t>
  </si>
  <si>
    <t>23 Desember 2025</t>
  </si>
  <si>
    <r>
      <rPr>
        <rFont val="Arial,sans-serif"/>
        <color rgb="FF1155CC"/>
        <sz val="8.0"/>
        <u/>
      </rPr>
      <t>https://www.facebook.com/story.php?story_fbid=1245083457443733&amp;id=100058262714355&amp;rdid=KzmgCkmRRKer3fkL#</t>
    </r>
  </si>
  <si>
    <t>Konten tersebut mengandung unsur provokasi dengan narasi untuk melakukan “NEPALKAN” Pemerintah. Isu yang diangkat dalam konten tersebut yaitu Pemerintah sudah tidak sanggup lagi menjalankan amanah rakyat, sehingga rakyat Indonesia sudah di titik nadir.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</si>
  <si>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https://www.facebook.com/reel/883359707708046</t>
    </r>
  </si>
  <si>
    <t>Ditemukan akun media sosial facebook yang mengunggah konten bermuatan provokatif dan separatisme. Pada konten tersebut, terdapat isu SARA yang diangkat dengan menyatakan bahwa masyarakat Jawa melakukan kolonialisme terhadap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</si>
  <si>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https://www.facebook.com/story.php?story_fbid=122113336797124268&amp;id=61583728055254&amp;rdid=T3HBnnHsdyizrh74#</t>
    </r>
  </si>
  <si>
    <t>Konten tersebut mengandung unsur provokatif dengan narasi separatisme Papua. Pada konten tersebut, disampaikan bahwa Indonesia melakukan operasi militer ilegal yang dimulai dari peristiwa Trikora.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</si>
  <si>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https://www.facebook.com/story.php?story_fbid=1376086204018417&amp;id=100048511502346&amp;rdid=n8okVbMH5kF2fNTR#</t>
    </r>
  </si>
  <si>
    <t>Konten tersebut mengandung unsur provokasi. Pada konten tersebut, dinarasikan bahwa Presiden ternyata merupakan boneka dan martabat Presiden Prabowo Jatuh. Terdapat usah mendelegitimasi kedudukan Presiden sebagai kepala negara dengan menyatakan “Martabat Prabowo diinjak injak oleh pejabat dan menteri dalam kabinetnya”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</si>
  <si>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https://www.tiktok.com/@user3538829255295/video/7572620489923759367?_r=1&amp;_t=ZS-92SGMthxFQI</t>
    </r>
  </si>
  <si>
    <t>Konten tersebut mengandung unsur disinformasi berjenis fabricated content. Pada konten tersebut, ditampilkan video AI yang menggambarkan posisi Presiden Prabowo yang lebih rendah dari Joko Widodo, yang seolah-olah menggambarkan posisi Presiden saat ini masih tunduk pada pemerintahan sebelumnya. Terdapat pula narasi bahwa “Prabowo boneka Mulyono” yang memperjelas usaha delegitimasi dari pembuat konten.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</si>
  <si>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https://www.tiktok.com/@fulusstar89/video/7585513134073466130</t>
    </r>
  </si>
  <si>
    <t>Konten tersebut mengandung unsur provokasi dengan narasi separatisme dukungan terhadap GAM. Terdapat narasi bahwa Warga Aceh tidak butuh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</si>
  <si>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https://x.com/taniaviandra/status/2001941004841341225?s=20</t>
    </r>
  </si>
  <si>
    <t>Ditemukan konten pada media sosial Twitter yang mengandung unsur provokatif dan separatisme dengan narasi rakyat Aceh meminta referendum dan menyatakan jika Indonesia adalah Israel versi Asia Tenggara.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</si>
  <si>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https://vt.tiktok.com/ZSP74RWcL/</t>
  </si>
  <si>
    <t xml:space="preserve">Ditemukan konten pada media sosial tiktok yang diduga memuat unsur ujaran kebencian dengan narasi menyalahkan Jawa atas kejadian yang terjadi di sumatera.
Penyebaran informasi yang mengandung unsur SARA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</si>
  <si>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https://vt.tiktok.com/ZSP7b86ph/</t>
  </si>
  <si>
    <t>Konten tersebut mengandung unsur Disinformasi berupa Misleading Content. Postingan berisi alasan pemerintah tidak berani mendeklarasikan musibah Aceh sebagai bencana nasional adalah adanya kepentingan pribadi atau golongan tertentu tanpa didasarkan bukti yang dapat menyebabkan adanya asumsi dari pembaca dan berpotensi menyesatkan publik serta membentuk persepsi negatif terhadap pemerintah tanpa dasar faktual.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</si>
  <si>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https://vt.tiktok.com/ZSP7bXW1J/</t>
  </si>
  <si>
    <t>Konten tersebut mengandung unsur Disinformasi berupa Fabricated Content. Postingan berisi narasi bahwa presiden Prabowo yang telah menyebabkan bencana dengan menarasikan "tangan penuh dengan darah rakyat aceh". konten tersebut berpotensi menyesatkan publik serta membentuk persepsi negatif terhadap pemerintah tanpa dasar faktual.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</si>
  <si>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https://vt.tiktok.com/ZSP7p4YdD/</t>
  </si>
  <si>
    <t>Ditemukan konten pada media sosial tiktok yang mengandung unsur separatisme berupa pengibaran bendera aceh yang disertai bendera malaysia. video tersebut juga mempertanyakan dimana bendera indonesia dikibarkan.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</si>
  <si>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https://vt.tiktok.com/ZSP7VbtB6/</t>
  </si>
  <si>
    <t>Ditemukan Konten pada media sosial tiktok yang mengandung unsur Disinformasi berupa Misleading Content. Postingan berisi pernyataan gubernur aceh yang akan mengibarkan bendera GAM bersamaan dengan bendera merah putih. 
tetapi pada postingan tersebut, dilakukan framming ulang yang tidak dapat diverifikasi berupa rakyat aceh yang memilih bergabung dengan wilayah kerajaan malaysia karena rasa peduli tali persaudaraan yang kuat antar kerajaan dan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</si>
  <si>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https://vt.tiktok.com/ZSP7VRMAa/</t>
  </si>
  <si>
    <t xml:space="preserve">Ditemukan konten pada media sosial tiktok yang diduga memuat unsur ujaran kebencian dengan narasi jawa sebagai raja koruptor.
Penyebaran informasi yang mengandung unsur SARA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t>
  </si>
  <si>
    <t>https://www.facebook.com/reel/1215615503866388</t>
  </si>
  <si>
    <r>
      <rPr>
        <rFont val="Arial"/>
        <sz val="8.0"/>
      </rPr>
      <t xml:space="preserve">Konten tersebut mengandung disinformasi berjenis misleading content yang menampilkan king abdi aceh yang melakukan aksi kemanusian tetapi dalam video tersebut, disertai framming ulang untuk melakukan join kedalam group whatsapp yang dimana pada konten aslinya tidak terdapat informasi tersebut. konten dapat dilihat pada tautan berikut : </t>
    </r>
    <r>
      <rPr>
        <rFont val="Arial"/>
        <color rgb="FF1155CC"/>
        <sz val="8.0"/>
        <u/>
      </rPr>
      <t>https://www.tiktok.com/@martengondrong/video/7584769772601150740?q=marten%20gondrong&amp;t=1766529901603</t>
    </r>
    <r>
      <rPr>
        <rFont val="Arial"/>
        <sz val="8.0"/>
      </rPr>
      <t xml:space="preserve"> 
Penyebaran informasi yang mengandung unsur SARA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</si>
  <si>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https://www.facebook.com/share/1DA96b7eTg/</t>
  </si>
  <si>
    <t>Akun tersebut berisi postingan postingan yang mengandung unsur provokasi dengan narasi separatisme dukungan terhadap GAM.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</si>
  <si>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https://www.facebook.com/share/p/1DMQPPdvLt/</t>
  </si>
  <si>
    <t>Disinformasi dan ujaran kebencian</t>
  </si>
  <si>
    <t>Ditemukan Konten pada media sosial facebook yang mengandung unsur Disinformasi berupa Fabricated Content. Postingan berisi banyaknya gereja yang didemo dan ditutup serta dibongkar menjelang natal karena disebut sebagai sumber fitnah dan pemecah belah bangsa. Informasi tersebut tidak dapat diverifikasi dan tidak ada berita aktual yang menyatakan adanya penutupan dan pembongkaran gereja pada masa saat ini.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</si>
  <si>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https://www.threads.com/@adinwndi/post/DSltovQCUTL</t>
  </si>
  <si>
    <t>Ditemukan Konten pada media sosial facebook yang mengandung unsur Disinformasi berupa Fabricated Content. Postingan berisi rencana bahlil terkait kenaikan tarif listrik agar PLN tidak merugi dan masyarakat “belajar menghemat” disertai framing kebijakan yang dinilai menambah beban rakyat. Narasi tersebut tidak sesuai dengan pernyataan resmi terkini yang menekankan komitmen pemerintah dalam menjaga pasokan listrik, gas, dan energi lainnya selama periode Natal dan Tahun Baru. Penyajian informasi di luar konteks waktu dan kebijakan aktual ini berpotensi menyesatkan publik serta membentuk persepsi negatif terhadap pemerintah tanpa dasar faktual.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</si>
  <si>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https://www.facebook.com/reel/25510557885238084</t>
    </r>
  </si>
  <si>
    <t>Beredar sebuah unggahan video di media sosial yang memperlihatkan deretan mobil yang terparkir di jalan raya hingga area Stasiun Pengisian Bahan Bakar Umum (SPBU). Pengunggah menyertakan narasi mengerikan terkait banyaknya mayat di dalam mobil-mobil itu yang mulai mengeluarkan bau busuk.
Faktanya, klaim ditemukan banyak mayat di dalam mobil di Aceh Tamiang adalah hoaks. Dilansir dari tempo.co, Kepala Pelaksana BPBD Aceh Tamiang Sulaiman, membantah adanya tumpukan mayat dalam mobil. Informasi ini didapat setelah tim gabungan BPBD, Basarnas, dan Unit K-9 Mabes Polri menyisir lokasi dalam video yang beredar. Kepala Kepolisian Resor Aceh Tamiang Ajun Komisaris Besar Muliadi, turut menepis isu mayat dalam kendaraan telantar di pinggir jalan. Ia memastikan anggotanya telah mengecek deretan mobil yang terdampak banjir tersebut.</t>
  </si>
  <si>
    <t>24 Desember 2025</t>
  </si>
  <si>
    <t>https://x.com/sjfi_twider/status/2003087846446674271</t>
  </si>
  <si>
    <t>Ditemukan sebuah unggahan di media sosial Twitter (X) oleh akun dengan username @sjfi_twider yang diduga berasa dari Malaysia yang mengunggah reply tweet menggunakan keyword Prabodoh. Keyword ini kemudian digunakan ulang oleh pengguna X di Indonesia untuk menyindir Presiden Prabowo.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</si>
  <si>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https://www.tiktok.com/@freedomforaceh2/video/7587288360142785812?is_from_webapp=1</t>
    </r>
  </si>
  <si>
    <t>Ditemukan sebuah akun TikTok yang mengunggah video provokatif dan menuduh aparat negara melakukan kejahatan kemanusiaan dengan narasi “TNI melakukan pemblokiran bantuan bencana banjir di Aceh semakin masif”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</si>
  <si>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https://www.tiktok.com/@aneukagam_76?_r=1&amp;_t=ZS-92U0Z0LNhOy</t>
    </r>
  </si>
  <si>
    <t>Ditemukan akun Tiktok dengan username @aneukagam_79 yang mengunggah pernyataan bernuansa dukungan terhadap gerakan separatis Aceh dan peringatan HUT GAM.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</si>
  <si>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https://www.facebook.com/kallyarronggo</t>
    </r>
  </si>
  <si>
    <t>Ditemukan akun Facebook bernama Tabenack Bong Jr. yang diduga mendukung gerakan separatis Papua dengan memposting kata Papua Merdeka maupun Free West Papua.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</si>
  <si>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https://www.facebook.com/share/p/1DKZXMX5Uh/</t>
    </r>
  </si>
  <si>
    <t>Konten tersebut mengandung unsur provokatif dengan ajakan untuk bersatu dan mengoordinasikan hacker dan akun besar untuk rencana “Nepalkan” Joko Widodo dan Luhut Panjaitan.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</si>
  <si>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https://x.com/AntoniusCDN/status/2003333521373561078</t>
    </r>
  </si>
  <si>
    <t>Konten tersebut mengandung unsur provokasi dengan narasi separatisme dukungan terhadap GAM. Terdapat adanya ajakan untuk melakukan aksi pada 25 Desember 2025.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</si>
  <si>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https://www.tiktok.com/@jong.kay.100/video/7586699111550979335?_r=1&amp;_t=ZS-92TvwVC8AgS</t>
    </r>
  </si>
  <si>
    <t>Konten tersebut mengandung unsur provokatif dengan narasi separatisme dukungan terhadap GAM menggunakan atribut-atribut tertentu.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</si>
  <si>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https://www.tiktok.com/@mediterania6/video/7586751968656330004?_r=1&amp;_t=ZS-92UE75M4kGP</t>
    </r>
  </si>
  <si>
    <t>Konten tersebut mengandung unsur provokatif dengan narasi separatisme tuntutan kepada Gubernur Aceh Muzakir Manaf untuk membuat referendum agar Aceh berpisah dari Indonesia dan bergabung dengan Malaysia.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</si>
  <si>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https://www.tiktok.com/@sekedar.berita0/video/7585875770539560213?_r=1&amp;_t=ZS-92UE7rw4IoD</t>
    </r>
  </si>
  <si>
    <t>Konten tersebut mengandung unsur provokatif dengan narasi separatise berisi Aceh akan berpisah dengan Indonesia. Terhadap narasi penghinaan kepada Presiden Prabowo dengan menyatakan penjilat-penjilat Prabowo akan menjadi pengemis jalanan seperti orang gila.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</si>
  <si>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https://www.tiktok.com/@genakalsehat/video/7582051572452969735?_r=1&amp;_t=ZS-92UEECdX9EX</t>
    </r>
  </si>
  <si>
    <t>Ditemukan konten disinformasi berjenis misleading content berisi narasi Presiden Prabowo tidak akan memutuskan status bencana nasional karena memiliki 10 perusahaan yang menjadi penyebab bencana dan takut ketahuan media asing.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</si>
  <si>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https://www.facebook.com/groups/1164382084406134/permalink/2068842970626703/?rdid=LTFADpB1q0IJjwdM#</t>
    </r>
  </si>
  <si>
    <t>Konten tersebut merupakan disinformasi kategori fabricated content yang menampilkan gambar meme AI Presiden Prabowo yang memeluk kelapa sawit. Gambar meme tersebut juga menampilkan caption yang tidak senonoh.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</si>
  <si>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https://www.facebook.com/share/p/1CmztDYDJ9/</t>
  </si>
  <si>
    <t>https://www.facebook.com/share/p/1FokYjDctU/</t>
  </si>
  <si>
    <t>Konten tersebut mengandung unsur disinformasi berupa misleading content dengan narasi bahwa PBB telah mengakui aceh sebagai negara aceh darussalam pada tanggal 20 Desember. Hal tersebut merupakan klaim tidak berdasar dan tidak ada informasi yang menyatakan bahwa PBB telah menyatakan aceh sebagai sebuah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</si>
  <si>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https://www.facebook.com/share/p/14THt1Q4pQk/</t>
  </si>
  <si>
    <t>Konten tersebut mengandung unsur provokasi dengan narasi separatisme bahwa 20 tahun aceh damai, yang terjadi adalah kehilangan hutan leuser, berbanding terbalik ketika 30 tahun aceh konflik, kondisi yang dinarasikan yaitu hutan aceh aman dan terjaga dengan baik. Postingan tersebut juga disertai pernyataan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</si>
  <si>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https://www.facebook.com/reel/2376264852825242</t>
  </si>
  <si>
    <t>Konten tersebut mengandung unsur provokasi dengan narasi separatisme bahwa Indonesia hanya memanfaatkan aceh dan melakukan pengkhianatan kepada aceh. Narasi juga disertai dengan perbandingan yang menyatakan bahwa malaysia berkebalikan dengan Indonesia yang menganggap aceh sebagai bagian dari sejarah mereka.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</si>
  <si>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https://x.com/Kang_seduh/status/2003675206989275643?t=Bv7fZy7EvL1gxAHqm1Pokw&amp;s=19</t>
  </si>
  <si>
    <t>Konten tersebut mengandung unsur Disinformasi berupa Manipulated Content. Postingan berisi pernyataan tidak berdasar bahwa 99% dana desa diciptakan untuk korupsi, bukan untuk pembangunan desa.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</si>
  <si>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https://www.instagram.com/reels/DSmSrJMk900/</t>
  </si>
  <si>
    <t>Konten tersebut mengandung unsur provokatif dengan adanya narasi negatif dengan ujaran kebencian dengan menyebut sampah kepada presiden dan wakil presiden dan menggunakan hastag prabodoh.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</si>
  <si>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https://www.facebook.com/permalink.php?story_fbid=pfbid02jKrcztXfp1WsqpvjNGJ7zsQQYwaWqL1k6Px4YECSKTzPjkFdRLFNZBeHxqaiVAi4l&amp;id=61583915982078&amp;rdid=A73KB0UbcVQs17qp#</t>
  </si>
  <si>
    <t>https://www.facebook.com/groups/3798955057049943/permalink/4286020898343354/?rdid=DaYlXWYSSZB1He3t&amp;share_url=https%3A%2F%2Fwww.facebook.com%2Fshare%2Fp%2F17aMeEi6Av%2F#</t>
  </si>
  <si>
    <t>https://www.facebook.com/groups/3798955057049943/permalink/4286273484984762/?rdid=xMOY3mgcDjnvNtZ9&amp;share_url=https%3A%2F%2Fwww.facebook.com%2Fshare%2Fp%2F1BZdC6qLwv%2F#</t>
  </si>
  <si>
    <t>https://www.facebook.com/groups/2307523679491867/permalink/4290133151230900/?rdid=klSAMDfOtqbsbCIc&amp;share_url=https%3A%2F%2Fwww.facebook.com%2Fshare%2Fp%2F1ZDmdpYQwQ%2F#</t>
  </si>
  <si>
    <t>https://www.facebook.com/groups/168697773885792/permalink/2064388994316651/</t>
  </si>
  <si>
    <t>https://www.facebook.com/groups/647302417514795/permalink/1172900204955011/</t>
  </si>
  <si>
    <t>https://www.facebook.com/groups/7406641962684717/permalink/26558278003761159/</t>
  </si>
  <si>
    <t>https://www.facebook.com/groups/632840653458983/permalink/25240708445578862/</t>
  </si>
  <si>
    <t>https://www.facebook.com/ArYume.V.2/posts/pfbid0pNydv58vzH35TjYK62Cm54VkJmkRnQsG4tmPDE8pGVVb5zFGQLR1K2NimHXBSSLQl?rdid=wx6kXhiG33SJvEjY#</t>
  </si>
  <si>
    <t>https://www.facebook.com/groups/2144232016009025/permalink/2380838745681683/</t>
  </si>
  <si>
    <t>https://www.facebook.com/groups/968437451106914/permalink/1538928234057830/</t>
  </si>
  <si>
    <t>https://www.facebook.com/groups/892820442888570/permalink/1311539314350012/</t>
  </si>
  <si>
    <t>https://www.facebook.com/groups/9767428643312271/permalink/25145416281753591/</t>
  </si>
  <si>
    <t>https://www.facebook.com/groups/9767428643312271/permalink/25144819845146568/</t>
  </si>
  <si>
    <t>https://www.facebook.com/groups/701407136043059/permalink/832064459643992/</t>
  </si>
  <si>
    <t xml:space="preserve">facebook.com/reel/1388835416124827/ </t>
  </si>
  <si>
    <t xml:space="preserve">Beredar sebuah unggahan video di media sosial yang memperlihatkan deretan mobil yang terparkir di jalan raya hingga area Stasiun Pengisian Bahan Bakar Umum (SPBU). Pengunggah menyertakan narasi mengerikan terkait banyaknya mayat di dalam mobil-mobil itu yang mulai mengeluarkan bau busuk.
Faktanya, klaim ditemukan banyak mayat di dalam mobil di Aceh Tamiang adalah hoaks. Dilansir dari tempo.co, Kepala Pelaksana BPBD Aceh Tamiang Sulaiman, membantah adanya tumpukan mayat dalam mobil. Informasi ini didapat setelah tim gabungan BPBD, Basarnas, dan Unit K-9 Mabes Polri menyisir lokasi dalam video yang beredar. Kepala Kepolisian Resor Aceh Tamiang Ajun Komisaris Besar Muliadi, turut menepis isu mayat dalam kendaraan telantar di pinggir jalan. Ia memastikan anggotanya telah mengecek deretan mobil yang terdampak banjir tersebut.
</t>
  </si>
  <si>
    <t>25 Desember 2025</t>
  </si>
  <si>
    <t>https://www.tiktok.com/@abenk.cot.bili/video/7564099871460920583</t>
  </si>
  <si>
    <t>Ditemukan konten pada media sosial Tiktok yang diduga memuat unsur provokatif dan menyebarkan paham separatisme dari seorang ulama yang sedang berdakwah dengan narasi jika Aceh berpisah dengan Indonesia maka di Aceh bisa membuat masjid dari emas. Hal tersebut bisa menyebabkan orang-orang yang mengikuti ulama tersebut terprovokasi untuk mendukung terpisahnya Aceh dari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</si>
  <si>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https://www.facebook.com/share/p/17qBgdW2wg/</t>
  </si>
  <si>
    <t>Ditemukan konten pada media sosial Facebook yang diduga memuat unsur provokatif untuk melakukan tindakan anarkis dengan narasi "Nepalkan" Komisaris Pertamina, Hasan Nasbi karena diduga mengeluarkan pernyataan bahwa minum kopi dan makan gorengan menjadi salah satu penyebab dari kerusakan alam.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</si>
  <si>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https://www.facebook.com/share/p/1JqzTmwkXR/</t>
  </si>
  <si>
    <t>Ditemukan konten pada media sosial Facebook yang diduga memuat unsur disinformasi dan provokatif untuk melakukan tindakan anarkis dengan narasi "Nepalkan" Menteri ESDM, Bahlil Lahadalia karena diduga pernyataannya yang menyebutkan bahwa kenaikan harga token listrik beralasan agar perusahaan PLN tidak rugi dan masyarakat bisa belajar hemat.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</si>
  <si>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https://www.facebook.com/share/r/17uAdJ5g5i/</t>
  </si>
  <si>
    <t>Ditemukan konten pada media sosial Facebook yang diduga memuat unsur provokatif untuk melakukan tindakan anarkis dengan narasi "Nepalkan" Luhut Binsar Pandjaitan karena diduga telah menerbitkan surat izin terkait operasi bandara IMIP di Morowali yang tidak memiliki petugas imigrasi.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</si>
  <si>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https://www.facebook.com/share/p/17e5EqDkmp/</t>
  </si>
  <si>
    <t>Ditemukan konten pada media sosial Facebook yang diduga memuat unsur provokatif untuk melakukan tindakan anarkis dengan narasi “Nepalkan” Luhut Binsar Pandjaitan karena diduga pernyataannya yang menyinggung terkait kenaikan upah minimum provinsi tidak boleh diatur oleh organisasi buruh sehingga organisasi buruh dianggap seperti disingkirkan.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</si>
  <si>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https://www.facebook.com/share/r/16mvpQNML2/</t>
  </si>
  <si>
    <t>Ditemukan konten pada media sosial Facebook yang diduga memuat unsur provokatif untuk melakukan tindakan anarkis dengan narasi “Nepalkan” Joko Widodo karena dianggap sebagai penyebab dari korupsi yang dilakukan oleh Nadiem Makarim.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</si>
  <si>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https://www.threads.com/@danhadis12/post/DSpYGwYDw-x?xmt=AQF0MJO7IKyLGNDHTAwHJy284yBjQeLjrkBJNGNHjSYjmw</t>
  </si>
  <si>
    <t>Ditemukan konten pada media sosial Threads yang diduga memuat unsur provokatif dan gerakan separatisme dengan narasi bahwa sudah terdapat perjanjian antara NKRI dengan GAM untuk mengibarkan bendera GAM secara legal di Aceh dan jika TNI/Polisi melarang maka akan menggugat ke PBB.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</si>
  <si>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https://www.facebook.com/teguh.muhammad.334/posts/pfbid027gWYp6KHHtr9w9nWqwH6ec1tdycE65HJGTg5M19exvHRNLPnovbh8R2uDn13wC2kl</t>
  </si>
  <si>
    <t>konten di platform media sosial Facebook yang diduga mengandung unsur provokatif yang mendorong tindakan anarkis, berupa narasi yang menyerang Presiden Prabowo dengan istilah "menepalkan", serta disertai ujaran kebencian yang membandingkan rakyat Indonesia melawan Presiden Prabowo dengan sebutan merendahkan "Prabodoh Sawitanto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</si>
  <si>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https://www.facebook.com/permalink.php?story_fbid=pfbid02cdWL3ucQ3eSW2s85f4H8usVZpu9widpvZQpRWFN7TDnT133bMSBtnx2ihrvWCaygl&amp;id=61584025697382</t>
  </si>
  <si>
    <t>Ditemukan konten pada media sosial Facebook yang diduga memuat unsur provokatif untuk melakukan tindakan kekerasan dengan narasi "nepalkan” mantan Presiden Jokowi dan Luhut Binsar Pandjaitan disertai dengan narasi ujaran kebencian. Penyebaran informasi yang mengandung unsur provokatifyang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</si>
  <si>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https://www.facebook.com/tono.mandailing/posts/pfbid0r3xSiWd14QofLpTgQUP6wRLiqB7J13xdgA3SF3qTNanSeyaHBLpdWvPdyj7ANR9el</t>
  </si>
  <si>
    <t>Ditemukan konten pada media sosial Facebook yang diduga memuat unsur provokatif untuk menepalkan Luhut Binsar Pandjaitan disertai narasi ujaran kebencian dengan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</si>
  <si>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https://www.facebook.com/groups/1110525038988862?multi_permalinks=33181791064768843</t>
  </si>
  <si>
    <t>Ditemukan konten pada media sosial TikTok yang diduga memuat unsur provokatif dan berpotensi mengarah pada narasi separatisme “lebih baik Sumatera Merdeka daripada dijajah oleh penguasa pusat” yang dikonotasikan sebagai pemerintah pusat.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</si>
  <si>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https://www.facebook.com/reel/2906539929542506</t>
  </si>
  <si>
    <t>Ditemukan konten pada media sosial Facebook yang diduga mengandung muatan provokatif berupa ajakan melakukan tindakan anarki berupa narasi untuk “menepalkan” penjajah yang dikonotasikan sebagai polisi dan pemerintah disertai dengan video anarkis perusakan mobil polisi di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</si>
  <si>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https://www.facebook.com/groups/1490577311217468/permalink/4251348881806950</t>
  </si>
  <si>
    <t>Ditemukan konten pada media sosial Facebook yang diduga memuat unsur provokatif dan gerakan separatisme dengan narasi Aceh merdeka dan menganggap Indonesia sebagai penjajah.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</si>
  <si>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https://x.com/Joxplalong/status/2003674973794406672</t>
  </si>
  <si>
    <t>Ditemukan konten di platform media sosial Twitter yang diduga mengandung unsur provokatif untuk memakzulkan Wakil Presiden Gibran Rakabuming Raka serta menuntut pengadilan terhadap mantan Presiden Joko Widodo. Konten tersebut disertai tuduhan bahwa Republik Indonesia bukan milik Joko Widodo, oligarki, parcok, dan kelompoknya, serta memuat narasi yang mendorong aksi kolektif untuk memakzulkannya, dengan referensi perilaku Gen Z di Nepak dan Bulgaria.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</si>
  <si>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https://vt.tiktok.com/ZSHKxdQ7w3LgQ-WAooK/</t>
  </si>
  <si>
    <t>Dilaporkan telah melakukan tindak pidana penyebaran propaganda separatisme dan provokasi terkait narasi dukungan terhadap Gerakan Aceh Merdeka (GAM). Hal ini akan berdampak memicu sentimen anti-NKRI, menghidupkan kembali potensi konflik keamanan, serta berpotensi mengancam kedaulatan negara dan stabilitas nasional. Hal ini sudah melanggar undang-undang yang berlaku dalam Negara Kesatuan Republik Indonesia terkait larangan simbol separatis dan makar, sehingga hal tersebut dapat menimbulkan polarisasi dan keresahan yang meluas di kalangan masyarakat di ruang digital. Saat live tiktok berlangsung terdapat pengibaran bendera GAM.</t>
  </si>
  <si>
    <t>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t>
  </si>
  <si>
    <t>https://vt.tiktok.com/ZSHKxdTR7udqq-2O8KZ/</t>
  </si>
  <si>
    <t>https://vt.tiktok.com/ZSHKxRQAtD4FW-flI52/</t>
  </si>
  <si>
    <t>https://www.facebook.com/reel/1424860649171628</t>
  </si>
  <si>
    <r>
      <rPr>
        <rFont val="Arial"/>
        <color rgb="FF1155CC"/>
        <sz val="8.0"/>
        <u/>
      </rPr>
      <t>https://vt.tiktok.com/ZSPjUrWPd/</t>
    </r>
  </si>
  <si>
    <t>Konten tersebut mengandung unsur provokasi dengan narasi ketidakpuasan masyarakat Aceh terhadap tindakan pemerintah dalam menangani bencana sumatera disertai dengan ujaran Aceh merdeka.
 Penyebaran informasi yang mengandung unsur provokatif dan separatisme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</si>
  <si>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A. UU Nomor 1 Tahun 2024 tentang Informasi dan Transaksi Elektronik
 1.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2.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3.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4.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B.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t>
  </si>
  <si>
    <r>
      <rPr>
        <rFont val="Arial"/>
        <color rgb="FF1155CC"/>
        <sz val="8.0"/>
        <u/>
      </rPr>
      <t>https://vt.tiktok.com/ZSPjDntjV/</t>
    </r>
  </si>
  <si>
    <t>Konten tersebut mengandung unsur provokasi dengan narasi ketidakpuasan masyarakat Aceh terhadap tindakan pemerintah dalam menangani bencana sumatera dan menganggapnya sebagai bentuk penjajahan pemerintah disertai dengan tuntutan referendum untuk aceh merdeka.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</si>
  <si>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https://www.facebook.com/share/p/17Z9cHm6az/</t>
    </r>
  </si>
  <si>
    <t>Ditemukan konten pada media sosial Facebook yang diduga memuat unsur provokatif dengan narasi menyudutkan salah satu agama.
 Penyebaran informasi yang mengandung unsur SARA yang berpotensi menimbulkan rasa kebencian atau permusuhan, mengganggu keamanan, serta mengancam stabilitas negara diatur dalam Undang-Undang Nomor 1 Tahun 2024 tentang Perubahan Kedua Atas Undang-Undang Nomor 11 Tahun 2008 tentang Informasi dan Transaksi Elektronik pada Pasal 28 ayat (2) dan Pasal 45A ayat (2).</t>
  </si>
  <si>
    <r>
      <rPr>
        <rFont val="Arial"/>
        <color rgb="FF1155CC"/>
        <sz val="8.0"/>
        <u/>
      </rPr>
      <t>https://www.facebook.com/share/v/17ERLYAjxv/</t>
    </r>
  </si>
  <si>
    <t>Konten tersebut mengandung unsur provokasi dengan narasi ketidakpuasan masyarakat Aceh terhadap tindakan pemerintah dalam menangani bencana sumatera disertai dengan ajakan untuk bangsa melayu mendukung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</si>
  <si>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https://www.facebook.com/share/p/17ZnqZ1fJJ/</t>
    </r>
  </si>
  <si>
    <t>Ditemukan konten pada media sosial Facebook yang diduga memuat unsur provokatif dengan narasi menyudutkan salah satu agama.
 Penyebaran informasi yang mengandung unsur SARA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</si>
  <si>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https://www.facebook.com/share/p/1KbUdvriEQ/</t>
    </r>
  </si>
  <si>
    <r>
      <rPr>
        <rFont val="Arial"/>
        <color rgb="FF1155CC"/>
        <sz val="8.0"/>
        <u/>
      </rPr>
      <t>https://www.facebook.com/share/v/1NqFzYZPPA/</t>
    </r>
  </si>
  <si>
    <t>Ditemukan konten pada media sosial Facebook yang diduga memuat unsur provokatif dengan narasi menyudutkan salah satu agama.
 Penyebaran informasi yang mengandung unsur Provokatif dan ujaran kebencian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</si>
  <si>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https://www.facebook.com/share/p/1FvTLbbHoD/</t>
    </r>
  </si>
  <si>
    <t>Ditemukan konten pada media sosial Facebook yang diduga memuat unsur SARA yaitu narasi menyudutkan agama tertentu dengan menghina alkitab agama tersebut.
 Penyebaran informasi yang mengandung unsur SARA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</si>
  <si>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https://www.facebook.com/share/r/1Dmm6g71a4/</t>
    </r>
  </si>
  <si>
    <r>
      <t xml:space="preserve">Ditemukan Konten pada Facebook yang mengandung unsur provokasi dengan narasi ajakan melakukan tindakan “Makzulkan” disertai Video terpotong yang menyebabkan disinformasi terhadap pernyataan kaesang yang menyatakan kudeta terhadap prabowo. Video penuh mengenai ucapan kaesang perihak kudeta prabowo menjadi nasional sebagai berikut : 
 ● </t>
    </r>
    <r>
      <rPr>
        <rFont val="Arial"/>
        <color rgb="FF1155CC"/>
        <sz val="8.0"/>
        <u/>
      </rPr>
      <t>https://youtu.be/UFxFhcvRd4w?si=IyY9N4M1-XyshIF7</t>
    </r>
    <r>
      <rPr>
        <rFont val="Arial"/>
        <sz val="8.0"/>
      </rPr>
      <t xml:space="preserve"> 
 Penyebaran informasi disinformasi yang mengandung unsur provokatif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r>
  </si>
  <si>
    <r>
      <rPr>
        <rFont val="Arial"/>
        <color rgb="FF1155CC"/>
        <sz val="8.0"/>
        <u/>
      </rPr>
      <t>https://www.facebook.com/share/r/1BzZqdmm9b/</t>
    </r>
  </si>
  <si>
    <t>Ditemukan konten pada facebook yang mengandung unsur provokasi dengan narasi ajakan kepada masyarakat untuk melakukan tindakan “Nepalkan” kepada entitas tertentu yang dianggap perusak bangsa yaitu Joko Widodo dan Zulkifli Hasan.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</si>
  <si>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
        <color rgb="FF1155CC"/>
        <sz val="8.0"/>
        <u/>
      </rPr>
      <t>https://www.facebook.com/share/v/17yG894rEc/</t>
    </r>
  </si>
  <si>
    <t>Ditemukan konten pada media sosial facebook yang terindikasi sebagai misleading content yang menyatakan bahwa prabowo sedang disandera berdasarkan asumsi tidak berdasar.
 Penyebaran informasi yang salah dan mengandung unsur provokatif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</si>
  <si>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
        <color rgb="FF1155CC"/>
        <sz val="8.0"/>
        <u/>
      </rPr>
      <t>https://www.facebook.com/share/p/1Cu2s9Fv7t/</t>
    </r>
  </si>
  <si>
    <t>Ditemukan sebuah akun yang mengunggah disinformasi dengan jenis misleading content (konten menyesatkan). Konten tersebut berisi pernyataan bahwa Wapres Gibran pernah terkena kasus narkoba saat bersekolah di SMPN 1 Solo, sehingga dikeluarkan dan tidak memiliki Ijazah SMP. Terdapat narasi hoaks lain yang disebarkan melalui konten tersebut, antara lain, kasus narkoba tersebut ditangani oleh Listyo Sigit P. dan Agus Subiyanto, selain itu terdapat narasi Gibran direhabilitasi di Singapura dan dibuatkan ijazah penyetaraan SMA/SMK.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</si>
  <si>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
        <color rgb="FF1155CC"/>
        <sz val="8.0"/>
        <u/>
      </rPr>
      <t>https://www.facebook.com/share/p/16ydaepk4f/</t>
    </r>
  </si>
  <si>
    <t>Ditemukan konten pada facebook yang mengandung unsur provokasi dengan narasi ajakan kepada masyarakat untuk melakukan tindakan “Nepalkan” kepada Jokowi yang dianggap telah merampok negara.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</si>
  <si>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
        <color rgb="FF1155CC"/>
        <sz val="8.0"/>
        <u/>
      </rPr>
      <t>https://www.facebook.com/share/p/14SE37YpJ61/</t>
    </r>
  </si>
  <si>
    <t>Ditemukan konten pada facebook yang mengandung unsur provokasi dengan narasi ajakan kepada masyarakat untuk melakukan tindakan “Nepalkan” kepada Joko Widodo dan Gibran.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</si>
  <si>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
        <color rgb="FF1155CC"/>
        <sz val="8.0"/>
        <u/>
      </rPr>
      <t>https://www.facebook.com/photo/?fbid=122098301931160602&amp;set=a.122098301955160602</t>
    </r>
  </si>
  <si>
    <r>
      <t xml:space="preserve">Ditemukan konten pada media sosial Facebook yang memuat disinformasi dengan jenis manipulated content. Konten tersebut berisi dokumen palsu dari kementrian agama terkait bantuan dana DAP. Konfirmasi dari kementrian agama terkait dokumen dapat diakses pada tauntan berikut :
 </t>
    </r>
    <r>
      <rPr>
        <rFont val="Arial"/>
        <color rgb="FF1155CC"/>
        <sz val="8.0"/>
        <u/>
      </rPr>
      <t>https://www.instagram.com/p/DR-_3F2koay/?img_index=2</t>
    </r>
    <r>
      <rPr>
        <rFont val="Arial"/>
        <sz val="8.0"/>
      </rPr>
      <t xml:space="preserve">
 Penyebaran informasi yang salah yang berpotensi menimbulkan mengganggu keamanan, serta mengancam stabilitas negara diatur dalam Undang-Undang Nomor 1 Tahun 2024 tentang Perubahan Kedua Atas Undang-Undang Nomor 11 Tahun 2008 tentang Informasi dan Transaksi Elektronik pada Pasal 28 ayat (2) dan Pasal 45A ayat (2).</t>
    </r>
  </si>
  <si>
    <t>https://www.facebook.com/share/p/17hhtoMZ5J/</t>
  </si>
  <si>
    <t>Ditemukan konten pada media sosial facebook yang mengandung unsur provokasi dengan narasi ajakan kepada masyarakat untuk memakzulkan Wapres Gibran dan melakukan “Nepalkan” kepada Joko Widodo dan Gibran karena dianggap sebagai pengkhianat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</si>
  <si>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https://www.facebook.com/share/p/1JXrweLbKn/</t>
  </si>
  <si>
    <t>Ditemukan konten pada media sosial Facebook yang diduga memuat unsur provokasi dengan narasi Presiden Prabowo adalah boneka bagi yang mensponsorinya menjadi Presiden.
Penyebaran informasi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</si>
  <si>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https://www.facebook.com/share/p/1DdoUSfGvY/</t>
  </si>
  <si>
    <t>Konten tersebut mengandung unsur provokasi dan disinformasi dengan jenis misleading content (konten menyesatkan) dengan narasi HRS menyeret Jokowi ke pengadilan internasional. Selain itu, terdapat narasi provokatif yang menyatakan Jokowi harus diadili di pengadilan internasional, selain itu terdapat tuduhan bahwa Presiden Prabowo adalah boneka Jokowi.
Penyebaran informasi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</si>
  <si>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https://www.facebook.com/share/r/1BgRjBszmr/</t>
  </si>
  <si>
    <t>Konten tersebut mengandung unsur provokatif dan disinformasi dengan jenis misleading content (konten menyesatkan). Pada konten tersebut, terdapat narasi yang menyatakan bahwa Menteri Purbaya akan diganti atas permintaan Jokowi karena tidak mau membayar hutang negara yang berasal dari periode kepemimpinan Presiden Jokowi. Terdapat narasi tuntutan untuk menghukum mati Jokowi, atau Presiden Prabowo akan dinilai sebagai boneka Jokowi.
Penyebaran informasi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</si>
  <si>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https://www.tiktok.com/@mh_ali85/video/7582405381033446677?_r=1&amp;_t=ZS-928ZeaqS0uH</t>
  </si>
  <si>
    <t>Konten tersebut mengandung unsur provokasi dan separatisme dengan narasi Gerakan Aceh Merdeka. Pada konten tersebut, terdapat upaya delegitimasi negara dengan menyatakan bahwa Indonesia adalah negara pura-pura, dan hubungan antara Aceh dengan “Negara pura-pura Indonesia Jawa” adalah hubungan “kumpul kebo”.
Penyebaran informasi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</si>
  <si>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https://www.tiktok.com/@zulfikarr774/video/7582438195183357192?_r=1&amp;_t=ZS-928ZfrNyjB3</t>
  </si>
  <si>
    <t>Konten tersebut mengandung unsur provokasi dan separatisme dengan narasi Gerakan Aceh Merdeka.
Penyebaran informasi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</si>
  <si>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https://www.tiktok.com/@budisurya978/video/7581965650533321991?_r=1&amp;_t=ZS-928ZnXWO2PB</t>
  </si>
  <si>
    <t>Konten tersebut mengandung unsur provokasi dan separatisme dengan narasi Indonesia adalah negara penjajah. 
Penyebaran informasi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</si>
  <si>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https://www.tiktok.com/@pelitatiga.0306/video/7582522586073009429?_r=1&amp;_t=ZS-928ZqbCgdPM</t>
  </si>
  <si>
    <t>Konten tersebut mengandung unsur provokasi dan disinformasi dengan jenis fabricated content yang menampilkan video AI berita palsu dengan narasi bangsa Melayu tidak dipedulikan oleh "pemerintah Konoha". Terdapat ujaran kebencian mengandung SARA berupa ajakan bangsa Melayu untuk keluar dari pemerintahan penjajahan Jawa.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</si>
  <si>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https://www.tiktok.com/@achmad.fauzi50/video/7582444745171963154</t>
  </si>
  <si>
    <t xml:space="preserve">Provokasi
</t>
  </si>
  <si>
    <t xml:space="preserve">Setelah dianalisis video ini dapat dilaporkan telah melakukan tindak pidana penyebaran provokasi terkait narasi mempertanyakan kehadiran Presiden di saat bencana banjir dengan membuat kalimat “ SANGAT KECEWA !!! Warganet asal aceh ini kiritik langkah Presiden Prabowo yang memilih berangkat ke Pakistan usai meninjau lokasi bencana yang ada di Aceh” dan PRESIDEN KABUR?!!. Kalimat Di Postingan tersebut memancing keributan di kolom komentar. 
Hal ini akan berdampak memicu sentimen ke Pemerintah, Khususnya Presiden Prabowo yang sudah berupaya untuk andil dalam menangani Bencana Banjir.
</t>
  </si>
  <si>
    <t xml:space="preserve">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 
</t>
  </si>
  <si>
    <t>https://www.tiktok.com/@oposisi_cerdas/video/7581636732290960658</t>
  </si>
  <si>
    <t>Setelah dianalisis video ini dapat dilaporkan telah melakukan tindak pidana penyebaran provokasi terkait narasi yang dapat membuat kegaduhan di publik dengan membahas dan mengangkat video lama Presiden Jokowi yang membahas Perusahaan Presiden Prabowo. Kemudian membuat kalimat di dalam Video “ JADI PAHAM KAN KENAPA PRABOWO TIDAK TETAPKAN  SUMUT BENCANA NASIONAL?
Pertanyaan dalam kalimat tersebut seakan Presiden Prabowo salah satu peneyebab bencana banjir karena perusahaannya
Hal ini akan berdampak memicu sentimen terhadap Pemerintah khususnya Presiden Prabowo yang berupaya untuk menangani bencana banjir.</t>
  </si>
  <si>
    <t>https://www.tiktok.com/@rakyatjelata912/video/7580494715259211026</t>
  </si>
  <si>
    <t xml:space="preserve">Setelah dianalisis video ini dapat dilaporkan telah melakukan tindak pidana penyebaran provokasi terkait narasi yang dapat membuat kegaduhan di publik dengan membahas dan mengangkat video lama Presiden Jokowi yang membahas Perusahaan Presiden Prabowo. Kemudian membuat kalimat di dalam Video “ PT. Tusam Hutani Lestari yang menguasai 100 ribu lahan hutan di Pulau Sumatera, ternyata adalah milik Presiden Presiden Prabowo”
Pertanyaan dalam kalimat tersebut seakan Presiden Prabowo salah satu peneyebab bencana banjir karena perusahaannya.
Hal ini akan berdampak memicu sentimen terhadap Pemerintah khususnya Presiden Prabowo yang berupaya untuk menangani bencana banjir.
</t>
  </si>
  <si>
    <t>https://www.facebook.com/share/p/1HRzs77V9e/</t>
  </si>
  <si>
    <t>Ditemukan konten pada media sosial Facebook yang diduga memuat unsur provokatif dengan narasi menyudutkan salah satu agama.
Penyebaran informasi yang mengandung unsur SARA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</si>
  <si>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https://www.facebook.com/share/p/1Biz9phhf1/</t>
  </si>
  <si>
    <t>https://www.facebook.com/share/p/18QmGD1fG5/</t>
  </si>
  <si>
    <t>Ditemukan konten pada media sosial Facebook yang diduga memuat unsur provokatif dengan narasi menyudutkan salah satu agama.
Penyebaran informasi yang mengandung unsur SARA yang berpotensi menimbulkan rasa kebencian atau permusuhan, mengganggu keamanan, serta mengancam stabilitas negara diatur dalam Undang-Undang Nomor 1 Tahun 2024 tentang Perubahan Kedua Atas Undang-Undang Nomor 11 Tahun 2008 tentang Informasi dan Transaksi Elektronik pada Pasal 28 ayat (2) dan Pasal 45A ayat (2).</t>
  </si>
  <si>
    <t>https://www.facebook.com/share/p/1KPykrfxFQ/</t>
  </si>
  <si>
    <t>https://www.facebook.com/share/p/1FcLuvR3b7/</t>
  </si>
  <si>
    <r>
      <rPr>
        <rFont val="Arial"/>
        <color rgb="FF1155CC"/>
        <sz val="8.0"/>
        <u/>
      </rPr>
      <t>https://www.facebook.com/share/p/1GUHnaEFHk/</t>
    </r>
    <r>
      <rPr>
        <rFont val="Arial"/>
        <sz val="8.0"/>
      </rPr>
      <t xml:space="preserve"> </t>
    </r>
  </si>
  <si>
    <t>Ditemukan konten pada media sosial Facebook yang diduga memuat unsur provokatif dengan narasi keinginan aceh untuk merdeka.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</si>
  <si>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https://www.facebook.com/share/p/17avoVeeTo/</t>
  </si>
  <si>
    <t>https://x.com/amiryogi/status/1999109078778535964</t>
  </si>
  <si>
    <t>Ditemukan konten pada media sosial Facebook yang diduga memuat unsur provokatif dengan narasi keinginan riau untuk merdeka.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</si>
  <si>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https://x.com/SaufyJauhary/status/1998661996536017395</t>
  </si>
  <si>
    <t>Ditemukan konten pada media sosial Facebook yang diduga memuat unsur provokatif dengan narasi ajakan sumatra untuk masuk ke dalam persekutuan malaysia.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</si>
  <si>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https://x.com/omizra/status/1999099461751185576</t>
  </si>
  <si>
    <t>Ditemukan konten pada media sosial Facebook yang diduga memuat unsur provokatif dengan narasi Sumatera merdeka dengan negara federal sebagai solusi atas permasalahan bencana saat ini.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</si>
  <si>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https://x.com/achehsultanate/status/1999265004395303389</t>
  </si>
  <si>
    <t>Ditemukan konten pada media sosial Facebook yang diduga memuat unsur provokatif dengan narasi Free Sumatera dan menganggap keinginan untuk bebas dibungkan.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</si>
  <si>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https://x.com/indonesiaeffort/status/1998921378796597699</t>
  </si>
  <si>
    <t>Ditemukan konten pada Facebook yang mengandung unsur provokasi dengan narasi ajakan kepada masyarakat untuk melakukan tindakan “Nepalkan” dan penyebaran narasi bahwa pemerintah merupakan bencana nasional.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</si>
  <si>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https://x.com/alfatih212426/status/1998999825820610897</t>
  </si>
  <si>
    <t>Ditemukan konten pada Facebook yang mengandung unsur provokasi dengan narasi ajakan kepada masyarakat untuk melakukan tindakan “Nepalkan” dan penyebaran informasi palsu bahwa NKRI merupakan bagian dari RRC.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</si>
  <si>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https://www.facebook.com/share/p/165cxdj3JU/</t>
  </si>
  <si>
    <t>Ditemukan konten pada Facebook yang mengandung unsur provokasi dengan narasi apabila Bencana Sumatera tidak ditetapkan sebagai Bencana Nasional, Nias minta merdeka.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</si>
  <si>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https://x.com/achehsultanate/status/1999231085641891925</t>
  </si>
  <si>
    <t>Konten tersebut mengandung unsur provokasi dengan narasi yang bersifat mendelegitimasi negara. Pada konten ini, disebutkan bahwa Indonesia sebagai bentuk kolonialisme internal yang lebih jahat daripada Kolonial Belanda. Kemudian terdapat kalimat ujaran kebencian dengan bunyi, “Belanda pergi, digantikan penjajah baru dari Jawa”.
Penyebaran informasi yang salah yang berpotensi menimbulkan mengganggu keamanan, serta mengancam stabilitas negara diatur dalam Undang-Undang Nomor 1 Tahun 2024 tentang Perubahan Kedua Atas Undang-Undang Nomor 11 Tahun 2008 tentang Informasi dan Transaksi Elektronik pada Pasal 28 ayat (2) dan Pasal 45A ayat (2).</t>
  </si>
  <si>
    <t>https://www.tiktok.com/@imusnyak768/video/7582800994203880711?_t=ZS-92AJsgAGGzR&amp;_r=1</t>
  </si>
  <si>
    <t>Konten ini mengandung unsur provokasi dan separatisme dengan narasi Gerakan Aceh Merdeka. Pada konten tersebut, ditampilkan narasi yang menyatakan Anggota DPR Aceh mendesak Presiden Prabowo membuka akses bantuan internasional atau, Aceh berpisah dari Indonesia.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</si>
  <si>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sans-serif"/>
        <color rgb="FF1155CC"/>
        <sz val="8.0"/>
        <u/>
      </rPr>
      <t>tiktok.com/@hudeup_mulia_mate_syahid/video/7580497773129141512?_t=ZS-92AJxh2k06C&amp;_r=1</t>
    </r>
  </si>
  <si>
    <t>Konten ini mengandung unsur provokasi dengan narasi separatisme dukungan terhadap “Neugara Aceh Darussalam”. Terdapat narasi dukungan kemerdekaan Aceh dan menyebutkan Indonesia sebagai “Ramjadah”.
Penyebaran informasi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</si>
  <si>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https://www.tiktok.com/@teukuamex1976/video/7582601987603107092?_r=1&amp;_t=ZS-92AK0WR7y2i</t>
    </r>
  </si>
  <si>
    <t>Konten tersebut mengandung unsur provokasi dan narasi separatisme. Terdapat pernyataan yang menyatakan jika Indonesia tidak mampu mengatasi persoalan di Aceh, maka izinkan Aceh berpisah dari Indonesia.
Penyebaran informasi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</si>
  <si>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https://www.facebook.com/groups/523183267134157/posts/842458458539968/</t>
  </si>
  <si>
    <t>https://www.facebook.com/groups/523183267134157/posts/838983485554132/</t>
  </si>
  <si>
    <t>https://www.facebook.com/reel/1504545010811814</t>
  </si>
  <si>
    <t xml:space="preserve">Setelah dianalisis video ini dapat dilaporkan telah melakukan tindak pidana penyebaran provokasi terkait narasi mempertanyakan kehadiran Presiden di saat bencana banjir dengan membuat kalimat “ SANGAT KECEWA !!! Warganet asal aceh ini kiritik langkah Presiden Prabowo yang memilih berangkat ke Pakistan usai meninjau lokasi bencana yang ada di Aceh” dan PRESIDEN KABUR?!!. Kalimat Di Postingan tersebut memancing keributan di kolom komentar. 
Hal ini akan berdampak memicu sentimen ke Pemerintah, Khususnya Presiden Prabowo yang sudah berupaya untuk andil dalam menangani Bencana Banjir.
</t>
  </si>
  <si>
    <t>https://www.tiktok.com/@garehindatu/video/7582888223026842898</t>
  </si>
  <si>
    <t>Provokatif, disinformasi, dan Separatisme</t>
  </si>
  <si>
    <t>Ditemukan konten pada media sosial Tiktok yang diduga memuat unsur provokatif, disinformasi, dan gerakan separatisme dengan menarasikan bahwa Sumatra ditawarkan merdeka oleh PBB.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</si>
  <si>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 xml:space="preserve">UU Nomor 1 Tahun 2024 tentang Informasi dan Transaksi Elektronik
Pasal 28 ayat (2)
Dijelaskan mengenai perbuatan seseorang yang menyebarkan kebencian terhadap suku, agama, ras, dan antargolongan (“SARA”) melalui media elektronik termasuk perbuatan yang dilarang, yang berbunyi sebagai berikut: “Setiap Orang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Pasal 28 ayat (3)
Dijelaskan mengenai perbuatan seseorang yang menyebarkan informasi elektronik yang memuat pemberitahuan bohong yang menimbulkan kegaduhan di masyarakat yaitu: “Setiap Orang dengan sengaja menyebarkan Informasi Elektronik dan/atau Dokumen Elektronik yang diketahuinya memuat pemberitahuan bohong yang menimbulkan kerusuhan di masyarakat.“
Pasal 45A ayat (2)
Setiap orang yang melanggar Pasal 28 ayat (2) UU ITE berpotensi dipidana berdasarkan pasal 45A ayat (2) yang berbunyi: “Setiap Orang yang dengan sengaja dan tanpa hak mendistribusikan dan/atau mentransmisikan Informasi Elektronik dan/atau Dokumen Elektronik yang sifatnya menghasut, mengajak, atau memengaruhi orang lain sehingga menimbulkan rasa kebencian atau permusuhan terhadap individu dan/atau kelompok masyarakat tertentu berdasarkan ras, kebangsaan, etnis, warna kulit, agama, kepercayaan, jenis kelamin, disabilitas mental, atau disabilitas fisik sebagaimana dimaksud dalam Pasal 28 ayat (2) dipidana dengan pidana penjara paling lama 6 (enam) tahun dan/atau denda paling banyak Rp1.000.000.000,00 (satu miliar rupiah).”
Pasal 45A ayat (3)
Setiap orang yang melanggar Pasal 28 ayat (3) UU ITE berpotensi dipidana berdasarkan Pasal 45A ayat (3) yang berbunyi: “Setiap Orang yang dengan sengaja menyebarkan Informasi Elektronik dan/atau Dokumen Elektronik yang diketahuinya memuat pemberitahuan bohong yang menimbulkan kerusuhan di masyarakat sebagaimana dimaksud dalam Pasal 28 ayat (3) dipidana dengan pidana penjara paling lama 6 (enam) tahun dan/ atau denda paling banyak Rp 1.000.000.000,00 (satu miliar rupiah).”
Kitab Undang-Undang Hukum Pidana (KUHP)
Pasal 160 KUHP
Dijelaskan mengenai perbuatan seseorang yang menghasut untuk melakukan tindak pidana, yaitu: "Barang siapa dengan sengaja menggerakkan orang lain untuk melakukan perbuatan pidana, dihukum dengan pidana penjara paling lama enam tahun."
Pasal 170 KUHP
Dijelaskan mengenai perbuatan seseorang yang menghasut untuk melakukan pengrusakan, yaitu: "Barang siapa dengan sengaja dan terang-terangan merusak barang atau benda milik orang lain dengan cara kekerasan, dihukum dengan pidana penjara."
Pasal 187 KUHP 
Dijelaskan mengenai perbuatan seseorang yang menghasut untuk melakukan pembakaran, yaitu: "Barang siapa dengan sengaja menyebabkan kebakaran yang merusak benda milik orang lain dihukum dengan pidana penjara."
</t>
  </si>
  <si>
    <t>https://www.tiktok.com/@chutnaylanyakputroeaulia/video/7582478391987719431</t>
  </si>
  <si>
    <t>Ditemukan konten pada media sosial Facebook yang diduga memuat unsur provokatif dan disinformasi bahwa Presiden Prabowo merupakan presiden pembohong dan penjajah bagi bangsa Aceh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</si>
  <si>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https://www.tiktok.com/@sid_aj00/video/7533135517332819207</t>
  </si>
  <si>
    <t>Ditemukan konten pada media sosial Tiktok yang diduga memuat unsur provokatif, disinformasi, dan gerakan separatisme dengan menarasikan Sumatra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</si>
  <si>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https://x.com/ArdieSuhardi321/status/1999689606015631373</t>
  </si>
  <si>
    <t>Ditemukan konten pada media sosial twitter yang diduga memuat unsur provokatif untuk melakukan dengan narasi untuk mengadili mantan Presiden Jokowi dan memakzulkan Wakil Presiden Gibran Rakabuming Raka.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</si>
  <si>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https://x.com/benaradil/status/1999259993976242311</t>
  </si>
  <si>
    <t>Ditemukan konten pada media sosial Twitter yang diduga memuat ujaran kebencian dengan kata-kata kasar yang ditujukan untuk Wakil Presiden Gibran Rakabuming Raka dan Mantan Presiden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</si>
  <si>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https://x.com/KangAnfield8/status/1999817498649378920</t>
  </si>
  <si>
    <t>Ditemukan konten pada media sosial Twitter yang diduga memuat ujaran kebencian dengan kata-kata kasar yang ditujukan untuk Wakil Presiden Prabowo.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</si>
  <si>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https://www.tiktok.com/@sumatra_merdeka12ags</t>
  </si>
  <si>
    <t>Ditemukan akun media sosial Tiktok yang diduga menyebarkan konten yang memuat unsur provokatif dan gerakan separatisme dengan menarasikan Sumatra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</si>
  <si>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https://www.tiktok.com/@gerakansumateramerdeka</t>
    </r>
  </si>
  <si>
    <r>
      <rPr>
        <rFont val="Arial,sans-serif"/>
        <color rgb="FF1155CC"/>
        <sz val="8.0"/>
        <u/>
      </rPr>
      <t>https://x.com/triewahyu38/status/1999443859416428932?s=20</t>
    </r>
  </si>
  <si>
    <t>Ditemukan konten pada media sosial Twitter yang diduga memuat unsur provokatif dengan narasi menepalkan anggota komisi XIII, Maruli Siahaan dikarenakan perkataannya yang menyebut bahwa masyarakat tidak memiliki hak untuk menutup PT Toba Pulp Lestari (TPL).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</si>
  <si>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https://www.facebook.com/share/r/1AKnSt9pAL/</t>
    </r>
  </si>
  <si>
    <t>Ditemukan konten pada media sosial Facebook yang diduga memuat unsur provokatif dengan narasi menepalkan Menteri ESDM, Bahlil Lahadalia dikarenakan menolak UU perampasan aset bersama dengan partainya.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</si>
  <si>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https://www.facebook.com/share/p/14PYD1DbFR8/</t>
    </r>
  </si>
  <si>
    <t>Ditemukan konten pada media sosial Facebook yang diduga memuat unsur provokatif dengan narasi menepalkan anggota komisi XIII, Maruli Siahaan dikarenakan perkataannya yang menyebut bahwa masyarakat tidak memiliki hak untuk menutup PT Toba Pulp Lestari (TPL) karena belum ada bukti hukum perusakan lingkungan.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</si>
  <si>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https://www.facebook.com/share/p/1McnquR1kY/</t>
    </r>
  </si>
  <si>
    <t>Ditemukan konten pada media sosial Facebook yang diduga memuat unsur provokatif dengan narasi menepalkan presiden Prabowo Subianto karena dianggap tidak segera menetapkan banjir sumatera sebagai bencana nasional.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</si>
  <si>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https://www.facebook.com/share/p/1WJWbcJXLU/</t>
    </r>
  </si>
  <si>
    <t>Ditemukan akun media sosial Facebook yang diduga membagikan konten yang memuat unsur provokatif dan gerakan separatisme dengan menarasikan Nias Merdeka jika bencana sumatera tidak segera dijadikan bencana nasional.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</si>
  <si>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https://www.facebook.com/share/r/17vUziTWzE/</t>
    </r>
  </si>
  <si>
    <t>Ditemukan akun media sosial Facebook yang diduga membagikan konten yang memuat unsur provokatif dan gerakan separatisme dengan menarasikan Nias Merdeka jika bencana sumatera tidak segera dijadikan bencana nasional mengikuti jejak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</si>
  <si>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https://www.facebook.com/share/r/1BkSkB3TUU/</t>
    </r>
  </si>
  <si>
    <t>Ditemukan akun media sosial Facebook yang diduga membagikan konten yang memuat unsur provokatif dan gerakan separatisme dengan menarasikan DPRD Sumatera Utara menyatakan bahwa jika bencana sumatera tidak segera dijadikan bencana nasional maka masyarakat Nias siap untuk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</si>
  <si>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https://www.facebook.com/share/p/1Be14Mm6Nx/</t>
    </r>
  </si>
  <si>
    <t>Ditemukan konten pada media sosial Facebook yang diduga memuat unsur provokatif dengan narasi makzulkan wakil presiden Gibran Rakabuming Raka karena diklaim tidak lulus dari SMA dan menyebutkan bahwa anak haram konstitusi.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</si>
  <si>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https://www.facebook.com/share/p/1WJ1h7W2Y6/</t>
    </r>
  </si>
  <si>
    <t>Ditemukan konten pada media sosial Facebook yang diduga memuat unsur provokatif dengan narasi makzulkan wakil presiden Gibran Rakabuming Raka karena dianggap tidak ada ijazah SMA dan tidak memenuhi syarat calon wakil presiden.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</si>
  <si>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https://www.facebook.com/share/r/1ALG38WVFg/</t>
    </r>
  </si>
  <si>
    <t>Ditemukan konten pada media sosial Facebook yang diduga memuat unsur provokatif dengan narasi makzulkan wakil presiden Gibran Rakabuming Raka dengan menyebutkan bahwa wakil presiden tidak tahu apa-apa dan menyebut juga presiden Prabowo Subianto sebagai orang lanjut usia.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</si>
  <si>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https://x.com/arindraaa/status/1998939735348359422</t>
    </r>
  </si>
  <si>
    <t>Ditemukan konten disinformasi pada media sosial Twitter berjenis fabricated content berupa gambar trailer film avatar yang wajahnya di sunting menyerupai Wakil Presiden Gibran dan menyebut bahwa Gibran adalah pengendali bencana.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</si>
  <si>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https://www.facebook.com/groups/766222896075905/permalink/893480553350138</t>
    </r>
  </si>
  <si>
    <t>Ditemukan konten pada media sosial Facebook yang diduga memuat unsur ujaran kebencian dengan kata kata kasar terhadap Presiden Prabowo, dan Mantan Presiden Jokowi.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</si>
  <si>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https://www.facebook.com/reel/3183068675196483</t>
    </r>
  </si>
  <si>
    <t>Ditemukan konten di media sosial Facebook yang diduga mengandung muatan provokatif serta indikasi paham separatisme, dengan narasi yang menyebut Pemerintah Indonesia sebagai penjajah dan menyuarakan bahwa Sumatra layak menggelar referendum untuk memisahkan diri. Konten tersebut turut disertai video bencana alam di Sumatra serta potongan ceramah Ustad Das’ad yang digunakan untuk memperkuat dan meyakinkan narasi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</si>
  <si>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https://www.facebook.com/rachwinsyah/videos/833512389577423/</t>
    </r>
  </si>
  <si>
    <t>Ditemukan konten pada media sosial Facebook yang diduga memuat unsur provokatif dengan narasi menepalkan Indonesia untuk menjawab keputusasaan rakyat Indonesia disertai video yang dibuat menggunakan AI.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</si>
  <si>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https://www.facebook.com/reel/1223570866498950</t>
    </r>
  </si>
  <si>
    <t>Ditemukan konten pada media sosial Facebook yang diduga memuat unsur provokatif dengan narasi menepalkan pemerintah Indonesia disertai video yang dibuat menggunakan AI.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</si>
  <si>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https://x.com/secr3thm4nz56/status/1999347090900811902</t>
  </si>
  <si>
    <t>Ditemukan konten pada media sosial Twitter yang diduga memuat unsur provokatif dengan narasi untuk memakzulkan Gibran.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</si>
  <si>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https://www.facebook.com/share/v/17d3psnYp9/</t>
    </r>
  </si>
  <si>
    <t>Ditemukan konten pada media sosial Facebook yang diduga memuat unsur provokatif dengan narasi bubarkan DPR setelah salah satu anggota DPR komisi XIII, Maruli Siahaan yang menyebutkan bahwa masyarakat tidak memiliki hak untuk menutup PT Toba Pulp Lestari (TPL).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</si>
  <si>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https://www.facebook.com/share/r/16dkBLbHyC/</t>
    </r>
  </si>
  <si>
    <t>Ditemukan konten pada media sosial Facebook yang diduga memuat unsur provokatif dengan narasi membubarkan DPR dikarenakan ingin mengikuti negara Thailand dan mengembalikan kekuasaan ke rakyat.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</si>
  <si>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https://www.facebook.com/share/v/1ACDcnLWau/</t>
    </r>
  </si>
  <si>
    <t>Ditemukan konten pada media sosial Facebook yang diduga memuat unsur provokatif dengan narasi menepalkan Joko Widodo dan Luhut Binsar Panjaitan karena diduga terdapat kecurigaan terhadap harta kekayaan yang dimiliki dengan mengarahkan KPK untuk memeriksa harta kekayaan.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</si>
  <si>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https://www.facebook.com/share/p/1FBRSvXnce/</t>
    </r>
  </si>
  <si>
    <t>Ditemukan konten pada media sosial Facebook yang diduga memuat unsur provokatif dengan narasi menepalkan polisi dikarenakan peraturan Kapolri yang menyatakan bahwa polisi aktif dapat menduduki jabatan di kementerian sipil.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</si>
  <si>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https://www.facebook.com/share/r/1AeLoo6Ajs/</t>
    </r>
  </si>
  <si>
    <t>Ditemukan konten pada media sosial Facebook yang diduga memuat unsur provokatif dengan narasi menepalkan Luhut Binsar Panjaitan dikarenakan pernyataannya yang melarang KPK untuk melakukan tangkap tangan koruptor.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</si>
  <si>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https://www.facebook.com/share/v/1Be1wmFLHa/</t>
    </r>
  </si>
  <si>
    <t>Ditemukan konten pada media sosial Facebook yang diduga memuat unsur provokatif dengan narasi memakzulkan wakil presiden Gibran Rakabuming Raka yang dianggap tidak layak untuk menjadi wakil presiden karena hanya lulusan sekolah dasar.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</si>
  <si>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https://x.com/irhandy_santoso/status/2000070268035936275?s=20</t>
    </r>
  </si>
  <si>
    <t>Ditemukan konten pada media sosial Twitter yang diduga memuat unsur provokatif dengan narasi menepalkan polisi karena dianggap mengeluarkan peraturan yang membolehkan polisi aktif menduduki jabatan di 17 kementerian, dimana peraturan tersebut melanggar putusan MK.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</si>
  <si>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https://x.com/AbuNawa48105494/status/2000031978192871787?s=20</t>
    </r>
  </si>
  <si>
    <t>Ditemukan konten pada media sosial Twitter yang diduga memuat unsur provokatif dengan narasi menepalkan Menteri Lingkungan Hidup, Hanif Faisol Nurofiq yang menyebutkan bahwa dirinya hanya menemukan 1 potongan kayu yang ditebang dalam bencana sumatera dan sisa kayu lainnya merupakan kayu yang tumbang secara alami.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</si>
  <si>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https://web.facebook.com/groups/3798955057049943/posts/4259626724316105/</t>
    </r>
  </si>
  <si>
    <r>
      <rPr>
        <rFont val="Arial,sans-serif"/>
        <color rgb="FF1155CC"/>
        <sz val="8.0"/>
        <u/>
      </rPr>
      <t>https://web.facebook.com/groups/3798955057049943/posts/4257651531180291/</t>
    </r>
  </si>
  <si>
    <r>
      <rPr>
        <rFont val="Arial,sans-serif"/>
        <color rgb="FF1155CC"/>
        <sz val="8.0"/>
        <u/>
      </rPr>
      <t>https://web.facebook.com/groups/3798955057049943/posts/4237296016549176/</t>
    </r>
  </si>
  <si>
    <r>
      <rPr>
        <rFont val="Arial,sans-serif"/>
        <color rgb="FF1155CC"/>
        <sz val="8.0"/>
        <u/>
      </rPr>
      <t>https://web.facebook.com/groups/3798955057049943/posts/4227243357554442/</t>
    </r>
  </si>
  <si>
    <t>https://web.facebook.com/groups/3798955057049943/posts/4222265574718887/</t>
  </si>
  <si>
    <r>
      <rPr>
        <rFont val="Arial,sans-serif"/>
        <color rgb="FF1155CC"/>
        <sz val="8.0"/>
        <u/>
      </rPr>
      <t>https://www.facebook.com/photo?fbid=876592228069236&amp;set=a.197446775983788</t>
    </r>
    <r>
      <rPr>
        <rFont val="Arial,sans-serif"/>
        <color rgb="FF000000"/>
        <sz val="8.0"/>
      </rPr>
      <t xml:space="preserve"> 
</t>
    </r>
  </si>
  <si>
    <t xml:space="preserve">Separatisme
</t>
  </si>
  <si>
    <t xml:space="preserve">Dilaporkan telah melakukan tindak pidana penyebaran propaganda separatisme dan provokasi terkait narasi dukungan terhadap Gerakan Aceh Merdeka (GAM). Hal ini akan berdampak memicu sentimen anti-NKRI, menghidupkan kembali potensi konflik keamanan, serta berpotensi mengancam kedaulatan negara dan stabilitas nasional. Hal ini sudah melanggar undang-undang yang berlaku dalam Negara Kesatuan Republik Indonesia terkait larangan simbol separatis dan makar, sehingga hal tersebut dapat menimbulkan polarisasi dan keresahan yang meluas di kalangan masyarakat di ruang digital.
</t>
  </si>
  <si>
    <t xml:space="preserve">1. Pasal 160 KUHP yaitu, ""Barang siapa di muka umum dengan lisan atau tulisan menghasut supaya melakukan perbuatan pidana, melakukan kekerasan terhadap penguasa umum atau tidak menuruti baik ketentuan undang-undang maupun perintah jabatan yang diberikan berdasar ketentuan undang-undang, diancam dengan pidana penjara paling lama enam tahun atau pidana denda paling banyak empat ribu lima ratus rupiah"". 
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 
</t>
  </si>
  <si>
    <r>
      <rPr>
        <rFont val="Arial,sans-serif"/>
        <color rgb="FF1155CC"/>
        <sz val="8.0"/>
        <u/>
      </rPr>
      <t>https://www.youtube.com/@RealitasSocial</t>
    </r>
  </si>
  <si>
    <t>Ditemukan sebuah akun youtube yang aktif mengunggah konten bermuatan provokatif dan separatisme. Konten yang diunggah menunjukkan dukungan terhadap gerakan OPM dan tindakan kekerasan terhadap aparat.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</si>
  <si>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https://www.facebook.com/share/p/1G1CuSwCnp/</t>
    </r>
  </si>
  <si>
    <t>Ditemukan akun media sosial facebook yang mengunggah konten bermuatan provokatif. Narasi yang disampaikan pada konten yaitu adalah ajakan revolusi dan “Nepalkan” Jokowi agar Indonesia bebas banjir dan bencana.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</si>
  <si>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https://www.facebook.com/share/r/1Ay4uamgMy/</t>
    </r>
  </si>
  <si>
    <t>Konten tersebut mengandung unsur disinformasi berjenis fabricated content (konten palsu) yang menampilkan video AI seorang mahasiswi yang berbicara di forum parlemen. Dalam video tersebut, terdapat narasi penjajah itu bukan Belanda, tetapi pihak yang bersembunyi di balik jabatan.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</si>
  <si>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https://www.facebook.com/share/r/1RhjMnPhAK/</t>
    </r>
  </si>
  <si>
    <t>Konten tersebut mengandung disinformasi berjenis misleading content (konten menyesatkan). Pada konten tersebut, terdapat narasi Bahlil dan Golkar menolak UU Perampasan Aset. Kemudian pada konten tersebut, disebutkan jika UU Perampasan Aset disahkan maka partai terancam bangkrut dan bubar.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</si>
  <si>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https://www.facebook.com/share/r/1Bx1ojxNud/</t>
    </r>
  </si>
  <si>
    <t>Konten tersebut mengandung unsur provokatif dan separatisme. Pada konten tersebut, terdapat narasi bahwa Indonesia adalah negara buatan Jawa yang merupakan penerus penjajah Belanda. Terdapat unsur provokasi dengan menyebutkan pemerintah NKRI rela membunuh orang lain dan menyiksa rakyatnya sendiri.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</si>
  <si>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https://www.facebook.com/reel/869877712045977</t>
    </r>
  </si>
  <si>
    <t>Konten tersebut mengandung unsur provokasi dengan narasi separatisme dukungan terhadap OPM. Pada konten tersebut, ditampilkan simpatisan OPM serta tuntutan agar pemerintah Indonesia melepas Papua.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</si>
  <si>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https://vt.tiktok.com/ZSPPF5sg1/</t>
  </si>
  <si>
    <r>
      <t xml:space="preserve">Ditemukan konten pada media sosial Tiktok yang diduga memuat unsur sparatisme dan disinformasi. Konten tersebut berisikan narasi mengapa pemerintah belum menerapkan bencana sumatera sebagai bencana nasional. Akun abdullah ibrahim menyampaikan bahwa alasan pemerintah belum menerapkan bencana nasional karena pemerintah tidak ingin mengeluarkan dana untuk perbantuan aceh. Hal tersebut tidak berdasarkan data dan kondisi nyata saat ini. Data dana yang dikeluarkan pemerintah untuk perbantuan Aceh dapat dilihat pada tautan berikut : 
</t>
    </r>
    <r>
      <rPr>
        <rFont val="Arial,sans-serif"/>
        <color rgb="FF1155CC"/>
        <sz val="8.0"/>
        <u/>
      </rPr>
      <t>https://www.idntimes.com/news/indonesia/cek-fakta-pemerintah-gelontorkan-triliunan-rupiah-ke-aceh-usai-banjir-00-xvwcc-3nwndl</t>
    </r>
    <r>
      <rPr>
        <rFont val="Arial"/>
        <sz val="8.0"/>
      </rPr>
      <t xml:space="preserve">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</si>
  <si>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r>
      <rPr>
        <rFont val="Calibri, sans-serif"/>
        <color rgb="FF1155CC"/>
        <sz val="8.0"/>
        <u/>
      </rPr>
      <t>https://vt.tiktok.com/ZSPPF71ag/</t>
    </r>
  </si>
  <si>
    <t>Ditemukan konten pada media sosial tiktok yang diduga memuat ujaran kebencian melalui penambahan Narasi negatif pada berita yang sudah ada. Informasi yang ditambahkan juga memuat sikap negatif terhadap Indonesia dan ajakan untuk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</si>
  <si>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https://vt.tiktok.com/ZSPPY4sGs/</t>
  </si>
  <si>
    <r>
      <t xml:space="preserve">Konten tersebut mengandung disinformasi berjenis misleading content (konten menyesatkan). Pada konten tersebut, terdapat narasi prabowo memberikan sindiran terhadap KDM. video tersebut menyudutkan KDM dan menganggap apa yang disampaikan ketika pidato presiden ditujukan khusus kepada KDM. video penuh pidato dapat dilihat pada tautan berikut : </t>
    </r>
    <r>
      <rPr>
        <rFont val="Arial,sans-serif"/>
        <color rgb="FF1155CC"/>
        <sz val="8.0"/>
        <u/>
      </rPr>
      <t>youtube.com/watch?v=mV76HHDJu0A&amp;embeds_referring_euri=https%3A%2F%2Fwww.bing.com%2F&amp;embeds_referring_origin=https%3A%2F%2Fwww.bing.com&amp;source_ve_path=MjM4NTE</t>
    </r>
    <r>
      <rPr>
        <rFont val="Arial"/>
        <sz val="8.0"/>
      </rPr>
      <t xml:space="preserv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</si>
  <si>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https://vt.tiktok.com/ZSPPYdTtX/</t>
  </si>
  <si>
    <t>https://vt.tiktok.com/ZSPPYdYbe/</t>
  </si>
  <si>
    <t>Ditemukan konten pada media sosial tiktok yang diduga memuat ujaran kebencian melalui penambahan Narasi negatif pada berita yang sudah ada. Informasi yang ditambahkan juga memuat sikap negatif terhadap Pemerintah Indonesia yang diduga melanggar peraturan dunia dan ajakan untuk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</si>
  <si>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https://vt.tiktok.com/ZSPPYnLNp/</t>
  </si>
  <si>
    <t>Ditemukan konten pada media sosial tiktok yang diduga memuat ujaran kebencian melalui penambahan Narasi negatif pada berita yang sudah ada. Informasi yang ditambahkan juga memuat sikap negatif terhadap Pemerintah Indonesia dan ajakan untuk aceh bergabung dengan malaysia.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</si>
  <si>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https://www.facebook.com/danabantuandaripresidenriprabowosubianto</t>
  </si>
  <si>
    <t>Konten tersebut mengandung disinformasi berjenis Imposter content (konten tiruan). Pada akun tersebut, memuat narasi program dana bantuan dari presiden untuk masyarakat Indonesia dengan tujuan mengambil data target dengan menghubungi akun tersebut.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</si>
  <si>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https://www.facebook.com/profile.php?id=61569300718170</t>
  </si>
  <si>
    <t>Konten tersebut mengandung disinformasi berjenis Imposter content (konten tiruan). Pada akun tersebut, memuat narasi program dana bantuan dari “Rans Entertaiment“ untuk masyarakat Indonesia dengan tujuan mengambil data target dengan menghubungi akun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</si>
  <si>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https://www.facebook.com/profile.php?id=61572892911849</t>
  </si>
  <si>
    <t>https://www.facebook.com/profile.php?id=61574998711591</t>
  </si>
  <si>
    <t>Akun tersebut memuat disinformasi berjenis Imposter content (konten tiruan). Pada akun tersebut, memuat narasi program dana bantuan dari “Rans Entertaiment“ untuk masyarakat Indonesia dengan tujuan mengambil data target dengan menghubungi akun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</si>
  <si>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https://www.facebook.com/profile.php?id=61582883850605</t>
  </si>
  <si>
    <r>
      <rPr>
        <rFont val="Arial"/>
        <sz val="8.0"/>
      </rPr>
      <t xml:space="preserve">Akun tersebut memuat disinformasi berjenis fabricated content (konten palsu) yang menampilkan dokumen hasil rekayasa terkait bantuan yang diklaim berasal dari Kementerian Agama. Kementerian Agama telah mengonfirmasi bahwa dokumen tersebut tidak benar, sebagaimana tercantum pada tautan berikut:
</t>
    </r>
    <r>
      <rPr>
        <rFont val="Arial"/>
        <color rgb="FF1155CC"/>
        <sz val="8.0"/>
        <u/>
      </rPr>
      <t>https://tirto.id/hoaks-bantuan-dana-untuk-gereja-dari-kemenag-kedubes-australia-hmL4</t>
    </r>
    <r>
      <rPr>
        <rFont val="Arial"/>
        <sz val="8.0"/>
      </rPr>
      <t xml:space="preserve">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</si>
  <si>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https://www.facebook.com/profile.php?id=61582935637690</t>
  </si>
  <si>
    <r>
      <rPr>
        <rFont val="Arial"/>
        <sz val="8.0"/>
      </rPr>
      <t xml:space="preserve">Akun tersebut memuat disinformasi berjenis fabricated content (konten palsu) yang menampilkan dokumen hasil rekayasa terkait bantuan yang diklaim berasal dari Kementerian Agama. Kementerian Agama telah mengonfirmasi bahwa dokumen tersebut tidak benar, sebagaimana tercantum pada tautan berikut:
</t>
    </r>
    <r>
      <rPr>
        <rFont val="Arial"/>
        <color rgb="FF1155CC"/>
        <sz val="8.0"/>
        <u/>
      </rPr>
      <t>https://tirto.id/hoaks-bantuan-dana-untuk-gereja-dari-kemenag-kedubes-australia-hmL4</t>
    </r>
    <r>
      <rPr>
        <rFont val="Arial"/>
        <sz val="8.0"/>
      </rPr>
      <t xml:space="preserve">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</si>
  <si>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https://www.facebook.com/profile.php?id=61584100706674</t>
  </si>
  <si>
    <t>akun tersebut memuat disinformasi berjenis Imposter content (konten tiruan). Pada akun tersebut, memuat narasi program dana bantuan dari menteri keuangan untuk masyarakat Indonesia dengan tujuan mengambil data target dengan menghubungi akun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</si>
  <si>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https://www.facebook.com/profile.php?id=61584493601943</t>
  </si>
  <si>
    <t>Akun tersebut memuat disinformasi berjenis Imposter content (konten tiruan). Pada akun tersebut, memuat narasi program dana bantuan dari KDM untuk masyarakat Indonesia dengan tujuan mengambil data target dengan menghubungi akun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</si>
  <si>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https://www.facebook.com/profile.php?id=61584592954390</t>
  </si>
  <si>
    <t>Akun tersebut memuat konten disinformasi berjenis Imposter content (konten tiruan). Pada akun tersebut, memuat narasi program dana bantuan dari “Rans Entertaiment“ untuk masyarakat Indonesia dengan tujuan mengambil data target dengan menghubungi akun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</si>
  <si>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https://www.facebook.com/profile.php?id=61584664184070</t>
  </si>
  <si>
    <t>Akun tersebut memuat disinformasi berjenis Imposter content (konten tiruan). Pada akun tersebut, memuat narasi program dana bantuan dari pemerintah untuk masyarakat Indonesia dengan tujuan mengambil data target dengan menghubungi akun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</si>
  <si>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https://www.facebook.com/profile.php?id=61584689679661</t>
  </si>
  <si>
    <r>
      <rPr>
        <rFont val="Arial"/>
        <sz val="8.0"/>
      </rPr>
      <t xml:space="preserve">Akun tersebut memuat disinformasi berjenis fabricated content (konten palsu) yang menampilkan dokumen hasil rekayasa terkait bantuan yang diklaim berasal dari Kementerian Agama. Kementerian Agama telah mengonfirmasi bahwa dokumen tersebut tidak benar, sebagaimana tercantum pada tautan berikut:
</t>
    </r>
    <r>
      <rPr>
        <rFont val="Arial"/>
        <color rgb="FF1155CC"/>
        <sz val="8.0"/>
        <u/>
      </rPr>
      <t>https://tirto.id/hoaks-bantuan-dana-untuk-gereja-dari-kemenag-kedubes-australia-hmL4</t>
    </r>
    <r>
      <rPr>
        <rFont val="Arial"/>
        <sz val="8.0"/>
      </rPr>
      <t xml:space="preserve">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</si>
  <si>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https://www.facebook.com/profile.php?id=61584694571777</t>
  </si>
  <si>
    <t>Akun tersebut memuat disinformasi berjenis fabricated content (konten palsu) yang menampilkan dokumen hasil rekayasa terkait bantuan yang diklaim berasal dari Kementerian Keuangan.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</si>
  <si>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https://www.facebook.com/profile.php?id=61584710381440</t>
  </si>
  <si>
    <t>Konten tersebut mengandung disinformasi berjenis Imposter content (konten tiruan). Pada akun tersebut, memuat narasi program dana bantuan dari menteri keuangan untuk masyarakat Indonesia dengan tujuan mengambil data target dengan menghubungi akun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</si>
  <si>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https://www.facebook.com/profile.php?id=61584751151624</t>
  </si>
  <si>
    <t>https://www.facebook.com/profile.php?id=61584827047258</t>
  </si>
  <si>
    <t>https://www.facebook.com/profile.php?id=61584869951303</t>
  </si>
  <si>
    <t>Konten tersebut mengandung disinformasi berjenis Imposter content (konten tiruan). Pada akun tersebut, memuat narasi program dana bantuan dari BP2MI untuk masyarakat Indonesia dengan tujuan mengambil data target dengan menghubungi akun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</si>
  <si>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https://www.facebook.com/profile.php?id=61584881380802</t>
  </si>
  <si>
    <t>https://www.facebook.com/profile.php?id=61584921631010</t>
  </si>
  <si>
    <t>Konten tersebut mengandung disinformasi berjenis Imposter content (konten tiruan). Pada akun tersebut, memuat narasi program dana bantuan dari Pemerintah keuangan untuk masyarakat Indonesia dengan tujuan mengambil data target dengan menghubungi akun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</si>
  <si>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https://www.facebook.com/profile.php?id=61584930747478</t>
  </si>
  <si>
    <t>https://www.facebook.com/profile.php?id=61585110964050</t>
  </si>
  <si>
    <r>
      <t xml:space="preserve">Konten tersebut mengandung disinformasi berjenis fabricated content (konten palsu) yang menampilkan dokumen hasil rekayasa terkait bantuan yang diklaim berasal dari Kementerian Agama. Kementerian Agama telah mengonfirmasi bahwa dokumen tersebut tidak benar, sebagaimana tercantum pada tautan berikut:
</t>
    </r>
    <r>
      <rPr>
        <rFont val="Arial,sans-serif"/>
        <color rgb="FF1155CC"/>
        <sz val="8.0"/>
        <u/>
      </rPr>
      <t>https://tirto.id/hoaks-bantuan-dana-untuk-gereja-dari-kemenag-kedubes-australia-hmL4</t>
    </r>
    <r>
      <rPr>
        <rFont val="Arial"/>
        <sz val="8.0"/>
      </rPr>
      <t xml:space="preserve">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</si>
  <si>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https://www.facebook.com/profile.php?id=61585120946293</t>
  </si>
  <si>
    <t>https://www.facebook.com/profile.php?id=61585130841474</t>
  </si>
  <si>
    <t>https://www.facebook.com/profile.php?id=61585178370175</t>
  </si>
  <si>
    <r>
      <t xml:space="preserve">Konten tersebut mengandung disinformasi berjenis fabricated content (konten palsu) yang menampilkan dokumen hasil rekayasa terkait bantuan yang diklaim berasal dari Kementerian Agama. Kementerian Agama telah mengonfirmasi bahwa dokumen tersebut tidak benar, sebagaimana tercantum pada tautan berikut:
</t>
    </r>
    <r>
      <rPr>
        <rFont val="Arial,sans-serif"/>
        <color rgb="FF1155CC"/>
        <sz val="8.0"/>
        <u/>
      </rPr>
      <t>https://tirto.id/hoaks-bantuan-dana-untuk-gereja-dari-kemenag-kedubes-australia-hmL4</t>
    </r>
    <r>
      <rPr>
        <rFont val="Arial"/>
        <sz val="8.0"/>
      </rPr>
      <t xml:space="preserve">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</si>
  <si>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https://www.facebook.com/reel/1641968986596009</t>
  </si>
  <si>
    <t>Ditemukan akun media sosial facebook yang mengunggah konten bermuatan provokatif. Narasi yang disampaikan pada konten adalah ajakan untuk membubarkan DPR atas kesalahan DPRK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</si>
  <si>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https://www.facebook.com/share/p/16egTGuMnE/</t>
  </si>
  <si>
    <t>Konten tersebut mengandung disinformasi berjenis misleading content (konten menyesatkan). Narasi disusun dengan menggabungkan fakta parsial seperti kehadiran Menteri Agama Nasaruddin Umar pada acara Natal dengan opini, tuduhan, dan spekulasi tanpa dasar yang mengaitkannya dengan agenda Zionisme, kristenisasi, serta dominasi etnis tertentu. Informasi tersebut dibingkai secara provokatif dan emosional untuk menggiring persepsi publik bahwa tindakan tersebut merupakan ancaman terhadap umat Islam dan kedaulatan negara, tanpa didukung bukti yang valid dan terverifikasi.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</si>
  <si>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https://www.facebook.com/share/p/17WrnPwHtY/</t>
  </si>
  <si>
    <t>Konten tersebut mengandung disinformasi berjenis misleading content (konten menyesatkan). Narasi disusun secara provokatif dan emosional disertai kata “nepalkan” untuk menggiring persepsi publik bahwa dirut PLN menggunakan uang PLN untuk disetorkan kepada Joko Widodo dan Polri tanpa didukung bukti yang valid dan terverifikasi.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</si>
  <si>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https://www.facebook.com/share/r/1AAjn2D1kS/</t>
  </si>
  <si>
    <t>Konten tersebut mengandung disinformasi berjenis Imposter content (konten tiruan). Pada akun tersebut, memuat narasi program dana bantuan dari pemerintah untuk masyarakat Indonesia dengan tujuan mengambil data target dengan menghubungi akun tersebut.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</si>
  <si>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https://www.facebook.com/share/r/1BJ6pKZbrw/</t>
  </si>
  <si>
    <t>Konten tersebut mengandung unsur disinformasi berjenis fabricated content (konten palsu) yang menampilkan video AI seorang yang dianggap pejabat negara. Dalam video tersebut, terdapat narasi koruptor dapat melakukan tindakan korupsi dengan bebas di Indonesia tanpa adanya peraturan yang mengikat.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</si>
  <si>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https://www.facebook.com/share/v/16kt2MSrzr/</t>
  </si>
  <si>
    <t>Ditemukan akun media sosial facebook yang mengunggah konten bermuatan provokatif. Narasi yang disampaikan pada konten yaitu adalah ajakan “Nepalkan” pejabat Indonesia sebagai tanggung jawab atas bencana banjir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</si>
  <si>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https://x.com/Opposisi6890/status/2000244576892932197?t=7njyrrPqK8TIGC5PAGACPQ&amp;s=19</t>
  </si>
  <si>
    <t>Ditemukan konten pada media sosial Twitter (X) yang diduga memuat sparatisme. Video berisi teriakan merdeka untuk Aceh dan keinginan untuk berpisah dari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</si>
  <si>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https://x.com/Pedri_Kluivert/status/2000192570987888693?t=ifSWa_WN79JohQEhPN98Gg&amp;s=19</t>
  </si>
  <si>
    <t>Ditemukan konten pada media sosial twitter (x) yang diduga memuat sparatisme. Postingan tersebut berisi normalisasi tindakan kelompok pemisahan wilayah untuk merdeka sendiri seperti di Aceh dan Papua.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</si>
  <si>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https://www.facebook.com/reel/794805843378375</t>
    </r>
  </si>
  <si>
    <t>Ditemukan sebuah akun facebook yang mengunggah konten bermuatan provokatif dan separatisme. Konten yang diunggah merupakan konten dukungan terhadap GAM dan OPM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</si>
  <si>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https://www.facebook.com/reel/698055243373538</t>
    </r>
  </si>
  <si>
    <t>Ditemukan akun media sosial facebook yang mengunggah konten bermuatan provokatif. Narasi yang disampaikan pada konten yaitu adalah ajakan kemerdekaan Riau atas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</si>
  <si>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https://www.facebook.com/reel/2689727454694313</t>
    </r>
  </si>
  <si>
    <t>Konten tersebut mengandung unsur provokatif dengan narasi separatisme Papua. Pada konten tersebut, disampaikan bahwa Indonesia dan Papua memiliki perbedaan idealisme.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</si>
  <si>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https://www.facebook.com/reel/2548395575525845</t>
    </r>
  </si>
  <si>
    <t>Konten tersebut mengandung unsur provokasi dan separatisme. Pada konten tersebut, terdapat tuntutan untuk membawa “Indonesian Butchers” untuk mengacu kepada pihak Indonesia kepada mahkamah internasional untuk kriminal di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</si>
  <si>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https://www.facebook.com/reel/1236959901579458</t>
    </r>
  </si>
  <si>
    <t>Konten tersebut mengandung unsur provokatif dan separatisme. Pada konten tersebut, terdapat narasi bahwa Indonesia adalah PKI sehingga Aceh harus merdeka dari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</si>
  <si>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https://www.facebook.com/reel/1924332701800907</t>
    </r>
  </si>
  <si>
    <t>Konten tersebut mengandung unsur provokasi dengan narasi separatisme dukungan terhadap OPM. Pada konten tersebut, ditampilkan video AI pengibaran bendera bintang kejora dan ucapan kemerdekaan Papua Barat.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</si>
  <si>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https://x.com/tp_angraeni51/status/2000733095763538418?s=20</t>
    </r>
  </si>
  <si>
    <t>Ditemukan konten pada media sosial Twitter yang mengandung unsur provokatif untuk melakukan tindakan “Nepalkan” terhadap Joko Widodo. Selain itu, terdapat tuntutan agar Polri dan TNI tidak ikut campur dalam aksi “Nepalkan” tersebut.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</si>
  <si>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https://x.com/AlisaJiwan265/status/2000374507484369318?s=20</t>
    </r>
  </si>
  <si>
    <t>Konten tersebut mengandung unsur provokatif dengan adanya ajakan untuk membuhun pihak Pemerintah Pusat, dengan dalih peristiwa banjir di Sumatra disebabkan oleh sentimen kebencian terhadap wilayah dengan mayoritas umat Islam.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</si>
  <si>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https://www.facebook.com/share/p/1CxWnCMt5A/</t>
  </si>
  <si>
    <t>https://www.facebook.com/share/p/1FP5oq2xaf/</t>
  </si>
  <si>
    <t>Ditemukan konten pada media sosial Twitter yang mengandung unsur provokatif untuk melakukan tindakan “Nepalkan” terhadap Luhut dan adanya berita dengan headline yang termodifikasi berupa pernyataan luhut bertahan membiarkan china mengelola bendara morowali.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</si>
  <si>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https://www.facebook.com/share/v/1ANvGrAtSq/</t>
  </si>
  <si>
    <t>Ditemukan konten pada media sosial Facebook yang mengandung unsur provokatif berupa pernyataan untuk memakzulkan gibran disertai informasi tanpa dasar yaitu adanya perjanjian presiden dengan jokowi.
Penyebaran informasi yang mengandung unsur provokatif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</si>
  <si>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https://www.facebook.com/share/r/1HBPojC86e/</t>
  </si>
  <si>
    <t>Ditemukan konten pada media sosial tiktok yang diduga memuat ujaran kebencian melalui penambahan Narasi negatif pada berita yang sudah ada. Informasi yang ditambahkan juga memuat sikap negatif terhadap Pemerintah Indonesia disertai pernyataan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</si>
  <si>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https://www.facebook.com/share/r/1C7oUnhqga/</t>
  </si>
  <si>
    <t>Ditemukan konten pada media sosial tiktok yang diduga memuat ujaran kebencian melalui penambahan Narasi negatif pada berita yang sudah ada. Informasi yang ditambahkan juga memuat sikap negatif terhadap Pemerintah Indonesia disertai pernyataan riau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</si>
  <si>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https://x.com/noorca_7/status/2000897303494975669</t>
  </si>
  <si>
    <t>Ditemukan konten pada media sosial tiktok yang diduga memuat ujaran kebencian melalui penambahan Narasi negatif pada berita yang sudah ada. Informasi yang ditambahkan juga memuat sikap negatif terhadap Pemerintah Indonesia disertai pernyataan aceh keluar dari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</si>
  <si>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https://www.facebook.com/onengtattoo</t>
  </si>
  <si>
    <t>melaporkan akun 370k followers, bukan postingan, tunggu hasil zoom</t>
  </si>
  <si>
    <t>https://www.facebook.com/share/r/1CgCwCtgmd/</t>
  </si>
  <si>
    <t>https://www.facebook.com/share/p/17SBjiRMsg/</t>
  </si>
  <si>
    <t>https://www.facebook.com/groups/9767428643312271/posts/25132032036425349</t>
  </si>
  <si>
    <t>https://www.facebook.com/groups/9767428643312271/posts/25130572523237967</t>
  </si>
  <si>
    <t>https://www.facebook.com/groups/9767428643312271/posts/25129711076657445</t>
  </si>
  <si>
    <t>https://www.facebook.com/groups/9767428643312271/posts/25127491770212709</t>
  </si>
  <si>
    <t>https://www.facebook.com/groups/9767428643312271/posts/25121233674171852</t>
  </si>
  <si>
    <t>https://www.facebook.com/groups/9767428643312271/posts/25120276584267561</t>
  </si>
  <si>
    <t>https://www.facebook.com/groups/9767428643312271/posts/25114122971549589</t>
  </si>
  <si>
    <t>https://www.facebook.com/groups/debatintelektualteisateis2/posts/902639022436030/</t>
  </si>
  <si>
    <t>https://www.facebook.com/groups/debatintelektualteisateis2/posts/902633479103251/</t>
  </si>
  <si>
    <t>https://www.facebook.com/groups/debatintelektualteisateis2/posts/901827432517189/</t>
  </si>
  <si>
    <t>https://www.facebook.com/groups/debatintelektualteisateis2/posts/901759505857315/</t>
  </si>
  <si>
    <t>https://www.facebook.com/groups/debatintelektualteisateis2/posts/898808019485797/</t>
  </si>
  <si>
    <t>https://www.facebook.com/photo/?fbid=884161114127105&amp;set=gm.2990324888022696&amp;idorvanity=1438524923202708</t>
  </si>
  <si>
    <t>2. Pasal 28 ayat (2) Dijelaskan mengenai perbuatan seseorang yang menyebarkan informasi elektronik yang mengandung unsur provokasi dan ujaran kebencian terhadap suku, agama, ras, dan antargolongan (“SARA”) yaitu: Setiap Orang dengan sengaja dan tanpa hak mendistribusikan dan/atau mentransmisikan Informasi Elektronik dan/atau Dokumen Elektronik yang sifatnya menghasut, mengajak, atau mempengaruhi orang lain sehingga menimbulkan rasa kebencian atau permusuhan terhadap individu dan/atau kelompok masyarakat tertentu berdasarkan ras, kebangsaan, etnis, warna kulit, agama, kepercayaan, jenis kelamin, disabilitas mental, atau disabilitas fisik.</t>
  </si>
  <si>
    <r>
      <rPr>
        <rFont val="Arial,sans-serif"/>
        <color rgb="FF1155CC"/>
        <sz val="8.0"/>
        <u/>
      </rPr>
      <t>https://www.facebook.com/share/v/1CGm3CEpXQ/</t>
    </r>
  </si>
  <si>
    <t>Ditemukan konten pada media sosial Facebook yang diduga memuat unsur provokatif untuk melakukan tindakan anarkis dengan narasi "Nepalkan" Mantan Presiden Joko Widodo karena dianggap telah memainkan hukum yang ada di Indonesia dan mengajak untuk mengepung Polda Metro Jaya.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</si>
  <si>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https://www.facebook.com/share/r/1DTGb4nwZW/</t>
    </r>
  </si>
  <si>
    <t>Ditemukan konten pada media sosial Facebook yang diduga memuat unsur provokatif untuk melakukan tindakan anarkis dengan narasi "Nepalkan" DPR RI karena dianggap mempercepat pembahasan RUU Penyadapan dan menyepelekan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</si>
  <si>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https://www.facebook.com/share/r/1HJWCGAngD/</t>
    </r>
  </si>
  <si>
    <t>Ditemukan konten pada media sosial Facebook yang diduga memuat unsur provokatif untuk melakukan tindakan anarkis dengan narasi "Nepalkan" Menteri Sosial, Saifullah Yusuf karena mengatakan bahwa untuk mengumpulkan donasi harus memiliki izin terlebih dahulu dan jika tidak memiliki izin maka dapat di denda.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</si>
  <si>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https://www.facebook.com/share/p/1GpUS8vLDp/</t>
    </r>
  </si>
  <si>
    <t>Ditemukan konten pada media sosial Facebook yang diduga memuat unsur provokatif untuk melakukan tindakan anarkis dengan narasi "Nepalkan" Luhut Binsar Panjaitan karena dianggap telah memberikan izin bagi negara china untuk mengelola bandara morowali.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</si>
  <si>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https://www.facebook.com/share/r/1BZFetkdzt/</t>
    </r>
  </si>
  <si>
    <t>Ditemukan konten pada media sosial Facebook yang diduga memuat unsur provokatif untuk melakukan tindakan anarkis dengan narasi "Bubarkan" DPR mengikuti langkah yang diambil oleh negara Thailand dan dianggap merugikan rakyat dan beban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</si>
  <si>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https://www.facebook.com/share/p/16gLYhMQXs/</t>
    </r>
  </si>
  <si>
    <t>Ditemukan konten pada media sosial Facebook yang diduga memuat unsur provokatif untuk melakukan tindakan anarkis dengan narasi "Nepalkan" Mantan Presiden Joko Widodo yang dianggap sebagai pelindung para koruptor dan menyebutkan juga bahwa Joko Widodo merupakan PKI.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</si>
  <si>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https://www.facebook.com/share/r/1RZqcnmVLd/</t>
    </r>
  </si>
  <si>
    <t>Ditemukan konten pada media sosial Facebook yang diduga memuat unsur provokatif untuk melakukan tindakan anarkis dengan narasi "Nepalkan" Menteri ESDM, Bahlil Lahadalia karena menolak UU Perampasan Aset bersama dengan anggota partainya sehingga dianggap hanya mementingkan diri sendiri dan kelompoknya.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</si>
  <si>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sans-serif"/>
        <color rgb="FF1155CC"/>
        <sz val="8.0"/>
        <u/>
      </rPr>
      <t>https://www.facebook.com/share/r/1AZrh7pHn7/</t>
    </r>
  </si>
  <si>
    <t>Ditemukan konten pada media sosial Facebook yang diduga memuat unsur provokatif untuk melakukan tindakan anarkis dengan narasi "Nepalkan" Luhut Binsar Panjaitan yang dianggap sebagai pengkhianat karena melarang KPK untuk melakukan OTT terhadap para koruptor.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</si>
  <si>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https://www.tiktok.com/@noname.cr7/video/7406499043788246277</t>
  </si>
  <si>
    <t>Provokatif, ujaran kebencian, dan separatisme</t>
  </si>
  <si>
    <t>Ditemukan konten pada media sosial Tiktok yang diduga memuat unsur provokatif, ujaran kebencian, dan gerakan separatisme dengan mengamplifikasi tagar #SumateraMerdeka.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</si>
  <si>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https://www.tiktok.com/@bubarkan_polri</t>
  </si>
  <si>
    <r>
      <t xml:space="preserve">Ditemukan akun media sosial Tiktok yang diduga menyebarkan konten- konten yang memuat unsur provokatif dengan narasi tuntutan bubarkan institusi Polri.
Adapun beberapa contoh tautan konten provokatif dari akun tersebut:
</t>
    </r>
    <r>
      <rPr>
        <rFont val="Arial,sans-serif"/>
        <color rgb="FF1155CC"/>
        <sz val="8.0"/>
        <u/>
      </rPr>
      <t>https://www.tiktok.com/@bubarkan_polri/video/7197745127308168475?_r=1&amp;_t=ZS-92J1r7WM7aG</t>
    </r>
    <r>
      <rPr>
        <rFont val="Arial"/>
        <sz val="8.0"/>
      </rPr>
      <t xml:space="preserve">
</t>
    </r>
    <r>
      <rPr>
        <rFont val="Arial,sans-serif"/>
        <color rgb="FF1155CC"/>
        <sz val="8.0"/>
        <u/>
      </rPr>
      <t>https://www.tiktok.com/@bubarkan_polri/video/7204863834497109274?_r=1&amp;_t=ZS-92J1r7WM7aG</t>
    </r>
    <r>
      <rPr>
        <rFont val="Arial"/>
        <sz val="8.0"/>
      </rPr>
      <t xml:space="preserve">
</t>
    </r>
    <r>
      <rPr>
        <rFont val="Arial,sans-serif"/>
        <color rgb="FF1155CC"/>
        <sz val="8.0"/>
        <u/>
      </rPr>
      <t>https://www.tiktok.com/@bubarkan_polri/video/7185392460384800027?_r=1&amp;_t=ZS-92J1r7WM7aG</t>
    </r>
    <r>
      <rPr>
        <rFont val="Arial"/>
        <sz val="8.0"/>
      </rPr>
      <t xml:space="preserve">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</si>
  <si>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https://www.facebook.com/reel/1401209964973404</t>
  </si>
  <si>
    <t>Ditemukan konten pada media sosial Facebook yang diduga memuat unsur provokatif untuk melakukan tindak anarkisme dengan narasi “nepalkan” DPR disertai dengan penggiringan opini bahwa DPR kebut pembahasan RUU penyadapan.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</si>
  <si>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https://www.facebook.com/reel/1247989974017856</t>
  </si>
  <si>
    <t>Ditemukan konten pada media sosial Facebook yang diduga memuat unsur provokatif untuk melakukan tindak kekerasan terhadap Menko Bidang Pangan Zulkifli Hasan disertai dengan narasi ujaran kebencian.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</si>
  <si>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https://x.com/AnandaAdim/status/2001176501845193130</t>
  </si>
  <si>
    <t>Ditemukan konten pada media sosial Twitter yang diduga memuat unsur provokatif untuk melakukan tindak kekerasan seperti tahun 1998 dengan menepalkan DPR/MPR apabila dua tahun kepemimpinan Presiden Prabowo tidak ada perubahan yang signifikan terhadap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</si>
  <si>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https://x.com/parfumnara/status/2001265830932422777</t>
  </si>
  <si>
    <t>Ditemukan konten pada media sosial Twitter yang diduga memuat unsur ujaran kebencian terhadap Presiden Prabowo Subianto dengan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</si>
  <si>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https://x.com/yoongurlll/status/2001171335863734604</t>
  </si>
  <si>
    <t>Ditemukan konten pada media sosial Twitter yang diduga memuat unsur ujaran kebencian terhadap Presiden Prabowo Subianto dan Wakil Presiden Gibran dengan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</si>
  <si>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https://x.com/hogngalactx/status/2000965775654576574</t>
  </si>
  <si>
    <t>https://www.facebook.com/story.php?story_fbid=889074366809222&amp;id=100071199995999</t>
  </si>
  <si>
    <t>https://www.tiktok.com/@fadlicicijannata/video/7584696444477623573</t>
  </si>
  <si>
    <t>Ditemukan konten pada media sosial Tiktok yang diduga memuat unsur disinformasi dengan narasi bahwa Indonesia dianggap telah di genosida oleh para petinggi di negeri ini karena lambatnya penanganan bencana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</si>
  <si>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https://www.facebook.com/share/r/1AGfVBNM7e/</t>
  </si>
  <si>
    <t>Ditemukan konten pada media sosial Facebook yang diduga memuat unsur provokatif untuk melakukan tindakan anarkis dengan narasi "Nepalkan" Menteri Koordinator Bidang Pangan, Zulkifli Hasan karena dianggap sebagai pengikut Joko Widodo dan Oligarki serta sumber bencana dan musibah bangsa.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</si>
  <si>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https://www.facebook.com/share/v/18a1xytLoT/</t>
  </si>
  <si>
    <t>Ditemukan konten pada media sosial Facebook yang diduga memuat unsur provokatif untuk melakukan tindakan anarkis dengan narasi "Nepalkan" Luhut Binsar Pandjaitan karena mengatakan bahwa jika China tidak diizinkan mengelola bandara Morowali maka akan keluar dari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</si>
  <si>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https://www.facebook.com/share/p/16hxSkzH35/</t>
  </si>
  <si>
    <t>Ditemukan konten pada media sosial Facebook yang diduga memuat unsur provokatif dan disinformasi dengan narasi "Nepalkan" Joko Widodo karena dianggap pengkhianat negara disertai dengan penjelasan bahwa ijazah Joko Widodo mengandung minyak babi dan memanipulasi foto yang tidak memiliki rambut.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</si>
  <si>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https://www.facebook.com/share/p/1Ghe6QJA2Q/</t>
  </si>
  <si>
    <t>Ditemukan konten pada media sosial Facebook yang diduga memuat unsur provokatif untuk melakukan tindakan anarkis dengan narasi “Nepalkan” dan Makzulkan wakil presiden, Gibran Rakabuming Raka dan Joko Widodo karena dianggap pengkhianat dengan menggunakan ijazah 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</si>
  <si>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https://www.facebook.com/share/p/1ADue9dCHk/</t>
  </si>
  <si>
    <t>Ditemukan konten pada media sosial Facebook yang diduga memuat unsur provokatif untuk melakukan tindakan anarkis dengan narasi makzulkan Gibran Rakabuming Raka dan Joko Widodo yang merupakan pengkhianat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</si>
  <si>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https://www.facebook.com/share/p/1C1KUDQ4zh/</t>
  </si>
  <si>
    <t>Ditemukan konten pada media sosial Facebook yang diduga memuat unsur provokatif untuk melakukan tindakan anarkis dengan narasi "Bubarkan” DPR jika tidak segera membahas dan mengesahkan UU Perampasan Aset agar tidak menambah beban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</si>
  <si>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https://www.facebook.com/share/p/1REHfybp3E/</t>
  </si>
  <si>
    <t>Ditemukan konten pada media sosial Facebook yang diduga memuat unsur provokatif untuk melakukan tindakan anarkis dengan narasi "Bubarkan” DPR karena dianggap tidak memiliki manfaat sama sekali dan tidak produktif.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</si>
  <si>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https://www.facebook.com/share/p/1A2N5jw9GA/</t>
  </si>
  <si>
    <t>Ditemukan konten pada media sosial Facebook yang diduga memuat unsur provokatif untuk melakukan tindakan anarkis dengan narasi "Bubarkan” DPR karena dinilai sudah tidak mampu mewakili rakyat dan hanya mempersulit rakyat.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</si>
  <si>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https://www.facebook.com/share/v/15sHpAXF5w/</t>
  </si>
  <si>
    <t>Ditemukan konten pada media sosial Facebook yang diduga memuat unsur provokatif dan gerakan separatisme dengan narasi “Sumatera Merdeka” disebabkan oleh pemerintah saat ini yang tidak mendengarkan aspirasi dari rakyat yang seakan-akan tidak peduli.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</si>
  <si>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https://www.facebook.com/share/r/1Mf5XeCVgC/</t>
  </si>
  <si>
    <t>Ditemukan konten pada media sosial Facebook yang diduga memuat unsur provokatif dan gerakan separatisme dengan narasi Aceh merdeka dengan menampilkan beberapa orang yang membawa bendera Gerakan Aceh Merdeka (GAM) dan menuntut banjir Aceh dan Sumatera Utara untuk dijadikan sebagai bencana nasional.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</si>
  <si>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https://www.facebook.com/share/p/18J5MRFL6c/</t>
  </si>
  <si>
    <t>Ditemukan konten pada media sosial Facebook yang diduga memuat unsur provokatif dan gerakan separatisme dengan narasi Nias Merdeka jika bencana alam Sumatera tidak ditetapkan sebagai bencana nasional, yang dikatakan oleh salah satu anggota DPRD Sumatera Utara.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</si>
  <si>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https://www.tiktok.com/@nue19365/video/7582885962351381768</t>
  </si>
  <si>
    <t>Ditemukan konten pada media sosial TikTok yang diduga memuat unsur provokatif dan berpotensi mengarah pada narasi separatisme “Sumatera Merdeka”, melalui penggunaan tagar dan narasi #SumateraMerdeka yang mengaitkan bencana di wilayah Aceh dan Sumatera dengan persepsi ketidakmampuan pemerintah dalam penanganan bencana, sehingga berpotensi dimanfaatkan untuk mendorong wacana pemisahan diri dari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</si>
  <si>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https://www.facebook.com/permalink.php?story_fbid=pfbid028KRFrF26gt3q3VgbmtH7Xo47RAit4cfkNxSEa2dCJwfGGxeAp6FJ3K8MEromZ6awl&amp;id=100074017628923</t>
  </si>
  <si>
    <t>Ditemukan konten pada media sosial Facebook yang diduga mengandung muatan provokatif berupa ajakan melakukan tindakan kekerasan terhadap Luhut Binsar Pandjaitan dan mantan Presiden Joko Widodo, dengan penggunaan narasi “nepalkan” yang dimaknai sebagai dorongan tindakan kekerasan, disertai ujaran kebencian berupa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</si>
  <si>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https://www.facebook.com/reel/1183264090605294</t>
  </si>
  <si>
    <t>Ditemukan konten pada platform media sosial Facebook yang diduga mengandung unsur provokatif dan indikasi separatisme, berupa video hasil rekayasa kecerdasan buatan (AI) yang menampilkan sekelompok prajurit sedang melakukan pertemuan, disertai narasi ajakan untuk membuka akses bantuan dari pihak luar negeri dengan ancaman bahwa masyarakat terdampak bencana akan memisahkan diri dari Negara Kesatuan Republik Indonesia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</si>
  <si>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https://www.facebook.com/reel/2301891243662620</t>
  </si>
  <si>
    <t>Ditemukan konten pada media sosial Facebook yang diduga mengandung muatan provokatif berupa ajakan melakukan tindakan kekerasan terhadap Presiden Prabowo Subianto dengan narasi “nepalkan” dan dikaitkan dengan narasi bencana di Aceh-Sumatera.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</si>
  <si>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https://www.facebook.com/reel/4442698669297178</t>
  </si>
  <si>
    <t>Ditemukan konten pada media sosial Facebook yang diduga mengandung muatan provokatif berupa ajakan melakukan tindakan kekerasan terhadap Kepala BGN dengan narasi “nepalkan” yang dikaitkan dengan penggiringan opini aktivitas Kepala BGN yang sedang berolahraga Golf ditengah bencana Aceh -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</si>
  <si>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https://www.facebook.com/permalink.php?story_fbid=pfbid02pYoTRD3gPeFtMoCndygfJge9PttcQFV9QArNY22t9LAq6cR9y6BmZJ7sYUbgvmRhl&amp;id=100095136112645</t>
  </si>
  <si>
    <t>Ditemukan konten pada media sosial Facebook yang diduga mengandung muatan provokatif berupa ajakan melakukan tindakan kekerasan terhadap Presiden Prabowo Subianto dan Wakil Presiden Gibran dengan narasi “nepalkan” dan dikaitkan dengan narasi dugaan pembalakan liar oleh PT. Tusam Hutan Lestari.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</si>
  <si>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https://www.facebook.com/reel/1215453430770422</t>
  </si>
  <si>
    <t>Disinformasi, Provokatif, dan Ujaran Kebencian,</t>
  </si>
  <si>
    <t>Ditemukan konten pada platform media sosial Facebook yang diduga mengandung disinformasi berupa video Presiden Prabowo Subianto dan mantan Presiden Joko Widodo yang diduga merupakan hasil manipulasi menggunakan teknologi kecerdasan buatan (AI), disertai muatan provokatif berupa ajakan melakukan tindak kekerasan dengan narasi “nepakan”, serta ujaran kebencian yang menggunakan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</si>
  <si>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https://www.facebook.com/groups/1949085075472987/posts/2591344044580417/</t>
  </si>
  <si>
    <t>Ditemukan konten pada platform media sosial Facebook yang diduga mengandung disinformasi, berupa video mantan Presiden Joko Widodo yang diduga merupakan hasil manipulasi menggunakan teknologi kecerdasan buatan (AI), disertai muatan provokatif berupa ajakan untuk mengadili mantan Presiden Jokowi dengan tuduhan “raja tega” terkait penggundulan hutan sebagai penyebab bencana, serta narasi yang menuduhnya sebagai pemimpin keturunan PKI.</t>
  </si>
  <si>
    <t>https://www.facebook.com/groups/647302417514795/permalink/1166989502212748/?</t>
  </si>
  <si>
    <t>https://www.facebook.com/groups/3798955057049943/permalink/4282138812064896/?rdid=p882V52aglk5iUo5#</t>
  </si>
  <si>
    <t>https://www.facebook.com/groups/1271958309871151/permalink/2616383725428596/</t>
  </si>
  <si>
    <t>https://www.facebook.com/story.php?story_fbid=122112893139126299&amp;id=61583788979475&amp;rdid=4mUPXgyN01QL9EQP#</t>
  </si>
  <si>
    <t>https://www.facebook.com/story.php?story_fbid=122110179909126299&amp;id=61583788979475&amp;rdid=6T5h2L2HAuY6rCim#</t>
  </si>
  <si>
    <t>https://www.facebook.com/groups/1439336049598659/permalink/2837367603128823/?rdid=kVxjRN4KuzVf2Dq3#</t>
  </si>
  <si>
    <t>https://www.facebook.com/groups/3798955057049943/permalink/4214462355499209/?rdid=cc3HpXE6K59OAqM9#</t>
  </si>
  <si>
    <t>https://x.com/i/status/2000560959237365925</t>
  </si>
  <si>
    <t>https://x.com/i/status/2000323199834398921</t>
  </si>
  <si>
    <t>https://x.com/geeamalia5/status/2000276685178974314</t>
  </si>
  <si>
    <t>https://x.com/i/status/1997590959983579482</t>
  </si>
  <si>
    <t>https://www.instagram.com/serikatpekerjabumn/</t>
  </si>
  <si>
    <t>Disinformasi Berita Bohong</t>
  </si>
  <si>
    <t xml:space="preserve">Ditemukan akun pada media sosial instagram yang diduga memiliki muatan Disinformasi dan berita bohong
Penyebaran informasi yang mengandung unsur hoax yang berpotensi menimbulkan kegaduhan, mengganggu keamanan, serta mengancam stabilitas negara diatur dalam Undang-Undang Nomor 1 Tahun 2024 tentang Perubahan Kedua Atas Undang-Undang Nomor 11 Tahun 2008 tentang Informasi dan Transaksi Elektronik pada Pasal 28 ayat (3) UU 1/2024 Setiap Orang dengan sengaja menyebarkan Informasi Elektronik dan/atau Dokumen Elektronik yang diketahuinya memuat pemberitahuan bohong yang menimbulkan kerusuhan di masyarakat dipidana penjara paling lama 6 tahun dan/atau denda paling banyak Rp1 miliar, sebagaimana diatur dalam Pasal 45A ayat (3) UU 1/2024
</t>
  </si>
  <si>
    <t>Pasal 28 ayat (3) UU 1/2024 Setiap Orang dengan sengaja menyebarkan Informasi Elektronik dan/atau Dokumen Elektronik yang diketahuinya memuat pemberitahuan bohong yang menimbulkan kerusuhan di masyarakat dipidana penjara paling lama 6 tahun dan/atau denda paling banyak Rp1 miliar, sebagaimana diatur dalam Pasal 45A ayat (3) UU 1/2024</t>
  </si>
  <si>
    <t>Munculnya akun dan/atau konten Disinformasi berita bohong, Dapat menimbulkan kegaduhan di publik serta ketegangan sosial yang berdampak pada gangguan keamanan dan ketertiban dikalangan masyarakat, mengganggu stabilitas dan integrasi nasional.</t>
  </si>
  <si>
    <t>https://www.facebook.com/groups/523183267134157/posts/849440824508398/</t>
  </si>
  <si>
    <t>https://www.facebook.com/groups/523183267134157/posts/849368961182251/</t>
  </si>
  <si>
    <t>https://www.facebook.com/groups/523183267134157/posts/847392191379928/</t>
  </si>
  <si>
    <t>https://www.facebook.com/groups/1914419445514497/permalink/4285158541773897/?rdid=VHqFHDuhkSmN885B</t>
  </si>
  <si>
    <t>https://www.facebook.com/share/p/14RHgvVekfK/</t>
  </si>
  <si>
    <t>Ditemukan konten pada media sosial Facebook yang diduga memuat unsur provokatif dengan narasi aceh telah siap untuk memperjuangkan kemerdekaan seperti sumatera utara, sumatera barat dan membuat sebutan GSM akronim dari gerakan sumatera merdeka.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</si>
  <si>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Ditemukan konten pada media sosial Facebook yang diduga memuat unsur provokatif dengan narasi aceh buka mata bahwa indonesia adalah penjajah.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</si>
  <si>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BELUM ADA URLNYA</t>
  </si>
  <si>
    <t>https://www.facebook.com/share/r/1GcQfPnvFy/</t>
  </si>
  <si>
    <t>Ditemukan konten pada Facebook yang mengandung unsur provokasi dengan narasi ajakan kepada masyarakat untuk melakukan tindakan “Nepalkan” disertai pernyataan bersentimen negatif terhadap menteri kehutanan raja juli antoni.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</si>
  <si>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https://www.facebook.com/share/p/18a2qgxyGE/</t>
  </si>
  <si>
    <t>Ditemukan konten pada media sosial Facebook yang diduga memuat unsur provokatif dengan narasi menyudutkan salah satu Ras. narasi berisi anggapan bahwa jawa menganggap papua sebagai miskin dan terbelakang.
Penyebaran informasi yang mengandung unsur SARA yang berpotensi menimbulkan rasa kebencian atau permusuhan, mengganggu keamanan, serta mengancam stabilitas negara diatur dalam Undang-Undang Nomor 1 Tahun 2024 tentang Perubahan Kedua Atas Undang-Undang Nomor 11 Tahun 2008 tentang Informasi dan Transaksi Elektronik pada Pasal 28 ayat (2) dan Pasal 45A ayat (2).</t>
  </si>
  <si>
    <t>https://www.threads.com/@nanangdjamaludin/post/DSZ7njbEt5a?xmt=AQF0kP9FCZd6nFNdcIuCQOCJWsppipphboLEPvOIiRpLiA</t>
  </si>
  <si>
    <t>Ditemukan konten pada media sosial thread yang diduga memuat unsur provokatif dengan narasi aceh siap untuk merdeka dengan segala hal yang dimiliki. Postingan tersebut juga berisi bahwa mualem tidak pantas menjadi gubernur, tetapi lebih pantas menjadi presiden NAD.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</si>
  <si>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https://vt.tiktok.com/ZSP4RUAGF/</t>
  </si>
  <si>
    <t>Ditemukan konten pada media sosial Facebook yang diduga memuat unsur provokatif dengan narasi aceh siap untuk merdeka.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</si>
  <si>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https://vt.tiktok.com/ZSPCwtgE2/</t>
  </si>
  <si>
    <t>Ditemukan konten pada media sosial Facebook yang diduga memuat unsur provokatif dengan narasi keinginan aceh untuk merdeka disertai peta bahwa pada tahun 2030, Indonesia akan terpecah menjadi beberapa negara.
Penyebaran informasi yang mengandung unsur Sparatisme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</si>
  <si>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https://vt.tiktok.com/ZSPCE8KW9/</t>
  </si>
  <si>
    <t>https://vt.tiktok.com/ZSPXJros5/</t>
  </si>
  <si>
    <t>Konten tersebut mengandung disinformasi berjenis fabricated content (konten palsu) yang menampilkan Video AI dari bapak Purbaya dengan memberikan informasi scam berupa bantuan dana akhir tahun yang ditujukan kepada masyarakat untuk mendapatkan data pribadi target.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</si>
  <si>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https://www.tiktok.com/@ada.diberanda/video/7584751611382074632?q=bantuan%20pemerintah&amp;t=1766118220071</t>
  </si>
  <si>
    <t>Konten tersebut mengandung disinformasi berjenis fabricated content (konten palsu) yang menampilkan Video AI dari dengan suara dari bapak Prabowo dengan memberikan informasi scam berupa bantuan dana yang ditujukan kepada masyarakat untuk mendapatkan data pribadi target.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</si>
  <si>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https://youtube.com/shorts/CI6uVXUTTpA?si=DPkaxJ8_PQqrfFpu</t>
  </si>
  <si>
    <t>Ditemukan konten pada Youtube menyampaikan informasi tidak berdasar bahwa prabowo meminta TNI dan Polri melakukan tindakan kepada roy suryo setelah pengadilan menyatakan ijazah jokowi asli.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</si>
  <si>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https://www.facebook.com/share/r/1Bgvp1npkk/</t>
  </si>
  <si>
    <t>Konten tersebut mengandung unsur provokasi dan disinformasi dengan jenis misleading content. Terdapat upaya untuk membingkai penertiban atribut separatisme sebagai perampokan bantuan bencana serta pemukulan terhadap orang yang membawa bantuan. Padahal pihak yang melakukan provokasi dan pemukulan adalah kelompok pembawa atribut separatis.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</si>
  <si>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https://www.facebook.com/nasirusman.usman.31</t>
  </si>
  <si>
    <t>Ditemukan akun pada Facebook yang aktif mengunggah konten dengan unsur provokasi dan narasi separatisme.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</si>
  <si>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https://www.facebook.com/share/p/1A7snBh8EY/</t>
  </si>
  <si>
    <t>Ditemukan konten pada Facebook yang mengandung unsur provokasi dengan narasi menyamakan situasi Indonesia dengan Israel. Pada konten tersebut, disebutkan bahwa jika orang Indonesia menganggap Israel menjajah Palestina, berarti Indonesia juga menjajah West Papua.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</si>
  <si>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https://www.facebook.com/share/p/17jGP94StW/</t>
  </si>
  <si>
    <t>Konten tersebut mengandung unsur provokasi dengan narasi bahwa Presiden Prabowo hanya tameng Jokowi dan tidak lebih dari bawahan Kapolri.
Penyebaran informasi yang salah yang berpotensi menimbulkan mengganggu keamanan, serta mengancam stabilitas negara diatur dalam Undang-Undang Nomor 1 Tahun 2024 tentang Perubahan Kedua Atas Undang-Undang Nomor 11 Tahun 2008 tentang Informasi dan Transaksi Elektronik pada Pasal 28 ayat (2) dan Pasal 45A ayat (2).</t>
  </si>
  <si>
    <t>Konten ini mengandung unsur provokasi dan separatisme dengan narasi Gerakan Aceh Merdeka. Pada konten tersebut, ditampilkan narasi yang menyatakan Indonesia memberikan propaganda kepada Aceh bahwa Aceh tidak berdiri sendiri untuk memberikan ketakutan.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</si>
  <si>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https://www.tiktok.com/@ifulborneo27bjm/video/7583672283554729236?_r=1&amp;_t=ZS-92MBurKTgPY</t>
  </si>
  <si>
    <r>
      <t xml:space="preserve">Konten ini merupakan </t>
    </r>
    <r>
      <rPr>
        <rFont val="Arial,sans-serif"/>
        <color rgb="FF1155CC"/>
        <sz val="8.0"/>
        <u/>
      </rPr>
      <t xml:space="preserve">konten disinformasi berjenis Fabricated Content (konten palsu) berupa video </t>
    </r>
    <r>
      <rPr>
        <rFont val="Arial,sans-serif"/>
        <i/>
        <color rgb="FF1155CC"/>
        <sz val="8.0"/>
        <u/>
      </rPr>
      <t xml:space="preserve">deepfake </t>
    </r>
    <r>
      <rPr>
        <rFont val="Arial,sans-serif"/>
        <color rgb="FF1155CC"/>
        <sz val="8.0"/>
        <u/>
      </rPr>
      <t>Luhut B. Panjaitan dengan Joko Widodo yang ditampilkan sebagai pasangan serasi. Terdapat narasi bahwa keduanya merupakan pihak yang kebal hukum</t>
    </r>
    <r>
      <rPr>
        <rFont val="Arial"/>
        <sz val="8.0"/>
      </rPr>
      <t xml:space="preserve">
Penyebaran informasi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r>
  </si>
  <si>
    <t>https://www.tiktok.com/@putramahkota_85/video/7585192229854104840?_r=1&amp;_t=ZS-92MByo1nS3V</t>
  </si>
  <si>
    <t>Konten tersebut mengandung unsur provokasi dan disinformasi dengan jenis misleading content (konten menyesatkan). Pembuat konten berusaha mengarahkan penonton dengan opini bahwa klaim Pemerintah mengirim 50 helikopter hanyalah bohong, karena pada video tersebut hanya dikirimkan kotak kosong. Diketahui kotak tersebut merupakan helibox, yang merupakan salah satu metode pengiriman bantuan melalui udara, sehingga narasi yang dituduhkan tidak benar.
Penyebaran informasi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</si>
  <si>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https://www.facebook.com/photo?fbid=122165850110942424&amp;set=a.122105921006942424</t>
  </si>
  <si>
    <t>Takeout karena status menunggu surat</t>
  </si>
  <si>
    <t>https://www.facebook.com/profile.php?id=61576717288872</t>
  </si>
  <si>
    <t>Disinformas</t>
  </si>
  <si>
    <t>Konten tersebut mengandung disinformasi berjenis fabricated content (konten palsu) yang menampilkan foto hasil AI disertai dari bapak letkol Teddy Indra dengan memberikan informasi scam berupa ajakan pernikahan dengan menghubungi nomor tertentu untuk mendapatkan data pribadi target.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</si>
  <si>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https://www.facebook.com/share/p/1A2D2rBGxm/</t>
  </si>
  <si>
    <t>Ditemukan konten pada media sosial Facebook yang diduga memuat unsur provokatif dengan narasi menyudutkan salah satu agama. narasi berisi anggapan bahwa kristen merupakan agama yang dibawa penjajah dan melakukan tindakan penjajahan.
Penyebaran informasi yang mengandung unsur SARA yang berpotensi menimbulkan rasa kebencian atau permusuhan, mengganggu keamanan, serta mengancam stabilitas negara diatur dalam Undang-Undang Nomor 1 Tahun 2024 tentang Perubahan Kedua Atas Undang-Undang Nomor 11 Tahun 2008 tentang Informasi dan Transaksi Elektronik pada Pasal 28 ayat (2) dan Pasal 45A ayat (2).</t>
  </si>
  <si>
    <t>https://vt.tiktok.com/ZSPqNwueH/</t>
  </si>
  <si>
    <t>Ditemukan konten pada Facebook yang mengandung unsur provokasi dengan narasi harapan Indonesia segera bubar atas pernyataan prabowo terkait penanaman sawit di tanah papua.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</si>
  <si>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takeout, (100.9K Followers)</t>
  </si>
  <si>
    <t>https://vt.tiktok.com/ZSPqFF36r/</t>
  </si>
  <si>
    <t>Ditemukan konten pada media sosial Facebook yang diduga memuat unsur provokatif dengan narasi aceh merdeka, dengan video yang berisikan pengibaran bendera aceh sebagai bentuk ketidak puasan masyarakat aceh terhadap pemerintah. 
Penyebaran informasi yang mengandung unsur Separatisme Yang berpotensi menimbulkan kegaduhan, mengganggu Keamanan, serta mengancam negara diatur stabilitas Dalam Undang-Undang Nomor 1 Tahun 2024 tentang Perubahan Kedua Atas Undang-Undang Nomor 11 Tahun 2008 tentang Informasi dan Transaksi Elektronik pada Pasal 28 ayat (2) dan Pasal 45A ayat (2).</t>
  </si>
  <si>
    <t>https://vt.tiktok.com/ZSPqFYSjG/</t>
  </si>
  <si>
    <t>Ditemukan konten pada media sosial tiktok yang diduga memuat unsur provokatif dengan narasi aceh tidak akan mengakui Indonesia dan Jawa. Postingan tersebut juga berisi jawa merupakan musuh abadi bagi bangsa aceh dengan video berisikan pengibaran bendera aceh sebagai bentuk kemerdekaan aceh.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</si>
  <si>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https://www.facebook.com/share/p/1ZVcEqoVXJ/</t>
  </si>
  <si>
    <t>Provokatif dan Ujaran kebencian</t>
  </si>
  <si>
    <t>Konten tersebut mengandung unsur provokasi dan disinformasi dengan jenis misleading content. Terdapat upaya untuk membingkai isu bencana nasional dengan menggantikan subjek bencana banjir sumatera menjadi prabowo-gibran dengan menganggap memiliki daya rusak luar biasa.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</si>
  <si>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t>takeout, (11K followers)</t>
  </si>
  <si>
    <t>https://www.facebook.com/share/p/183c3weR6f/</t>
  </si>
  <si>
    <t>Ditemukan konten pada media sosial Facebook yang diduga memuat unsur provokatif dengan rencana papua barat merebut kemerdekaan. Hal tersebut diduga dilatar belakangi oleh kemarahan masyarakat papua atas pernyataan prabowo tentang penanaman sawit di area papua.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</si>
  <si>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https://www.facebook.com/reel/1593989181595735</t>
  </si>
  <si>
    <t>Ditemukan konten pada media sosial Facebook yang diduga memuat unsur provokatif dengan narasi adanya penjajahan yang dilakukan di morowali oleh china yang disebabkan oleh pada joko widodo dan luhut yang memberikan izin china untuk melakukan hal tersebut serta tuntutan pembubaran partai PDIP.
Penyebaran informasi yang mengandung unsur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</si>
  <si>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https://www.facebook.com/share/r/17GCFKkCda/</t>
  </si>
  <si>
    <t>Konten tersebut mengandung disinformasi berjenis fabricated content (konten palsu) yang menampilkan Video AI berupa capung yang bertebaran sebagai gambaran narasi atas ucapan presiden tentang pengiriman 50 helikopter. Konten tersebut juga disertai adanya pernyataan bahwa tidak adanya langkah dari presiden yang menyebabkan warga terdampak bencana terlantar dan kelaparan.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</si>
  <si>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r>
      <rPr>
        <rFont val="Arial"/>
        <color rgb="FF1155CC"/>
        <sz val="8.0"/>
        <u/>
      </rPr>
      <t>https://x.com/indepenSumatera/status/2002250880415117417?s=20</t>
    </r>
  </si>
  <si>
    <t>Konten tersebut mengandung unsur provokasi dan disinformasi dengan jenis misleading content. Terdapat upaya untuk membingkai penertiban atribut separatisme sebagai penghalang kebebasan hak berpendapat bangsa Aceh.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</si>
  <si>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tidak ada di rekapan dan dokumen manapun</t>
  </si>
  <si>
    <r>
      <rPr>
        <rFont val="Arial"/>
        <color rgb="FF1155CC"/>
        <sz val="8.0"/>
        <u/>
      </rPr>
      <t>https://www.facebook.com/share/v/1LK93LRfUY/</t>
    </r>
  </si>
  <si>
    <t>Ditemukan konten disinformasi berjenis fabricated content (konten palsu) yang menampilkan video deepfake Joko Widodo dan Gibran Rakabuming. Pada konten tersebut, terdapat provokasi untuk melakukan tindakan “Nepalkan” Indonesia.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</si>
  <si>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
        <color rgb="FF1155CC"/>
        <sz val="8.0"/>
        <u/>
      </rPr>
      <t>https://www.facebook.com/share/r/1AY6FsKdkB/</t>
    </r>
  </si>
  <si>
    <t>Konten tersebut mengandung unsur provokasi dan disinformasi dengan jenis fabricated content (konten palsu) menampilkan video AI yang dinarasikan sekumpulan mahasiswa yang berorasi di depan anggota parlemen. Terdapat narasi provokasi untuk melakukan tindakan “Nepalkan”.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</si>
  <si>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
        <color rgb="FF1155CC"/>
        <sz val="8.0"/>
        <u/>
      </rPr>
      <t>https://www.facebook.com/share/v/1D2qYHvAFd/</t>
    </r>
  </si>
  <si>
    <t>Konten tersebut mengandung unsur provokasi dan disinformasi dengan jenis misleading content. Terdapat upaya untuk membingkai penertiban atribut separatisme sebagai upaya merampas bantuan bencana Aceh oleh “TNI Jawa”.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</si>
  <si>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
        <color rgb="FF1155CC"/>
        <sz val="8.0"/>
        <u/>
      </rPr>
      <t>https://www.facebook.com/share/r/1bKSPzT9u2/</t>
    </r>
  </si>
  <si>
    <t>Ditemukan konten yang mengandung unsur provokasi dan disinformasi dengan jenis misleading content. Terdapat upaya untuk membingkai penertiban atribut separatisme sebagai perampokan bantuan bencana dan merampas bantuan bencana Aceh. Narasi yang dimunculkan oleh pembuat konten yaitu tindakan tersebut dilakukan oleh “penjajah Indonesia Jawa” dan “TNI Jawa” yang membawa sentimen unsur SARA. Selain itu, terdapat upaya pembingkaian opini dengan menyatakan adanya pemukulan dari aparat, padahal, pihak pembawa atribut separatisme melakukan provokasi terlebih dahulu.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</si>
  <si>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
        <color rgb="FF1155CC"/>
        <sz val="8.0"/>
        <u/>
      </rPr>
      <t>https://www.tiktok.com/@farhanampelcity/video/7585529461391576341?_r=1&amp;_t=ZS-92NwzQDfWzp</t>
    </r>
  </si>
  <si>
    <t>Konten tersebut mengandung unsur provokasi dengan narasi separatisme bahwa Indonesia penjajah di wilayah Sumatra yang terdiri atas Aceh, Riau, dan Padang. Terdapat pula video aksi unjuk rasa yang diduga dilakukan di luar negeri yang bersifat mendelegitimasi negara dalam menjaga keutuhan wilayahnya.
Penyebaran informasi yang salah yang berpotensi menimbulkan mengganggu keamanan, serta mengancam stabilitas negara diatur dalam Undang-Undang Nomor 1 Tahun 2024 tentang Perubahan Kedua Atas Undang-Undang Nomor 11 Tahun 2008 tentang Informasi dan Transaksi Elektronik pada Pasal 28 ayat (2) dan Pasal 45A ayat (2).</t>
  </si>
  <si>
    <r>
      <rPr>
        <rFont val="Arial"/>
        <color rgb="FF1155CC"/>
        <sz val="8.0"/>
        <u/>
      </rPr>
      <t>https://www.tiktok.com/@adhar541/video/7585528223656725781?_r=1&amp;_t=ZS-92Nx1Vdcvjd</t>
    </r>
  </si>
  <si>
    <t>Konten tersebut mengandung unsur provokasi dan disinformasi dengan jenis misleading content. Terdapat upaya untuk membingkai penertiban atribut separatisme sebagai upaya merampas bantuan bencana Aceh dan bentuk penjajahan Indonesia atas bangsa Aceh.
Penyebaran informasi yang mengandung unsur provokatif yang berpotensi menimbulkan kegaduhan, mengganggu keamanan, serta mengancam kedaulatan negara diatur dalam Undang-Undang Nomor 1 Tahun 2024 tentang Perubahan Kedua Atas Undang-Undang Nomor 11 Tahun 2008 tentang Informasi dan Transaksi Elektronik pada Pasal 28 ayat (2) dan Pasal 45A ayat (2)</t>
  </si>
  <si>
    <r>
      <rPr>
        <rFont val="Arial"/>
        <color rgb="FF1155CC"/>
        <sz val="8.0"/>
        <u/>
      </rPr>
      <t>https://www.tiktok.com/@daskopi/video/7584703208254213397?_r=1&amp;_t=ZS-92Nx3hXDhaa</t>
    </r>
  </si>
  <si>
    <t>Konten ini mengandung unsur provokasi dengan narasi separatisme dengan menyatakan bahwa Indonesia adalah penjajah yang harus dihapuskan.
Penyebaran informasi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t>
  </si>
  <si>
    <t>https://x.com/oitapecuy/status/2002314661014995276</t>
  </si>
  <si>
    <t>https://x.com/weskulinoo/status/2002313202541990162</t>
  </si>
  <si>
    <t>https://x.com/dikaizm/status/2002287322541535727</t>
  </si>
  <si>
    <t>https://x.com/chherub_rock/status/2002035889078485299</t>
  </si>
  <si>
    <t>https://x.com/hdusjhdks/status/2002049444188151987</t>
  </si>
  <si>
    <t>https://x.com/R_haedictator/status/2002094406732779571</t>
  </si>
  <si>
    <t>https://x.com/evanharahap007/status/2002104804638929110</t>
  </si>
  <si>
    <t>https://x.com/sektorpangan/status/2002228352380514675</t>
  </si>
  <si>
    <t>https://x.com/BpkBcw/status/2002204172914196965</t>
  </si>
  <si>
    <t>https://x.com/sei_hanagata/status/2001922350326141358</t>
  </si>
  <si>
    <t>https://x.com/blu3blu3blu/status/2001923304039551363</t>
  </si>
  <si>
    <t>https://x.com/opekbakuliwak/status/2001981506349301804</t>
  </si>
  <si>
    <t>https://x.com/Ncutt20ll/status/2001986958541881736</t>
  </si>
  <si>
    <t>https://x.com/6_Nuggets/status/2001997475302015399</t>
  </si>
  <si>
    <t>https://x.com/sabitarius/status/2001836368901869612</t>
  </si>
  <si>
    <t>https://x.com/nebublue/status/2001905001103573027</t>
  </si>
  <si>
    <t>https://x.com/gorengannbeku_/status/2001909888809943150</t>
  </si>
  <si>
    <t>https://www.facebook.com/haba.asanews/videos/1292893359502298/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</si>
</sst>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66">
    <font>
      <sz val="10.0"/>
      <color rgb="FF000000"/>
      <name val="Arial"/>
      <scheme val="minor"/>
    </font>
    <font>
      <b/>
      <sz val="11.0"/>
      <color rgb="FF000000"/>
      <name val="&quot;Times New Roman&quot;"/>
    </font>
    <font>
      <b/>
      <color theme="1"/>
      <name val="Arial"/>
      <scheme val="minor"/>
    </font>
    <font>
      <sz val="11.0"/>
      <color rgb="FF000000"/>
      <name val="Arial"/>
    </font>
    <font>
      <u/>
      <sz val="11.0"/>
      <color rgb="FF0000FF"/>
      <name val="Cambria"/>
    </font>
    <font>
      <color theme="1"/>
      <name val="Arial"/>
      <scheme val="minor"/>
    </font>
    <font>
      <u/>
      <sz val="11.0"/>
      <color rgb="FF0000FF"/>
      <name val="Cambria"/>
    </font>
    <font>
      <sz val="11.0"/>
      <color theme="1"/>
      <name val="Arial"/>
      <scheme val="minor"/>
    </font>
    <font>
      <sz val="8.0"/>
      <color theme="1"/>
      <name val="Arial"/>
      <scheme val="minor"/>
    </font>
    <font>
      <b/>
      <sz val="8.0"/>
      <color theme="1"/>
      <name val="Arial"/>
      <scheme val="minor"/>
    </font>
    <font>
      <sz val="8.0"/>
      <color rgb="FF000000"/>
      <name val="Arial"/>
      <scheme val="minor"/>
    </font>
    <font>
      <u/>
      <sz val="8.0"/>
      <color rgb="FF1155CC"/>
    </font>
    <font>
      <sz val="8.0"/>
      <color theme="1"/>
      <name val="Arial"/>
    </font>
    <font>
      <u/>
      <sz val="8.0"/>
      <color rgb="FF1155CC"/>
    </font>
    <font>
      <u/>
      <sz val="8.0"/>
      <color rgb="FF0000FF"/>
    </font>
    <font>
      <sz val="8.0"/>
      <color rgb="FF000000"/>
      <name val="Arial"/>
    </font>
    <font>
      <u/>
      <sz val="8.0"/>
      <color rgb="FF1155CC"/>
      <name val="Arial"/>
    </font>
    <font>
      <u/>
      <sz val="8.0"/>
      <color rgb="FF0000FF"/>
    </font>
    <font>
      <u/>
      <sz val="8.0"/>
      <color rgb="FF0000FF"/>
      <name val="Times New Roman"/>
    </font>
    <font>
      <sz val="8.0"/>
      <color rgb="FF001D35"/>
      <name val="Google Sans"/>
    </font>
    <font>
      <u/>
      <sz val="8.0"/>
      <color rgb="FF0000FF"/>
      <name val="Arial"/>
    </font>
    <font>
      <u/>
      <sz val="8.0"/>
      <color rgb="FF0000FF"/>
      <name val="Calibri"/>
    </font>
    <font>
      <sz val="8.0"/>
      <color theme="1"/>
      <name val="Calibri"/>
    </font>
    <font>
      <u/>
      <sz val="8.0"/>
      <color rgb="FF1155CC"/>
      <name val="Times New Roman"/>
    </font>
    <font>
      <sz val="8.0"/>
      <color theme="1"/>
      <name val="Times New Roman"/>
    </font>
    <font>
      <sz val="8.0"/>
      <color rgb="FF001D35"/>
      <name val="Times New Roman"/>
    </font>
    <font>
      <u/>
      <sz val="8.0"/>
      <color rgb="FF1155CC"/>
      <name val="Calibri"/>
    </font>
    <font/>
    <font>
      <u/>
      <sz val="8.0"/>
      <color rgb="FF1155CC"/>
      <name val="Times New Roman"/>
    </font>
    <font>
      <u/>
      <sz val="8.0"/>
      <color rgb="FF1155CC"/>
      <name val="Aptos Narrow"/>
    </font>
    <font>
      <u/>
      <sz val="8.0"/>
      <color rgb="FF1155CC"/>
      <name val="Arial"/>
    </font>
    <font>
      <u/>
      <sz val="8.0"/>
      <color rgb="FF0000FF"/>
      <name val="Arial"/>
    </font>
    <font>
      <u/>
      <sz val="8.0"/>
      <color rgb="FF1155CC"/>
      <name val="Times New Roman"/>
    </font>
    <font>
      <u/>
      <sz val="8.0"/>
      <color rgb="FF0000FF"/>
      <name val="Calibri"/>
    </font>
    <font>
      <u/>
      <sz val="8.0"/>
      <color rgb="FF222222"/>
      <name val="Arial"/>
    </font>
    <font>
      <u/>
      <sz val="8.0"/>
      <color rgb="FF0563C1"/>
      <name val="Arial"/>
    </font>
    <font>
      <u/>
      <sz val="8.0"/>
      <color rgb="FF1155CC"/>
      <name val="Arial"/>
    </font>
    <font>
      <u/>
      <sz val="8.0"/>
      <color rgb="FF1155CC"/>
      <name val="Arial"/>
    </font>
    <font>
      <u/>
      <sz val="8.0"/>
      <color rgb="FF1155CC"/>
      <name val="Arial"/>
    </font>
    <font>
      <u/>
      <sz val="8.0"/>
      <color rgb="FF0000FF"/>
      <name val="Arial"/>
    </font>
    <font>
      <u/>
      <sz val="8.0"/>
      <color rgb="FF1155CC"/>
      <name val="Arial"/>
    </font>
    <font>
      <u/>
      <sz val="8.0"/>
      <color rgb="FF1155CC"/>
      <name val="Arial"/>
    </font>
    <font>
      <u/>
      <sz val="8.0"/>
      <color rgb="FF1155CC"/>
      <name val="Arial"/>
    </font>
    <font>
      <u/>
      <sz val="8.0"/>
      <color rgb="FF1155CC"/>
      <name val="Aptos Narrow"/>
    </font>
    <font>
      <u/>
      <sz val="8.0"/>
      <color rgb="FF0000FF"/>
      <name val="Arial"/>
    </font>
    <font>
      <u/>
      <sz val="8.0"/>
      <color rgb="FF0000FF"/>
      <name val="Arial"/>
    </font>
    <font>
      <sz val="8.0"/>
      <color rgb="FF080809"/>
      <name val="Arial"/>
    </font>
    <font>
      <u/>
      <sz val="8.0"/>
      <color rgb="FF1155CC"/>
      <name val="Calibri"/>
    </font>
    <font>
      <u/>
      <sz val="8.0"/>
      <color rgb="FF000000"/>
      <name val="Arial"/>
    </font>
    <font>
      <u/>
      <sz val="8.0"/>
      <color rgb="FF0000FF"/>
      <name val="Arial"/>
    </font>
    <font>
      <u/>
      <sz val="8.0"/>
      <color rgb="FF000000"/>
      <name val="Calibri"/>
    </font>
    <font>
      <b/>
      <u/>
      <sz val="8.0"/>
      <color rgb="FF1155CC"/>
      <name val="Arial"/>
    </font>
    <font>
      <strike/>
      <u/>
      <sz val="8.0"/>
      <color rgb="FF0000FF"/>
      <name val="Arial"/>
    </font>
    <font>
      <u/>
      <sz val="8.0"/>
      <color rgb="FF0000FF"/>
      <name val="Times New Roman"/>
    </font>
    <font>
      <u/>
      <sz val="8.0"/>
      <color rgb="FF0000FF"/>
    </font>
    <font>
      <u/>
      <sz val="8.0"/>
      <color rgb="FF1155CC"/>
      <name val="Times New Roman"/>
    </font>
    <font>
      <u/>
      <sz val="8.0"/>
      <color rgb="FF1155CC"/>
      <name val="Calibri"/>
    </font>
    <font>
      <u/>
      <sz val="8.0"/>
      <color rgb="FF1155CC"/>
      <name val="Arial"/>
    </font>
    <font>
      <u/>
      <sz val="8.0"/>
      <color rgb="FF0000FF"/>
    </font>
    <font>
      <sz val="12.0"/>
      <color theme="1"/>
      <name val="Arial"/>
      <scheme val="minor"/>
    </font>
    <font>
      <u/>
      <sz val="8.0"/>
      <color rgb="FF000000"/>
      <name val="Arial"/>
    </font>
    <font>
      <u/>
      <sz val="8.0"/>
      <color rgb="FF1155CC"/>
      <name val="Arial"/>
    </font>
    <font>
      <u/>
      <sz val="8.0"/>
      <color rgb="FF1155CC"/>
      <name val="Arial"/>
    </font>
    <font>
      <sz val="7.0"/>
      <color theme="1"/>
      <name val="Arial"/>
      <scheme val="minor"/>
    </font>
    <font>
      <sz val="7.0"/>
      <color theme="1"/>
      <name val="Arial"/>
    </font>
    <font>
      <u/>
      <sz val="7.0"/>
      <color theme="1"/>
      <name val="Arial"/>
    </font>
  </fonts>
  <fills count="9">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FF2CC"/>
        <bgColor rgb="FFFFF2CC"/>
      </patternFill>
    </fill>
    <fill>
      <patternFill patternType="solid">
        <fgColor rgb="FFB6D7A8"/>
        <bgColor rgb="FFB6D7A8"/>
      </patternFill>
    </fill>
    <fill>
      <patternFill patternType="solid">
        <fgColor rgb="FFFCE5CD"/>
        <bgColor rgb="FFFCE5CD"/>
      </patternFill>
    </fill>
    <fill>
      <patternFill patternType="solid">
        <fgColor rgb="FFFFE599"/>
        <bgColor rgb="FFFFE599"/>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1" numFmtId="0" xfId="0" applyAlignment="1" applyFont="1">
      <alignment horizontal="center" readingOrder="0" vertical="center"/>
    </xf>
    <xf borderId="0" fillId="2" fontId="2" numFmtId="0" xfId="0" applyAlignment="1" applyFont="1">
      <alignment readingOrder="0" shrinkToFit="0" vertical="center" wrapText="1"/>
    </xf>
    <xf borderId="0" fillId="0" fontId="2" numFmtId="0" xfId="0" applyAlignment="1" applyFont="1">
      <alignment vertical="center"/>
    </xf>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xf>
    <xf borderId="0" fillId="0" fontId="6" numFmtId="0" xfId="0" applyAlignment="1" applyFont="1">
      <alignment readingOrder="0" shrinkToFit="0" vertical="bottom" wrapText="0"/>
    </xf>
    <xf borderId="0" fillId="0" fontId="5" numFmtId="0" xfId="0" applyFont="1"/>
    <xf borderId="0" fillId="0" fontId="7" numFmtId="0" xfId="0" applyAlignment="1" applyFont="1">
      <alignment readingOrder="0"/>
    </xf>
    <xf borderId="1" fillId="3" fontId="8" numFmtId="0" xfId="0" applyAlignment="1" applyBorder="1" applyFill="1" applyFont="1">
      <alignment horizontal="left" readingOrder="0" shrinkToFit="0" vertical="top" wrapText="1"/>
    </xf>
    <xf borderId="1" fillId="3" fontId="9" numFmtId="0" xfId="0" applyAlignment="1" applyBorder="1" applyFont="1">
      <alignment horizontal="left" readingOrder="0" shrinkToFit="0" vertical="top" wrapText="1"/>
    </xf>
    <xf borderId="1" fillId="3" fontId="9" numFmtId="0" xfId="0" applyAlignment="1" applyBorder="1" applyFont="1">
      <alignment horizontal="left" shrinkToFit="0" vertical="top" wrapText="1"/>
    </xf>
    <xf borderId="1" fillId="3" fontId="8" numFmtId="0" xfId="0" applyAlignment="1" applyBorder="1" applyFont="1">
      <alignment horizontal="left" shrinkToFit="0" vertical="top" wrapText="1"/>
    </xf>
    <xf borderId="1" fillId="3" fontId="10" numFmtId="164" xfId="0" applyAlignment="1" applyBorder="1" applyFont="1" applyNumberFormat="1">
      <alignment horizontal="left" readingOrder="0" shrinkToFit="0" vertical="top" wrapText="1"/>
    </xf>
    <xf borderId="1" fillId="3" fontId="11" numFmtId="164" xfId="0" applyAlignment="1" applyBorder="1" applyFont="1" applyNumberFormat="1">
      <alignment horizontal="left" shrinkToFit="0" vertical="top" wrapText="1"/>
    </xf>
    <xf borderId="1" fillId="3" fontId="12" numFmtId="0" xfId="0" applyAlignment="1" applyBorder="1" applyFont="1">
      <alignment horizontal="left" shrinkToFit="0" vertical="top" wrapText="1"/>
    </xf>
    <xf borderId="1" fillId="3" fontId="13" numFmtId="0" xfId="0" applyAlignment="1" applyBorder="1" applyFont="1">
      <alignment horizontal="left" shrinkToFit="0" vertical="top" wrapText="1"/>
    </xf>
    <xf borderId="1" fillId="3" fontId="14" numFmtId="0" xfId="0" applyAlignment="1" applyBorder="1" applyFont="1">
      <alignment horizontal="left" shrinkToFit="0" vertical="top" wrapText="1"/>
    </xf>
    <xf borderId="1" fillId="3" fontId="15" numFmtId="164" xfId="0" applyAlignment="1" applyBorder="1" applyFont="1" applyNumberFormat="1">
      <alignment horizontal="left" readingOrder="0" shrinkToFit="0" vertical="top" wrapText="1"/>
    </xf>
    <xf borderId="1" fillId="3" fontId="16" numFmtId="0" xfId="0" applyAlignment="1" applyBorder="1" applyFont="1">
      <alignment horizontal="left" shrinkToFit="0" vertical="top" wrapText="1"/>
    </xf>
    <xf borderId="1" fillId="3" fontId="8" numFmtId="164" xfId="0" applyAlignment="1" applyBorder="1" applyFont="1" applyNumberFormat="1">
      <alignment horizontal="left" readingOrder="0" shrinkToFit="0" vertical="top" wrapText="1"/>
    </xf>
    <xf borderId="1" fillId="3" fontId="17" numFmtId="0" xfId="0" applyAlignment="1" applyBorder="1" applyFont="1">
      <alignment horizontal="left" readingOrder="0" shrinkToFit="0" vertical="top" wrapText="1"/>
    </xf>
    <xf borderId="1" fillId="3" fontId="18" numFmtId="0" xfId="0" applyAlignment="1" applyBorder="1" applyFont="1">
      <alignment horizontal="left" shrinkToFit="0" vertical="top" wrapText="1"/>
    </xf>
    <xf borderId="1" fillId="3" fontId="19" numFmtId="0" xfId="0" applyAlignment="1" applyBorder="1" applyFont="1">
      <alignment horizontal="left" shrinkToFit="0" vertical="top" wrapText="1"/>
    </xf>
    <xf borderId="1" fillId="3" fontId="20" numFmtId="0" xfId="0" applyAlignment="1" applyBorder="1" applyFont="1">
      <alignment horizontal="left" shrinkToFit="0" vertical="top" wrapText="1"/>
    </xf>
    <xf borderId="1" fillId="3" fontId="21" numFmtId="0" xfId="0" applyAlignment="1" applyBorder="1" applyFont="1">
      <alignment horizontal="left" shrinkToFit="0" vertical="top" wrapText="1"/>
    </xf>
    <xf borderId="1" fillId="3" fontId="22" numFmtId="0" xfId="0" applyAlignment="1" applyBorder="1" applyFont="1">
      <alignment horizontal="left" shrinkToFit="0" vertical="top" wrapText="1"/>
    </xf>
    <xf borderId="1" fillId="3" fontId="23" numFmtId="0" xfId="0" applyAlignment="1" applyBorder="1" applyFont="1">
      <alignment horizontal="left" shrinkToFit="0" vertical="top" wrapText="1"/>
    </xf>
    <xf borderId="1" fillId="3" fontId="24" numFmtId="0" xfId="0" applyAlignment="1" applyBorder="1" applyFont="1">
      <alignment horizontal="left" shrinkToFit="0" vertical="top" wrapText="1"/>
    </xf>
    <xf borderId="1" fillId="3" fontId="25" numFmtId="0" xfId="0" applyAlignment="1" applyBorder="1" applyFont="1">
      <alignment horizontal="left" shrinkToFit="0" vertical="top" wrapText="1"/>
    </xf>
    <xf borderId="1" fillId="3" fontId="26" numFmtId="0" xfId="0" applyAlignment="1" applyBorder="1" applyFont="1">
      <alignment horizontal="left" shrinkToFit="0" vertical="top" wrapText="1"/>
    </xf>
    <xf borderId="2" fillId="3" fontId="12" numFmtId="0" xfId="0" applyAlignment="1" applyBorder="1" applyFont="1">
      <alignment horizontal="left" shrinkToFit="0" vertical="top" wrapText="1"/>
    </xf>
    <xf borderId="3" fillId="0" fontId="27" numFmtId="0" xfId="0" applyBorder="1" applyFont="1"/>
    <xf borderId="4" fillId="0" fontId="27" numFmtId="0" xfId="0" applyBorder="1" applyFont="1"/>
    <xf borderId="1" fillId="3" fontId="28" numFmtId="0" xfId="0" applyAlignment="1" applyBorder="1" applyFont="1">
      <alignment horizontal="left" shrinkToFit="0" vertical="top" wrapText="1"/>
    </xf>
    <xf borderId="1" fillId="3" fontId="29" numFmtId="0" xfId="0" applyAlignment="1" applyBorder="1" applyFont="1">
      <alignment horizontal="left" shrinkToFit="0" vertical="top" wrapText="1"/>
    </xf>
    <xf borderId="1" fillId="0" fontId="15" numFmtId="164" xfId="0" applyAlignment="1" applyBorder="1" applyFont="1" applyNumberFormat="1">
      <alignment horizontal="left" readingOrder="0" shrinkToFit="0" vertical="top" wrapText="1"/>
    </xf>
    <xf borderId="1" fillId="0" fontId="30"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1" fillId="0" fontId="8" numFmtId="0" xfId="0" applyAlignment="1" applyBorder="1" applyFont="1">
      <alignment horizontal="left" shrinkToFit="0" vertical="top" wrapText="1"/>
    </xf>
    <xf borderId="2" fillId="0" fontId="12" numFmtId="0" xfId="0" applyAlignment="1" applyBorder="1" applyFont="1">
      <alignment horizontal="left" shrinkToFit="0" vertical="top" wrapText="1"/>
    </xf>
    <xf borderId="1" fillId="0" fontId="31" numFmtId="0" xfId="0" applyAlignment="1" applyBorder="1" applyFont="1">
      <alignment horizontal="left" shrinkToFit="0" vertical="top" wrapText="1"/>
    </xf>
    <xf borderId="1" fillId="0" fontId="8" numFmtId="164" xfId="0" applyAlignment="1" applyBorder="1" applyFont="1" applyNumberFormat="1">
      <alignment horizontal="left" readingOrder="0" shrinkToFit="0" vertical="top" wrapText="1"/>
    </xf>
    <xf borderId="1" fillId="0" fontId="32" numFmtId="0" xfId="0" applyAlignment="1" applyBorder="1" applyFont="1">
      <alignment horizontal="left" shrinkToFit="0" vertical="top" wrapText="1"/>
    </xf>
    <xf borderId="1" fillId="0" fontId="33" numFmtId="0" xfId="0" applyAlignment="1" applyBorder="1" applyFont="1">
      <alignment horizontal="left" shrinkToFit="0" vertical="top" wrapText="1"/>
    </xf>
    <xf borderId="1" fillId="0" fontId="34" numFmtId="0" xfId="0" applyAlignment="1" applyBorder="1" applyFont="1">
      <alignment horizontal="left" shrinkToFit="0" vertical="top" wrapText="1"/>
    </xf>
    <xf borderId="1" fillId="0" fontId="35" numFmtId="0" xfId="0" applyAlignment="1" applyBorder="1" applyFont="1">
      <alignment horizontal="left" shrinkToFit="0" vertical="top" wrapText="1"/>
    </xf>
    <xf borderId="1" fillId="0" fontId="36" numFmtId="164" xfId="0" applyAlignment="1" applyBorder="1" applyFont="1" applyNumberFormat="1">
      <alignment horizontal="left" shrinkToFit="0" vertical="top" wrapText="1"/>
    </xf>
    <xf borderId="1" fillId="0" fontId="12" numFmtId="0" xfId="0" applyAlignment="1" applyBorder="1" applyFont="1">
      <alignment horizontal="left" shrinkToFit="0" vertical="top" wrapText="1"/>
    </xf>
    <xf borderId="1" fillId="0" fontId="12" numFmtId="0" xfId="0" applyAlignment="1" applyBorder="1" applyFont="1">
      <alignment horizontal="left" readingOrder="0" shrinkToFit="0" vertical="top" wrapText="1"/>
    </xf>
    <xf borderId="1" fillId="0" fontId="37" numFmtId="0" xfId="0" applyAlignment="1" applyBorder="1" applyFont="1">
      <alignment horizontal="left" readingOrder="0" shrinkToFit="0" vertical="top" wrapText="1"/>
    </xf>
    <xf borderId="1" fillId="0" fontId="38"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1" fillId="0" fontId="39" numFmtId="0" xfId="0" applyAlignment="1" applyBorder="1" applyFont="1">
      <alignment horizontal="left" readingOrder="0" shrinkToFit="0" vertical="top" wrapText="1"/>
    </xf>
    <xf borderId="1" fillId="4" fontId="40" numFmtId="0" xfId="0" applyAlignment="1" applyBorder="1" applyFill="1" applyFont="1">
      <alignment horizontal="left" shrinkToFit="0" vertical="top" wrapText="1"/>
    </xf>
    <xf borderId="1" fillId="4" fontId="12" numFmtId="0" xfId="0" applyAlignment="1" applyBorder="1" applyFont="1">
      <alignment horizontal="left" shrinkToFit="0" vertical="top" wrapText="1"/>
    </xf>
    <xf borderId="1" fillId="5" fontId="41" numFmtId="0" xfId="0" applyAlignment="1" applyBorder="1" applyFill="1" applyFont="1">
      <alignment horizontal="left" shrinkToFit="0" vertical="top" wrapText="1"/>
    </xf>
    <xf borderId="1" fillId="6" fontId="42" numFmtId="0" xfId="0" applyAlignment="1" applyBorder="1" applyFill="1" applyFont="1">
      <alignment horizontal="left" shrinkToFit="0" vertical="top" wrapText="1"/>
    </xf>
    <xf borderId="1" fillId="6" fontId="12" numFmtId="0" xfId="0" applyAlignment="1" applyBorder="1" applyFont="1">
      <alignment horizontal="left" shrinkToFit="0" vertical="top" wrapText="1"/>
    </xf>
    <xf borderId="1" fillId="0" fontId="24" numFmtId="0" xfId="0" applyAlignment="1" applyBorder="1" applyFont="1">
      <alignment horizontal="left" shrinkToFit="0" vertical="top" wrapText="1"/>
    </xf>
    <xf borderId="1" fillId="0" fontId="43" numFmtId="0" xfId="0" applyAlignment="1" applyBorder="1" applyFont="1">
      <alignment horizontal="left" shrinkToFit="0" vertical="top" wrapText="1"/>
    </xf>
    <xf borderId="1" fillId="0" fontId="15" numFmtId="0" xfId="0" applyAlignment="1" applyBorder="1" applyFont="1">
      <alignment horizontal="left" readingOrder="0" shrinkToFit="0" vertical="top" wrapText="1"/>
    </xf>
    <xf borderId="1" fillId="3" fontId="12" numFmtId="0" xfId="0" applyAlignment="1" applyBorder="1" applyFont="1">
      <alignment horizontal="left" readingOrder="0" shrinkToFit="0" vertical="top" wrapText="1"/>
    </xf>
    <xf borderId="1" fillId="0" fontId="24" numFmtId="0" xfId="0" applyAlignment="1" applyBorder="1" applyFont="1">
      <alignment horizontal="left" readingOrder="0" shrinkToFit="0" vertical="top" wrapText="1"/>
    </xf>
    <xf borderId="1" fillId="0" fontId="44" numFmtId="0" xfId="0" applyAlignment="1" applyBorder="1" applyFont="1">
      <alignment horizontal="left" readingOrder="0" shrinkToFit="0" vertical="top" wrapText="1"/>
    </xf>
    <xf borderId="1" fillId="0" fontId="45" numFmtId="0" xfId="0" applyAlignment="1" applyBorder="1" applyFont="1">
      <alignment horizontal="left" shrinkToFit="0" vertical="top" wrapText="1"/>
    </xf>
    <xf borderId="1" fillId="0" fontId="12" numFmtId="164" xfId="0" applyAlignment="1" applyBorder="1" applyFont="1" applyNumberFormat="1">
      <alignment horizontal="left" shrinkToFit="0" vertical="top" wrapText="1"/>
    </xf>
    <xf borderId="1" fillId="0" fontId="46" numFmtId="0" xfId="0" applyAlignment="1" applyBorder="1" applyFont="1">
      <alignment horizontal="left" shrinkToFit="0" vertical="top" wrapText="1"/>
    </xf>
    <xf borderId="1" fillId="3" fontId="46" numFmtId="0" xfId="0" applyAlignment="1" applyBorder="1" applyFont="1">
      <alignment horizontal="left" shrinkToFit="0" vertical="top" wrapText="1"/>
    </xf>
    <xf borderId="1" fillId="3" fontId="12" numFmtId="0" xfId="0" applyAlignment="1" applyBorder="1" applyFont="1">
      <alignment horizontal="left" readingOrder="0" shrinkToFit="0" vertical="top" wrapText="1"/>
    </xf>
    <xf borderId="1" fillId="0" fontId="47" numFmtId="0" xfId="0" applyAlignment="1" applyBorder="1" applyFont="1">
      <alignment horizontal="left" shrinkToFit="0" vertical="top" wrapText="1"/>
    </xf>
    <xf borderId="1" fillId="0" fontId="48" numFmtId="0" xfId="0" applyAlignment="1" applyBorder="1" applyFont="1">
      <alignment horizontal="left" readingOrder="0" shrinkToFit="0" vertical="top" wrapText="1"/>
    </xf>
    <xf borderId="1" fillId="0" fontId="49" numFmtId="0" xfId="0" applyAlignment="1" applyBorder="1" applyFont="1">
      <alignment horizontal="left" readingOrder="0" shrinkToFit="0" vertical="top" wrapText="1"/>
    </xf>
    <xf borderId="1" fillId="0" fontId="8" numFmtId="0" xfId="0" applyAlignment="1" applyBorder="1" applyFont="1">
      <alignment horizontal="left" readingOrder="0" shrinkToFit="0" vertical="top" wrapText="1"/>
    </xf>
    <xf borderId="1" fillId="0" fontId="50" numFmtId="0" xfId="0" applyAlignment="1" applyBorder="1" applyFont="1">
      <alignment horizontal="left" readingOrder="0" shrinkToFit="0" vertical="top" wrapText="1"/>
    </xf>
    <xf borderId="1" fillId="0" fontId="15" numFmtId="0" xfId="0" applyAlignment="1" applyBorder="1" applyFont="1">
      <alignment horizontal="left" readingOrder="0" shrinkToFit="0" vertical="top" wrapText="1"/>
    </xf>
    <xf borderId="1" fillId="0" fontId="51" numFmtId="0" xfId="0" applyAlignment="1" applyBorder="1" applyFont="1">
      <alignment horizontal="left" shrinkToFit="0" vertical="top" wrapText="1"/>
    </xf>
    <xf borderId="1" fillId="0" fontId="52" numFmtId="0" xfId="0" applyAlignment="1" applyBorder="1" applyFont="1">
      <alignment horizontal="left" shrinkToFit="0" vertical="top" wrapText="1"/>
    </xf>
    <xf borderId="1" fillId="0" fontId="53" numFmtId="0" xfId="0" applyAlignment="1" applyBorder="1" applyFont="1">
      <alignment horizontal="left" shrinkToFit="0" vertical="top" wrapText="1"/>
    </xf>
    <xf borderId="1" fillId="0" fontId="54" numFmtId="0" xfId="0" applyAlignment="1" applyBorder="1" applyFont="1">
      <alignment horizontal="left" readingOrder="0" shrinkToFit="0" vertical="top" wrapText="1"/>
    </xf>
    <xf borderId="1" fillId="0" fontId="55" numFmtId="0" xfId="0" applyAlignment="1" applyBorder="1" applyFont="1">
      <alignment horizontal="left" shrinkToFit="0" vertical="top" wrapText="1"/>
    </xf>
    <xf borderId="1" fillId="0" fontId="56" numFmtId="0" xfId="0" applyAlignment="1" applyBorder="1" applyFont="1">
      <alignment horizontal="left" shrinkToFit="0" vertical="top" wrapText="1"/>
    </xf>
    <xf borderId="1" fillId="0" fontId="22" numFmtId="0" xfId="0" applyAlignment="1" applyBorder="1" applyFont="1">
      <alignment horizontal="left" shrinkToFit="0" vertical="top" wrapText="1"/>
    </xf>
    <xf borderId="1" fillId="7" fontId="57" numFmtId="0" xfId="0" applyAlignment="1" applyBorder="1" applyFill="1" applyFont="1">
      <alignment horizontal="left" shrinkToFit="0" vertical="top" wrapText="1"/>
    </xf>
    <xf borderId="1" fillId="0" fontId="58" numFmtId="0" xfId="0" applyAlignment="1" applyBorder="1" applyFont="1">
      <alignment horizontal="left" readingOrder="0" shrinkToFit="0" vertical="top" wrapText="1"/>
    </xf>
    <xf borderId="1" fillId="0" fontId="59" numFmtId="0" xfId="0" applyAlignment="1" applyBorder="1" applyFont="1">
      <alignment horizontal="left" readingOrder="0" shrinkToFit="0" vertical="center" wrapText="1"/>
    </xf>
    <xf borderId="1" fillId="0" fontId="60" numFmtId="0" xfId="0" applyAlignment="1" applyBorder="1" applyFont="1">
      <alignment horizontal="left" readingOrder="0" shrinkToFit="0" vertical="top" wrapText="1"/>
    </xf>
    <xf borderId="1" fillId="0" fontId="12" numFmtId="164" xfId="0" applyAlignment="1" applyBorder="1" applyFont="1" applyNumberFormat="1">
      <alignment horizontal="left" readingOrder="0" shrinkToFit="0" vertical="top" wrapText="1"/>
    </xf>
    <xf borderId="2" fillId="0" fontId="12" numFmtId="164" xfId="0" applyAlignment="1" applyBorder="1" applyFont="1" applyNumberFormat="1">
      <alignment horizontal="left" readingOrder="0" shrinkToFit="0" vertical="top" wrapText="1"/>
    </xf>
    <xf borderId="2" fillId="3" fontId="61" numFmtId="0" xfId="0" applyAlignment="1" applyBorder="1" applyFont="1">
      <alignment horizontal="left" shrinkToFit="0" vertical="top" wrapText="1"/>
    </xf>
    <xf borderId="2" fillId="3" fontId="15" numFmtId="0" xfId="0" applyAlignment="1" applyBorder="1" applyFont="1">
      <alignment horizontal="left" readingOrder="0" shrinkToFit="0" vertical="top" wrapText="1"/>
    </xf>
    <xf borderId="2" fillId="0" fontId="62" numFmtId="0" xfId="0" applyAlignment="1" applyBorder="1" applyFont="1">
      <alignment horizontal="left" shrinkToFit="0" vertical="top" wrapText="1"/>
    </xf>
    <xf borderId="2" fillId="0" fontId="8" numFmtId="0" xfId="0" applyAlignment="1" applyBorder="1" applyFont="1">
      <alignment horizontal="left" shrinkToFit="0" vertical="top" wrapText="1"/>
    </xf>
    <xf borderId="1" fillId="8" fontId="12" numFmtId="164" xfId="0" applyAlignment="1" applyBorder="1" applyFill="1" applyFont="1" applyNumberFormat="1">
      <alignment horizontal="left" readingOrder="0" shrinkToFit="0" vertical="top" wrapText="1"/>
    </xf>
    <xf borderId="1" fillId="8" fontId="12" numFmtId="0" xfId="0" applyAlignment="1" applyBorder="1" applyFont="1">
      <alignment horizontal="left" shrinkToFit="0" vertical="top" wrapText="1"/>
    </xf>
    <xf borderId="1" fillId="8" fontId="46" numFmtId="0" xfId="0" applyAlignment="1" applyBorder="1" applyFont="1">
      <alignment horizontal="left" shrinkToFit="0" vertical="top" wrapText="1"/>
    </xf>
    <xf borderId="3" fillId="0" fontId="63" numFmtId="0" xfId="0" applyAlignment="1" applyBorder="1" applyFont="1">
      <alignment horizontal="left" readingOrder="0" shrinkToFit="0" vertical="top" wrapText="1"/>
    </xf>
    <xf borderId="3" fillId="0" fontId="64" numFmtId="164" xfId="0" applyAlignment="1" applyBorder="1" applyFont="1" applyNumberFormat="1">
      <alignment horizontal="left" readingOrder="0" shrinkToFit="0" vertical="top" wrapText="1"/>
    </xf>
    <xf borderId="3" fillId="0" fontId="65" numFmtId="0" xfId="0" applyAlignment="1" applyBorder="1" applyFont="1">
      <alignment vertical="top"/>
    </xf>
    <xf borderId="3" fillId="3" fontId="64" numFmtId="0" xfId="0" applyAlignment="1" applyBorder="1" applyFont="1">
      <alignment vertical="top"/>
    </xf>
    <xf borderId="3" fillId="3" fontId="64" numFmtId="0" xfId="0" applyAlignment="1" applyBorder="1" applyFont="1">
      <alignment horizontal="center" shrinkToFit="0" vertical="top" wrapText="1"/>
    </xf>
    <xf borderId="3" fillId="3" fontId="64" numFmtId="0" xfId="0" applyAlignment="1" applyBorder="1" applyFont="1">
      <alignment horizontal="center" shrinkToFit="0" vertical="top" wrapText="0"/>
    </xf>
    <xf borderId="3" fillId="0" fontId="64" numFmtId="0" xfId="0" applyAlignment="1" applyBorder="1" applyFont="1">
      <alignment shrinkToFit="0" vertical="top" wrapText="1"/>
    </xf>
    <xf borderId="1" fillId="3" fontId="64" numFmtId="0" xfId="0" applyAlignment="1" applyBorder="1" applyFont="1">
      <alignment shrinkToFit="0" vertical="top" wrapText="1"/>
    </xf>
    <xf borderId="3" fillId="0" fontId="64" numFmtId="0" xfId="0" applyAlignment="1" applyBorder="1" applyFont="1">
      <alignment vertical="top"/>
    </xf>
    <xf borderId="0" fillId="0" fontId="5"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5T2L6G-0ZgES8avzVpp5vp6a1g7ZOylADOYzuwx8Ai0/edit?gid=2033784974" TargetMode="External"/><Relationship Id="rId42" Type="http://schemas.openxmlformats.org/officeDocument/2006/relationships/hyperlink" Target="https://docs.google.com/spreadsheets/d/1-OE8MmzqleU95KxNWHdAg7vsBqYFUPSAckm2N6CWeM8/edit?gid=2033784974" TargetMode="External"/><Relationship Id="rId41" Type="http://schemas.openxmlformats.org/officeDocument/2006/relationships/hyperlink" Target="https://docs.google.com/spreadsheets/d/1ieFmDJ4Ck0lo8akjRoJtJ3_YjOLTwDedvXbejt-VWNk/edit?gid=2033784974" TargetMode="External"/><Relationship Id="rId44" Type="http://schemas.openxmlformats.org/officeDocument/2006/relationships/hyperlink" Target="https://docs.google.com/spreadsheets/d/130BSwuiM7KgcDNXkQuigZ390htzuqDFtwWasq8v-Vvc/edit?gid=2033784974" TargetMode="External"/><Relationship Id="rId43" Type="http://schemas.openxmlformats.org/officeDocument/2006/relationships/hyperlink" Target="https://docs.google.com/spreadsheets/d/1nA6hJD0cHKyIfaabcHW-MYjTPJJUn2sCTAWaFuhpFwQ/edit?gid=2033784974" TargetMode="External"/><Relationship Id="rId46" Type="http://schemas.openxmlformats.org/officeDocument/2006/relationships/hyperlink" Target="https://docs.google.com/spreadsheets/d/1JNDDsGIpu5XbHwCLAH0wR06qt7yXFlVyEuBfVQVj0Js/edit?gid=2033784974" TargetMode="External"/><Relationship Id="rId45" Type="http://schemas.openxmlformats.org/officeDocument/2006/relationships/hyperlink" Target="https://docs.google.com/spreadsheets/d/1JyL3884dIn0IuRhwls1LVhzMP_h2-d6tZNU00gRpVXg/edit?gid=2033784974" TargetMode="External"/><Relationship Id="rId107" Type="http://schemas.openxmlformats.org/officeDocument/2006/relationships/hyperlink" Target="https://docs.google.com/spreadsheets/d/1m3ivnaphvM1sQvctyTGCeuXd9lKYlFcNCSBrQR3lik0/edit?gid=1341467536" TargetMode="External"/><Relationship Id="rId106" Type="http://schemas.openxmlformats.org/officeDocument/2006/relationships/hyperlink" Target="https://docs.google.com/spreadsheets/d/1_K378-h8u3VRb1Du1YvCRA9_zbSCTHP0hv7MmRT0Kzc/edit?gid=1341467536" TargetMode="External"/><Relationship Id="rId105" Type="http://schemas.openxmlformats.org/officeDocument/2006/relationships/hyperlink" Target="https://docs.google.com/spreadsheets/d/1Had3X-hJ7FNu9lfFgZT0cevEBeB9RXJBnoupzNrnRKo/edit?gid=2033784974" TargetMode="External"/><Relationship Id="rId104" Type="http://schemas.openxmlformats.org/officeDocument/2006/relationships/hyperlink" Target="https://docs.google.com/spreadsheets/d/1O8jt0hsV0uUhokuCZh-lf0ENniBlkxayxPX7qtZgkXY/edit?gid=805713900" TargetMode="External"/><Relationship Id="rId109" Type="http://schemas.openxmlformats.org/officeDocument/2006/relationships/hyperlink" Target="https://docs.google.com/spreadsheets/d/1_g_t-w2Yb5QQVzTXnIzgpv7EPXXjthuwN-wDsgpZ_pQ/edit?gid=805713900" TargetMode="External"/><Relationship Id="rId108" Type="http://schemas.openxmlformats.org/officeDocument/2006/relationships/hyperlink" Target="https://docs.google.com/spreadsheets/d/1t1qCHy3cBhIK_mJ3OHGart8EOFIPGFDCJE1PAcl3qao/edit?gid=805713900" TargetMode="External"/><Relationship Id="rId48" Type="http://schemas.openxmlformats.org/officeDocument/2006/relationships/hyperlink" Target="https://docs.google.com/spreadsheets/d/13u5F_IXi95Ad5Xi_JotB08-Th4TsePJ-4R_cACaEm1Q/edit?gid=2033784974" TargetMode="External"/><Relationship Id="rId47" Type="http://schemas.openxmlformats.org/officeDocument/2006/relationships/hyperlink" Target="https://docs.google.com/spreadsheets/d/1tTf8mLAmf6wqtydEPCzXxER9ttmg51DsSMx2ewYRI0s/edit?gid=2033784974" TargetMode="External"/><Relationship Id="rId49" Type="http://schemas.openxmlformats.org/officeDocument/2006/relationships/hyperlink" Target="https://docs.google.com/spreadsheets/d/1HGdAvwm7mXtc9ZYS9Jngz7j4YoHVruyX7GKNdc2g0rg/edit?gid=1341467536" TargetMode="External"/><Relationship Id="rId103" Type="http://schemas.openxmlformats.org/officeDocument/2006/relationships/hyperlink" Target="https://docs.google.com/spreadsheets/d/1sXQrNGC1huzoQBzu3602xcLfF0xlA_bL7iOoc4X2EyM/edit?gid=1341467536" TargetMode="External"/><Relationship Id="rId102" Type="http://schemas.openxmlformats.org/officeDocument/2006/relationships/hyperlink" Target="https://docs.google.com/spreadsheets/d/1MDTpm9OtAvDw3ncPUyC6j_s09Qf-nd_4mAPLb7ScFn0/edit?gid=1341467536" TargetMode="External"/><Relationship Id="rId101" Type="http://schemas.openxmlformats.org/officeDocument/2006/relationships/hyperlink" Target="https://docs.google.com/spreadsheets/d/1UqoTD-C9S9X3Iw1noHXHcZLobID5F8ipgaXqIERhEL4/edit?gid=2033784974" TargetMode="External"/><Relationship Id="rId100" Type="http://schemas.openxmlformats.org/officeDocument/2006/relationships/hyperlink" Target="https://docs.google.com/spreadsheets/d/162NNyxFOgHoE0siOHPOHRSLoi3bhv7ya0ULOxM0ahp8/edit?gid=805713900" TargetMode="External"/><Relationship Id="rId31" Type="http://schemas.openxmlformats.org/officeDocument/2006/relationships/hyperlink" Target="https://docs.google.com/spreadsheets/d/1mwtggHbGFhUmbMCBv2fbLU0JZfTCJV1ftedZBL4rCSA/edit?gid=2033784974" TargetMode="External"/><Relationship Id="rId30" Type="http://schemas.openxmlformats.org/officeDocument/2006/relationships/hyperlink" Target="https://docs.google.com/spreadsheets/d/1RYyFCrpviNi_Zdkr79uGsCVCSNp1aIxAzBOPU1xQ8V8/edit?gid=2033784974" TargetMode="External"/><Relationship Id="rId33" Type="http://schemas.openxmlformats.org/officeDocument/2006/relationships/hyperlink" Target="https://docs.google.com/spreadsheets/d/1lHlaZX7DeIOOjKVBA95nlMOQDaTiEmRoHqrN_Ifb34M/edit?gid=2033784974" TargetMode="External"/><Relationship Id="rId32" Type="http://schemas.openxmlformats.org/officeDocument/2006/relationships/hyperlink" Target="https://docs.google.com/spreadsheets/d/11dZeiUqdvruIZn_m8tjH312BlhgsFFonv6wjkPmiYl4/edit?gid=2033784974" TargetMode="External"/><Relationship Id="rId35" Type="http://schemas.openxmlformats.org/officeDocument/2006/relationships/hyperlink" Target="https://docs.google.com/spreadsheets/d/1GPS0dZQvX1cBdU6M7thqlTJXhBHtQSz9P2vUHOWbwCs/edit?gid=2033784974" TargetMode="External"/><Relationship Id="rId34" Type="http://schemas.openxmlformats.org/officeDocument/2006/relationships/hyperlink" Target="https://docs.google.com/spreadsheets/d/1sHhAW7uazbyB_I0rU8qA3oGpIUr1KeLTrHEw2KrDwBA/edit?gid=2033784974" TargetMode="External"/><Relationship Id="rId37" Type="http://schemas.openxmlformats.org/officeDocument/2006/relationships/hyperlink" Target="https://docs.google.com/spreadsheets/d/1YBrLPPbRhqX2MbzPRpgS8LqXf9EDamMu5P9IZYDZjnw/edit?gid=2033784974" TargetMode="External"/><Relationship Id="rId36" Type="http://schemas.openxmlformats.org/officeDocument/2006/relationships/hyperlink" Target="https://docs.google.com/spreadsheets/d/1vyRyKGJEk4kJoEDFCaui35eEV7aNa3ZWDL_NbzyQx_M/edit?gid=2033784974" TargetMode="External"/><Relationship Id="rId39" Type="http://schemas.openxmlformats.org/officeDocument/2006/relationships/hyperlink" Target="https://docs.google.com/spreadsheets/d/1WbWhWH9vdyHvcV6ptT7UmBHbe8NdRJuOp7cKwXyndRY/edit?gid=2033784974" TargetMode="External"/><Relationship Id="rId38" Type="http://schemas.openxmlformats.org/officeDocument/2006/relationships/hyperlink" Target="https://docs.google.com/spreadsheets/d/1J9F7YpqGYPNIgjAgQ3UpdDIbQrorOmiWPrkJUO-7WUE/edit?gid=2033784974" TargetMode="External"/><Relationship Id="rId20" Type="http://schemas.openxmlformats.org/officeDocument/2006/relationships/hyperlink" Target="https://docs.google.com/spreadsheets/d/1UD3ijrrndNzu5YSG-WcN4NtqqEbICSEeUDNdz8vZlKA/edit?gid=1341467536" TargetMode="External"/><Relationship Id="rId22" Type="http://schemas.openxmlformats.org/officeDocument/2006/relationships/hyperlink" Target="https://docs.google.com/spreadsheets/d/1Qj5TtaT6samgMB1Hf0JpicHdH8xln1JJu4y8wxlmk2s/edit?gid=1497482966" TargetMode="External"/><Relationship Id="rId21" Type="http://schemas.openxmlformats.org/officeDocument/2006/relationships/hyperlink" Target="https://docs.google.com/spreadsheets/d/1OcRa6-2g8aCvfVcwbdiK6DQl66Y3ayvSqHuMu_p6SOM/edit?gid=1497482966" TargetMode="External"/><Relationship Id="rId24" Type="http://schemas.openxmlformats.org/officeDocument/2006/relationships/hyperlink" Target="https://docs.google.com/spreadsheets/d/1UY-j0xgr_fAZy0NTbUA09t0Hu4u0SMBd9elvJEXYphc/edit?gid=1497482966" TargetMode="External"/><Relationship Id="rId23" Type="http://schemas.openxmlformats.org/officeDocument/2006/relationships/hyperlink" Target="https://docs.google.com/spreadsheets/d/1aTehqGoSbWke05Vq-F5_0itcztwxWRhYkuW8kZTQCD0/edit?gid=1497482966" TargetMode="External"/><Relationship Id="rId129" Type="http://schemas.openxmlformats.org/officeDocument/2006/relationships/hyperlink" Target="https://docs.google.com/spreadsheets/d/1e3m-pr0TwJHA_h9CSqeCLCuU1_Ce2gqi3IKGa1WYzbI/edit?gid=1341467536" TargetMode="External"/><Relationship Id="rId128" Type="http://schemas.openxmlformats.org/officeDocument/2006/relationships/hyperlink" Target="https://docs.google.com/spreadsheets/d/1lJOJHdMafX4F7leHOJF-4nz5XZWWC6wf9iPVk-fwYuc/edit?gid=1341467536" TargetMode="External"/><Relationship Id="rId127" Type="http://schemas.openxmlformats.org/officeDocument/2006/relationships/hyperlink" Target="https://docs.google.com/spreadsheets/d/1pB1xSTotdWgk2W6CPSN5h3tSmEAejPqM8Z2nIGsuvdk/edit?gid=1341467536" TargetMode="External"/><Relationship Id="rId126" Type="http://schemas.openxmlformats.org/officeDocument/2006/relationships/hyperlink" Target="https://docs.google.com/spreadsheets/d/1mPTf7j9xdnArmbZ1jMngI2fZbdbJ-dknAYAPIwKrtsg/edit?gid=1341467536" TargetMode="External"/><Relationship Id="rId26" Type="http://schemas.openxmlformats.org/officeDocument/2006/relationships/hyperlink" Target="https://docs.google.com/spreadsheets/d/1uT7u1GaubedVaTK7SLPRq_gMtCy5EmWvlWB7vZvpdyU/edit?gid=1497482966" TargetMode="External"/><Relationship Id="rId121" Type="http://schemas.openxmlformats.org/officeDocument/2006/relationships/hyperlink" Target="https://docs.google.com/spreadsheets/d/1JGZe4BtBgqjElWEapKwYiVSP5l6xVn-qDkEssy-uk20/edit?gid=1341467536" TargetMode="External"/><Relationship Id="rId25" Type="http://schemas.openxmlformats.org/officeDocument/2006/relationships/hyperlink" Target="https://docs.google.com/spreadsheets/d/1wfV0kL3IYcOIixYnK97bx-CHS-oLwgFvQMXdEH-Kkqk/edit?gid=1497482966" TargetMode="External"/><Relationship Id="rId120" Type="http://schemas.openxmlformats.org/officeDocument/2006/relationships/hyperlink" Target="https://docs.google.com/spreadsheets/d/1gdAGVVu4jsRKYQK2ZgJjaWFYuhmNclw2AaXYXzxTOuo/edit?gid=805713900" TargetMode="External"/><Relationship Id="rId28" Type="http://schemas.openxmlformats.org/officeDocument/2006/relationships/hyperlink" Target="https://docs.google.com/spreadsheets/d/1fml_kNac2dz3no39aC_LZll3sW9qRceJqMRpOzZafpE/edit?gid=2033784974" TargetMode="External"/><Relationship Id="rId27" Type="http://schemas.openxmlformats.org/officeDocument/2006/relationships/hyperlink" Target="https://docs.google.com/spreadsheets/d/15E_rnclpty5ezrHH_-03x-UjLU14YKIogJv9xxN5SpE/edit?gid=1341467536" TargetMode="External"/><Relationship Id="rId125" Type="http://schemas.openxmlformats.org/officeDocument/2006/relationships/hyperlink" Target="https://docs.google.com/spreadsheets/d/1CcvfbntWYwUCrA7zsBlkY8L-agT1NuOmpQDqHcx2Bx8/edit?gid=1341467536" TargetMode="External"/><Relationship Id="rId29" Type="http://schemas.openxmlformats.org/officeDocument/2006/relationships/hyperlink" Target="https://docs.google.com/spreadsheets/d/1Edo_FuxNlaCcpxEtJPRKAwhAdc2IZuQ9RgVyOg2UO20/edit?gid=2033784974" TargetMode="External"/><Relationship Id="rId124" Type="http://schemas.openxmlformats.org/officeDocument/2006/relationships/hyperlink" Target="https://docs.google.com/spreadsheets/d/1H01Ht_vAzJTbkFog81z26vzrUQx9R4Y8SIl_LnykhxU/edit?gid=1341467536" TargetMode="External"/><Relationship Id="rId123" Type="http://schemas.openxmlformats.org/officeDocument/2006/relationships/hyperlink" Target="https://docs.google.com/spreadsheets/d/1eUS--0Du4WgC93cH6BpbIagHwg5tlNH0KSKPRPFbwSI/edit?gid=1341467536" TargetMode="External"/><Relationship Id="rId122" Type="http://schemas.openxmlformats.org/officeDocument/2006/relationships/hyperlink" Target="https://docs.google.com/spreadsheets/d/1TePhtCleSUbgw2f_Vd1OaH8duJ_BPgDTiFO_w-E3hYs/edit?gid=1341467536" TargetMode="External"/><Relationship Id="rId95" Type="http://schemas.openxmlformats.org/officeDocument/2006/relationships/hyperlink" Target="https://docs.google.com/spreadsheets/d/1hP-qwvIQqUaDe49V9gwiyjIbfn8eIFpoD79lIuOSbCg/edit?gid=1341467536" TargetMode="External"/><Relationship Id="rId94" Type="http://schemas.openxmlformats.org/officeDocument/2006/relationships/hyperlink" Target="https://docs.google.com/spreadsheets/d/1qe_pAYGejJhQblvy8wj7og2pq7hmf_oVLv1Id8w2Tp0/edit?gid=1341467536" TargetMode="External"/><Relationship Id="rId97" Type="http://schemas.openxmlformats.org/officeDocument/2006/relationships/hyperlink" Target="https://docs.google.com/spreadsheets/d/1qnoobEmWwfICZfZOFrCKW1_HgfUt2hx5KIEXy53ocu8/edit?gid=1341467536" TargetMode="External"/><Relationship Id="rId96" Type="http://schemas.openxmlformats.org/officeDocument/2006/relationships/hyperlink" Target="https://docs.google.com/spreadsheets/d/1Kexxn7I0H8Ao2eWlPdMbkcw4PEzf6i1V64lNAR8bwt4/edit?gid=1341467536" TargetMode="External"/><Relationship Id="rId11" Type="http://schemas.openxmlformats.org/officeDocument/2006/relationships/hyperlink" Target="https://docs.google.com/spreadsheets/d/1O5SrGJRLCBWjq1-fAxi62dcuOOhoyTt8u_ilKzR77e4/edit?gid=1341467536" TargetMode="External"/><Relationship Id="rId99" Type="http://schemas.openxmlformats.org/officeDocument/2006/relationships/hyperlink" Target="https://docs.google.com/spreadsheets/d/1mVcLTNUtud_HGN5KqRkr26z4wWqMfuVISPWV-j7AeDI/edit?gid=2033784974" TargetMode="External"/><Relationship Id="rId10" Type="http://schemas.openxmlformats.org/officeDocument/2006/relationships/hyperlink" Target="https://docs.google.com/spreadsheets/d/1EjO7bhJJHwE3SLtyZVvnKS5VZwp19l8BRF2Pvvy_ufA/edit?gid=1497482966" TargetMode="External"/><Relationship Id="rId98" Type="http://schemas.openxmlformats.org/officeDocument/2006/relationships/hyperlink" Target="https://docs.google.com/spreadsheets/d/1p8Njrpo5P8v-kUZS9OyP4VteW6umtJCIIOYd3M43QJQ/edit?gid=1341467536" TargetMode="External"/><Relationship Id="rId13" Type="http://schemas.openxmlformats.org/officeDocument/2006/relationships/hyperlink" Target="https://docs.google.com/spreadsheets/d/1zOVMgLF_LLvjqrYVMmlrwb2Do3cpdiv-u89jb0etBvk/edit?gid=1497482966" TargetMode="External"/><Relationship Id="rId12" Type="http://schemas.openxmlformats.org/officeDocument/2006/relationships/hyperlink" Target="https://docs.google.com/spreadsheets/d/1GBzwl_PlVmpO5NCybNiYNM54vmRiinPRCSd7-YpZtHE/edit?gid=1497482966" TargetMode="External"/><Relationship Id="rId91" Type="http://schemas.openxmlformats.org/officeDocument/2006/relationships/hyperlink" Target="https://docs.google.com/spreadsheets/d/14UttH9GWvoPBuKPNNbYTSzo9UBO6F9FVaaeQKG6r8YU/edit?gid=1341467536" TargetMode="External"/><Relationship Id="rId90" Type="http://schemas.openxmlformats.org/officeDocument/2006/relationships/hyperlink" Target="https://docs.google.com/spreadsheets/d/1uLsm51GAiNuz2jvar6tvCPl0rMVrN-PPC7PhNDRWJTM/edit?gid=1341467536" TargetMode="External"/><Relationship Id="rId93" Type="http://schemas.openxmlformats.org/officeDocument/2006/relationships/hyperlink" Target="https://docs.google.com/spreadsheets/d/1PlR6Z3zHJymnKg6ORztGtdKtpi0wrOuSVoXNG_G7KQ4/edit?gid=1341467536" TargetMode="External"/><Relationship Id="rId92" Type="http://schemas.openxmlformats.org/officeDocument/2006/relationships/hyperlink" Target="https://docs.google.com/spreadsheets/d/1yUUnyLNWVBPcm0YE_M8mUvXmSLXHyhXOYBERVDRZtfE/edit?gid=1341467536" TargetMode="External"/><Relationship Id="rId118" Type="http://schemas.openxmlformats.org/officeDocument/2006/relationships/hyperlink" Target="https://docs.google.com/spreadsheets/d/1bTZn0mRbhRTNhOwEvzA7rdE5v67_G8rdD5IlAtSvoi0/edit?gid=1341467536" TargetMode="External"/><Relationship Id="rId117" Type="http://schemas.openxmlformats.org/officeDocument/2006/relationships/hyperlink" Target="https://docs.google.com/spreadsheets/d/1fVQNXSly5-Fbx0YPIglcERtNfloC0LUL1BR0kKWgoBk/edit?gid=1341467536" TargetMode="External"/><Relationship Id="rId116" Type="http://schemas.openxmlformats.org/officeDocument/2006/relationships/hyperlink" Target="https://docs.google.com/spreadsheets/d/1D82RiAIga3P-S7L19E6n3dK-WZ9_64jEBfk8-CadHL8/edit?gid=2033784974" TargetMode="External"/><Relationship Id="rId115" Type="http://schemas.openxmlformats.org/officeDocument/2006/relationships/hyperlink" Target="https://docs.google.com/spreadsheets/d/15_BY1_66_6WqEGT--t8RjEoEXZJyfDh_Kt75RtV-0is/edit?gid=1341467536" TargetMode="External"/><Relationship Id="rId119" Type="http://schemas.openxmlformats.org/officeDocument/2006/relationships/hyperlink" Target="https://docs.google.com/spreadsheets/d/1Fbm0apw7zLVmavgY6iozTPIJ5-Iv25IyQ1b5DXqyNYQ/edit?gid=1341467536" TargetMode="External"/><Relationship Id="rId15" Type="http://schemas.openxmlformats.org/officeDocument/2006/relationships/hyperlink" Target="https://docs.google.com/spreadsheets/d/1Ywp7KpBDcyJCkmqLIH7uQJxyS5eajbo0oKOfxMRvieE/edit?gid=1497482966" TargetMode="External"/><Relationship Id="rId110" Type="http://schemas.openxmlformats.org/officeDocument/2006/relationships/hyperlink" Target="https://docs.google.com/spreadsheets/d/1j_wNLUS5ALbi1jbFC2fD3WbfH_ItbIvREMZHwJVCED0/edit?gid=2033784974" TargetMode="External"/><Relationship Id="rId14" Type="http://schemas.openxmlformats.org/officeDocument/2006/relationships/hyperlink" Target="https://docs.google.com/spreadsheets/d/13bXp4YCuvCNA58JfDs3_8ovzffxDW0gmd9Rl5--ZEIE/edit?gid=1497482966" TargetMode="External"/><Relationship Id="rId17" Type="http://schemas.openxmlformats.org/officeDocument/2006/relationships/hyperlink" Target="https://docs.google.com/spreadsheets/d/1kTtiWPRE-Tr4C9vAKkM4WxSJeGPUzlupznp8Mr0PTLw/edit?gid=1497482966" TargetMode="External"/><Relationship Id="rId16" Type="http://schemas.openxmlformats.org/officeDocument/2006/relationships/hyperlink" Target="https://docs.google.com/spreadsheets/d/1uq2bchEnJYCpzZtCaNB5fQ0Y_AD0Rif2SArlnqZ5x9Q/edit?gid=1497482966" TargetMode="External"/><Relationship Id="rId19" Type="http://schemas.openxmlformats.org/officeDocument/2006/relationships/hyperlink" Target="https://docs.google.com/spreadsheets/d/1CNJji_F7u2l6o5dcHZWHPNjOkdSLXLpnveQxWHOBM10/edit?gid=1497482966" TargetMode="External"/><Relationship Id="rId114" Type="http://schemas.openxmlformats.org/officeDocument/2006/relationships/hyperlink" Target="https://docs.google.com/spreadsheets/d/1PAEtbFC-OcKxgo1HAPcEhSV_5wH2lZVCjQSpHXkPLyc/edit?gid=1341467536" TargetMode="External"/><Relationship Id="rId18" Type="http://schemas.openxmlformats.org/officeDocument/2006/relationships/hyperlink" Target="https://docs.google.com/spreadsheets/d/1znprA1i0UrCMyTsvdKWAyNFo1UKOC5utCW98k6qBjZc/edit?gid=1497482966" TargetMode="External"/><Relationship Id="rId113" Type="http://schemas.openxmlformats.org/officeDocument/2006/relationships/hyperlink" Target="https://docs.google.com/spreadsheets/d/1eHyCLvxWGn6uAwnUdvW5ae-Bb6I3thZe8Sor2hVcAJo/edit?gid=805713900" TargetMode="External"/><Relationship Id="rId112" Type="http://schemas.openxmlformats.org/officeDocument/2006/relationships/hyperlink" Target="https://docs.google.com/spreadsheets/d/11sIR38IUn0lrxLuAjDiW8Nz7o0Kmw1YzihUD0_paO9s/edit?gid=1341467536" TargetMode="External"/><Relationship Id="rId111" Type="http://schemas.openxmlformats.org/officeDocument/2006/relationships/hyperlink" Target="https://docs.google.com/spreadsheets/d/1Hw709CI5yKaB_aOdF9oMqZgUJ8TfrJtjsSXl_DaoFfk/edit?gid=1341467536" TargetMode="External"/><Relationship Id="rId84" Type="http://schemas.openxmlformats.org/officeDocument/2006/relationships/hyperlink" Target="https://docs.google.com/spreadsheets/d/1X-K61q54IRzGLGReycI91EzC0EH6IDhqM2B_JFD0MuY/edit?gid=1341467536" TargetMode="External"/><Relationship Id="rId83" Type="http://schemas.openxmlformats.org/officeDocument/2006/relationships/hyperlink" Target="https://docs.google.com/spreadsheets/d/1YGb1rPh2HHxhHwtneVfXg_IW4WNVKswxSioHWZdE1ag/edit?gid=1341467536" TargetMode="External"/><Relationship Id="rId86" Type="http://schemas.openxmlformats.org/officeDocument/2006/relationships/hyperlink" Target="https://docs.google.com/spreadsheets/d/1M7dYMgHSv_Al5rmiwKN34QYoO5EIRZuuau76IDSX9QE/edit?gid=1341467536" TargetMode="External"/><Relationship Id="rId85" Type="http://schemas.openxmlformats.org/officeDocument/2006/relationships/hyperlink" Target="https://docs.google.com/spreadsheets/d/12wOQhLuqcXPv-whFT9LmSlojYAlRPneMVj5KIPUn4Eo/edit?gid=1341467536" TargetMode="External"/><Relationship Id="rId88" Type="http://schemas.openxmlformats.org/officeDocument/2006/relationships/hyperlink" Target="https://docs.google.com/spreadsheets/d/1UWiexfeKcn0LonqJP1JmfdFoCinxYQuNbzEfG9nXrjQ/edit?gid=1341467536" TargetMode="External"/><Relationship Id="rId150" Type="http://schemas.openxmlformats.org/officeDocument/2006/relationships/hyperlink" Target="https://docs.google.com/spreadsheets/d/1idXmmEe6KDI52Tr_a3xwHIIWr_-qKPtNk4QT-t-crA4/edit?gid=1341467536" TargetMode="External"/><Relationship Id="rId87" Type="http://schemas.openxmlformats.org/officeDocument/2006/relationships/hyperlink" Target="https://docs.google.com/spreadsheets/d/1a4Swl0plAXUwRnQ7jiptMbTQb7BcAaBYyCAssmrg14U/edit?gid=1341467536" TargetMode="External"/><Relationship Id="rId89" Type="http://schemas.openxmlformats.org/officeDocument/2006/relationships/hyperlink" Target="https://docs.google.com/spreadsheets/d/1iQ_xeg8rjfR_9T0hToCuvuTZjxq3w36G1NVixerKm54/edit?gid=1341467536" TargetMode="External"/><Relationship Id="rId80" Type="http://schemas.openxmlformats.org/officeDocument/2006/relationships/hyperlink" Target="https://docs.google.com/spreadsheets/d/1_CgBDCW9mUIuRZRH94JrUOwXWfc2cIGcJA6xsZvw6sk/edit?gid=1341467536" TargetMode="External"/><Relationship Id="rId82" Type="http://schemas.openxmlformats.org/officeDocument/2006/relationships/hyperlink" Target="https://docs.google.com/spreadsheets/d/17GBXcJ48eZ73gNvuLmhAiJeaCTNG8iucKqDo8guuaK0/edit?gid=1341467536" TargetMode="External"/><Relationship Id="rId81" Type="http://schemas.openxmlformats.org/officeDocument/2006/relationships/hyperlink" Target="https://docs.google.com/spreadsheets/d/13pBvr4IIKBGbJBUaJwC9ERjpVw00DqKqh6PCpscpOfk/edit?gid=1341467536" TargetMode="External"/><Relationship Id="rId1" Type="http://schemas.openxmlformats.org/officeDocument/2006/relationships/hyperlink" Target="https://docs.google.com/spreadsheets/d/1zEbuvyDWRbmR0ouFYeK7tbEaVxcq8UzTKwLwS0dk2dQ/edit?gid=1976259096" TargetMode="External"/><Relationship Id="rId2" Type="http://schemas.openxmlformats.org/officeDocument/2006/relationships/hyperlink" Target="https://docs.google.com/spreadsheets/d/1ODAY3E1z7OGF2LzO8aUqpnjmGToSwxyc3PPioZ4DwW0/edit?gid=2033784974" TargetMode="External"/><Relationship Id="rId3" Type="http://schemas.openxmlformats.org/officeDocument/2006/relationships/hyperlink" Target="https://docs.google.com/spreadsheets/d/13Fc8-a9pHJACWm6Y_t3k-GSQCaRCk6KjTvbp7nJwb9k/edit?gid=1341467536" TargetMode="External"/><Relationship Id="rId149" Type="http://schemas.openxmlformats.org/officeDocument/2006/relationships/hyperlink" Target="https://docs.google.com/spreadsheets/d/1wQDmASW0HU6zCdKsesqm8soUoCqJZ63YpdaxNfcEEOw/edit?gid=1341467536" TargetMode="External"/><Relationship Id="rId4" Type="http://schemas.openxmlformats.org/officeDocument/2006/relationships/hyperlink" Target="https://docs.google.com/spreadsheets/d/1vLRgwK6hjZP6hhMuz2o8rLQ6kB11V0d31foypVTukps/edit?gid=1341467536" TargetMode="External"/><Relationship Id="rId148" Type="http://schemas.openxmlformats.org/officeDocument/2006/relationships/hyperlink" Target="https://docs.google.com/spreadsheets/d/1hxJXs0f9S8TQq71yJe_ECfVHUjVd7ZAkudOacatEMoo/edit?gid=805713900" TargetMode="External"/><Relationship Id="rId9" Type="http://schemas.openxmlformats.org/officeDocument/2006/relationships/hyperlink" Target="https://docs.google.com/spreadsheets/d/1B9MinJWQVxSNOKjLg_eOgpKcqiQ4le9o9DsauUoBQQk/edit?gid=1497482966" TargetMode="External"/><Relationship Id="rId143" Type="http://schemas.openxmlformats.org/officeDocument/2006/relationships/hyperlink" Target="https://docs.google.com/spreadsheets/d/1MW6a6jLEdy8CZwjgadQ1IGWHyW6dxy62D02AUFwMp40/edit?gid=805713900" TargetMode="External"/><Relationship Id="rId142" Type="http://schemas.openxmlformats.org/officeDocument/2006/relationships/hyperlink" Target="https://docs.google.com/spreadsheets/d/1nIJG7CelDApZGhkcmMaXlQqkIO6EghAiQzfsS621TwU/edit?gid=1341467536" TargetMode="External"/><Relationship Id="rId141" Type="http://schemas.openxmlformats.org/officeDocument/2006/relationships/hyperlink" Target="https://docs.google.com/spreadsheets/d/11rDQEyaYUSnpdlq2Pqnvxn0iLEFN7FBJ9lU_Dt5OCjk/edit?gid=1341467536" TargetMode="External"/><Relationship Id="rId140" Type="http://schemas.openxmlformats.org/officeDocument/2006/relationships/hyperlink" Target="https://docs.google.com/spreadsheets/d/1WWoi4AiU4ZalOlFr_paG2a1pjCkPIXKAEwNKuCSR2aw/edit?gid=1341467536" TargetMode="External"/><Relationship Id="rId5" Type="http://schemas.openxmlformats.org/officeDocument/2006/relationships/hyperlink" Target="https://docs.google.com/spreadsheets/d/1JbzWTCXPa_xobBbKc9ChLSIe7ntEVowtqYT2WiqTAtc/edit?gid=1341467536" TargetMode="External"/><Relationship Id="rId147" Type="http://schemas.openxmlformats.org/officeDocument/2006/relationships/hyperlink" Target="https://docs.google.com/spreadsheets/d/1MkjKTf2-omGc60bS_JztBwPcHpSCfn3ZwRCKE9Tte4Y/edit?gid=805713900" TargetMode="External"/><Relationship Id="rId6" Type="http://schemas.openxmlformats.org/officeDocument/2006/relationships/hyperlink" Target="https://docs.google.com/spreadsheets/d/1YNPeOcVVH84Z6yaayqnF3iWqSaHs-QpfCGBqUyxuwjc/edit?gid=1341467536" TargetMode="External"/><Relationship Id="rId146" Type="http://schemas.openxmlformats.org/officeDocument/2006/relationships/hyperlink" Target="https://docs.google.com/spreadsheets/d/1npw38wlxwdF0l1yJ0kBW4eqg6PerH79oG0QM27QpAcA/edit?gid=805713900" TargetMode="External"/><Relationship Id="rId7" Type="http://schemas.openxmlformats.org/officeDocument/2006/relationships/hyperlink" Target="https://docs.google.com/spreadsheets/d/1Hrq-3imWRf7v7AC2sGZK6pmc6S0FGRXmWkvBZWp9Jng/edit?gid=1497482966" TargetMode="External"/><Relationship Id="rId145" Type="http://schemas.openxmlformats.org/officeDocument/2006/relationships/hyperlink" Target="https://docs.google.com/spreadsheets/d/1vvlbbnIDxgMmgvxIt4wWzH04he9gGYW1OKEcq1yxzXM/edit?gid=1341467536" TargetMode="External"/><Relationship Id="rId8" Type="http://schemas.openxmlformats.org/officeDocument/2006/relationships/hyperlink" Target="https://docs.google.com/spreadsheets/d/128p3osIaEKh8h4URNzEyKXx6dnqgBDD_ecr-gvogR7g/edit?gid=1497482966" TargetMode="External"/><Relationship Id="rId144" Type="http://schemas.openxmlformats.org/officeDocument/2006/relationships/hyperlink" Target="https://docs.google.com/spreadsheets/d/1U2oQt8d0YOlQhHHRTYaZ6zO0ZRtycwpP_Gn7WQJXFow/edit?gid=1341467536" TargetMode="External"/><Relationship Id="rId73" Type="http://schemas.openxmlformats.org/officeDocument/2006/relationships/hyperlink" Target="https://docs.google.com/spreadsheets/d/1e34ZM5sfEApljRx1ciufwN7hgy3XJ2czRW1wrxCYoqU/edit?gid=1976259096" TargetMode="External"/><Relationship Id="rId72" Type="http://schemas.openxmlformats.org/officeDocument/2006/relationships/hyperlink" Target="https://docs.google.com/spreadsheets/d/129AgLHtBn09Im4FSWFFL8UCHvGKzlWeGzRCiTpw48ms/edit?gid=805713900" TargetMode="External"/><Relationship Id="rId75" Type="http://schemas.openxmlformats.org/officeDocument/2006/relationships/hyperlink" Target="https://docs.google.com/spreadsheets/d/19RxdX9bO1BeL9KgnE-tZiRcCpNq01UI_ccCIA7esLtE/edit?gid=1341467536" TargetMode="External"/><Relationship Id="rId74" Type="http://schemas.openxmlformats.org/officeDocument/2006/relationships/hyperlink" Target="https://docs.google.com/spreadsheets/d/1rItnCKf4DcGOktpn-TpJSJxZ-s0dhly0dOOsZxfnrc0/edit?gid=805713900" TargetMode="External"/><Relationship Id="rId77" Type="http://schemas.openxmlformats.org/officeDocument/2006/relationships/hyperlink" Target="https://docs.google.com/spreadsheets/d/1ItfobyVRX_1v6hvZs7eL6iQkXRfjCKAv_xyhUVtAbRU/edit?gid=1341467536" TargetMode="External"/><Relationship Id="rId76" Type="http://schemas.openxmlformats.org/officeDocument/2006/relationships/hyperlink" Target="https://docs.google.com/spreadsheets/d/1Rg6EDhMLNsFrNA4xZ0avWvzgjE1XzZNEUdYpzaQXb-A/edit?gid=1341467536" TargetMode="External"/><Relationship Id="rId79" Type="http://schemas.openxmlformats.org/officeDocument/2006/relationships/hyperlink" Target="https://docs.google.com/spreadsheets/d/1YxxmMU2ycEvxaktrkFyIlqgh6GJ1WapHqECigLpGpmA/edit?gid=1341467536" TargetMode="External"/><Relationship Id="rId78" Type="http://schemas.openxmlformats.org/officeDocument/2006/relationships/hyperlink" Target="https://docs.google.com/spreadsheets/d/1YWoT2upv4StgSUdseFgOSW6r6XocOShUzYqSF5nVduY/edit?gid=1341467536" TargetMode="External"/><Relationship Id="rId71" Type="http://schemas.openxmlformats.org/officeDocument/2006/relationships/hyperlink" Target="https://docs.google.com/spreadsheets/d/155gViIJ1q_lpBMeCZ5ol_o8p-vEf9uweyg-5b3Mwj-E/edit?gid=1341467536" TargetMode="External"/><Relationship Id="rId70" Type="http://schemas.openxmlformats.org/officeDocument/2006/relationships/hyperlink" Target="https://docs.google.com/spreadsheets/d/1Udj7-oM2pHlB-FqgDnpXvcZAGa9mbV2SfC9YYu0UkwA/edit?gid=1341467536" TargetMode="External"/><Relationship Id="rId139" Type="http://schemas.openxmlformats.org/officeDocument/2006/relationships/hyperlink" Target="https://docs.google.com/spreadsheets/d/1bogI21fwAc2Ul9G-0219H5c7548CWLy2FdMMxZf36-o/edit?gid=1341467536" TargetMode="External"/><Relationship Id="rId138" Type="http://schemas.openxmlformats.org/officeDocument/2006/relationships/hyperlink" Target="https://docs.google.com/spreadsheets/d/1lH4fNlzCMd17N3JuaZHQbeuesu5He5JJMxljjZNqyBg/edit?gid=1341467536" TargetMode="External"/><Relationship Id="rId137" Type="http://schemas.openxmlformats.org/officeDocument/2006/relationships/hyperlink" Target="https://docs.google.com/spreadsheets/d/1EOz8C64jUegqKG2j0QdjU5No14udtHDHQdSnMyRo9us/edit?gid=1341467536" TargetMode="External"/><Relationship Id="rId132" Type="http://schemas.openxmlformats.org/officeDocument/2006/relationships/hyperlink" Target="https://docs.google.com/spreadsheets/d/1I_8tWuto0mT3LXLikv0H3qs0mMrS81-wvv0yiR8e9cg/edit?gid=1341467536" TargetMode="External"/><Relationship Id="rId131" Type="http://schemas.openxmlformats.org/officeDocument/2006/relationships/hyperlink" Target="https://docs.google.com/spreadsheets/d/15VbJ5z0OhqCRLJNskMK2R5e4AGs7XB4_y4EJPIKjgl8/edit?gid=1341467536" TargetMode="External"/><Relationship Id="rId130" Type="http://schemas.openxmlformats.org/officeDocument/2006/relationships/hyperlink" Target="https://docs.google.com/spreadsheets/d/1-tdJVRWHG2gxUI6N_M-0aXc9a6SzOszUMW087QY9gfw/edit?gid=1341467536" TargetMode="External"/><Relationship Id="rId136" Type="http://schemas.openxmlformats.org/officeDocument/2006/relationships/hyperlink" Target="https://docs.google.com/spreadsheets/d/1jggHT2X-sIooYXgOQapGlcOae6X-C4jraw682spGWe4/edit?gid=1341467536" TargetMode="External"/><Relationship Id="rId135" Type="http://schemas.openxmlformats.org/officeDocument/2006/relationships/hyperlink" Target="https://docs.google.com/spreadsheets/d/1gcsotLL5RCW__KSt6-nuvZzfbdwo0k_rCdMYFFemKuE/edit?gid=805713900" TargetMode="External"/><Relationship Id="rId134" Type="http://schemas.openxmlformats.org/officeDocument/2006/relationships/hyperlink" Target="https://docs.google.com/spreadsheets/d/15KpseeFFVYMswj0lVh_-xsh1kruz03sXVdEJDnFBFQ8/edit?gid=805713900" TargetMode="External"/><Relationship Id="rId133" Type="http://schemas.openxmlformats.org/officeDocument/2006/relationships/hyperlink" Target="https://docs.google.com/spreadsheets/d/1Xjk0hgeaKPSDDnsNu2UsZa70b_s08kz_K_FX6h6-gPU/edit?gid=1341467536" TargetMode="External"/><Relationship Id="rId62" Type="http://schemas.openxmlformats.org/officeDocument/2006/relationships/hyperlink" Target="https://docs.google.com/spreadsheets/d/1WAtbiQ_lnlFDvhTqNEfoFlQNu8iz9GNo4Gv9hsP8WyA/edit?gid=1341467536" TargetMode="External"/><Relationship Id="rId61" Type="http://schemas.openxmlformats.org/officeDocument/2006/relationships/hyperlink" Target="https://docs.google.com/spreadsheets/d/1dmz7jel2P3P7UUa-klmLe8MbxJr3DvC6jWmKr3M7wwk/edit?gid=1341467536" TargetMode="External"/><Relationship Id="rId64" Type="http://schemas.openxmlformats.org/officeDocument/2006/relationships/hyperlink" Target="https://docs.google.com/spreadsheets/d/1lVS1bSGZh0tYkRSXHRkkWNYp2AehUJaNXh6xgOl0beM/edit?gid=805713900" TargetMode="External"/><Relationship Id="rId63" Type="http://schemas.openxmlformats.org/officeDocument/2006/relationships/hyperlink" Target="https://docs.google.com/spreadsheets/d/1dDbtlZGLxbkfBZAQjE4v0gmKYdQPQlM1EncYWTnvtnY/edit?gid=1341467536" TargetMode="External"/><Relationship Id="rId66" Type="http://schemas.openxmlformats.org/officeDocument/2006/relationships/hyperlink" Target="https://docs.google.com/spreadsheets/d/1Ri55cFQQ5RIePbvZGO4XWVAIZpOTtgaGcjrWmn0aRSM/edit?gid=805713900" TargetMode="External"/><Relationship Id="rId65" Type="http://schemas.openxmlformats.org/officeDocument/2006/relationships/hyperlink" Target="https://docs.google.com/spreadsheets/d/1gh-xw89enAs3CmNRBDDBj6IansVNzux5cA72h1e2msI/edit?gid=805713900" TargetMode="External"/><Relationship Id="rId68" Type="http://schemas.openxmlformats.org/officeDocument/2006/relationships/hyperlink" Target="https://docs.google.com/spreadsheets/d/1ibGBYNcIKXogVJhFtz0fX6flgC6U2hq1zb5c--nQfyU/edit?gid=1976259096" TargetMode="External"/><Relationship Id="rId67" Type="http://schemas.openxmlformats.org/officeDocument/2006/relationships/hyperlink" Target="https://docs.google.com/spreadsheets/d/1L57UDhNa-SrbNv9ochUXFg2XHTvBOvzF3KkJk3S9RmE/edit?gid=1976259096" TargetMode="External"/><Relationship Id="rId60" Type="http://schemas.openxmlformats.org/officeDocument/2006/relationships/hyperlink" Target="https://docs.google.com/spreadsheets/d/1uWvbc5YiPTBTscL-mTUD9AfE-mJ01XXpgr79UMZ2vwM/edit?gid=1341467536" TargetMode="External"/><Relationship Id="rId165" Type="http://schemas.openxmlformats.org/officeDocument/2006/relationships/hyperlink" Target="https://docs.google.com/spreadsheets/d/1PDvODPUQiipMErZIiowDKKrT93IT1K1CaYrOZ0-MPN0/edit?gid=1341467536" TargetMode="External"/><Relationship Id="rId69" Type="http://schemas.openxmlformats.org/officeDocument/2006/relationships/hyperlink" Target="https://docs.google.com/spreadsheets/d/13OxKyyyFdVKwtSllq1hbkOlqrNqajRTcfV3fFKZGKBc/edit?gid=805713900" TargetMode="External"/><Relationship Id="rId164" Type="http://schemas.openxmlformats.org/officeDocument/2006/relationships/hyperlink" Target="https://docs.google.com/spreadsheets/d/12I1d325LmL2_wZfiw5-TVNnOLhoRoYuB_joLwErkVGo/edit?gid=1341467536" TargetMode="External"/><Relationship Id="rId163" Type="http://schemas.openxmlformats.org/officeDocument/2006/relationships/hyperlink" Target="https://docs.google.com/spreadsheets/d/1WcSmmN0vRcanhgQmBVf3rV2KQbQhhoMP3ddCn0oMnmk/edit?gid=1341467536" TargetMode="External"/><Relationship Id="rId162" Type="http://schemas.openxmlformats.org/officeDocument/2006/relationships/hyperlink" Target="https://docs.google.com/spreadsheets/d/1Qe4cLob6PKcERQQN3zer3_UMgHgtw8YIrDEsNWqV-rI/edit?gid=1341467536" TargetMode="External"/><Relationship Id="rId168" Type="http://schemas.openxmlformats.org/officeDocument/2006/relationships/drawing" Target="../drawings/drawing1.xml"/><Relationship Id="rId167" Type="http://schemas.openxmlformats.org/officeDocument/2006/relationships/hyperlink" Target="https://docs.google.com/spreadsheets/d/1UIgLr8LcTe3P11pNrj7pckeRTWOdKVRCQkOxl3avq5Q/edit?gid=2033784974" TargetMode="External"/><Relationship Id="rId166" Type="http://schemas.openxmlformats.org/officeDocument/2006/relationships/hyperlink" Target="https://docs.google.com/spreadsheets/d/1Boe3W2lWrIkBZB4EyRzdG3QvYImbsN-OtILo7kY8zYo/edit?gid=1341467536" TargetMode="External"/><Relationship Id="rId51" Type="http://schemas.openxmlformats.org/officeDocument/2006/relationships/hyperlink" Target="https://docs.google.com/spreadsheets/d/1Ggk1u5nUHVbwTi6pXOHU0SbYyFRo48BpC1hFq_u4Tjo/edit?gid=1341467536" TargetMode="External"/><Relationship Id="rId50" Type="http://schemas.openxmlformats.org/officeDocument/2006/relationships/hyperlink" Target="https://docs.google.com/spreadsheets/d/1zB1A8DJHvhJfiddRDwQBHyFTQu93vk6ohq7as4bObuw/edit?gid=1341467536" TargetMode="External"/><Relationship Id="rId53" Type="http://schemas.openxmlformats.org/officeDocument/2006/relationships/hyperlink" Target="https://docs.google.com/spreadsheets/d/1xDqvkIabhdw1n-rzD23e2Zb6XbLQ86d9HdmGWdeqKPc/edit?gid=1341467536" TargetMode="External"/><Relationship Id="rId52" Type="http://schemas.openxmlformats.org/officeDocument/2006/relationships/hyperlink" Target="https://docs.google.com/spreadsheets/d/1isYGYaoGjraH1Xw4eAuHKjFMVAIAbfMHzuogn_MFdYg/edit?gid=1341467536" TargetMode="External"/><Relationship Id="rId55" Type="http://schemas.openxmlformats.org/officeDocument/2006/relationships/hyperlink" Target="https://docs.google.com/spreadsheets/d/13Rjz0bsamJlsRtTeR3ABCFRyIfXoe_qEEgyOzXDY-4Y/edit?gid=1341467536" TargetMode="External"/><Relationship Id="rId161" Type="http://schemas.openxmlformats.org/officeDocument/2006/relationships/hyperlink" Target="https://docs.google.com/spreadsheets/d/1t6v_DmyVIsnG45vfkeMpSgTwZwhNGo2wPDPfZGAZ6pA/edit?gid=1341467536" TargetMode="External"/><Relationship Id="rId54" Type="http://schemas.openxmlformats.org/officeDocument/2006/relationships/hyperlink" Target="https://docs.google.com/spreadsheets/d/1oNeD04Fc0jD0smmpt551UE9fpNqSYkSl4mx-LhnHo14/edit?gid=1341467536" TargetMode="External"/><Relationship Id="rId160" Type="http://schemas.openxmlformats.org/officeDocument/2006/relationships/hyperlink" Target="https://docs.google.com/spreadsheets/d/1Y4Du8SbmYth7pcMKh5UB_NpFe-L1BVDvyvPCuCO7drQ/edit?gid=1341467536" TargetMode="External"/><Relationship Id="rId57" Type="http://schemas.openxmlformats.org/officeDocument/2006/relationships/hyperlink" Target="https://docs.google.com/spreadsheets/d/1FmMCioVAEmwiz0Mg24QxpoYm0gaxvaoK-GyqRi3lLkA/edit?gid=1341467536" TargetMode="External"/><Relationship Id="rId56" Type="http://schemas.openxmlformats.org/officeDocument/2006/relationships/hyperlink" Target="https://docs.google.com/spreadsheets/d/12xoM-RTbwlTi96LeFMxAAGwWdK8KoeBPWBznYb2bKa0/edit?gid=1341467536" TargetMode="External"/><Relationship Id="rId159" Type="http://schemas.openxmlformats.org/officeDocument/2006/relationships/hyperlink" Target="https://docs.google.com/spreadsheets/d/1kNmf8vSQNUmkEqCDw7uaGC7D5rHzV6Y9sDQs_97hHNs/edit?gid=1341467536" TargetMode="External"/><Relationship Id="rId59" Type="http://schemas.openxmlformats.org/officeDocument/2006/relationships/hyperlink" Target="https://docs.google.com/spreadsheets/d/16Rf2NM6uZIGxblpLnursm6NlAI7JKEKVjP5RGR3hsiM/edit?gid=1341467536" TargetMode="External"/><Relationship Id="rId154" Type="http://schemas.openxmlformats.org/officeDocument/2006/relationships/hyperlink" Target="https://docs.google.com/spreadsheets/d/1wUOxDf4SF4cqSNmCHjiBpvoNpCrvwfMxal_GR9DoZKo/edit?gid=1341467536" TargetMode="External"/><Relationship Id="rId58" Type="http://schemas.openxmlformats.org/officeDocument/2006/relationships/hyperlink" Target="https://docs.google.com/spreadsheets/d/1SVzc9qgPD14tHDtvNwDlXR9nrShk_7w0ixhh6thjq-s/edit?gid=1341467536" TargetMode="External"/><Relationship Id="rId153" Type="http://schemas.openxmlformats.org/officeDocument/2006/relationships/hyperlink" Target="https://docs.google.com/spreadsheets/d/12td-IMIQkEPWQf36U2PoeSVo9TAxsx9R3obXGRCUmUY/edit?gid=1341467536" TargetMode="External"/><Relationship Id="rId152" Type="http://schemas.openxmlformats.org/officeDocument/2006/relationships/hyperlink" Target="https://docs.google.com/spreadsheets/d/1lEqXN2om204IGAvALbb9LwKfU3Wzm_0yNypT_co_1wE/edit?gid=1341467536" TargetMode="External"/><Relationship Id="rId151" Type="http://schemas.openxmlformats.org/officeDocument/2006/relationships/hyperlink" Target="https://docs.google.com/spreadsheets/d/1XSQoY1Kl_7BnLhfCjSUXEkZtpHUvwY9bWjuUtU_OTBQ/edit?gid=1341467536" TargetMode="External"/><Relationship Id="rId158" Type="http://schemas.openxmlformats.org/officeDocument/2006/relationships/hyperlink" Target="https://docs.google.com/spreadsheets/d/1d3S2LShpOu1BJFbcTsQR4usNtaLz_pgVoOCz9yXxQpE/edit?gid=1341467536" TargetMode="External"/><Relationship Id="rId157" Type="http://schemas.openxmlformats.org/officeDocument/2006/relationships/hyperlink" Target="https://docs.google.com/spreadsheets/d/1I8nX2-qXWqjnKtB8T8XvIhyBAafDezcBesoXY0A1vu4/edit?gid=1341467536" TargetMode="External"/><Relationship Id="rId156" Type="http://schemas.openxmlformats.org/officeDocument/2006/relationships/hyperlink" Target="https://docs.google.com/spreadsheets/d/1OdzLqMyrviwdxmNz2pJlMvSTsE41hrdAwUpZLR-DMms/edit?gid=1341467536" TargetMode="External"/><Relationship Id="rId155" Type="http://schemas.openxmlformats.org/officeDocument/2006/relationships/hyperlink" Target="https://docs.google.com/spreadsheets/d/1Y14GfYse3lEOt9t7GEP-JxNUyxlyayvIbmzT9QecUAg/edit?gid=1341467536"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x.com/Manusiamer39266/status/1966865965595193381" TargetMode="External"/><Relationship Id="rId391" Type="http://schemas.openxmlformats.org/officeDocument/2006/relationships/hyperlink" Target="https://x.com/J0yoWi/status/1967069914340225169" TargetMode="External"/><Relationship Id="rId390" Type="http://schemas.openxmlformats.org/officeDocument/2006/relationships/hyperlink" Target="https://www.tiktok.com/@lapasbagansiapiapii" TargetMode="External"/><Relationship Id="rId2180" Type="http://schemas.openxmlformats.org/officeDocument/2006/relationships/hyperlink" Target="https://x.com/cookieznrain/status/2015325807829475690" TargetMode="External"/><Relationship Id="rId2181" Type="http://schemas.openxmlformats.org/officeDocument/2006/relationships/hyperlink" Target="https://x.com/dolcelattegrand/status/2015343183669195198" TargetMode="External"/><Relationship Id="rId2182" Type="http://schemas.openxmlformats.org/officeDocument/2006/relationships/hyperlink" Target="https://www.facebook.com/reel/1598623667933651" TargetMode="External"/><Relationship Id="rId2183" Type="http://schemas.openxmlformats.org/officeDocument/2006/relationships/hyperlink" Target="https://turnbackhoax.id/articles/31688" TargetMode="External"/><Relationship Id="rId385" Type="http://schemas.openxmlformats.org/officeDocument/2006/relationships/hyperlink" Target="https://www.tiktok.com/@ayahnyaarkhan19/video/7548842161907846408" TargetMode="External"/><Relationship Id="rId2184" Type="http://schemas.openxmlformats.org/officeDocument/2006/relationships/hyperlink" Target="https://www.facebook.com/uvbugalu.palopo/posts/pfbid0Nd7NEtd8vK2WvweayQUrmewQmtKK5tGHtTXTULtdFyQVVKvaBZfPz2uRn4u7CN7Pl?rdid=2dxOwMHi7YOzx68n" TargetMode="External"/><Relationship Id="rId384" Type="http://schemas.openxmlformats.org/officeDocument/2006/relationships/hyperlink" Target="https://www.tiktok.com/@devimahadiva67/video/7548824930721352961" TargetMode="External"/><Relationship Id="rId2185" Type="http://schemas.openxmlformats.org/officeDocument/2006/relationships/hyperlink" Target="https://tirto.id/tidak-benar-narasi-demo-kades-minta-purbaya-mundur-dari-menkeu-hojs" TargetMode="External"/><Relationship Id="rId383" Type="http://schemas.openxmlformats.org/officeDocument/2006/relationships/hyperlink" Target="https://www.tiktok.com/@zeldypratama/video/7540170364970700062" TargetMode="External"/><Relationship Id="rId2186" Type="http://schemas.openxmlformats.org/officeDocument/2006/relationships/hyperlink" Target="https://www.tiktok.com/@kokgitubang.yw/video/7595810379670883592?q=Menkeu%20Purbaya%20akan%20Hapus%20Dana%20Desa%20dan%20Diganti%20Subsidi%20Listrik%20hingga%20Sembako&amp;t=1769418031263" TargetMode="External"/><Relationship Id="rId382" Type="http://schemas.openxmlformats.org/officeDocument/2006/relationships/hyperlink" Target="https://www.tiktok.com/@bustami.bustami26/video/7548497723578715399" TargetMode="External"/><Relationship Id="rId2187" Type="http://schemas.openxmlformats.org/officeDocument/2006/relationships/hyperlink" Target="https://turnbackhoax.id/articles/31920" TargetMode="External"/><Relationship Id="rId389" Type="http://schemas.openxmlformats.org/officeDocument/2006/relationships/hyperlink" Target="https://www.tiktok.com/@tattwamasi6/video/7546465257863138566" TargetMode="External"/><Relationship Id="rId2188" Type="http://schemas.openxmlformats.org/officeDocument/2006/relationships/hyperlink" Target="https://www.tiktok.com/@barokah.jayaplus/video/7588020901149429000" TargetMode="External"/><Relationship Id="rId388" Type="http://schemas.openxmlformats.org/officeDocument/2006/relationships/hyperlink" Target="https://www.tiktok.com/@igunwicaksono/video/7542864588249763088" TargetMode="External"/><Relationship Id="rId2189" Type="http://schemas.openxmlformats.org/officeDocument/2006/relationships/hyperlink" Target="https://turnbackhoax.id/articles/31920" TargetMode="External"/><Relationship Id="rId387" Type="http://schemas.openxmlformats.org/officeDocument/2006/relationships/hyperlink" Target="https://www.tiktok.com/@siganteng501/video/7548247800501308677" TargetMode="External"/><Relationship Id="rId386" Type="http://schemas.openxmlformats.org/officeDocument/2006/relationships/hyperlink" Target="https://www.tiktok.com/@jajat.jaelani/video/7548762501694000391" TargetMode="External"/><Relationship Id="rId381" Type="http://schemas.openxmlformats.org/officeDocument/2006/relationships/hyperlink" Target="https://www.tiktok.com/@vidiorandom189/video/7548402178143128838" TargetMode="External"/><Relationship Id="rId380" Type="http://schemas.openxmlformats.org/officeDocument/2006/relationships/hyperlink" Target="https://www.tiktok.com/@sari25454/video/7548483495753010438" TargetMode="External"/><Relationship Id="rId379" Type="http://schemas.openxmlformats.org/officeDocument/2006/relationships/hyperlink" Target="https://www.tiktok.com/@real_and_facts/video/7549437703587204360" TargetMode="External"/><Relationship Id="rId2170" Type="http://schemas.openxmlformats.org/officeDocument/2006/relationships/hyperlink" Target="https://x.com/boss38491/status/2015534931901059259" TargetMode="External"/><Relationship Id="rId2171" Type="http://schemas.openxmlformats.org/officeDocument/2006/relationships/hyperlink" Target="https://x.com/boss38491/status/2015536088492949640" TargetMode="External"/><Relationship Id="rId2172" Type="http://schemas.openxmlformats.org/officeDocument/2006/relationships/hyperlink" Target="https://x.com/Yossyuwono48/status/2015453239635001704" TargetMode="External"/><Relationship Id="rId374" Type="http://schemas.openxmlformats.org/officeDocument/2006/relationships/hyperlink" Target="https://web.facebook.com/reel/2214747019029293" TargetMode="External"/><Relationship Id="rId2173" Type="http://schemas.openxmlformats.org/officeDocument/2006/relationships/hyperlink" Target="https://x.com/Vpal28097/status/2015367300158050428" TargetMode="External"/><Relationship Id="rId373" Type="http://schemas.openxmlformats.org/officeDocument/2006/relationships/hyperlink" Target="https://web.facebook.com/Dj.Chondhe/posts/pfbid0F8pHdNMjky1jSsUwizZB3wDgYEfdF6BgL1BUgx1oQLCVJ5Hs1fD72hrUpVpqQN5Ul" TargetMode="External"/><Relationship Id="rId2174" Type="http://schemas.openxmlformats.org/officeDocument/2006/relationships/hyperlink" Target="https://x.com/eubreebreeze/status/2015390777904615634" TargetMode="External"/><Relationship Id="rId372" Type="http://schemas.openxmlformats.org/officeDocument/2006/relationships/hyperlink" Target="https://web.facebook.com/reel/760869193582553" TargetMode="External"/><Relationship Id="rId2175" Type="http://schemas.openxmlformats.org/officeDocument/2006/relationships/hyperlink" Target="https://x.com/Zara_0325/status/2015393944025399703" TargetMode="External"/><Relationship Id="rId371" Type="http://schemas.openxmlformats.org/officeDocument/2006/relationships/hyperlink" Target="https://www.instagram.com/satusuaraexpress.official/reel/DOi1k2ykmf1/" TargetMode="External"/><Relationship Id="rId2176" Type="http://schemas.openxmlformats.org/officeDocument/2006/relationships/hyperlink" Target="https://x.com/rowrenes/status/2015302589274096100" TargetMode="External"/><Relationship Id="rId378" Type="http://schemas.openxmlformats.org/officeDocument/2006/relationships/hyperlink" Target="https://x.com/raka_pradanas/status/1964195004404158529" TargetMode="External"/><Relationship Id="rId2177" Type="http://schemas.openxmlformats.org/officeDocument/2006/relationships/hyperlink" Target="https://x.com/aeroxbahenol/status/2015312114852737050" TargetMode="External"/><Relationship Id="rId377" Type="http://schemas.openxmlformats.org/officeDocument/2006/relationships/hyperlink" Target="https://www.youtube.com/shorts/iCsyMrUP3J0" TargetMode="External"/><Relationship Id="rId2178" Type="http://schemas.openxmlformats.org/officeDocument/2006/relationships/hyperlink" Target="https://x.com/calumhojd/status/2015317910890459523" TargetMode="External"/><Relationship Id="rId376" Type="http://schemas.openxmlformats.org/officeDocument/2006/relationships/hyperlink" Target="https://www.facebook.com/tasbir.byrbyr/posts/24429770843355040" TargetMode="External"/><Relationship Id="rId2179" Type="http://schemas.openxmlformats.org/officeDocument/2006/relationships/hyperlink" Target="https://x.com/saniamkoga/status/2015324920218349841" TargetMode="External"/><Relationship Id="rId375" Type="http://schemas.openxmlformats.org/officeDocument/2006/relationships/hyperlink" Target="https://www.facebook.com/reel/3794332430875614" TargetMode="External"/><Relationship Id="rId2190" Type="http://schemas.openxmlformats.org/officeDocument/2006/relationships/hyperlink" Target="https://vt.tiktok.com/ZSay1Qvwy/" TargetMode="External"/><Relationship Id="rId2191" Type="http://schemas.openxmlformats.org/officeDocument/2006/relationships/hyperlink" Target="https://vt.tiktok.com/ZSay1xguY/" TargetMode="External"/><Relationship Id="rId2192" Type="http://schemas.openxmlformats.org/officeDocument/2006/relationships/hyperlink" Target="https://vt.tiktok.com/ZSay1XRbt/" TargetMode="External"/><Relationship Id="rId2193" Type="http://schemas.openxmlformats.org/officeDocument/2006/relationships/hyperlink" Target="https://x.com/MurtadhoRoy/status/2015237666682581422?t=rydKRQZA0jMyrtH-tXG03Q&amp;s=35" TargetMode="External"/><Relationship Id="rId2194" Type="http://schemas.openxmlformats.org/officeDocument/2006/relationships/hyperlink" Target="https://x.com/NHenryp29864/status/2014677674850189639?t=dOIhYaM-Z340c9AFooU1mQ&amp;s=35" TargetMode="External"/><Relationship Id="rId396" Type="http://schemas.openxmlformats.org/officeDocument/2006/relationships/hyperlink" Target="https://www.facebook.com/genander.wakurenak.christina/posts/pfbid02AZSEFNNXuXyjqW3hpKaLd4Hq1TYyTstASefoTaGWTT5eW82NBNPjGa2mweRcerXnl" TargetMode="External"/><Relationship Id="rId2195" Type="http://schemas.openxmlformats.org/officeDocument/2006/relationships/hyperlink" Target="https://www.tiktok.com/@aneuk.ute.en5/video/7597857617410657557" TargetMode="External"/><Relationship Id="rId395" Type="http://schemas.openxmlformats.org/officeDocument/2006/relationships/hyperlink" Target="https://x.com/_Agvrl/status/1966716492415930392" TargetMode="External"/><Relationship Id="rId2196" Type="http://schemas.openxmlformats.org/officeDocument/2006/relationships/hyperlink" Target="https://x.com/Nabilla_Safina/status/2014552048143106086" TargetMode="External"/><Relationship Id="rId394" Type="http://schemas.openxmlformats.org/officeDocument/2006/relationships/hyperlink" Target="https://x.com/panjid70/status/1967201227122561338" TargetMode="External"/><Relationship Id="rId2197" Type="http://schemas.openxmlformats.org/officeDocument/2006/relationships/hyperlink" Target="https://x.com/RON1N3535/status/2014508214709326238" TargetMode="External"/><Relationship Id="rId393" Type="http://schemas.openxmlformats.org/officeDocument/2006/relationships/hyperlink" Target="https://x.com/Sh4d4mhu53n/status/1966756258628989122" TargetMode="External"/><Relationship Id="rId2198" Type="http://schemas.openxmlformats.org/officeDocument/2006/relationships/hyperlink" Target="https://x.com/C0BRA3131/status/2014313038464364839" TargetMode="External"/><Relationship Id="rId2199" Type="http://schemas.openxmlformats.org/officeDocument/2006/relationships/hyperlink" Target="https://x.com/C0BRA3131/status/2014290028382634127" TargetMode="External"/><Relationship Id="rId399" Type="http://schemas.openxmlformats.org/officeDocument/2006/relationships/hyperlink" Target="https://x.com/Ary_PrasKe2/status/1966103887506715089" TargetMode="External"/><Relationship Id="rId398" Type="http://schemas.openxmlformats.org/officeDocument/2006/relationships/hyperlink" Target="https://x.com/DarsAlexandra1/status/1966070794704015717" TargetMode="External"/><Relationship Id="rId397" Type="http://schemas.openxmlformats.org/officeDocument/2006/relationships/hyperlink" Target="https://x.com/didiek_murdock/status/1966125188732555551" TargetMode="External"/><Relationship Id="rId1730" Type="http://schemas.openxmlformats.org/officeDocument/2006/relationships/hyperlink" Target="https://www.tiktok.com/@bimacitracintanew/video/7602396352458263815" TargetMode="External"/><Relationship Id="rId1731" Type="http://schemas.openxmlformats.org/officeDocument/2006/relationships/hyperlink" Target="https://x.com/DM_Sihombing16/status/2021744550033936576" TargetMode="External"/><Relationship Id="rId1732" Type="http://schemas.openxmlformats.org/officeDocument/2006/relationships/hyperlink" Target="https://x.com/indonesiaeffort/status/2021629362731446715" TargetMode="External"/><Relationship Id="rId1733" Type="http://schemas.openxmlformats.org/officeDocument/2006/relationships/hyperlink" Target="https://x.com/freakingdicer/status/2021607077068595542" TargetMode="External"/><Relationship Id="rId1734" Type="http://schemas.openxmlformats.org/officeDocument/2006/relationships/hyperlink" Target="https://x.com/van88xier/status/2021573889571098762" TargetMode="External"/><Relationship Id="rId1735" Type="http://schemas.openxmlformats.org/officeDocument/2006/relationships/hyperlink" Target="https://x.com/rogue_mercenary/status/2021747092902080761" TargetMode="External"/><Relationship Id="rId1736" Type="http://schemas.openxmlformats.org/officeDocument/2006/relationships/hyperlink" Target="https://x.com/p0litrick/status/2021618360803590350" TargetMode="External"/><Relationship Id="rId1737" Type="http://schemas.openxmlformats.org/officeDocument/2006/relationships/hyperlink" Target="https://www.facebook.com/share/p/1877GNYzSZ/" TargetMode="External"/><Relationship Id="rId1738" Type="http://schemas.openxmlformats.org/officeDocument/2006/relationships/hyperlink" Target="https://vt.tiktok.com/ZSmNv9PkY/" TargetMode="External"/><Relationship Id="rId1739" Type="http://schemas.openxmlformats.org/officeDocument/2006/relationships/hyperlink" Target="https://vt.tiktok.com/ZSmNcdUTE/" TargetMode="External"/><Relationship Id="rId1720" Type="http://schemas.openxmlformats.org/officeDocument/2006/relationships/hyperlink" Target="https://www.tiktok.com/@info.bsu.terkinii/video/7605817351778454805" TargetMode="External"/><Relationship Id="rId1721" Type="http://schemas.openxmlformats.org/officeDocument/2006/relationships/hyperlink" Target="https://www.tiktok.com/@bimacitracintanew/video/7605828860759903506" TargetMode="External"/><Relationship Id="rId1722" Type="http://schemas.openxmlformats.org/officeDocument/2006/relationships/hyperlink" Target="https://www.tiktok.com/@bimacitracintanew/video/7605371528225623303" TargetMode="External"/><Relationship Id="rId1723" Type="http://schemas.openxmlformats.org/officeDocument/2006/relationships/hyperlink" Target="https://www.tiktok.com/@bimacitracintanew/video/7605194353048407314" TargetMode="External"/><Relationship Id="rId1724" Type="http://schemas.openxmlformats.org/officeDocument/2006/relationships/hyperlink" Target="https://www.tiktok.com/@bimacitracintanew/video/7604973896059702546" TargetMode="External"/><Relationship Id="rId1725" Type="http://schemas.openxmlformats.org/officeDocument/2006/relationships/hyperlink" Target="https://www.tiktok.com/@bimacitracintanew/video/7604826874371443986" TargetMode="External"/><Relationship Id="rId1726" Type="http://schemas.openxmlformats.org/officeDocument/2006/relationships/hyperlink" Target="https://www.tiktok.com/@bimacitracintanew/video/7604437237085850888" TargetMode="External"/><Relationship Id="rId1727" Type="http://schemas.openxmlformats.org/officeDocument/2006/relationships/hyperlink" Target="https://www.tiktok.com/@bimacitracintanew/video/7604244436599442706" TargetMode="External"/><Relationship Id="rId1728" Type="http://schemas.openxmlformats.org/officeDocument/2006/relationships/hyperlink" Target="https://www.tiktok.com/@bimacitracintanew/video/7604046426364005640" TargetMode="External"/><Relationship Id="rId1729" Type="http://schemas.openxmlformats.org/officeDocument/2006/relationships/hyperlink" Target="https://www.tiktok.com/@bimacitracintanew/video/7602568305907354887" TargetMode="External"/><Relationship Id="rId1752" Type="http://schemas.openxmlformats.org/officeDocument/2006/relationships/hyperlink" Target="https://www.facebook.com/share/v/1a7kTvCmt9/" TargetMode="External"/><Relationship Id="rId1753" Type="http://schemas.openxmlformats.org/officeDocument/2006/relationships/hyperlink" Target="https://www.facebook.com/share/p/18JT6DWTxR/" TargetMode="External"/><Relationship Id="rId1754" Type="http://schemas.openxmlformats.org/officeDocument/2006/relationships/hyperlink" Target="https://www.facebook.com/share/p/1BH58RDnSF/" TargetMode="External"/><Relationship Id="rId1755" Type="http://schemas.openxmlformats.org/officeDocument/2006/relationships/hyperlink" Target="https://www.facebook.com/share/p/1GCnvm9xZk/" TargetMode="External"/><Relationship Id="rId1756" Type="http://schemas.openxmlformats.org/officeDocument/2006/relationships/hyperlink" Target="https://www.facebook.com/share/p/17waoL5rVA/" TargetMode="External"/><Relationship Id="rId1757" Type="http://schemas.openxmlformats.org/officeDocument/2006/relationships/hyperlink" Target="https://www.facebook.com/share/p/1ATBM1tS8S/" TargetMode="External"/><Relationship Id="rId1758" Type="http://schemas.openxmlformats.org/officeDocument/2006/relationships/hyperlink" Target="https://www.facebook.com/share/p/18DzYRLC86/" TargetMode="External"/><Relationship Id="rId1759" Type="http://schemas.openxmlformats.org/officeDocument/2006/relationships/hyperlink" Target="https://web.facebook.com/share/p/1De5wfHRzN/" TargetMode="External"/><Relationship Id="rId1750" Type="http://schemas.openxmlformats.org/officeDocument/2006/relationships/hyperlink" Target="https://www.tiktok.com/@walipaidi.88/video/7504660181356154113" TargetMode="External"/><Relationship Id="rId1751" Type="http://schemas.openxmlformats.org/officeDocument/2006/relationships/hyperlink" Target="https://www.kompas.com/cekfakta/read/2026/02/05/085855582/hoaks-hakim-kabur-saat-sidang-ijazah-jokowi" TargetMode="External"/><Relationship Id="rId1741" Type="http://schemas.openxmlformats.org/officeDocument/2006/relationships/hyperlink" Target="https://www.komdigi.go.id/berita/berita-hoaks/detail/hoaks-jokowi-gabung-ke-wantimpres-era-prabowo-pada-februari-2026" TargetMode="External"/><Relationship Id="rId1742" Type="http://schemas.openxmlformats.org/officeDocument/2006/relationships/hyperlink" Target="https://www.facebook.com/groups/cyber00/permalink/31464423759839631/?rdid=wPd3r4Jqbn1KvtjS" TargetMode="External"/><Relationship Id="rId1743" Type="http://schemas.openxmlformats.org/officeDocument/2006/relationships/hyperlink" Target="https://www.kompas.com/cekfakta/read/2025/09/22/130300582/-hoaks-ferry-irwandi-tuduh-tni-dalang-kerusuhan" TargetMode="External"/><Relationship Id="rId1744" Type="http://schemas.openxmlformats.org/officeDocument/2006/relationships/hyperlink" Target="https://www.tiktok.com/@khai.rani81/video/7603573557121109266?q=Jokowi%20Gabung%20ke%20Wantimpres%20Era%20Prabowo%20pada%20Februari%202026&amp;t=1770825728920" TargetMode="External"/><Relationship Id="rId1745" Type="http://schemas.openxmlformats.org/officeDocument/2006/relationships/hyperlink" Target="https://www.kompas.com/cekfakta/read/2026/02/09/175100682/-hoaks-jokowi-gabung-ke-wantimpres-era-prabowo-pada-februari-2026" TargetMode="External"/><Relationship Id="rId1746" Type="http://schemas.openxmlformats.org/officeDocument/2006/relationships/hyperlink" Target="https://www.tiktok.com/@virginiasaja/video/7603150845164735751" TargetMode="External"/><Relationship Id="rId1747" Type="http://schemas.openxmlformats.org/officeDocument/2006/relationships/hyperlink" Target="https://www.kompas.com/cekfakta/read/2026/02/09/175100682/-hoaks-jokowi-gabung-ke-wantimpres-era-prabowo-pada-februari-2026" TargetMode="External"/><Relationship Id="rId1748" Type="http://schemas.openxmlformats.org/officeDocument/2006/relationships/hyperlink" Target="https://www.tiktok.com/@sentinel7799/video/7603814867807620370?q=Jokowi%20Gabung%20ke%20Wantimpres%20Era%20Prabowo%20pada%20Februari%202026&amp;t=1770825728920" TargetMode="External"/><Relationship Id="rId1749" Type="http://schemas.openxmlformats.org/officeDocument/2006/relationships/hyperlink" Target="https://www.kompas.com/cekfakta/read/2026/02/09/175100682/-hoaks-jokowi-gabung-ke-wantimpres-era-prabowo-pada-februari-2026" TargetMode="External"/><Relationship Id="rId1740" Type="http://schemas.openxmlformats.org/officeDocument/2006/relationships/hyperlink" Target="https://www.facebook.com/murshidd2/posts/pfbid0g87mHxHS8wzmDvhSn5K9N1NinpFak6wQD7FLEY3ykYiRbtkasd8V2W9qCUErK7tFl?_rdc=1&amp;_rdr" TargetMode="External"/><Relationship Id="rId1710" Type="http://schemas.openxmlformats.org/officeDocument/2006/relationships/hyperlink" Target="https://x.com/MusdiantoA3826/status/2022114298689208564" TargetMode="External"/><Relationship Id="rId1711" Type="http://schemas.openxmlformats.org/officeDocument/2006/relationships/hyperlink" Target="https://www.tiktok.com/@resntra.komensos/video/7482649781504855351" TargetMode="External"/><Relationship Id="rId1712" Type="http://schemas.openxmlformats.org/officeDocument/2006/relationships/hyperlink" Target="https://www.tiktok.com/@info.blt.cair/video/7605125712449768722" TargetMode="External"/><Relationship Id="rId1713" Type="http://schemas.openxmlformats.org/officeDocument/2006/relationships/hyperlink" Target="https://www.tiktok.com/@info.blt.cair/video/7605125685572603143" TargetMode="External"/><Relationship Id="rId1714" Type="http://schemas.openxmlformats.org/officeDocument/2006/relationships/hyperlink" Target="https://www.tiktok.com/@info.blt.cair/video/7605125445515873543" TargetMode="External"/><Relationship Id="rId1715" Type="http://schemas.openxmlformats.org/officeDocument/2006/relationships/hyperlink" Target="https://www.tiktok.com/@bansos.nik.keluar0/video/7579071430399102216" TargetMode="External"/><Relationship Id="rId1716" Type="http://schemas.openxmlformats.org/officeDocument/2006/relationships/hyperlink" Target="https://www.tiktok.com/@bansos.nik.keluar0/video/7568306516390956296" TargetMode="External"/><Relationship Id="rId1717" Type="http://schemas.openxmlformats.org/officeDocument/2006/relationships/hyperlink" Target="https://www.tiktok.com/@bansos.nik.keluar0/video/7566135805408824584" TargetMode="External"/><Relationship Id="rId1718" Type="http://schemas.openxmlformats.org/officeDocument/2006/relationships/hyperlink" Target="https://www.tiktok.com/@info.bsu.terkinii/video/7605818279776570645" TargetMode="External"/><Relationship Id="rId1719" Type="http://schemas.openxmlformats.org/officeDocument/2006/relationships/hyperlink" Target="https://www.tiktok.com/@info.bsu.terkinii/video/7605817957284924693" TargetMode="External"/><Relationship Id="rId1700" Type="http://schemas.openxmlformats.org/officeDocument/2006/relationships/hyperlink" Target="https://www.facebook.com/share/p/1DR935fQ6J/" TargetMode="External"/><Relationship Id="rId1701" Type="http://schemas.openxmlformats.org/officeDocument/2006/relationships/hyperlink" Target="https://www.facebook.com/share/p/18CzDhQe7W/" TargetMode="External"/><Relationship Id="rId1702" Type="http://schemas.openxmlformats.org/officeDocument/2006/relationships/hyperlink" Target="https://www.facebook.com/reel/1168191148514094" TargetMode="External"/><Relationship Id="rId1703" Type="http://schemas.openxmlformats.org/officeDocument/2006/relationships/hyperlink" Target="https://www.tiktok.com/@mediaacehtok/video/7604525740016585991" TargetMode="External"/><Relationship Id="rId1704" Type="http://schemas.openxmlformats.org/officeDocument/2006/relationships/hyperlink" Target="https://www.tiktok.com/@uteun.aceh/video/7602863874903166215" TargetMode="External"/><Relationship Id="rId1705" Type="http://schemas.openxmlformats.org/officeDocument/2006/relationships/hyperlink" Target="https://x.com/princessjjujuu/status/2022335142321361145" TargetMode="External"/><Relationship Id="rId1706" Type="http://schemas.openxmlformats.org/officeDocument/2006/relationships/hyperlink" Target="https://x.com/CaroliteM1197/status/2022307410170524063" TargetMode="External"/><Relationship Id="rId1707" Type="http://schemas.openxmlformats.org/officeDocument/2006/relationships/hyperlink" Target="https://x.com/onorus7940/status/2022506371548361000" TargetMode="External"/><Relationship Id="rId1708" Type="http://schemas.openxmlformats.org/officeDocument/2006/relationships/hyperlink" Target="https://x.com/TheLostGen__/status/2022236292814373044" TargetMode="External"/><Relationship Id="rId1709" Type="http://schemas.openxmlformats.org/officeDocument/2006/relationships/hyperlink" Target="https://x.com/BlenkHead3737/status/2022235673345007791" TargetMode="External"/><Relationship Id="rId40" Type="http://schemas.openxmlformats.org/officeDocument/2006/relationships/hyperlink" Target="https://www.facebook.com/christovita.wilotoii" TargetMode="External"/><Relationship Id="rId42" Type="http://schemas.openxmlformats.org/officeDocument/2006/relationships/hyperlink" Target="https://www.tiktok.com/@syamsulfikryreal/video/7140214281752055066" TargetMode="External"/><Relationship Id="rId41" Type="http://schemas.openxmlformats.org/officeDocument/2006/relationships/hyperlink" Target="https://www.tiktok.com/@dpr_bego/photo/7543395355346472210" TargetMode="External"/><Relationship Id="rId44" Type="http://schemas.openxmlformats.org/officeDocument/2006/relationships/hyperlink" Target="https://www.tiktok.com/@bubarkandpr02/video/7546934210741816581" TargetMode="External"/><Relationship Id="rId43" Type="http://schemas.openxmlformats.org/officeDocument/2006/relationships/hyperlink" Target="https://www.tiktok.com/@syamsulfikryreal/video/71402142817520550" TargetMode="External"/><Relationship Id="rId46" Type="http://schemas.openxmlformats.org/officeDocument/2006/relationships/hyperlink" Target="https://www.tiktok.com/@suara_keadilan.2/video/7546944868086451512" TargetMode="External"/><Relationship Id="rId45" Type="http://schemas.openxmlformats.org/officeDocument/2006/relationships/hyperlink" Target="https://www.tiktok.com/@lsmkhabertana0/video/7546767973269163320" TargetMode="External"/><Relationship Id="rId48" Type="http://schemas.openxmlformats.org/officeDocument/2006/relationships/hyperlink" Target="https://www.tiktok.com/@udagojek/video/7467964865714375944" TargetMode="External"/><Relationship Id="rId47" Type="http://schemas.openxmlformats.org/officeDocument/2006/relationships/hyperlink" Target="https://www.tiktok.com/@repi.mtd/video/7546890891219291399" TargetMode="External"/><Relationship Id="rId49" Type="http://schemas.openxmlformats.org/officeDocument/2006/relationships/hyperlink" Target="https://www.tiktok.com/@oposisi.a2/video/7544238308117892370" TargetMode="External"/><Relationship Id="rId31" Type="http://schemas.openxmlformats.org/officeDocument/2006/relationships/hyperlink" Target="https://vt.tiktok.com/ZSATTPmSg/" TargetMode="External"/><Relationship Id="rId30" Type="http://schemas.openxmlformats.org/officeDocument/2006/relationships/hyperlink" Target="https://www.tiktok.com/@indonesianews20/video/7544717655056469253?_r=1&amp;_t=ZS-8zVoxOjhr8C" TargetMode="External"/><Relationship Id="rId33" Type="http://schemas.openxmlformats.org/officeDocument/2006/relationships/hyperlink" Target="https://vt.tiktok.com/ZSATTqnJ2/" TargetMode="External"/><Relationship Id="rId32" Type="http://schemas.openxmlformats.org/officeDocument/2006/relationships/hyperlink" Target="https://vt.tiktok.com/ZSATTsw85/" TargetMode="External"/><Relationship Id="rId35" Type="http://schemas.openxmlformats.org/officeDocument/2006/relationships/hyperlink" Target="https://vt.tiktok.com/ZSATwudR9/" TargetMode="External"/><Relationship Id="rId34" Type="http://schemas.openxmlformats.org/officeDocument/2006/relationships/hyperlink" Target="https://vt.tiktok.com/ZSATwkKJh/" TargetMode="External"/><Relationship Id="rId37" Type="http://schemas.openxmlformats.org/officeDocument/2006/relationships/hyperlink" Target="https://www.instagram.com/palang__hitam/" TargetMode="External"/><Relationship Id="rId36" Type="http://schemas.openxmlformats.org/officeDocument/2006/relationships/hyperlink" Target="https://x.com/palang__hitam" TargetMode="External"/><Relationship Id="rId39" Type="http://schemas.openxmlformats.org/officeDocument/2006/relationships/hyperlink" Target="https://www.threads.com/@christovitawiloto" TargetMode="External"/><Relationship Id="rId38" Type="http://schemas.openxmlformats.org/officeDocument/2006/relationships/hyperlink" Target="https://www.tiktok.com/@raja_mulonowjadi" TargetMode="External"/><Relationship Id="rId2203" Type="http://schemas.openxmlformats.org/officeDocument/2006/relationships/hyperlink" Target="https://www.facebook.com/onom.gems/posts/mahfud-mdsemua-wajib-di-periksakpk-harus-lebih-tegas-jangan-biarkan-satupun-mafi/802396639260517/" TargetMode="External"/><Relationship Id="rId2204" Type="http://schemas.openxmlformats.org/officeDocument/2006/relationships/hyperlink" Target="https://turnbackhoax.id/articles/31117" TargetMode="External"/><Relationship Id="rId20" Type="http://schemas.openxmlformats.org/officeDocument/2006/relationships/hyperlink" Target="https://x.com/AnharDaeng/status/1964255471508082973" TargetMode="External"/><Relationship Id="rId2205" Type="http://schemas.openxmlformats.org/officeDocument/2006/relationships/hyperlink" Target="https://www.tiktok.com/@kemenhan.official/video/7596507065925815572" TargetMode="External"/><Relationship Id="rId2206" Type="http://schemas.openxmlformats.org/officeDocument/2006/relationships/hyperlink" Target="https://www.instagram.com/p/DTryZoCk9F1/" TargetMode="External"/><Relationship Id="rId22" Type="http://schemas.openxmlformats.org/officeDocument/2006/relationships/hyperlink" Target="https://x.com/sementaralewat/status/1964151129165418791" TargetMode="External"/><Relationship Id="rId2207" Type="http://schemas.openxmlformats.org/officeDocument/2006/relationships/hyperlink" Target="https://www.tiktok.com/@kemenhan.official/video/7598731983048445205" TargetMode="External"/><Relationship Id="rId21" Type="http://schemas.openxmlformats.org/officeDocument/2006/relationships/hyperlink" Target="https://x.com/bhinarrum/status/1964113579185230065" TargetMode="External"/><Relationship Id="rId2208" Type="http://schemas.openxmlformats.org/officeDocument/2006/relationships/hyperlink" Target="https://www.instagram.com/p/DTryZoCk9F1/" TargetMode="External"/><Relationship Id="rId24" Type="http://schemas.openxmlformats.org/officeDocument/2006/relationships/hyperlink" Target="https://www.instagram.com/p/DOAqwSfkzwG/?img_index=1" TargetMode="External"/><Relationship Id="rId2209" Type="http://schemas.openxmlformats.org/officeDocument/2006/relationships/hyperlink" Target="https://www.facebook.com/share/r/1DNCT2ENht/" TargetMode="External"/><Relationship Id="rId23" Type="http://schemas.openxmlformats.org/officeDocument/2006/relationships/hyperlink" Target="https://www.facebook.com/share/v/1EiFdB8Wm2/" TargetMode="External"/><Relationship Id="rId26" Type="http://schemas.openxmlformats.org/officeDocument/2006/relationships/hyperlink" Target="https://www.facebook.com/share/r/19SpEmdTLE/" TargetMode="External"/><Relationship Id="rId25" Type="http://schemas.openxmlformats.org/officeDocument/2006/relationships/hyperlink" Target="https://www.tiktok.com/@raja_mulonowjadi/video/7545473908581879045" TargetMode="External"/><Relationship Id="rId28" Type="http://schemas.openxmlformats.org/officeDocument/2006/relationships/hyperlink" Target="https://x.com/BradHarizz/status/1963259496584618494" TargetMode="External"/><Relationship Id="rId27" Type="http://schemas.openxmlformats.org/officeDocument/2006/relationships/hyperlink" Target="https://www.instagram.com/p/DOLjMKzj2Jm/" TargetMode="External"/><Relationship Id="rId29" Type="http://schemas.openxmlformats.org/officeDocument/2006/relationships/hyperlink" Target="https://www.tiktok.com/@indonesianews20/video/7544969668491070726?_r=1&amp;_t=ZS-8zVouNecas1" TargetMode="External"/><Relationship Id="rId2200" Type="http://schemas.openxmlformats.org/officeDocument/2006/relationships/hyperlink" Target="https://x.com/arafah247/status/2014836691526418737" TargetMode="External"/><Relationship Id="rId2201" Type="http://schemas.openxmlformats.org/officeDocument/2006/relationships/hyperlink" Target="https://www.facebook.com/reel/1533079337988277" TargetMode="External"/><Relationship Id="rId2202" Type="http://schemas.openxmlformats.org/officeDocument/2006/relationships/hyperlink" Target="https://turnbackhoax.id/articles/31117" TargetMode="External"/><Relationship Id="rId11" Type="http://schemas.openxmlformats.org/officeDocument/2006/relationships/hyperlink" Target="https://www.tiktok.com/@botolbergema/video/7544133450589130002" TargetMode="External"/><Relationship Id="rId10" Type="http://schemas.openxmlformats.org/officeDocument/2006/relationships/hyperlink" Target="https://www.tiktok.com/@oposisi.a2/video/7544238308117892370?_r=1&amp;_t=ZS-8zUA803auCm" TargetMode="External"/><Relationship Id="rId13" Type="http://schemas.openxmlformats.org/officeDocument/2006/relationships/hyperlink" Target="https://www.tiktok.com/@emas.owen.monas.1/video/7545099564882169144" TargetMode="External"/><Relationship Id="rId12" Type="http://schemas.openxmlformats.org/officeDocument/2006/relationships/hyperlink" Target="https://www.tiktok.com/@bangmul_official/video/7544221377079889208" TargetMode="External"/><Relationship Id="rId15" Type="http://schemas.openxmlformats.org/officeDocument/2006/relationships/hyperlink" Target="https://x.com/gegala_/status/1964163492874682392" TargetMode="External"/><Relationship Id="rId14" Type="http://schemas.openxmlformats.org/officeDocument/2006/relationships/hyperlink" Target="https://www.tiktok.com/@tuanmudatiro/video/7546594594968898834?_r=1&amp;_t=ZS-8zUXYRYN4at" TargetMode="External"/><Relationship Id="rId17" Type="http://schemas.openxmlformats.org/officeDocument/2006/relationships/hyperlink" Target="https://x.com/albinousie/status/1964189493381972042" TargetMode="External"/><Relationship Id="rId16" Type="http://schemas.openxmlformats.org/officeDocument/2006/relationships/hyperlink" Target="https://x.com/myshawti/status/1963936642399416422" TargetMode="External"/><Relationship Id="rId19" Type="http://schemas.openxmlformats.org/officeDocument/2006/relationships/hyperlink" Target="https://x.com/GejayanCalling/status/1961239504767127695" TargetMode="External"/><Relationship Id="rId18" Type="http://schemas.openxmlformats.org/officeDocument/2006/relationships/hyperlink" Target="https://x.com/red_troa/status/1963461982650278297" TargetMode="External"/><Relationship Id="rId84" Type="http://schemas.openxmlformats.org/officeDocument/2006/relationships/hyperlink" Target="https://www.tiktok.com/@thispaparazzi/video/7545495470152420624" TargetMode="External"/><Relationship Id="rId1774" Type="http://schemas.openxmlformats.org/officeDocument/2006/relationships/hyperlink" Target="https://www.facebook.com/reel/908982701524198" TargetMode="External"/><Relationship Id="rId83" Type="http://schemas.openxmlformats.org/officeDocument/2006/relationships/hyperlink" Target="https://www.tiktok.com/@dinprasetyo.id/video/7545534099130305848" TargetMode="External"/><Relationship Id="rId1775" Type="http://schemas.openxmlformats.org/officeDocument/2006/relationships/hyperlink" Target="https://www.tiktok.com/@indonesia.84/video/7575605708180294919?q=militer%20indonesia%20vs%20israel&amp;t=1770604753630" TargetMode="External"/><Relationship Id="rId86" Type="http://schemas.openxmlformats.org/officeDocument/2006/relationships/hyperlink" Target="https://www.tiktok.com/@samdaowvy77/video/7544963895006383366" TargetMode="External"/><Relationship Id="rId1776" Type="http://schemas.openxmlformats.org/officeDocument/2006/relationships/hyperlink" Target="https://www.tiktok.com/@pangersa_aries/video/7552000134284840248?_r=1&amp;_t=ZS-93lnDzLxF9J" TargetMode="External"/><Relationship Id="rId85" Type="http://schemas.openxmlformats.org/officeDocument/2006/relationships/hyperlink" Target="https://www.tiktok.com/@__han.bi/video/7545284024470686996" TargetMode="External"/><Relationship Id="rId1777" Type="http://schemas.openxmlformats.org/officeDocument/2006/relationships/hyperlink" Target="https://www.tiktok.com/@feureau/video/7558313870461340944?_r=1&amp;_t=ZS-93lnRQyTYVo" TargetMode="External"/><Relationship Id="rId88" Type="http://schemas.openxmlformats.org/officeDocument/2006/relationships/hyperlink" Target="https://www.tiktok.com/@aheykan/photo/7544924941851086098" TargetMode="External"/><Relationship Id="rId1778" Type="http://schemas.openxmlformats.org/officeDocument/2006/relationships/hyperlink" Target="https://www.tiktok.com/@cba_internasional/video/7538756877492997382?_r=1&amp;_t=ZS-93lnbKIFTFM" TargetMode="External"/><Relationship Id="rId87" Type="http://schemas.openxmlformats.org/officeDocument/2006/relationships/hyperlink" Target="https://www.tiktok.com/@raffimulyaa/video/7545757134328286520" TargetMode="External"/><Relationship Id="rId1779" Type="http://schemas.openxmlformats.org/officeDocument/2006/relationships/hyperlink" Target="https://www.tiktok.com/@za.brilliant/video/7593290569393114388" TargetMode="External"/><Relationship Id="rId89" Type="http://schemas.openxmlformats.org/officeDocument/2006/relationships/hyperlink" Target="https://www.tiktok.com/@rizki.nadh/video/7545773882318310661" TargetMode="External"/><Relationship Id="rId80" Type="http://schemas.openxmlformats.org/officeDocument/2006/relationships/hyperlink" Target="https://www.instagram.com/p/DOH5dKmE9EE/" TargetMode="External"/><Relationship Id="rId82" Type="http://schemas.openxmlformats.org/officeDocument/2006/relationships/hyperlink" Target="https://www.tiktok.com/@aheykan/video/7544964195087846664?q=17%2B8&amp;t=1756954684357" TargetMode="External"/><Relationship Id="rId81" Type="http://schemas.openxmlformats.org/officeDocument/2006/relationships/hyperlink" Target="https://www.instagram.com/p/DOK9FHNklWO/" TargetMode="External"/><Relationship Id="rId1770" Type="http://schemas.openxmlformats.org/officeDocument/2006/relationships/hyperlink" Target="https://www.tiktok.com/@_i.love.israel/video/7593474728497564935?q=tni%20dukung%20israel&amp;t=1770701203553" TargetMode="External"/><Relationship Id="rId1771" Type="http://schemas.openxmlformats.org/officeDocument/2006/relationships/hyperlink" Target="https://www.facebook.com/share/r/1DQ1VNvb6H/" TargetMode="External"/><Relationship Id="rId1772" Type="http://schemas.openxmlformats.org/officeDocument/2006/relationships/hyperlink" Target="https://www.facebook.com/reel/1416776806516807" TargetMode="External"/><Relationship Id="rId1773" Type="http://schemas.openxmlformats.org/officeDocument/2006/relationships/hyperlink" Target="https://www.facebook.com/groups/408533683614451/" TargetMode="External"/><Relationship Id="rId73" Type="http://schemas.openxmlformats.org/officeDocument/2006/relationships/hyperlink" Target="https://www.facebook.com/britania.sari/posts/pfbid08QvvMne1ZZgb6UZ74jikWrTFXkaYBpMkbHvU8gWv1FDorcFHGKnsaqQpYHMeJsB3l" TargetMode="External"/><Relationship Id="rId1763" Type="http://schemas.openxmlformats.org/officeDocument/2006/relationships/hyperlink" Target="https://www.facebook.com/reel/25601398489495990" TargetMode="External"/><Relationship Id="rId72" Type="http://schemas.openxmlformats.org/officeDocument/2006/relationships/hyperlink" Target="https://www.facebook.com/revannya.alkhazan/posts/pfbid03NnwvR5nLTACtMuARAM3oBUrjd6Tub72bR9iERrhv4jz9EinGH455qJALK89bUifl" TargetMode="External"/><Relationship Id="rId1764" Type="http://schemas.openxmlformats.org/officeDocument/2006/relationships/hyperlink" Target="https://www.facebook.com/reel/2595252584183297" TargetMode="External"/><Relationship Id="rId75" Type="http://schemas.openxmlformats.org/officeDocument/2006/relationships/hyperlink" Target="https://www.facebook.com/reel/1099866145547769" TargetMode="External"/><Relationship Id="rId1765" Type="http://schemas.openxmlformats.org/officeDocument/2006/relationships/hyperlink" Target="https://www.facebook.com/reel/1257643016252176" TargetMode="External"/><Relationship Id="rId74" Type="http://schemas.openxmlformats.org/officeDocument/2006/relationships/hyperlink" Target="https://www.facebook.com/permalink.php?story_fbid=pfbid0SuUwSxFXF3WyXV3xuCZXHhUo9SHueZZ2PoXAzsBLFyWiiT9LTdEdm9ViVboJhuYZl&amp;id=100066980531300" TargetMode="External"/><Relationship Id="rId1766" Type="http://schemas.openxmlformats.org/officeDocument/2006/relationships/hyperlink" Target="https://www.facebook.com/freewestpapua" TargetMode="External"/><Relationship Id="rId77" Type="http://schemas.openxmlformats.org/officeDocument/2006/relationships/hyperlink" Target="https://www.instagram.com/kementerianreformasi.ri/p/DOEKFF8iYNh/" TargetMode="External"/><Relationship Id="rId1767" Type="http://schemas.openxmlformats.org/officeDocument/2006/relationships/hyperlink" Target="https://www.facebook.com/reel/1280662240769357" TargetMode="External"/><Relationship Id="rId76" Type="http://schemas.openxmlformats.org/officeDocument/2006/relationships/hyperlink" Target="https://www.facebook.com/reel/1444190783516910" TargetMode="External"/><Relationship Id="rId1768" Type="http://schemas.openxmlformats.org/officeDocument/2006/relationships/hyperlink" Target="https://x.com/renandik/status/2020850540314612137" TargetMode="External"/><Relationship Id="rId79" Type="http://schemas.openxmlformats.org/officeDocument/2006/relationships/hyperlink" Target="https://www.instagram.com/mfauzan_ramdani/p/DOGoInGAfV-/" TargetMode="External"/><Relationship Id="rId1769" Type="http://schemas.openxmlformats.org/officeDocument/2006/relationships/hyperlink" Target="https://www.facebook.com/share/p/1Xk3r8g1Dk/" TargetMode="External"/><Relationship Id="rId78" Type="http://schemas.openxmlformats.org/officeDocument/2006/relationships/hyperlink" Target="https://www.instagram.com/karindanashta/p/DOGcqOZk7gq/" TargetMode="External"/><Relationship Id="rId71" Type="http://schemas.openxmlformats.org/officeDocument/2006/relationships/hyperlink" Target="https://www.facebook.com/britania.sari/posts/pfbid08QvvMne1ZZgb6UZ74jikWrTFXkaYBpMkbHvU8gWv1FDorcFHGKnsaqQpYHMeJsB3l?rdid=18JLREIoOIxr7tx6" TargetMode="External"/><Relationship Id="rId70" Type="http://schemas.openxmlformats.org/officeDocument/2006/relationships/hyperlink" Target="https://www.facebook.com/permalink.php?story_fbid=pfbid0SuUwSxFXF3WyXV3xuCZXHhUo9SHueZZ2PoXAzsBLFyWiiT9LTdEdm9ViVboJhuYZl&amp;id=100066980531300" TargetMode="External"/><Relationship Id="rId1760" Type="http://schemas.openxmlformats.org/officeDocument/2006/relationships/hyperlink" Target="https://www.facebook.com/share/p/1BAXHqiPsz/" TargetMode="External"/><Relationship Id="rId1761" Type="http://schemas.openxmlformats.org/officeDocument/2006/relationships/hyperlink" Target="https://www.facebook.com/FreeAcehMovement" TargetMode="External"/><Relationship Id="rId1762" Type="http://schemas.openxmlformats.org/officeDocument/2006/relationships/hyperlink" Target="https://www.facebook.com/share/p/1GDFH7WDzb/" TargetMode="External"/><Relationship Id="rId62" Type="http://schemas.openxmlformats.org/officeDocument/2006/relationships/hyperlink" Target="https://x.com/eveeemaps/status/1962758682699260111" TargetMode="External"/><Relationship Id="rId1796" Type="http://schemas.openxmlformats.org/officeDocument/2006/relationships/hyperlink" Target="https://www.facebook.com/share/r/17vGJ8AP5n/" TargetMode="External"/><Relationship Id="rId61" Type="http://schemas.openxmlformats.org/officeDocument/2006/relationships/hyperlink" Target="https://x.com/bijakmemantau/status/1962347247129198993" TargetMode="External"/><Relationship Id="rId1797" Type="http://schemas.openxmlformats.org/officeDocument/2006/relationships/hyperlink" Target="https://www.facebook.com/share/p/1AiGo992Tm/" TargetMode="External"/><Relationship Id="rId64" Type="http://schemas.openxmlformats.org/officeDocument/2006/relationships/hyperlink" Target="https://x.com/BaseBDG/status/1962736280711963103" TargetMode="External"/><Relationship Id="rId1798" Type="http://schemas.openxmlformats.org/officeDocument/2006/relationships/hyperlink" Target="https://www.facebook.com/share/p/1b3tfRyQfX/" TargetMode="External"/><Relationship Id="rId63" Type="http://schemas.openxmlformats.org/officeDocument/2006/relationships/hyperlink" Target="https://x.com/andreasharsono/status/1962372953200640457" TargetMode="External"/><Relationship Id="rId1799" Type="http://schemas.openxmlformats.org/officeDocument/2006/relationships/hyperlink" Target="https://www.facebook.com/share/r/1BV4C2sKW9/" TargetMode="External"/><Relationship Id="rId66" Type="http://schemas.openxmlformats.org/officeDocument/2006/relationships/hyperlink" Target="https://x.com/christasyd/status/1962214660054356225" TargetMode="External"/><Relationship Id="rId65" Type="http://schemas.openxmlformats.org/officeDocument/2006/relationships/hyperlink" Target="https://x.com/ShoutOCs/status/1962730532783222844" TargetMode="External"/><Relationship Id="rId68" Type="http://schemas.openxmlformats.org/officeDocument/2006/relationships/hyperlink" Target="https://x.com/kangdede78/status/1962680465359511700" TargetMode="External"/><Relationship Id="rId67" Type="http://schemas.openxmlformats.org/officeDocument/2006/relationships/hyperlink" Target="https://x.com/daem_MIA/status/1962543603668169083" TargetMode="External"/><Relationship Id="rId60" Type="http://schemas.openxmlformats.org/officeDocument/2006/relationships/hyperlink" Target="https://x.com/perupadata/status/1963165185436418296" TargetMode="External"/><Relationship Id="rId69" Type="http://schemas.openxmlformats.org/officeDocument/2006/relationships/hyperlink" Target="https://x.com/rd30____/status/1963937296509755790" TargetMode="External"/><Relationship Id="rId1790" Type="http://schemas.openxmlformats.org/officeDocument/2006/relationships/hyperlink" Target="https://www.tiktok.com/@lamsilasra/video/7603948005644930311" TargetMode="External"/><Relationship Id="rId1791" Type="http://schemas.openxmlformats.org/officeDocument/2006/relationships/hyperlink" Target="https://www.tiktok.com/@gero885/video/7455983464484015365" TargetMode="External"/><Relationship Id="rId1792" Type="http://schemas.openxmlformats.org/officeDocument/2006/relationships/hyperlink" Target="https://x.com/durnadurno/status/2020016307199177041" TargetMode="External"/><Relationship Id="rId1793" Type="http://schemas.openxmlformats.org/officeDocument/2006/relationships/hyperlink" Target="https://x.com/OjolNyambi/status/2019996191577219348" TargetMode="External"/><Relationship Id="rId1794" Type="http://schemas.openxmlformats.org/officeDocument/2006/relationships/hyperlink" Target="https://x.com/SOlidaritasR2l2/status/2019320768228970822" TargetMode="External"/><Relationship Id="rId1795" Type="http://schemas.openxmlformats.org/officeDocument/2006/relationships/hyperlink" Target="https://www.facebook.com/share/r/17ySiy93Lh/" TargetMode="External"/><Relationship Id="rId51" Type="http://schemas.openxmlformats.org/officeDocument/2006/relationships/hyperlink" Target="https://x.com/IndoPopBase/status/1962361386916577303" TargetMode="External"/><Relationship Id="rId1785" Type="http://schemas.openxmlformats.org/officeDocument/2006/relationships/hyperlink" Target="https://www.tiktok.com/@aceh2026merdeka/video/7591870300157955349" TargetMode="External"/><Relationship Id="rId50" Type="http://schemas.openxmlformats.org/officeDocument/2006/relationships/hyperlink" Target="https://x.com/barengwarga/status/1962390195766243751" TargetMode="External"/><Relationship Id="rId1786" Type="http://schemas.openxmlformats.org/officeDocument/2006/relationships/hyperlink" Target="https://www.tiktok.com/@jenmabok/video/7602233591392718101" TargetMode="External"/><Relationship Id="rId53" Type="http://schemas.openxmlformats.org/officeDocument/2006/relationships/hyperlink" Target="https://x.com/lachrymosse_/status/1962889067512954928" TargetMode="External"/><Relationship Id="rId1787" Type="http://schemas.openxmlformats.org/officeDocument/2006/relationships/hyperlink" Target="https://www.tiktok.com/@teukuhafizikrampriatama/video/7602392241948151060" TargetMode="External"/><Relationship Id="rId52" Type="http://schemas.openxmlformats.org/officeDocument/2006/relationships/hyperlink" Target="https://x.com/senjatanuklir/status/1962706460397445180" TargetMode="External"/><Relationship Id="rId1788" Type="http://schemas.openxmlformats.org/officeDocument/2006/relationships/hyperlink" Target="https://www.tiktok.com/@jenmabok/video/7602233591392718101" TargetMode="External"/><Relationship Id="rId55" Type="http://schemas.openxmlformats.org/officeDocument/2006/relationships/hyperlink" Target="https://x.com/AndovidaLopez/status/1962741624959836437" TargetMode="External"/><Relationship Id="rId1789" Type="http://schemas.openxmlformats.org/officeDocument/2006/relationships/hyperlink" Target="https://www.tiktok.com/@wan.rambo8/video/7603954158839893256" TargetMode="External"/><Relationship Id="rId54" Type="http://schemas.openxmlformats.org/officeDocument/2006/relationships/hyperlink" Target="https://x.com/bijakmemantau/status/1962347247129198993" TargetMode="External"/><Relationship Id="rId57" Type="http://schemas.openxmlformats.org/officeDocument/2006/relationships/hyperlink" Target="https://x.com/SupirPete2/status/1962804182483902592" TargetMode="External"/><Relationship Id="rId56" Type="http://schemas.openxmlformats.org/officeDocument/2006/relationships/hyperlink" Target="https://x.com/simba_saekkiya/status/1963072462561669518" TargetMode="External"/><Relationship Id="rId59" Type="http://schemas.openxmlformats.org/officeDocument/2006/relationships/hyperlink" Target="https://x.com/senjatanuklir/status/1962191825768460378" TargetMode="External"/><Relationship Id="rId58" Type="http://schemas.openxmlformats.org/officeDocument/2006/relationships/hyperlink" Target="https://x.com/marjinkiri/status/1962398830110113973" TargetMode="External"/><Relationship Id="rId1780" Type="http://schemas.openxmlformats.org/officeDocument/2006/relationships/hyperlink" Target="https://x.com/Hidetosri/status/2019989376185561355" TargetMode="External"/><Relationship Id="rId1781" Type="http://schemas.openxmlformats.org/officeDocument/2006/relationships/hyperlink" Target="https://x.com/Fauzi56100765/status/2019369445576306771" TargetMode="External"/><Relationship Id="rId1782" Type="http://schemas.openxmlformats.org/officeDocument/2006/relationships/hyperlink" Target="https://x.com/Raditia13a/status/2018948613083472304" TargetMode="External"/><Relationship Id="rId1783" Type="http://schemas.openxmlformats.org/officeDocument/2006/relationships/hyperlink" Target="https://x.com/Fauzi56100765/status/2018866118564450736" TargetMode="External"/><Relationship Id="rId1784" Type="http://schemas.openxmlformats.org/officeDocument/2006/relationships/hyperlink" Target="https://www.facebook.com/share/v/1AjwCd1nvQ/" TargetMode="External"/><Relationship Id="rId2269" Type="http://schemas.openxmlformats.org/officeDocument/2006/relationships/hyperlink" Target="https://x.com/NenkMonica/status/2013874863434330346?t=c1w7jWU22i4NTpu8V5m7nQ&amp;s=35" TargetMode="External"/><Relationship Id="rId349" Type="http://schemas.openxmlformats.org/officeDocument/2006/relationships/hyperlink" Target="https://www.tiktok.com/@bsk.tafid/video/7544319138152353030" TargetMode="External"/><Relationship Id="rId348" Type="http://schemas.openxmlformats.org/officeDocument/2006/relationships/hyperlink" Target="https://www.facebook.com/reel/2255173804998594" TargetMode="External"/><Relationship Id="rId347" Type="http://schemas.openxmlformats.org/officeDocument/2006/relationships/hyperlink" Target="https://www.facebook.com/reel/2776147092570131" TargetMode="External"/><Relationship Id="rId346" Type="http://schemas.openxmlformats.org/officeDocument/2006/relationships/hyperlink" Target="https://www.facebook.com/reel/1991455094723332" TargetMode="External"/><Relationship Id="rId2260" Type="http://schemas.openxmlformats.org/officeDocument/2006/relationships/hyperlink" Target="https://www.tiktok.com/@jhull_88/video/7585117700062547208" TargetMode="External"/><Relationship Id="rId341" Type="http://schemas.openxmlformats.org/officeDocument/2006/relationships/hyperlink" Target="https://www.facebook.com/groups/2378433292339269/?multi_permalinks=3000201303495795&amp;hoisted_section_header_type=recently_seen" TargetMode="External"/><Relationship Id="rId2261" Type="http://schemas.openxmlformats.org/officeDocument/2006/relationships/hyperlink" Target="https://turnbackhoax.id/articles/31115" TargetMode="External"/><Relationship Id="rId340" Type="http://schemas.openxmlformats.org/officeDocument/2006/relationships/hyperlink" Target="https://www.facebook.com/groups/882222322392995/?multi_permalinks=1807023436579541&amp;hoisted_section_header_type=recently_seen" TargetMode="External"/><Relationship Id="rId2262" Type="http://schemas.openxmlformats.org/officeDocument/2006/relationships/hyperlink" Target="https://www.tiktok.com/@arigo550/video/7597805352419101970" TargetMode="External"/><Relationship Id="rId2263" Type="http://schemas.openxmlformats.org/officeDocument/2006/relationships/hyperlink" Target="https://www.tiktok.com/@akibara_20/video/7598006793956052242" TargetMode="External"/><Relationship Id="rId2264" Type="http://schemas.openxmlformats.org/officeDocument/2006/relationships/hyperlink" Target="https://x.com/ijazah__palsu/status/2014095967281406140" TargetMode="External"/><Relationship Id="rId345" Type="http://schemas.openxmlformats.org/officeDocument/2006/relationships/hyperlink" Target="https://www.instagram.com/dprbubarkan/p/DNtU7ilZi-B/" TargetMode="External"/><Relationship Id="rId2265" Type="http://schemas.openxmlformats.org/officeDocument/2006/relationships/hyperlink" Target="https://x.com/unaboobies/status/2014123148174909649" TargetMode="External"/><Relationship Id="rId344" Type="http://schemas.openxmlformats.org/officeDocument/2006/relationships/hyperlink" Target="https://www.instagram.com/zackzee16/reel/DNkj3N_zibC/" TargetMode="External"/><Relationship Id="rId2266" Type="http://schemas.openxmlformats.org/officeDocument/2006/relationships/hyperlink" Target="https://x.com/RafiHasibu70974/status/2013979026327499251" TargetMode="External"/><Relationship Id="rId343" Type="http://schemas.openxmlformats.org/officeDocument/2006/relationships/hyperlink" Target="https://www.facebook.com/groups/835942628136313/?multi_permalinks=919391759791399&amp;hoisted_section_header_type=recently_seen" TargetMode="External"/><Relationship Id="rId2267" Type="http://schemas.openxmlformats.org/officeDocument/2006/relationships/hyperlink" Target="https://www.facebook.com/share/p/1KgFgDoL5Y/" TargetMode="External"/><Relationship Id="rId342" Type="http://schemas.openxmlformats.org/officeDocument/2006/relationships/hyperlink" Target="https://www.facebook.com/permalink.php?story_fbid=pfbid02aTxz2jZty6iP9BTgQ5KTP1okA1cNe2WVrj6xemQTv4A27KGjJhev2JuwWTYtS9Qgl&amp;id=61576741416224" TargetMode="External"/><Relationship Id="rId2268" Type="http://schemas.openxmlformats.org/officeDocument/2006/relationships/hyperlink" Target="https://www.facebook.com/share/p/184VMhyvAj/" TargetMode="External"/><Relationship Id="rId2258" Type="http://schemas.openxmlformats.org/officeDocument/2006/relationships/hyperlink" Target="https://www.facebook.com/reel/1591824858616917" TargetMode="External"/><Relationship Id="rId2259" Type="http://schemas.openxmlformats.org/officeDocument/2006/relationships/hyperlink" Target="https://www.kompas.com/cekfakta/read/2025/12/17/111100882/-hoaks-menteri-yusril-sebut-ada-oknum-polisi-yang-jebak-ammar-zoni" TargetMode="External"/><Relationship Id="rId338" Type="http://schemas.openxmlformats.org/officeDocument/2006/relationships/hyperlink" Target="https://www.facebook.com/groups/221580229175240/?multi_permalinks=1471213177545266&amp;hoisted_section_header_type=recently_seen" TargetMode="External"/><Relationship Id="rId337" Type="http://schemas.openxmlformats.org/officeDocument/2006/relationships/hyperlink" Target="https://www.facebook.com/groups/835942628136313/?multi_permalinks=922442046153037&amp;hoisted_section_header_type=recently_seen" TargetMode="External"/><Relationship Id="rId336" Type="http://schemas.openxmlformats.org/officeDocument/2006/relationships/hyperlink" Target="https://www.facebook.com/reel/645304944893604" TargetMode="External"/><Relationship Id="rId335" Type="http://schemas.openxmlformats.org/officeDocument/2006/relationships/hyperlink" Target="https://www.facebook.com/thamarat.al.jannah/videos/634408863073938" TargetMode="External"/><Relationship Id="rId339" Type="http://schemas.openxmlformats.org/officeDocument/2006/relationships/hyperlink" Target="https://www.facebook.com/groups/1271958309871151/?multi_permalinks=2509620012771635&amp;hoisted_section_header_type=recently_seen" TargetMode="External"/><Relationship Id="rId330" Type="http://schemas.openxmlformats.org/officeDocument/2006/relationships/hyperlink" Target="https://x.com/tgertsjtk/status/1967163591343440053" TargetMode="External"/><Relationship Id="rId2250" Type="http://schemas.openxmlformats.org/officeDocument/2006/relationships/hyperlink" Target="https://www.facebook.com/permalink.php?story_fbid=pfbid0s9yF1SqrpwuTCHjFe6hfZwgCscvLWbWQg49HgfCK2tbPftZxkiBfVtmBVZbexKhBl&amp;id=61579195203420" TargetMode="External"/><Relationship Id="rId2251" Type="http://schemas.openxmlformats.org/officeDocument/2006/relationships/hyperlink" Target="https://www.facebook.com/permalink.php?story_fbid=pfbid0uApoB4mcLhPgQw7zcuDGsWPB94WpkNbxdFp8xKgGAaDDuhZgEUtbo4BGZxcM7F4hl&amp;id=61579195203420" TargetMode="External"/><Relationship Id="rId2252" Type="http://schemas.openxmlformats.org/officeDocument/2006/relationships/hyperlink" Target="https://www.facebook.com/permalink.php?story_fbid=pfbid02NqZL74qyocTvc4iqddcqXR5ednbxsBZxWoo2j7NbXtwGcJgCQoaGPTmBmyR6S2tvl&amp;id=61579195203420" TargetMode="External"/><Relationship Id="rId2253" Type="http://schemas.openxmlformats.org/officeDocument/2006/relationships/hyperlink" Target="https://www.facebook.com/permalink.php?story_fbid=pfbid04rGtCy82gcTnwLCYKGggi57xEQ98D6fkqqMA4di2JeXHLbSLt7kb4PyAeZERAP8Xl&amp;id=61579195203420" TargetMode="External"/><Relationship Id="rId334" Type="http://schemas.openxmlformats.org/officeDocument/2006/relationships/hyperlink" Target="https://www.facebook.com/darwisy.darwisy.75470/videos/1117429953692498" TargetMode="External"/><Relationship Id="rId2254" Type="http://schemas.openxmlformats.org/officeDocument/2006/relationships/hyperlink" Target="https://www.facebook.com/naufaltabalong/posts/presiden-prabowo-perintahkan-auditpenggunaan-dana-desa-seluruhindonesia-presiden/25509565282043417/" TargetMode="External"/><Relationship Id="rId333" Type="http://schemas.openxmlformats.org/officeDocument/2006/relationships/hyperlink" Target="https://www.facebook.com/reel/785220764088548" TargetMode="External"/><Relationship Id="rId2255" Type="http://schemas.openxmlformats.org/officeDocument/2006/relationships/hyperlink" Target="https://turnbackhoax.id/articles/31115" TargetMode="External"/><Relationship Id="rId332" Type="http://schemas.openxmlformats.org/officeDocument/2006/relationships/hyperlink" Target="https://www.facebook.com/groups/221580229175240/permalink/1480689469930970" TargetMode="External"/><Relationship Id="rId2256" Type="http://schemas.openxmlformats.org/officeDocument/2006/relationships/hyperlink" Target="https://www.facebook.com/reel/1591824858616917" TargetMode="External"/><Relationship Id="rId331" Type="http://schemas.openxmlformats.org/officeDocument/2006/relationships/hyperlink" Target="https://www.facebook.com/reel/1516612819483917" TargetMode="External"/><Relationship Id="rId2257" Type="http://schemas.openxmlformats.org/officeDocument/2006/relationships/hyperlink" Target="https://turnbackhoax.id/articles/31509" TargetMode="External"/><Relationship Id="rId370" Type="http://schemas.openxmlformats.org/officeDocument/2006/relationships/hyperlink" Target="https://www.tiktok.com/@alfarybse/video/7518611157632961813" TargetMode="External"/><Relationship Id="rId369" Type="http://schemas.openxmlformats.org/officeDocument/2006/relationships/hyperlink" Target="https://www.tiktok.com/@kandaaceh15/video/7550291520797117703" TargetMode="External"/><Relationship Id="rId368" Type="http://schemas.openxmlformats.org/officeDocument/2006/relationships/hyperlink" Target="https://www.tiktok.com/@musa.rasyid._388/video/7452636800213912839" TargetMode="External"/><Relationship Id="rId2280" Type="http://schemas.openxmlformats.org/officeDocument/2006/relationships/hyperlink" Target="https://x.com/KurapOCCRP/status/2013422374171947430" TargetMode="External"/><Relationship Id="rId2281" Type="http://schemas.openxmlformats.org/officeDocument/2006/relationships/hyperlink" Target="https://x.com/bambang_su91610/status/2013428258558353803" TargetMode="External"/><Relationship Id="rId2282" Type="http://schemas.openxmlformats.org/officeDocument/2006/relationships/hyperlink" Target="https://x.com/ginamustika/status/2012026406616908244" TargetMode="External"/><Relationship Id="rId363" Type="http://schemas.openxmlformats.org/officeDocument/2006/relationships/hyperlink" Target="https://www.tiktok.com/@1985latahzan/video/7531809132999871749" TargetMode="External"/><Relationship Id="rId2283" Type="http://schemas.openxmlformats.org/officeDocument/2006/relationships/hyperlink" Target="https://www.facebook.com/kudis.tivi/posts/pfbid02P3u4vjVQsW4D57hwRptg9zVYYRpEKVDPgUNhbt4rDpPrGFUsDqC9CQmh1KpeLGT9l" TargetMode="External"/><Relationship Id="rId362" Type="http://schemas.openxmlformats.org/officeDocument/2006/relationships/hyperlink" Target="https://www.tiktok.com/@acehwajibmerdeka2/video/7525253942373125384" TargetMode="External"/><Relationship Id="rId2284" Type="http://schemas.openxmlformats.org/officeDocument/2006/relationships/hyperlink" Target="https://www.facebook.com/kudis.tivi/posts/pfbid0wiUbHqXof1QpPkg4yAMPz1ezgvmzUGnz44Not64fQZr7zyYfQJwcekuWpg4cZJrbl" TargetMode="External"/><Relationship Id="rId361" Type="http://schemas.openxmlformats.org/officeDocument/2006/relationships/hyperlink" Target="https://www.tiktok.com/@birrabba/video/7550309748558597383" TargetMode="External"/><Relationship Id="rId2285" Type="http://schemas.openxmlformats.org/officeDocument/2006/relationships/hyperlink" Target="https://www.facebook.com/kudis.tivi/posts/pfbid02BxYNppM5qtXHheNhzqMjHAjtsvi1Qvkoe6Psv4ZwTKyDKakcWecYuuco4kJg3dnKl" TargetMode="External"/><Relationship Id="rId360" Type="http://schemas.openxmlformats.org/officeDocument/2006/relationships/hyperlink" Target="https://www.tiktok.com/@jonisaputra202/video/7550292701061729592" TargetMode="External"/><Relationship Id="rId2286" Type="http://schemas.openxmlformats.org/officeDocument/2006/relationships/hyperlink" Target="https://www.instagram.com/p/DSom2wZkssg/?igsh=dDdzenFjM3hveXRr" TargetMode="External"/><Relationship Id="rId367" Type="http://schemas.openxmlformats.org/officeDocument/2006/relationships/hyperlink" Target="https://www.tiktok.com/@teuku.am49/video/7529602546940316936" TargetMode="External"/><Relationship Id="rId2287" Type="http://schemas.openxmlformats.org/officeDocument/2006/relationships/hyperlink" Target="https://www.instagram.com/p/DQZW6SIE6Am/?igsh=MWxoeWowaG1lMjlueA==" TargetMode="External"/><Relationship Id="rId366" Type="http://schemas.openxmlformats.org/officeDocument/2006/relationships/hyperlink" Target="https://www.tiktok.com/@firdiyantita/video/7545144610650197254" TargetMode="External"/><Relationship Id="rId2288" Type="http://schemas.openxmlformats.org/officeDocument/2006/relationships/hyperlink" Target="https://x.com/arjer66525/status/2014241344240398665" TargetMode="External"/><Relationship Id="rId365" Type="http://schemas.openxmlformats.org/officeDocument/2006/relationships/hyperlink" Target="https://www.tiktok.com/@aceh.tulen/video/7513924398244433174" TargetMode="External"/><Relationship Id="rId2289" Type="http://schemas.openxmlformats.org/officeDocument/2006/relationships/hyperlink" Target="https://x.com/BlenkHead3737/status/2013904058814505181" TargetMode="External"/><Relationship Id="rId364" Type="http://schemas.openxmlformats.org/officeDocument/2006/relationships/hyperlink" Target="https://www.tiktok.com/@recki/video/7534414581234535686" TargetMode="External"/><Relationship Id="rId95" Type="http://schemas.openxmlformats.org/officeDocument/2006/relationships/hyperlink" Target="https://x.com/SianiparRismon/status/1963392908134158493" TargetMode="External"/><Relationship Id="rId94" Type="http://schemas.openxmlformats.org/officeDocument/2006/relationships/hyperlink" Target="https://x.com/barengwarga/status/1961806345000370182" TargetMode="External"/><Relationship Id="rId97" Type="http://schemas.openxmlformats.org/officeDocument/2006/relationships/hyperlink" Target="https://www.facebook.com/lillahbillah.ilallah/posts/pfbid0eKdEZuQb9PgxDt72ESDRpFjdLvZ9i69JwXrV2zJ8N1kpbLJDU2bwob5rWMBqdATtl" TargetMode="External"/><Relationship Id="rId96" Type="http://schemas.openxmlformats.org/officeDocument/2006/relationships/hyperlink" Target="https://www.facebook.com/permalink.php?story_fbid=pfbid02fTb2K6NJSzgWBLzqDUZou6PDrQGosqQdft1S1LoN2gcgvs73JDwozm5L4dLAuNEnl&amp;id=61554133665932" TargetMode="External"/><Relationship Id="rId99" Type="http://schemas.openxmlformats.org/officeDocument/2006/relationships/hyperlink" Target="https://www.facebook.com/axoebuxanariel/posts/pfbid0ie9ripmappTEpJirE5jozifHJ6D4TvsEspZxqobK141u77692V3RVbEzGJ9DvvWSl" TargetMode="External"/><Relationship Id="rId98" Type="http://schemas.openxmlformats.org/officeDocument/2006/relationships/hyperlink" Target="https://www.facebook.com/kreatorsukses.24/posts/pfbid02Zdh5MGrhur4nqhUgvGZXcfnYcxzg8fyXBH3qJYUT93QqurQcCrRy2EEvF9Vrp9dwl" TargetMode="External"/><Relationship Id="rId91" Type="http://schemas.openxmlformats.org/officeDocument/2006/relationships/hyperlink" Target="https://www.tiktok.com/@saveandovi/video/7545801910750629127" TargetMode="External"/><Relationship Id="rId90" Type="http://schemas.openxmlformats.org/officeDocument/2006/relationships/hyperlink" Target="https://www.tiktok.com/@powerbenjerz/video/7546049102593740039" TargetMode="External"/><Relationship Id="rId93" Type="http://schemas.openxmlformats.org/officeDocument/2006/relationships/hyperlink" Target="https://x.com/alisyarief/status/1961632621181767939" TargetMode="External"/><Relationship Id="rId92" Type="http://schemas.openxmlformats.org/officeDocument/2006/relationships/hyperlink" Target="https://www.instagram.com/reel/DOLejLZkbVx/?igsh=MTgxeTRrMTZuNzJsZw%3D%3D" TargetMode="External"/><Relationship Id="rId359" Type="http://schemas.openxmlformats.org/officeDocument/2006/relationships/hyperlink" Target="https://www.facebook.com/share/r/1GVGqEevSa/" TargetMode="External"/><Relationship Id="rId358" Type="http://schemas.openxmlformats.org/officeDocument/2006/relationships/hyperlink" Target="https://www.facebook.com/100077746226478/posts/724153426852858/?rdid=1qiT1jHWBDdMvMxx" TargetMode="External"/><Relationship Id="rId357" Type="http://schemas.openxmlformats.org/officeDocument/2006/relationships/hyperlink" Target="https://www.facebook.com/watch/?v=3752691058374165&amp;rdid=p9SeZirDrDtcJT7p" TargetMode="External"/><Relationship Id="rId2270" Type="http://schemas.openxmlformats.org/officeDocument/2006/relationships/hyperlink" Target="https://x.com/TaliUdeng/status/2014204097612943672?t=Tle31WrHO5_TVh3XnwQnBg&amp;s=35" TargetMode="External"/><Relationship Id="rId2271" Type="http://schemas.openxmlformats.org/officeDocument/2006/relationships/hyperlink" Target="https://x.com/ardisatriawan/status/2014241530798854173?t=8vTGSgbvlaLxXkc8KRolqw&amp;s=35" TargetMode="External"/><Relationship Id="rId352" Type="http://schemas.openxmlformats.org/officeDocument/2006/relationships/hyperlink" Target="https://www.tiktok.com/@sari25454/video/7550140529548250424?_r=1&amp;_t=ZS-8zk9LHDehHNProvokasi" TargetMode="External"/><Relationship Id="rId2272" Type="http://schemas.openxmlformats.org/officeDocument/2006/relationships/hyperlink" Target="https://x.com/TaliUdeng/status/2014158186295808216?t=PdXLackmGXU9ZK4QUGT-JQ&amp;s=35" TargetMode="External"/><Relationship Id="rId351" Type="http://schemas.openxmlformats.org/officeDocument/2006/relationships/hyperlink" Target="https://www.tiktok.com/@karlong2007/video/7549979950762183954" TargetMode="External"/><Relationship Id="rId2273" Type="http://schemas.openxmlformats.org/officeDocument/2006/relationships/hyperlink" Target="https://x.com/hourly_absurd_3/status/2014153848529764465?t=uvOfBCSku_L_HMKdaQBXTQ&amp;s=35" TargetMode="External"/><Relationship Id="rId350" Type="http://schemas.openxmlformats.org/officeDocument/2006/relationships/hyperlink" Target="https://www.tiktok.com/@dikaahmadr3/video/7515733566215441671" TargetMode="External"/><Relationship Id="rId2274" Type="http://schemas.openxmlformats.org/officeDocument/2006/relationships/hyperlink" Target="https://x.com/siregar_najeges/status/2013926789693780473?t=PlM4EQDgr9c8m5o8mHvqag&amp;s=35" TargetMode="External"/><Relationship Id="rId2275" Type="http://schemas.openxmlformats.org/officeDocument/2006/relationships/hyperlink" Target="https://vt.tiktok.com/ZSahqDttr/" TargetMode="External"/><Relationship Id="rId356" Type="http://schemas.openxmlformats.org/officeDocument/2006/relationships/hyperlink" Target="https://www.tiktok.com/@zuricg15/video/7549527299910077713?_r=1&amp;_t=ZS-8zkEhwzsALs" TargetMode="External"/><Relationship Id="rId2276" Type="http://schemas.openxmlformats.org/officeDocument/2006/relationships/hyperlink" Target="https://x.com/MichelAdam1515/status/2013443987080913368" TargetMode="External"/><Relationship Id="rId355" Type="http://schemas.openxmlformats.org/officeDocument/2006/relationships/hyperlink" Target="https://vt.tiktok.com/ZSDrRsw6N/" TargetMode="External"/><Relationship Id="rId2277" Type="http://schemas.openxmlformats.org/officeDocument/2006/relationships/hyperlink" Target="https://x.com/GinaAlwidin/status/2013440841231073601" TargetMode="External"/><Relationship Id="rId354" Type="http://schemas.openxmlformats.org/officeDocument/2006/relationships/hyperlink" Target="https://www.tiktok.com/@agus.irianto1968/video/7550211624984907025?_r=1&amp;_t=ZS-8zkA1vDTgxN" TargetMode="External"/><Relationship Id="rId2278" Type="http://schemas.openxmlformats.org/officeDocument/2006/relationships/hyperlink" Target="https://x.com/guci_marbawi/status/2013439539839221991" TargetMode="External"/><Relationship Id="rId353" Type="http://schemas.openxmlformats.org/officeDocument/2006/relationships/hyperlink" Target="https://www.tiktok.com/@mutiaraislami64/video/7550174958555516216?_r=1&amp;_t=ZS-8zk9TTjSPEu" TargetMode="External"/><Relationship Id="rId2279" Type="http://schemas.openxmlformats.org/officeDocument/2006/relationships/hyperlink" Target="https://x.com/SianiparRismon/status/2013413968988258394" TargetMode="External"/><Relationship Id="rId2225" Type="http://schemas.openxmlformats.org/officeDocument/2006/relationships/hyperlink" Target="https://www.facebook.com/reel/867861599060162" TargetMode="External"/><Relationship Id="rId2226" Type="http://schemas.openxmlformats.org/officeDocument/2006/relationships/hyperlink" Target="https://jalahoaks.jakarta.go.id/detail/Hoaks-Ketua-DPR-RI-Puan-dan-Megawati-Ancam-akan-Lengserkan-Menkeu-Purbaya" TargetMode="External"/><Relationship Id="rId2227" Type="http://schemas.openxmlformats.org/officeDocument/2006/relationships/hyperlink" Target="https://www.facebook.com/reel/1480423073171090" TargetMode="External"/><Relationship Id="rId2228" Type="http://schemas.openxmlformats.org/officeDocument/2006/relationships/hyperlink" Target="https://turnbackhoax.id/articles/30085--salah-menkeu-purbaya-jebloskan-luhut-ke-penjara" TargetMode="External"/><Relationship Id="rId2229" Type="http://schemas.openxmlformats.org/officeDocument/2006/relationships/hyperlink" Target="https://www.tiktok.com/@prabowo.gibran80/video/7452983999871388934" TargetMode="External"/><Relationship Id="rId305" Type="http://schemas.openxmlformats.org/officeDocument/2006/relationships/hyperlink" Target="https://x.com/BarisanPemudaRI/status/1965904570015764731" TargetMode="External"/><Relationship Id="rId304" Type="http://schemas.openxmlformats.org/officeDocument/2006/relationships/hyperlink" Target="https://www.facebook.com/groups/2275273022893045/" TargetMode="External"/><Relationship Id="rId303" Type="http://schemas.openxmlformats.org/officeDocument/2006/relationships/hyperlink" Target="https://www.facebook.com/groups/2275273022893045/user/61567755303052" TargetMode="External"/><Relationship Id="rId302" Type="http://schemas.openxmlformats.org/officeDocument/2006/relationships/hyperlink" Target="https://www.facebook.com/groups/2275273022893045/user/100041210661030" TargetMode="External"/><Relationship Id="rId309" Type="http://schemas.openxmlformats.org/officeDocument/2006/relationships/hyperlink" Target="https://www.tiktok.com/@hyeon.kyung.ja/video/7548422357589806341" TargetMode="External"/><Relationship Id="rId308" Type="http://schemas.openxmlformats.org/officeDocument/2006/relationships/hyperlink" Target="https://www.tiktok.com/@ibuonenggaul/video/7548424379651099910" TargetMode="External"/><Relationship Id="rId307" Type="http://schemas.openxmlformats.org/officeDocument/2006/relationships/hyperlink" Target="https://www.tiktok.com/@yudhiaz182/video/7548577037057920261" TargetMode="External"/><Relationship Id="rId306" Type="http://schemas.openxmlformats.org/officeDocument/2006/relationships/hyperlink" Target="https://www.tiktok.com/@asiatel2012/video/7548645449058635026" TargetMode="External"/><Relationship Id="rId2220" Type="http://schemas.openxmlformats.org/officeDocument/2006/relationships/hyperlink" Target="https://www.facebook.com/share/p/1C6maPTw4c/" TargetMode="External"/><Relationship Id="rId301" Type="http://schemas.openxmlformats.org/officeDocument/2006/relationships/hyperlink" Target="https://www.tiktok.com/@kurniafajrinofficial/video/7541000328922057990" TargetMode="External"/><Relationship Id="rId2221" Type="http://schemas.openxmlformats.org/officeDocument/2006/relationships/hyperlink" Target="https://www.facebook.com/reel/1986314688889749" TargetMode="External"/><Relationship Id="rId300" Type="http://schemas.openxmlformats.org/officeDocument/2006/relationships/hyperlink" Target="https://www.tiktok.com/@nurdin_karim_chanel5/video/7548821270230535432" TargetMode="External"/><Relationship Id="rId2222" Type="http://schemas.openxmlformats.org/officeDocument/2006/relationships/hyperlink" Target="https://turnbackhoax.id/articles/31893" TargetMode="External"/><Relationship Id="rId2223" Type="http://schemas.openxmlformats.org/officeDocument/2006/relationships/hyperlink" Target="https://www.facebook.com/reel/833269999381066" TargetMode="External"/><Relationship Id="rId2224" Type="http://schemas.openxmlformats.org/officeDocument/2006/relationships/hyperlink" Target="https://turnbackhoax.id/articles/31893" TargetMode="External"/><Relationship Id="rId2214" Type="http://schemas.openxmlformats.org/officeDocument/2006/relationships/hyperlink" Target="https://www.facebook.com/share/r/1BmVsL53Ms/" TargetMode="External"/><Relationship Id="rId2215" Type="http://schemas.openxmlformats.org/officeDocument/2006/relationships/hyperlink" Target="https://www.facebook.com/share/p/1R83ais3QY/" TargetMode="External"/><Relationship Id="rId2216" Type="http://schemas.openxmlformats.org/officeDocument/2006/relationships/hyperlink" Target="https://www.tiktok.com/@freee.max83/video/7590636589672434952" TargetMode="External"/><Relationship Id="rId2217" Type="http://schemas.openxmlformats.org/officeDocument/2006/relationships/hyperlink" Target="https://www.tiktok.com/@hermanarigo/video/7597719722079177991" TargetMode="External"/><Relationship Id="rId2218" Type="http://schemas.openxmlformats.org/officeDocument/2006/relationships/hyperlink" Target="https://www.facebook.com/share/r/16JY3HWzC5/" TargetMode="External"/><Relationship Id="rId2219" Type="http://schemas.openxmlformats.org/officeDocument/2006/relationships/hyperlink" Target="https://www.facebook.com/share/p/17sMuVRkpP/" TargetMode="External"/><Relationship Id="rId2210" Type="http://schemas.openxmlformats.org/officeDocument/2006/relationships/hyperlink" Target="https://www.facebook.com/share/p/16yukMVqA2/" TargetMode="External"/><Relationship Id="rId2211" Type="http://schemas.openxmlformats.org/officeDocument/2006/relationships/hyperlink" Target="https://www.facebook.com/share/p/1KyQ7zbYpo/" TargetMode="External"/><Relationship Id="rId2212" Type="http://schemas.openxmlformats.org/officeDocument/2006/relationships/hyperlink" Target="https://www.facebook.com/share/r/182AWrXeu9/" TargetMode="External"/><Relationship Id="rId2213" Type="http://schemas.openxmlformats.org/officeDocument/2006/relationships/hyperlink" Target="https://www.facebook.com/share/v/1DRFQsyh6U/" TargetMode="External"/><Relationship Id="rId2247" Type="http://schemas.openxmlformats.org/officeDocument/2006/relationships/hyperlink" Target="https://www.facebook.com/photo/?fbid=883762787466954&amp;set=g.199908090907381" TargetMode="External"/><Relationship Id="rId2248" Type="http://schemas.openxmlformats.org/officeDocument/2006/relationships/hyperlink" Target="https://www.facebook.com/groups/199908090907381/?multi_permalinks=1673955233502652&amp;hoisted_section_header_type=recently_seen" TargetMode="External"/><Relationship Id="rId2249" Type="http://schemas.openxmlformats.org/officeDocument/2006/relationships/hyperlink" Target="https://www.facebook.com/permalink.php?story_fbid=pfbid02Z3obcu8gWgGE4TBJXBUF88EVmh4fxGLmWQdLimT2EVp5H8ka5qaqTjvKEjyZzcdvl&amp;id=61579195203420" TargetMode="External"/><Relationship Id="rId327" Type="http://schemas.openxmlformats.org/officeDocument/2006/relationships/hyperlink" Target="https://www.facebook.com/jhon.kake.jepang?__cft__%5B0%5D=AZWKNhTVOpPesZr0szXys55gHK8XgBvdXCL5NDKKiZWkfTwVdKVptX1RYlEM25WG_Wifj2uSPJV2T_of6PQ-H9EC4yTCiUYYzn_pQLUdPjx7_2Ui94CRM6N95Rkiw1OPXTzkZq_V7PF6lS8074hl1NbMuEH134rPAyMs5Jaisgy4q3gv-uRPwVDG_mxcpBOOt3ZIyUkm8Ftr3__kzE5jq2B3&amp;__tn__=-UC%2CP-R" TargetMode="External"/><Relationship Id="rId326" Type="http://schemas.openxmlformats.org/officeDocument/2006/relationships/hyperlink" Target="https://www.facebook.com/share/p/19YVgxqorN/" TargetMode="External"/><Relationship Id="rId325" Type="http://schemas.openxmlformats.org/officeDocument/2006/relationships/hyperlink" Target="https://www.tiktok.com/@bok.office/video/7533478522099158328?_r=1&amp;_t=ZS-8ziFTriOQ2G" TargetMode="External"/><Relationship Id="rId324" Type="http://schemas.openxmlformats.org/officeDocument/2006/relationships/hyperlink" Target="https://www.tiktok.com/@_senyaptepatsasaran_/video/7544280852411239688" TargetMode="External"/><Relationship Id="rId329" Type="http://schemas.openxmlformats.org/officeDocument/2006/relationships/hyperlink" Target="https://x.com/buzerman18/status/1967095843762373111" TargetMode="External"/><Relationship Id="rId328" Type="http://schemas.openxmlformats.org/officeDocument/2006/relationships/hyperlink" Target="https://x.com/Dwynna_Win/status/1966833277064671762" TargetMode="External"/><Relationship Id="rId2240" Type="http://schemas.openxmlformats.org/officeDocument/2006/relationships/hyperlink" Target="https://vt.tiktok.com/ZSaBpqpV8/" TargetMode="External"/><Relationship Id="rId2241" Type="http://schemas.openxmlformats.org/officeDocument/2006/relationships/hyperlink" Target="https://vt.tiktok.com/ZSaSdegUg/" TargetMode="External"/><Relationship Id="rId2242" Type="http://schemas.openxmlformats.org/officeDocument/2006/relationships/hyperlink" Target="https://vt.tiktok.com/ZSaSRwCtH/" TargetMode="External"/><Relationship Id="rId323" Type="http://schemas.openxmlformats.org/officeDocument/2006/relationships/hyperlink" Target="https://www.tiktok.com/@freewestpapua.nl/video/7500926800755887383?_r=1&amp;_t=ZS-8ziAcZNjLV9" TargetMode="External"/><Relationship Id="rId2243" Type="http://schemas.openxmlformats.org/officeDocument/2006/relationships/hyperlink" Target="https://www.facebook.com/share/p/1BSQWtUo7G/" TargetMode="External"/><Relationship Id="rId322" Type="http://schemas.openxmlformats.org/officeDocument/2006/relationships/hyperlink" Target="https://www.tiktok.com/@cahayadi02/video/7543679373635865863?_r=1&amp;_t=ZS-8ziAZv7NcPK" TargetMode="External"/><Relationship Id="rId2244" Type="http://schemas.openxmlformats.org/officeDocument/2006/relationships/hyperlink" Target="https://www.facebook.com/share/188d7sHroY/" TargetMode="External"/><Relationship Id="rId321" Type="http://schemas.openxmlformats.org/officeDocument/2006/relationships/hyperlink" Target="https://www.tiktok.com/@bang.re04/video/7549230733513035016?_r=1&amp;_t=ZS-8ziATiLGhBg" TargetMode="External"/><Relationship Id="rId2245" Type="http://schemas.openxmlformats.org/officeDocument/2006/relationships/hyperlink" Target="https://www.facebook.com/profile.php?id=61586575059305" TargetMode="External"/><Relationship Id="rId320" Type="http://schemas.openxmlformats.org/officeDocument/2006/relationships/hyperlink" Target="https://www.facebook.com/groups/882222322392995/?multi_permalinks=1807023436579541&amp;hoisted_section_header_type=recently_seen" TargetMode="External"/><Relationship Id="rId2246" Type="http://schemas.openxmlformats.org/officeDocument/2006/relationships/hyperlink" Target="https://www.facebook.com/share/v/1AQ293SL3J/" TargetMode="External"/><Relationship Id="rId2236" Type="http://schemas.openxmlformats.org/officeDocument/2006/relationships/hyperlink" Target="https://www.facebook.com/share/v/181btfNWDg/" TargetMode="External"/><Relationship Id="rId2237" Type="http://schemas.openxmlformats.org/officeDocument/2006/relationships/hyperlink" Target="https://x.com/Denmas881571/status/2014387317793018224" TargetMode="External"/><Relationship Id="rId2238" Type="http://schemas.openxmlformats.org/officeDocument/2006/relationships/hyperlink" Target="https://x.com/RafiHasibu70974/status/2013979026327499251" TargetMode="External"/><Relationship Id="rId2239" Type="http://schemas.openxmlformats.org/officeDocument/2006/relationships/hyperlink" Target="https://www.facebook.com/share/r/1ECEFHf6Cf/" TargetMode="External"/><Relationship Id="rId316" Type="http://schemas.openxmlformats.org/officeDocument/2006/relationships/hyperlink" Target="https://www.facebook.com/groups/882222322392995/posts/1815059065775978/" TargetMode="External"/><Relationship Id="rId315" Type="http://schemas.openxmlformats.org/officeDocument/2006/relationships/hyperlink" Target="https://www.tiktok.com/@si.daman/video/7548433273458937093" TargetMode="External"/><Relationship Id="rId314" Type="http://schemas.openxmlformats.org/officeDocument/2006/relationships/hyperlink" Target="https://www.tiktok.com/@jamharry.abdel/video/7548460700490878214" TargetMode="External"/><Relationship Id="rId313" Type="http://schemas.openxmlformats.org/officeDocument/2006/relationships/hyperlink" Target="https://www.tiktok.com/@iskandar.z9/video/7548513491527699730" TargetMode="External"/><Relationship Id="rId319" Type="http://schemas.openxmlformats.org/officeDocument/2006/relationships/hyperlink" Target="https://www.facebook.com/groups/882222322392995/posts/1824313648183853/" TargetMode="External"/><Relationship Id="rId318" Type="http://schemas.openxmlformats.org/officeDocument/2006/relationships/hyperlink" Target="https://www.facebook.com/groups/882222322392995/posts/1824289964852888/" TargetMode="External"/><Relationship Id="rId317" Type="http://schemas.openxmlformats.org/officeDocument/2006/relationships/hyperlink" Target="https://www.facebook.com/groups/882222322392995/posts/1822406801707871/" TargetMode="External"/><Relationship Id="rId2230" Type="http://schemas.openxmlformats.org/officeDocument/2006/relationships/hyperlink" Target="https://www.kompas.com/cekfakta/read/2026/01/22/111100782/-hoaks-prabowo-beri-dana-bantuan-untuk-lunasi-utang-dan-bangun-rumah" TargetMode="External"/><Relationship Id="rId2231" Type="http://schemas.openxmlformats.org/officeDocument/2006/relationships/hyperlink" Target="https://www.tiktok.com/@prabowo._subianto08/video/7427910142663888133" TargetMode="External"/><Relationship Id="rId312" Type="http://schemas.openxmlformats.org/officeDocument/2006/relationships/hyperlink" Target="https://www.tiktok.com/@7ejetsgw9qtw/video/7548430637330451719" TargetMode="External"/><Relationship Id="rId2232" Type="http://schemas.openxmlformats.org/officeDocument/2006/relationships/hyperlink" Target="https://www.kompas.com/cekfakta/read/2026/01/22/111100782/-hoaks-prabowo-beri-dana-bantuan-untuk-lunasi-utang-dan-bangun-rumah" TargetMode="External"/><Relationship Id="rId311" Type="http://schemas.openxmlformats.org/officeDocument/2006/relationships/hyperlink" Target="https://www.tiktok.com/@irmasuryani_p2a/video/7548592036253863173" TargetMode="External"/><Relationship Id="rId2233" Type="http://schemas.openxmlformats.org/officeDocument/2006/relationships/hyperlink" Target="https://www.facebook.com/share/p/14MnGRRHSGK/" TargetMode="External"/><Relationship Id="rId310" Type="http://schemas.openxmlformats.org/officeDocument/2006/relationships/hyperlink" Target="https://www.tiktok.com/@jamalagii/video/7548466562362133768" TargetMode="External"/><Relationship Id="rId2234" Type="http://schemas.openxmlformats.org/officeDocument/2006/relationships/hyperlink" Target="https://www.facebook.com/share/p/17qLtHQvfW/" TargetMode="External"/><Relationship Id="rId2235" Type="http://schemas.openxmlformats.org/officeDocument/2006/relationships/hyperlink" Target="https://www.facebook.com/share/v/1G3fCsyvEX/" TargetMode="External"/><Relationship Id="rId297" Type="http://schemas.openxmlformats.org/officeDocument/2006/relationships/hyperlink" Target="https://www.facebook.com/reel/1074323804747958" TargetMode="External"/><Relationship Id="rId296" Type="http://schemas.openxmlformats.org/officeDocument/2006/relationships/hyperlink" Target="https://x.com/PresidenKopi/status/1966852928196800632" TargetMode="External"/><Relationship Id="rId295" Type="http://schemas.openxmlformats.org/officeDocument/2006/relationships/hyperlink" Target="https://www.facebook.com/reel/1544815663363063" TargetMode="External"/><Relationship Id="rId294" Type="http://schemas.openxmlformats.org/officeDocument/2006/relationships/hyperlink" Target="https://www.facebook.com/farah.ummu.mahmudah/posts/pfbid0uVXwsSnTtnaeszJGqDPgkCRPjXGjkLRLthDt5vLa8dMBGjDj86aeAxSkWZPUEomJl?rdid=aBNtgpsSR6VE8NS3" TargetMode="External"/><Relationship Id="rId299" Type="http://schemas.openxmlformats.org/officeDocument/2006/relationships/hyperlink" Target="https://www.tiktok.com/@user2661875926168/video/7549069658624773383" TargetMode="External"/><Relationship Id="rId298" Type="http://schemas.openxmlformats.org/officeDocument/2006/relationships/hyperlink" Target="https://www.facebook.com/reel/1328820405627154" TargetMode="External"/><Relationship Id="rId271" Type="http://schemas.openxmlformats.org/officeDocument/2006/relationships/hyperlink" Target="https://vt.tiktok.com/ZSDFm4QcT/" TargetMode="External"/><Relationship Id="rId270" Type="http://schemas.openxmlformats.org/officeDocument/2006/relationships/hyperlink" Target="https://vt.tiktok.com/ZSDFAS2UV/" TargetMode="External"/><Relationship Id="rId269" Type="http://schemas.openxmlformats.org/officeDocument/2006/relationships/hyperlink" Target="https://vt.tiktok.com/ZSDFLhgg5/" TargetMode="External"/><Relationship Id="rId264" Type="http://schemas.openxmlformats.org/officeDocument/2006/relationships/hyperlink" Target="https://x.com/abdinst/status/1965643512948613554?t=qQg0L9vXamEh4j0h3R5_ow&amp;s=19" TargetMode="External"/><Relationship Id="rId263" Type="http://schemas.openxmlformats.org/officeDocument/2006/relationships/hyperlink" Target="https://x.com/Boediantar4/status/1965295018731860159" TargetMode="External"/><Relationship Id="rId262" Type="http://schemas.openxmlformats.org/officeDocument/2006/relationships/hyperlink" Target="https://x.com/Bacoleng/status/1965963797270810672" TargetMode="External"/><Relationship Id="rId261" Type="http://schemas.openxmlformats.org/officeDocument/2006/relationships/hyperlink" Target="https://x.com/f_fathur/status/1962457157221454225" TargetMode="External"/><Relationship Id="rId268" Type="http://schemas.openxmlformats.org/officeDocument/2006/relationships/hyperlink" Target="https://vt.tiktok.com/ZSDF8Wurs/" TargetMode="External"/><Relationship Id="rId267" Type="http://schemas.openxmlformats.org/officeDocument/2006/relationships/hyperlink" Target="https://vt.tiktok.com/ZSDF82nwc/" TargetMode="External"/><Relationship Id="rId266" Type="http://schemas.openxmlformats.org/officeDocument/2006/relationships/hyperlink" Target="https://www.facebook.com/share/p/1S1nZuvsZw/" TargetMode="External"/><Relationship Id="rId265" Type="http://schemas.openxmlformats.org/officeDocument/2006/relationships/hyperlink" Target="https://vt.tiktok.com/ZSDNnFNyW/" TargetMode="External"/><Relationship Id="rId260" Type="http://schemas.openxmlformats.org/officeDocument/2006/relationships/hyperlink" Target="https://x.com/HariyantoSahar/status/1963055179798094321" TargetMode="External"/><Relationship Id="rId259" Type="http://schemas.openxmlformats.org/officeDocument/2006/relationships/hyperlink" Target="https://x.com/Daun_hijau47/status/1963631238385631290" TargetMode="External"/><Relationship Id="rId258" Type="http://schemas.openxmlformats.org/officeDocument/2006/relationships/hyperlink" Target="https://x.com/indepenSumatera/status/1966044620900729155" TargetMode="External"/><Relationship Id="rId2290" Type="http://schemas.openxmlformats.org/officeDocument/2006/relationships/hyperlink" Target="https://x.com/seonghyeonoona_/status/2013865188815216884" TargetMode="External"/><Relationship Id="rId2291" Type="http://schemas.openxmlformats.org/officeDocument/2006/relationships/hyperlink" Target="https://x.com/tpinks4/status/2013914536487829750" TargetMode="External"/><Relationship Id="rId2292" Type="http://schemas.openxmlformats.org/officeDocument/2006/relationships/hyperlink" Target="https://x.com/OnlyOneLee/status/2013842399756534025" TargetMode="External"/><Relationship Id="rId2293" Type="http://schemas.openxmlformats.org/officeDocument/2006/relationships/hyperlink" Target="https://x.com/irwinardianto/status/2013843757381320985" TargetMode="External"/><Relationship Id="rId253" Type="http://schemas.openxmlformats.org/officeDocument/2006/relationships/hyperlink" Target="https://www.facebook.com/reel/1480397473091350" TargetMode="External"/><Relationship Id="rId2294" Type="http://schemas.openxmlformats.org/officeDocument/2006/relationships/hyperlink" Target="https://x.com/Yossyuwono48/status/2013883376546308378" TargetMode="External"/><Relationship Id="rId252" Type="http://schemas.openxmlformats.org/officeDocument/2006/relationships/hyperlink" Target="https://www.facebook.com/reel/768712999265930" TargetMode="External"/><Relationship Id="rId2295" Type="http://schemas.openxmlformats.org/officeDocument/2006/relationships/hyperlink" Target="https://x.com/Enzzojerry/status/2014016744319553650" TargetMode="External"/><Relationship Id="rId251" Type="http://schemas.openxmlformats.org/officeDocument/2006/relationships/hyperlink" Target="https://www.tiktok.com/@policeherossmile/video/7548632344303766792" TargetMode="External"/><Relationship Id="rId2296" Type="http://schemas.openxmlformats.org/officeDocument/2006/relationships/hyperlink" Target="https://x.com/Tipu2Mul/status/2014240191540867532" TargetMode="External"/><Relationship Id="rId250" Type="http://schemas.openxmlformats.org/officeDocument/2006/relationships/hyperlink" Target="https://www.facebook.com/reel/566209293180239" TargetMode="External"/><Relationship Id="rId2297" Type="http://schemas.openxmlformats.org/officeDocument/2006/relationships/hyperlink" Target="https://www.facebook.com/groups/890785618559406/permalink/1700808200890473/" TargetMode="External"/><Relationship Id="rId257" Type="http://schemas.openxmlformats.org/officeDocument/2006/relationships/hyperlink" Target="https://www.facebook.com/reel/762911886592274" TargetMode="External"/><Relationship Id="rId2298" Type="http://schemas.openxmlformats.org/officeDocument/2006/relationships/hyperlink" Target="https://x.com/theluckiestboy/status/2014170928134127643?s=20" TargetMode="External"/><Relationship Id="rId256" Type="http://schemas.openxmlformats.org/officeDocument/2006/relationships/hyperlink" Target="https://www.facebook.com/reel/806265331814343" TargetMode="External"/><Relationship Id="rId2299" Type="http://schemas.openxmlformats.org/officeDocument/2006/relationships/hyperlink" Target="https://x.com/lunaisloveee/status/2014191336631460145?s=20" TargetMode="External"/><Relationship Id="rId255" Type="http://schemas.openxmlformats.org/officeDocument/2006/relationships/hyperlink" Target="https://www.facebook.com/reel/1085239283808551" TargetMode="External"/><Relationship Id="rId254" Type="http://schemas.openxmlformats.org/officeDocument/2006/relationships/hyperlink" Target="https://www.facebook.com/profile.php?id=100079085568421" TargetMode="External"/><Relationship Id="rId293" Type="http://schemas.openxmlformats.org/officeDocument/2006/relationships/hyperlink" Target="https://www.tiktok.com/@komando.am.1976/video/7505371645490515221?_r=1&amp;_t=ZS-8zgfc76Fl5R" TargetMode="External"/><Relationship Id="rId292" Type="http://schemas.openxmlformats.org/officeDocument/2006/relationships/hyperlink" Target="https://www.tiktok.com/@independent4038/photo/7496336687174405382?_r=1&amp;_t=ZS-8zgfZ4DKg69" TargetMode="External"/><Relationship Id="rId291" Type="http://schemas.openxmlformats.org/officeDocument/2006/relationships/hyperlink" Target="https://www.tiktok.com/@independent4038/video/7540913244060306744?_r=1&amp;_t=ZS-8zgfLwUnt5c" TargetMode="External"/><Relationship Id="rId290" Type="http://schemas.openxmlformats.org/officeDocument/2006/relationships/hyperlink" Target="https://www.tiktok.com/@freewestpapua.nl/video/7549182847458774304" TargetMode="External"/><Relationship Id="rId286" Type="http://schemas.openxmlformats.org/officeDocument/2006/relationships/hyperlink" Target="https://www.tiktok.com/@rakyat.jelata938/video/7548521376034999559" TargetMode="External"/><Relationship Id="rId285" Type="http://schemas.openxmlformats.org/officeDocument/2006/relationships/hyperlink" Target="https://www.tiktok.com/@muslihin1795/video/7548840230497897746" TargetMode="External"/><Relationship Id="rId284" Type="http://schemas.openxmlformats.org/officeDocument/2006/relationships/hyperlink" Target="https://www.facebook.com/kodbae.jaksa/posts/pfbid02WbkshRTVBciHUdR3VyQnDKbhEJHU7hMbRutgvhTbr8YSaUKGq5HZ9FaTJmgZZpvml?rdid=EmidrBq59gjwRvZ5" TargetMode="External"/><Relationship Id="rId283" Type="http://schemas.openxmlformats.org/officeDocument/2006/relationships/hyperlink" Target="https://x.com/agung_faysm/status/1966148125871218860?t=4E8fIwtikBwtcFyrxKrKIQ&amp;s=08" TargetMode="External"/><Relationship Id="rId289" Type="http://schemas.openxmlformats.org/officeDocument/2006/relationships/hyperlink" Target="https://www.tiktok.com/@solusi_tuntas75/video/7547700839444401416" TargetMode="External"/><Relationship Id="rId288" Type="http://schemas.openxmlformats.org/officeDocument/2006/relationships/hyperlink" Target="https://www.tiktok.com/@aceh.tulen/video/7546878116011035926" TargetMode="External"/><Relationship Id="rId287" Type="http://schemas.openxmlformats.org/officeDocument/2006/relationships/hyperlink" Target="https://www.tiktok.com/@ssemot1/video/7549352557852839173" TargetMode="External"/><Relationship Id="rId282" Type="http://schemas.openxmlformats.org/officeDocument/2006/relationships/hyperlink" Target="https://x.com/CakNur971/status/1966374732238107059?t=wH1VL275dfXaVcQlI3sJ8g&amp;s=08" TargetMode="External"/><Relationship Id="rId281" Type="http://schemas.openxmlformats.org/officeDocument/2006/relationships/hyperlink" Target="https://vt.tiktok.com/ZSDN5v4hH/" TargetMode="External"/><Relationship Id="rId280" Type="http://schemas.openxmlformats.org/officeDocument/2006/relationships/hyperlink" Target="https://www.tiktok.com/@fakta.data.id/video/7545138556344257793?_r=1&amp;_t=ZS8zRA0WWxR60" TargetMode="External"/><Relationship Id="rId275" Type="http://schemas.openxmlformats.org/officeDocument/2006/relationships/hyperlink" Target="https://www.tiktok.com/@angga5607631053270/video/7548363472128478520" TargetMode="External"/><Relationship Id="rId274" Type="http://schemas.openxmlformats.org/officeDocument/2006/relationships/hyperlink" Target="https://www.tiktok.com/@elangwijaya967/video/7548436428674321670?_r=1&amp;_t=ZS-8zcsi73AQqK" TargetMode="External"/><Relationship Id="rId273" Type="http://schemas.openxmlformats.org/officeDocument/2006/relationships/hyperlink" Target="https://www.tiktok.com/@elektro_1976/photo/7548469554821811473?_r=1&amp;_t=ZS-8zcsjcjdG7A" TargetMode="External"/><Relationship Id="rId272" Type="http://schemas.openxmlformats.org/officeDocument/2006/relationships/hyperlink" Target="https://vt.tiktok.com/ZSDFmbwon/" TargetMode="External"/><Relationship Id="rId279" Type="http://schemas.openxmlformats.org/officeDocument/2006/relationships/hyperlink" Target="https://www.instagram.com/reel/DOd2yGAErfh/?igsh=MjM3eDMzdTVmYmw5" TargetMode="External"/><Relationship Id="rId278" Type="http://schemas.openxmlformats.org/officeDocument/2006/relationships/hyperlink" Target="https://x.com/Muslim_AntiPKI9/status/1965784233487839572" TargetMode="External"/><Relationship Id="rId277" Type="http://schemas.openxmlformats.org/officeDocument/2006/relationships/hyperlink" Target="https://www.tiktok.com/@borderwarga" TargetMode="External"/><Relationship Id="rId276" Type="http://schemas.openxmlformats.org/officeDocument/2006/relationships/hyperlink" Target="https://www.tiktok.com/@fakta.data.id/video/7545138556344257793?_r=1&amp;_t=ZS-8zRA0WWxR60" TargetMode="External"/><Relationship Id="rId1851" Type="http://schemas.openxmlformats.org/officeDocument/2006/relationships/hyperlink" Target="https://www.facebook.com/share/p/1GXG9zRDds/" TargetMode="External"/><Relationship Id="rId1852" Type="http://schemas.openxmlformats.org/officeDocument/2006/relationships/hyperlink" Target="https://www.facebook.com/share/p/1E6gFdhz3p/" TargetMode="External"/><Relationship Id="rId1853" Type="http://schemas.openxmlformats.org/officeDocument/2006/relationships/hyperlink" Target="https://www.facebook.com/share/p/1Kf8uydJbq/" TargetMode="External"/><Relationship Id="rId1854" Type="http://schemas.openxmlformats.org/officeDocument/2006/relationships/hyperlink" Target="https://www.facebook.com/share/p/1FgMsGj5Hb/" TargetMode="External"/><Relationship Id="rId1855" Type="http://schemas.openxmlformats.org/officeDocument/2006/relationships/hyperlink" Target="https://www.facebook.com/share/p/17Z8tQbtqE/" TargetMode="External"/><Relationship Id="rId1856" Type="http://schemas.openxmlformats.org/officeDocument/2006/relationships/hyperlink" Target="https://www.facebook.com/share/p/1RZUSydGtd/" TargetMode="External"/><Relationship Id="rId1857" Type="http://schemas.openxmlformats.org/officeDocument/2006/relationships/hyperlink" Target="https://www.facebook.com/share/p/1AkqKM6z55/" TargetMode="External"/><Relationship Id="rId1858" Type="http://schemas.openxmlformats.org/officeDocument/2006/relationships/hyperlink" Target="https://vt.tiktok.com/ZSanemd3y/" TargetMode="External"/><Relationship Id="rId1859" Type="http://schemas.openxmlformats.org/officeDocument/2006/relationships/hyperlink" Target="https://x.com/berrynblush/status/2018562606861259231" TargetMode="External"/><Relationship Id="rId1850" Type="http://schemas.openxmlformats.org/officeDocument/2006/relationships/hyperlink" Target="https://www.facebook.com/share/p/1D3BKPhHNc/" TargetMode="External"/><Relationship Id="rId1840" Type="http://schemas.openxmlformats.org/officeDocument/2006/relationships/hyperlink" Target="https://www.facebook.com/share/p/1GKHYkze2N/" TargetMode="External"/><Relationship Id="rId1841" Type="http://schemas.openxmlformats.org/officeDocument/2006/relationships/hyperlink" Target="https://www.facebook.com/share/p/1NVn3EQjDi/" TargetMode="External"/><Relationship Id="rId1842" Type="http://schemas.openxmlformats.org/officeDocument/2006/relationships/hyperlink" Target="https://www.facebook.com/share/p/1CCamNEKep/" TargetMode="External"/><Relationship Id="rId1843" Type="http://schemas.openxmlformats.org/officeDocument/2006/relationships/hyperlink" Target="https://www.facebook.com/share/p/1C3p8wme34/" TargetMode="External"/><Relationship Id="rId1844" Type="http://schemas.openxmlformats.org/officeDocument/2006/relationships/hyperlink" Target="https://www.facebook.com/share/p/1Wey5uD2VD/" TargetMode="External"/><Relationship Id="rId1845" Type="http://schemas.openxmlformats.org/officeDocument/2006/relationships/hyperlink" Target="https://www.facebook.com/share/p/17WGNNdH1o/" TargetMode="External"/><Relationship Id="rId1846" Type="http://schemas.openxmlformats.org/officeDocument/2006/relationships/hyperlink" Target="https://www.facebook.com/share/p/18KLm9rYTR/" TargetMode="External"/><Relationship Id="rId1847" Type="http://schemas.openxmlformats.org/officeDocument/2006/relationships/hyperlink" Target="https://www.facebook.com/share/p/168imcfTUv/" TargetMode="External"/><Relationship Id="rId1848" Type="http://schemas.openxmlformats.org/officeDocument/2006/relationships/hyperlink" Target="https://www.facebook.com/share/p/1H8YYT1iPc/" TargetMode="External"/><Relationship Id="rId1849" Type="http://schemas.openxmlformats.org/officeDocument/2006/relationships/hyperlink" Target="https://www.facebook.com/share/p/1UEfDaf8Ag/" TargetMode="External"/><Relationship Id="rId1873" Type="http://schemas.openxmlformats.org/officeDocument/2006/relationships/hyperlink" Target="https://tirto.id/tidak-tepat-kuhp-disahkan-untuk-melumpuhkan-menkeu-purbaya-hpDF" TargetMode="External"/><Relationship Id="rId1874" Type="http://schemas.openxmlformats.org/officeDocument/2006/relationships/hyperlink" Target="https://www.facebook.com/reel/3748932885243355" TargetMode="External"/><Relationship Id="rId1875" Type="http://schemas.openxmlformats.org/officeDocument/2006/relationships/hyperlink" Target="https://www.kompas.com/cekfakta/read/2026/02/02/144749582/hoaks-guru-asn-bayar-bpjs-kesehatan-26-kali-dalam-setahun?page=2" TargetMode="External"/><Relationship Id="rId1876" Type="http://schemas.openxmlformats.org/officeDocument/2006/relationships/hyperlink" Target="https://www.facebook.com/swara.kota.7/posts/pfbid02MvpEsEd9KBoKAFaJ9ieWM8MazrgB51rTQVKoBrTMB1JSRbiDfjgTBaJam58TdARil?rdid=8pahDN8K0NOseKeF" TargetMode="External"/><Relationship Id="rId1877" Type="http://schemas.openxmlformats.org/officeDocument/2006/relationships/hyperlink" Target="https://www.kompas.com/cekfakta/read/2026/02/02/144749582/hoaks-guru-asn-bayar-bpjs-kesehatan-26-kali-dalam-setahun?page=2" TargetMode="External"/><Relationship Id="rId1878" Type="http://schemas.openxmlformats.org/officeDocument/2006/relationships/hyperlink" Target="https://www.facebook.com/reel/882033338012291" TargetMode="External"/><Relationship Id="rId1879" Type="http://schemas.openxmlformats.org/officeDocument/2006/relationships/hyperlink" Target="https://www.kompas.com/cekfakta/read/2026/02/02/144749582/hoaks-guru-asn-bayar-bpjs-kesehatan-26-kali-dalam-setahun?page=2" TargetMode="External"/><Relationship Id="rId1870" Type="http://schemas.openxmlformats.org/officeDocument/2006/relationships/hyperlink" Target="https://www.tiktok.com/@xiipinz3/video/7576713753048190216?" TargetMode="External"/><Relationship Id="rId1871" Type="http://schemas.openxmlformats.org/officeDocument/2006/relationships/hyperlink" Target="https://tirto.id/tidak-tepat-kuhp-disahkan-untuk-melumpuhkan-menkeu-purbaya-hpDF" TargetMode="External"/><Relationship Id="rId1872" Type="http://schemas.openxmlformats.org/officeDocument/2006/relationships/hyperlink" Target="https://www.tiktok.com/@sensei_wahyu/video/7575895094994242837?" TargetMode="External"/><Relationship Id="rId1862" Type="http://schemas.openxmlformats.org/officeDocument/2006/relationships/hyperlink" Target="https://x.com/Srik4ndiMuslim2/status/2017809560317399367" TargetMode="External"/><Relationship Id="rId1863" Type="http://schemas.openxmlformats.org/officeDocument/2006/relationships/hyperlink" Target="https://x.com/OjolNyambi/status/2017789404677595368" TargetMode="External"/><Relationship Id="rId1864" Type="http://schemas.openxmlformats.org/officeDocument/2006/relationships/hyperlink" Target="https://www.facebook.com/groups/594897112806059/posts/1208426754786422/" TargetMode="External"/><Relationship Id="rId1865" Type="http://schemas.openxmlformats.org/officeDocument/2006/relationships/hyperlink" Target="https://www.facebook.com/groups/594897112806059/posts/1207271141568650/" TargetMode="External"/><Relationship Id="rId1866" Type="http://schemas.openxmlformats.org/officeDocument/2006/relationships/hyperlink" Target="https://www.facebook.com/groups/594897112806059/posts/1207044268258004/" TargetMode="External"/><Relationship Id="rId1867" Type="http://schemas.openxmlformats.org/officeDocument/2006/relationships/hyperlink" Target="https://www.facebook.com/groups/594897112806059/posts/1203565928605838/" TargetMode="External"/><Relationship Id="rId1868" Type="http://schemas.openxmlformats.org/officeDocument/2006/relationships/hyperlink" Target="https://www.tiktok.com/@hilangarahdantujuan5/video/7602702480169913621?" TargetMode="External"/><Relationship Id="rId1869" Type="http://schemas.openxmlformats.org/officeDocument/2006/relationships/hyperlink" Target="https://tirto.id/tidak-tepat-kuhp-disahkan-untuk-melumpuhkan-menkeu-purbaya-hpDF" TargetMode="External"/><Relationship Id="rId1860" Type="http://schemas.openxmlformats.org/officeDocument/2006/relationships/hyperlink" Target="https://x.com/satoruqojou/status/2018320354297737614" TargetMode="External"/><Relationship Id="rId1861" Type="http://schemas.openxmlformats.org/officeDocument/2006/relationships/hyperlink" Target="https://x.com/taqien19/status/2016153247602643114" TargetMode="External"/><Relationship Id="rId1810" Type="http://schemas.openxmlformats.org/officeDocument/2006/relationships/hyperlink" Target="https://www.facebook.com/reel/865491859687906" TargetMode="External"/><Relationship Id="rId1811" Type="http://schemas.openxmlformats.org/officeDocument/2006/relationships/hyperlink" Target="https://www.kompas.com/cekfakta/read/2026/01/10/232300182/-hoaks-purbaya-usul-agar-mbg-disalurkan-dalam-bentuk-uang-tunai" TargetMode="External"/><Relationship Id="rId1812" Type="http://schemas.openxmlformats.org/officeDocument/2006/relationships/hyperlink" Target="https://www.facebook.com/reel/1672097460429253" TargetMode="External"/><Relationship Id="rId1813" Type="http://schemas.openxmlformats.org/officeDocument/2006/relationships/hyperlink" Target="https://www.kompas.com/cekfakta/read/2026/02/05/085855582/hoaks-hakim-kabur-saat-sidang-ijazah-jokowi" TargetMode="External"/><Relationship Id="rId1814" Type="http://schemas.openxmlformats.org/officeDocument/2006/relationships/hyperlink" Target="https://www.facebook.com/reel/1921794875442459" TargetMode="External"/><Relationship Id="rId1815" Type="http://schemas.openxmlformats.org/officeDocument/2006/relationships/hyperlink" Target="https://www.kompas.com/cekfakta/read/2026/02/05/085855582/hoaks-hakim-kabur-saat-sidang-ijazah-jokowi" TargetMode="External"/><Relationship Id="rId1816" Type="http://schemas.openxmlformats.org/officeDocument/2006/relationships/hyperlink" Target="https://www.facebook.com/reel/890253907275622" TargetMode="External"/><Relationship Id="rId1817" Type="http://schemas.openxmlformats.org/officeDocument/2006/relationships/hyperlink" Target="https://www.kompas.com/cekfakta/read/2026/02/05/085855582/hoaks-hakim-kabur-saat-sidang-ijazah-jokowi" TargetMode="External"/><Relationship Id="rId1818" Type="http://schemas.openxmlformats.org/officeDocument/2006/relationships/hyperlink" Target="https://www.facebook.com/photo/?fbid=1088309700126818&amp;set=a.548420614115732&amp;_rdc=1&amp;_rdr" TargetMode="External"/><Relationship Id="rId1819" Type="http://schemas.openxmlformats.org/officeDocument/2006/relationships/hyperlink" Target="https://www.kompas.com/cekfakta/read/2025/09/19/130100082/-hoaks-luhut-sebut-ekonomi-indonesia-melebihi-as-jika-jokowi-jadi?page=all" TargetMode="External"/><Relationship Id="rId1800" Type="http://schemas.openxmlformats.org/officeDocument/2006/relationships/hyperlink" Target="https://x.com/SOlidaritasR2l2/status/2019320768228970822" TargetMode="External"/><Relationship Id="rId1801" Type="http://schemas.openxmlformats.org/officeDocument/2006/relationships/hyperlink" Target="https://x.com/SOlidaritasR2l2/status/2019340739340358038" TargetMode="External"/><Relationship Id="rId1802" Type="http://schemas.openxmlformats.org/officeDocument/2006/relationships/hyperlink" Target="https://x.com/ArtaN7707/status/2018630622106001749" TargetMode="External"/><Relationship Id="rId1803" Type="http://schemas.openxmlformats.org/officeDocument/2006/relationships/hyperlink" Target="https://x.com/van88xier/status/2018561691672617308" TargetMode="External"/><Relationship Id="rId1804" Type="http://schemas.openxmlformats.org/officeDocument/2006/relationships/hyperlink" Target="https://x.com/PngAdilnR4kyt/status/2018551623417819187" TargetMode="External"/><Relationship Id="rId1805" Type="http://schemas.openxmlformats.org/officeDocument/2006/relationships/hyperlink" Target="https://x.com/PngAdilnR4kyt/status/2019652204358168978" TargetMode="External"/><Relationship Id="rId1806" Type="http://schemas.openxmlformats.org/officeDocument/2006/relationships/hyperlink" Target="https://www.facebook.com/nency.suwito/posts/menkeu-purbaya-yudhi-sadewa-mengatakan-ingin-menyetop-mbg-pada-bulan-puasa-tetap/1264627752241154/" TargetMode="External"/><Relationship Id="rId1807" Type="http://schemas.openxmlformats.org/officeDocument/2006/relationships/hyperlink" Target="https://turnbackhoax.id/articles/31228" TargetMode="External"/><Relationship Id="rId1808" Type="http://schemas.openxmlformats.org/officeDocument/2006/relationships/hyperlink" Target="https://www.facebook.com/61582468960543/posts/menkeu-purbaya-ingin-menyetop-mbg-waktu-puasa-badan-gizi-menolak-mentah-mentah-b/122118222999082298/" TargetMode="External"/><Relationship Id="rId1809" Type="http://schemas.openxmlformats.org/officeDocument/2006/relationships/hyperlink" Target="https://turnbackhoax.id/articles/31228" TargetMode="External"/><Relationship Id="rId1830" Type="http://schemas.openxmlformats.org/officeDocument/2006/relationships/hyperlink" Target="https://www.tiktok.com/@mila.dianur8/video/7585281508286598420" TargetMode="External"/><Relationship Id="rId1831" Type="http://schemas.openxmlformats.org/officeDocument/2006/relationships/hyperlink" Target="https://turnbackhoax.id/articles/30969" TargetMode="External"/><Relationship Id="rId1832" Type="http://schemas.openxmlformats.org/officeDocument/2006/relationships/hyperlink" Target="https://www.tiktok.com/@roykuhon305/video/7584940976624438549" TargetMode="External"/><Relationship Id="rId1833" Type="http://schemas.openxmlformats.org/officeDocument/2006/relationships/hyperlink" Target="https://turnbackhoax.id/articles/30969" TargetMode="External"/><Relationship Id="rId1834" Type="http://schemas.openxmlformats.org/officeDocument/2006/relationships/hyperlink" Target="https://www.tiktok.com/@vlogger_amatir/video/7580379449724652807" TargetMode="External"/><Relationship Id="rId1835" Type="http://schemas.openxmlformats.org/officeDocument/2006/relationships/hyperlink" Target="https://www.tiktok.com/@ki.aryo.gunawan/video/7573921550303366420" TargetMode="External"/><Relationship Id="rId1836" Type="http://schemas.openxmlformats.org/officeDocument/2006/relationships/hyperlink" Target="https://www.facebook.com/share/p/1aQRRPHJH6/" TargetMode="External"/><Relationship Id="rId1837" Type="http://schemas.openxmlformats.org/officeDocument/2006/relationships/hyperlink" Target="https://www.facebook.com/share/r/17x66ZcUrq/" TargetMode="External"/><Relationship Id="rId1838" Type="http://schemas.openxmlformats.org/officeDocument/2006/relationships/hyperlink" Target="https://www.facebook.com/share/v/182BuYhzFi/" TargetMode="External"/><Relationship Id="rId1839" Type="http://schemas.openxmlformats.org/officeDocument/2006/relationships/hyperlink" Target="https://www.facebook.com/share/r/1DV1eSDhWU/" TargetMode="External"/><Relationship Id="rId1820" Type="http://schemas.openxmlformats.org/officeDocument/2006/relationships/hyperlink" Target="https://www.facebook.com/photo/?fbid=122180989616564013&amp;set=a.122151417410564013" TargetMode="External"/><Relationship Id="rId1821" Type="http://schemas.openxmlformats.org/officeDocument/2006/relationships/hyperlink" Target="https://www.kompas.com/cekfakta/read/2025/09/26/134800382/-hoaks-jokowi-setuju-ruu-perampasan-aset-asalkan-tidak-berlaku-bagi" TargetMode="External"/><Relationship Id="rId1822" Type="http://schemas.openxmlformats.org/officeDocument/2006/relationships/hyperlink" Target="https://www.tiktok.com/@sultan.mahesa67/video/7584870421841857813" TargetMode="External"/><Relationship Id="rId1823" Type="http://schemas.openxmlformats.org/officeDocument/2006/relationships/hyperlink" Target="https://turnbackhoax.id/articles/30969" TargetMode="External"/><Relationship Id="rId1824" Type="http://schemas.openxmlformats.org/officeDocument/2006/relationships/hyperlink" Target="https://www.tiktok.com/@zahidnizhom/video/7584665976898129172" TargetMode="External"/><Relationship Id="rId1825" Type="http://schemas.openxmlformats.org/officeDocument/2006/relationships/hyperlink" Target="https://turnbackhoax.id/articles/30969" TargetMode="External"/><Relationship Id="rId1826" Type="http://schemas.openxmlformats.org/officeDocument/2006/relationships/hyperlink" Target="https://www.tiktok.com/@dedy67025/video/7592049921818250516" TargetMode="External"/><Relationship Id="rId1827" Type="http://schemas.openxmlformats.org/officeDocument/2006/relationships/hyperlink" Target="https://turnbackhoax.id/articles/30969" TargetMode="External"/><Relationship Id="rId1828" Type="http://schemas.openxmlformats.org/officeDocument/2006/relationships/hyperlink" Target="https://www.tiktok.com/@satria7804/video/7585029511079628039" TargetMode="External"/><Relationship Id="rId1829" Type="http://schemas.openxmlformats.org/officeDocument/2006/relationships/hyperlink" Target="https://turnbackhoax.id/articles/30969" TargetMode="External"/><Relationship Id="rId2302" Type="http://schemas.openxmlformats.org/officeDocument/2006/relationships/hyperlink" Target="https://x.com/gnugaifaar/status/2014222244277612621?s=20" TargetMode="External"/><Relationship Id="rId2303" Type="http://schemas.openxmlformats.org/officeDocument/2006/relationships/hyperlink" Target="https://x.com/SianiparRismon/status/2014218243649765596?s=20" TargetMode="External"/><Relationship Id="rId2304" Type="http://schemas.openxmlformats.org/officeDocument/2006/relationships/hyperlink" Target="https://www.facebook.com/permalink.php?story_fbid=pfbid02RVepNZVn4DomEA7HvXWb2MdF7oBwD5V6xvD8vegUA62uoAJD9db2X6bpa4ZfPMEnl&amp;id=61585397584559" TargetMode="External"/><Relationship Id="rId2305" Type="http://schemas.openxmlformats.org/officeDocument/2006/relationships/hyperlink" Target="https://tirto.id/salah-prabowo-dan-purbaya-sepakat-bbm-turun-menjadi-rp7000-ho5Y" TargetMode="External"/><Relationship Id="rId2306" Type="http://schemas.openxmlformats.org/officeDocument/2006/relationships/hyperlink" Target="https://www.facebook.com/reel/25702904372707748" TargetMode="External"/><Relationship Id="rId2307" Type="http://schemas.openxmlformats.org/officeDocument/2006/relationships/hyperlink" Target="https://tirto.id/salah-prabowo-dan-purbaya-sepakat-bbm-turun-menjadi-rp7000-ho5Y" TargetMode="External"/><Relationship Id="rId2308" Type="http://schemas.openxmlformats.org/officeDocument/2006/relationships/hyperlink" Target="https://www.facebook.com/permalink.php?story_fbid=pfbid02WkTAFgNFYNhFSHB8poYir18CPtYpPRfmGEp8S55KBm4RPU5ELJtzrhmqRBbEbaspl&amp;id=61559882156709" TargetMode="External"/><Relationship Id="rId2309" Type="http://schemas.openxmlformats.org/officeDocument/2006/relationships/hyperlink" Target="https://turnbackhoax.id/articles/31540" TargetMode="External"/><Relationship Id="rId2300" Type="http://schemas.openxmlformats.org/officeDocument/2006/relationships/hyperlink" Target="https://www.facebook.com/permalink.php?story_fbid=pfbid031xxnp34yZGdVFrPKVjbqUYPRir7KjiAmaEpznGkAfnSwydxDHnSpbP7q9pLjtjYEl&amp;id=100075451993994" TargetMode="External"/><Relationship Id="rId2301" Type="http://schemas.openxmlformats.org/officeDocument/2006/relationships/hyperlink" Target="https://www.facebook.com/agues.mois.96/posts/pfbid0SwrXz3JBG6hbZAAZ5x74fPSqBQoUQzbdbtFRGVwZBPEzdKAdxtRHJwbn2RbnZZL4l?rdid=bTqN4PaDKZq23MqT" TargetMode="External"/><Relationship Id="rId2324" Type="http://schemas.openxmlformats.org/officeDocument/2006/relationships/hyperlink" Target="https://x.com/ade745780/status/2013557832642154959" TargetMode="External"/><Relationship Id="rId2325" Type="http://schemas.openxmlformats.org/officeDocument/2006/relationships/hyperlink" Target="https://www.facebook.com/reel/637315436138326" TargetMode="External"/><Relationship Id="rId2326" Type="http://schemas.openxmlformats.org/officeDocument/2006/relationships/hyperlink" Target="https://x.com/denni_sauya/status/2013894240640946213" TargetMode="External"/><Relationship Id="rId2327" Type="http://schemas.openxmlformats.org/officeDocument/2006/relationships/hyperlink" Target="https://x.com/NHenryp29864/status/2013485493359411587?t=ITycjLMd5UP4YMRtFaEYOQ&amp;s=35" TargetMode="External"/><Relationship Id="rId2328" Type="http://schemas.openxmlformats.org/officeDocument/2006/relationships/hyperlink" Target="https://x.com/regar_op0sisi/status/2013494754739138861?t=_vfa5DVMLVMa8MBqV4_yFA&amp;s=35" TargetMode="External"/><Relationship Id="rId2329" Type="http://schemas.openxmlformats.org/officeDocument/2006/relationships/hyperlink" Target="https://x.com/B4n6_H4n5/status/2013892348460069343" TargetMode="External"/><Relationship Id="rId2320" Type="http://schemas.openxmlformats.org/officeDocument/2006/relationships/hyperlink" Target="https://x.com/Denmas881571/status/2013268404799766795" TargetMode="External"/><Relationship Id="rId2321" Type="http://schemas.openxmlformats.org/officeDocument/2006/relationships/hyperlink" Target="https://x.com/Ron1n2222/status/2013861091797872859" TargetMode="External"/><Relationship Id="rId2322" Type="http://schemas.openxmlformats.org/officeDocument/2006/relationships/hyperlink" Target="https://x.com/KayadiMur/status/2013579749197595042" TargetMode="External"/><Relationship Id="rId2323" Type="http://schemas.openxmlformats.org/officeDocument/2006/relationships/hyperlink" Target="https://x.com/Sahal12482H/status/2013568487067918840" TargetMode="External"/><Relationship Id="rId2313" Type="http://schemas.openxmlformats.org/officeDocument/2006/relationships/hyperlink" Target="https://www.kompas.com/cekfakta/read/2026/01/05/202200682/-hoaks-peringatan-bmkg-soal-ancaman-garis-badai-atau-squall-line" TargetMode="External"/><Relationship Id="rId2314" Type="http://schemas.openxmlformats.org/officeDocument/2006/relationships/hyperlink" Target="https://www.facebook.com/groups/1110525038988862/permalink/33551852461096033/?mibextid=wwXIfr&amp;_rdc=1&amp;_rdr" TargetMode="External"/><Relationship Id="rId2315" Type="http://schemas.openxmlformats.org/officeDocument/2006/relationships/hyperlink" Target="https://tirto.id/tak-benar-jokowi-sebut-gibran-kaesang-akan-jadi-presiden-wapres-hpAV" TargetMode="External"/><Relationship Id="rId2316" Type="http://schemas.openxmlformats.org/officeDocument/2006/relationships/hyperlink" Target="https://www.tiktok.com/@bang_random1986/video/7596732878227082503" TargetMode="External"/><Relationship Id="rId2317" Type="http://schemas.openxmlformats.org/officeDocument/2006/relationships/hyperlink" Target="https://www.tiktok.com/@cek.sall5/video/7583421512871415061?is_from_webapp=1&amp;sender_device=pc&amp;web_id=7515064666663683585" TargetMode="External"/><Relationship Id="rId2318" Type="http://schemas.openxmlformats.org/officeDocument/2006/relationships/hyperlink" Target="https://x.com/Nacan297264/status/2013627808552231248" TargetMode="External"/><Relationship Id="rId2319" Type="http://schemas.openxmlformats.org/officeDocument/2006/relationships/hyperlink" Target="https://x.com/yaniarsim/status/2013172932319858815" TargetMode="External"/><Relationship Id="rId2310" Type="http://schemas.openxmlformats.org/officeDocument/2006/relationships/hyperlink" Target="https://www.facebook.com/kezia.manurung.3785/posts/menurut-mentri-ag4ma-ri-sebanyak-2-juta-muslim-indonesia-murt4d-dan-memeluk-ag4m/1989856824913656/" TargetMode="External"/><Relationship Id="rId2311" Type="http://schemas.openxmlformats.org/officeDocument/2006/relationships/hyperlink" Target="https://turnbackhoax.id/articles/31540" TargetMode="External"/><Relationship Id="rId2312" Type="http://schemas.openxmlformats.org/officeDocument/2006/relationships/hyperlink" Target="https://www.facebook.com/photo/?fbid=25332034209757556&amp;set=a.25332054449755532&amp;_rdc=1&amp;" TargetMode="External"/><Relationship Id="rId1895" Type="http://schemas.openxmlformats.org/officeDocument/2006/relationships/hyperlink" Target="https://www.tiktok.com/@chutnaylanyakputroeaulia/video/7601956765755886855?_r=1&amp;_t=ZS-93a0flvNvOa" TargetMode="External"/><Relationship Id="rId1896" Type="http://schemas.openxmlformats.org/officeDocument/2006/relationships/hyperlink" Target="https://www.tiktok.com/@bendera.alam.pedeung/video/7602143328703958279?_r=1&amp;_t=ZS-93a0kYj0INN" TargetMode="External"/><Relationship Id="rId1897" Type="http://schemas.openxmlformats.org/officeDocument/2006/relationships/hyperlink" Target="https://www.tiktok.com/@bon_4ppetit/video/7597718299861863701?_r=1&amp;_t=ZS-93a5DKLdU0n" TargetMode="External"/><Relationship Id="rId1898" Type="http://schemas.openxmlformats.org/officeDocument/2006/relationships/hyperlink" Target="https://www.tiktok.com/@maysarah.gami/video/7601818012957625608?_r=1&amp;_t=ZS-93a5Fe5DNdR" TargetMode="External"/><Relationship Id="rId1899" Type="http://schemas.openxmlformats.org/officeDocument/2006/relationships/hyperlink" Target="https://www.tiktok.com/@toni._q/video/7598803652349807879?_r=1&amp;_t=ZS-93a6adkQBmK" TargetMode="External"/><Relationship Id="rId1890" Type="http://schemas.openxmlformats.org/officeDocument/2006/relationships/hyperlink" Target="https://www.facebook.com/story.php?story_fbid=887668674123626&amp;id=100086415036081&amp;rdid=oiKIj0HtHfJoZ4MA" TargetMode="External"/><Relationship Id="rId1891" Type="http://schemas.openxmlformats.org/officeDocument/2006/relationships/hyperlink" Target="https://www.facebook.com/story.php?story_fbid=827238513695550&amp;id=100092282271526&amp;rdid=nUJj6gHrq40LPRKg" TargetMode="External"/><Relationship Id="rId1892" Type="http://schemas.openxmlformats.org/officeDocument/2006/relationships/hyperlink" Target="https://www.facebook.com/story.php?story_fbid=813947398357995&amp;id=100092282271526&amp;rdid=MwXAcwqAaWF3p5PN" TargetMode="External"/><Relationship Id="rId1893" Type="http://schemas.openxmlformats.org/officeDocument/2006/relationships/hyperlink" Target="https://x.com/yaniarsim/status/2018181234288111741" TargetMode="External"/><Relationship Id="rId1894" Type="http://schemas.openxmlformats.org/officeDocument/2006/relationships/hyperlink" Target="https://x.com/didiek_murdock/status/2017969755022606731" TargetMode="External"/><Relationship Id="rId1884" Type="http://schemas.openxmlformats.org/officeDocument/2006/relationships/hyperlink" Target="https://www.facebook.com/share/p/187VYdKuoA/" TargetMode="External"/><Relationship Id="rId1885" Type="http://schemas.openxmlformats.org/officeDocument/2006/relationships/hyperlink" Target="https://www.facebook.com/share/p/189eZZmFBh/" TargetMode="External"/><Relationship Id="rId1886" Type="http://schemas.openxmlformats.org/officeDocument/2006/relationships/hyperlink" Target="https://www.facebook.com/share/p/1AcScuFBex/" TargetMode="External"/><Relationship Id="rId1887" Type="http://schemas.openxmlformats.org/officeDocument/2006/relationships/hyperlink" Target="https://www.facebook.com/share/p/1DPg3rN8LV/" TargetMode="External"/><Relationship Id="rId1888" Type="http://schemas.openxmlformats.org/officeDocument/2006/relationships/hyperlink" Target="https://www.facebook.com/share/p/1GYPPkDtov/" TargetMode="External"/><Relationship Id="rId1889" Type="http://schemas.openxmlformats.org/officeDocument/2006/relationships/hyperlink" Target="https://www.facebook.com/share/r/1ABvCPxkGs/" TargetMode="External"/><Relationship Id="rId1880" Type="http://schemas.openxmlformats.org/officeDocument/2006/relationships/hyperlink" Target="https://vt.tiktok.com/ZSasFhPN1/" TargetMode="External"/><Relationship Id="rId1881" Type="http://schemas.openxmlformats.org/officeDocument/2006/relationships/hyperlink" Target="https://vt.tiktok.com/ZSasYtBVY/" TargetMode="External"/><Relationship Id="rId1882" Type="http://schemas.openxmlformats.org/officeDocument/2006/relationships/hyperlink" Target="https://www.facebook.com/share/p/14TaXZNRDFX/" TargetMode="External"/><Relationship Id="rId1883" Type="http://schemas.openxmlformats.org/officeDocument/2006/relationships/hyperlink" Target="https://www.facebook.com/share/p/17nt4P1CP6/" TargetMode="External"/><Relationship Id="rId1059" Type="http://schemas.openxmlformats.org/officeDocument/2006/relationships/hyperlink" Target="https://vt.tiktok.com/ZSyt1wSTL/" TargetMode="External"/><Relationship Id="rId228" Type="http://schemas.openxmlformats.org/officeDocument/2006/relationships/hyperlink" Target="https://web.facebook.com/watch/?v=1431779347905400" TargetMode="External"/><Relationship Id="rId227" Type="http://schemas.openxmlformats.org/officeDocument/2006/relationships/hyperlink" Target="https://www.facebook.com/reel/1071408808520692" TargetMode="External"/><Relationship Id="rId226" Type="http://schemas.openxmlformats.org/officeDocument/2006/relationships/hyperlink" Target="https://www.facebook.com/reel/3852460825051618" TargetMode="External"/><Relationship Id="rId225" Type="http://schemas.openxmlformats.org/officeDocument/2006/relationships/hyperlink" Target="https://www.tiktok.com/@dahliatoto_7/video/7548826065544826130?_r=1&amp;_t=ZS-8zdle2YJp1l" TargetMode="External"/><Relationship Id="rId2380" Type="http://schemas.openxmlformats.org/officeDocument/2006/relationships/hyperlink" Target="https://www.facebook.com/jumikomprank/posts/pfbid02CrXNjagWELBXRqrTbPaJFForoZiiVUK5vZnR4yH1QbYrxHqCnC42UiufrgF1doMQl" TargetMode="External"/><Relationship Id="rId229" Type="http://schemas.openxmlformats.org/officeDocument/2006/relationships/hyperlink" Target="https://www.tiktok.com/@bujroeh/video/7548275626403171589?q=awak%20uteun76&amp;t=1757564932818" TargetMode="External"/><Relationship Id="rId1050" Type="http://schemas.openxmlformats.org/officeDocument/2006/relationships/hyperlink" Target="https://web.facebook.com/share/r/19vv1NhWgx/" TargetMode="External"/><Relationship Id="rId2381" Type="http://schemas.openxmlformats.org/officeDocument/2006/relationships/hyperlink" Target="https://www.facebook.com/permalink.php?story_fbid=pfbid02gEf7Un38aaNnsb52F72z4FFRB4kDWWrNDvxSD9fcxTmPUSFQc4Zv3soiuhjFd4cjl&amp;id=61577900456840" TargetMode="External"/><Relationship Id="rId220" Type="http://schemas.openxmlformats.org/officeDocument/2006/relationships/hyperlink" Target="https://x.com/sonofabytes/status/1966058852669125029" TargetMode="External"/><Relationship Id="rId1051" Type="http://schemas.openxmlformats.org/officeDocument/2006/relationships/hyperlink" Target="https://web.facebook.com/share/r/17rCLrYUEG/" TargetMode="External"/><Relationship Id="rId2382" Type="http://schemas.openxmlformats.org/officeDocument/2006/relationships/hyperlink" Target="https://www.facebook.com/sabar.s.7906/posts/pfbid0CcKzSTTxyZfgswTEeifadL3FVgQSapHuTutsYLWJ57jvQXB4pR3oSASHtMxEtdDnl" TargetMode="External"/><Relationship Id="rId1052" Type="http://schemas.openxmlformats.org/officeDocument/2006/relationships/hyperlink" Target="https://web.facebook.com/share/r/16asDSPpNi/" TargetMode="External"/><Relationship Id="rId2383" Type="http://schemas.openxmlformats.org/officeDocument/2006/relationships/hyperlink" Target="https://www.facebook.com/share/p/1PLiGhq6UR/" TargetMode="External"/><Relationship Id="rId1053" Type="http://schemas.openxmlformats.org/officeDocument/2006/relationships/hyperlink" Target="https://web.facebook.com/share/r/1AB1LLyhsC/" TargetMode="External"/><Relationship Id="rId2384" Type="http://schemas.openxmlformats.org/officeDocument/2006/relationships/hyperlink" Target="https://www.facebook.com/share/r/1KYP9Croqs/" TargetMode="External"/><Relationship Id="rId1054" Type="http://schemas.openxmlformats.org/officeDocument/2006/relationships/hyperlink" Target="https://web.facebook.com/share/r/1DbrEaU56H/" TargetMode="External"/><Relationship Id="rId2385" Type="http://schemas.openxmlformats.org/officeDocument/2006/relationships/hyperlink" Target="https://www.facebook.com/share/p/1CHVeR8Gta/" TargetMode="External"/><Relationship Id="rId224" Type="http://schemas.openxmlformats.org/officeDocument/2006/relationships/hyperlink" Target="https://www.tiktok.com/@wahyu.santoso331/video/7548478917909171464?_r=1&amp;_t=ZS-8zdlZ3OsAwT" TargetMode="External"/><Relationship Id="rId1055" Type="http://schemas.openxmlformats.org/officeDocument/2006/relationships/hyperlink" Target="https://www.facebook.com/watch/?v=1850046492617297&amp;rdid=pgFH3ylw8zI4YQhr" TargetMode="External"/><Relationship Id="rId2386" Type="http://schemas.openxmlformats.org/officeDocument/2006/relationships/hyperlink" Target="https://www.facebook.com/share/p/1EGUu93J4n/" TargetMode="External"/><Relationship Id="rId223" Type="http://schemas.openxmlformats.org/officeDocument/2006/relationships/hyperlink" Target="https://www.tiktok.com/@omleo.0776/video/7548474003212586247?_r=1&amp;_t=ZS-8zdl5gUOq2L" TargetMode="External"/><Relationship Id="rId1056" Type="http://schemas.openxmlformats.org/officeDocument/2006/relationships/hyperlink" Target="https://www.kompas.com/cekfakta/read/2025/11/06/183800882/-hoaks-video-purbaya-beri-bantuan-uang-tunai-rp-10-juta-hingga-rp-50" TargetMode="External"/><Relationship Id="rId2387" Type="http://schemas.openxmlformats.org/officeDocument/2006/relationships/hyperlink" Target="https://www.facebook.com/share/p/1PLiGhq6UR/" TargetMode="External"/><Relationship Id="rId222" Type="http://schemas.openxmlformats.org/officeDocument/2006/relationships/hyperlink" Target="https://www.tiktok.com/@andrenofhardy/video/7548706833079291154?_r=1&amp;_t=ZS-8zdl1UuCKAb" TargetMode="External"/><Relationship Id="rId1057" Type="http://schemas.openxmlformats.org/officeDocument/2006/relationships/hyperlink" Target="https://www.facebook.com/reel/789136100415457" TargetMode="External"/><Relationship Id="rId2388" Type="http://schemas.openxmlformats.org/officeDocument/2006/relationships/hyperlink" Target="https://www.facebook.com/share/r/1KYP9Croqs/" TargetMode="External"/><Relationship Id="rId221" Type="http://schemas.openxmlformats.org/officeDocument/2006/relationships/hyperlink" Target="https://x.com/BROW_nis/status/1965937577741234622" TargetMode="External"/><Relationship Id="rId1058" Type="http://schemas.openxmlformats.org/officeDocument/2006/relationships/hyperlink" Target="https://vt.tiktok.com/ZSyt1Exoj/" TargetMode="External"/><Relationship Id="rId2389" Type="http://schemas.openxmlformats.org/officeDocument/2006/relationships/hyperlink" Target="http://kremlin.ru/events/president/news/76167/photos/79883" TargetMode="External"/><Relationship Id="rId1048" Type="http://schemas.openxmlformats.org/officeDocument/2006/relationships/hyperlink" Target="https://vt.tiktok.com/ZSypRbhbt/" TargetMode="External"/><Relationship Id="rId2379" Type="http://schemas.openxmlformats.org/officeDocument/2006/relationships/hyperlink" Target="https://www.facebook.com/share/v/1AhteATbDw/" TargetMode="External"/><Relationship Id="rId1049" Type="http://schemas.openxmlformats.org/officeDocument/2006/relationships/hyperlink" Target="https://web.facebook.com/share/r/1DuPKiWyBe/" TargetMode="External"/><Relationship Id="rId217" Type="http://schemas.openxmlformats.org/officeDocument/2006/relationships/hyperlink" Target="https://www.tiktok.com/@buraqtapa/video/7548653559290580280" TargetMode="External"/><Relationship Id="rId216" Type="http://schemas.openxmlformats.org/officeDocument/2006/relationships/hyperlink" Target="https://www.tiktok.com/@darlian_kennedy420/photo/7538696252406451461" TargetMode="External"/><Relationship Id="rId215" Type="http://schemas.openxmlformats.org/officeDocument/2006/relationships/hyperlink" Target="https://www.facebook.com/reel/1330319881940112" TargetMode="External"/><Relationship Id="rId214" Type="http://schemas.openxmlformats.org/officeDocument/2006/relationships/hyperlink" Target="https://www.tiktok.com/@keripikpedas22" TargetMode="External"/><Relationship Id="rId219" Type="http://schemas.openxmlformats.org/officeDocument/2006/relationships/hyperlink" Target="https://x.com/Srik4ndiMuslim2/status/1965977761560015288" TargetMode="External"/><Relationship Id="rId218" Type="http://schemas.openxmlformats.org/officeDocument/2006/relationships/hyperlink" Target="https://www.tiktok.com/@amanahindatuaceh/video/7548593035349593361" TargetMode="External"/><Relationship Id="rId2370" Type="http://schemas.openxmlformats.org/officeDocument/2006/relationships/hyperlink" Target="https://www.facebook.com/share/p/1FqcH2ptxN/" TargetMode="External"/><Relationship Id="rId1040" Type="http://schemas.openxmlformats.org/officeDocument/2006/relationships/hyperlink" Target="https://www.facebook.com/groups/225157887497430/posts/25548950938024776/" TargetMode="External"/><Relationship Id="rId2371" Type="http://schemas.openxmlformats.org/officeDocument/2006/relationships/hyperlink" Target="https://www.facebook.com/share/p/17yeN5DN85/" TargetMode="External"/><Relationship Id="rId1041" Type="http://schemas.openxmlformats.org/officeDocument/2006/relationships/hyperlink" Target="https://www.facebook.com/groups/225157887497430/?multi_permalinks=25570575172529019&amp;hoisted_section_header_type=recently_seen" TargetMode="External"/><Relationship Id="rId2372" Type="http://schemas.openxmlformats.org/officeDocument/2006/relationships/hyperlink" Target="https://vt.tiktok.com/ZSaYerMXe/" TargetMode="External"/><Relationship Id="rId1042" Type="http://schemas.openxmlformats.org/officeDocument/2006/relationships/hyperlink" Target="https://www.facebook.com/reel/845410134494561" TargetMode="External"/><Relationship Id="rId2373" Type="http://schemas.openxmlformats.org/officeDocument/2006/relationships/hyperlink" Target="https://www.tiktok.com/@gibran.rakabuming22?_r=1&amp;_t=ZS-93Dw555368q" TargetMode="External"/><Relationship Id="rId1043" Type="http://schemas.openxmlformats.org/officeDocument/2006/relationships/hyperlink" Target="https://www.facebook.com/reel/1209487647904131" TargetMode="External"/><Relationship Id="rId2374" Type="http://schemas.openxmlformats.org/officeDocument/2006/relationships/hyperlink" Target="https://www.facebook.com/share/r/1GQyAenNBg/" TargetMode="External"/><Relationship Id="rId213" Type="http://schemas.openxmlformats.org/officeDocument/2006/relationships/hyperlink" Target="https://www.tiktok.com/@osprey005" TargetMode="External"/><Relationship Id="rId1044" Type="http://schemas.openxmlformats.org/officeDocument/2006/relationships/hyperlink" Target="https://vt.tiktok.com/ZSypRRmSd/" TargetMode="External"/><Relationship Id="rId2375" Type="http://schemas.openxmlformats.org/officeDocument/2006/relationships/hyperlink" Target="https://x.com/MichelAdam1515/status/2013104679199379964" TargetMode="External"/><Relationship Id="rId212" Type="http://schemas.openxmlformats.org/officeDocument/2006/relationships/hyperlink" Target="https://www.tiktok.com/@ayubap51/video/7544022964392447288" TargetMode="External"/><Relationship Id="rId1045" Type="http://schemas.openxmlformats.org/officeDocument/2006/relationships/hyperlink" Target="https://vt.tiktok.com/ZSypRFD4X/" TargetMode="External"/><Relationship Id="rId2376" Type="http://schemas.openxmlformats.org/officeDocument/2006/relationships/hyperlink" Target="https://x.com/KayadiMur/status/2012725444274229593" TargetMode="External"/><Relationship Id="rId211" Type="http://schemas.openxmlformats.org/officeDocument/2006/relationships/hyperlink" Target="https://x.com/abdullll85/status/1965667844529836253" TargetMode="External"/><Relationship Id="rId1046" Type="http://schemas.openxmlformats.org/officeDocument/2006/relationships/hyperlink" Target="https://vt.tiktok.com/ZSypRButt/" TargetMode="External"/><Relationship Id="rId2377" Type="http://schemas.openxmlformats.org/officeDocument/2006/relationships/hyperlink" Target="https://x.com/AddaRul49854/status/2013213916751647219" TargetMode="External"/><Relationship Id="rId210" Type="http://schemas.openxmlformats.org/officeDocument/2006/relationships/hyperlink" Target="https://www.facebook.com/reel/2214747019029293" TargetMode="External"/><Relationship Id="rId1047" Type="http://schemas.openxmlformats.org/officeDocument/2006/relationships/hyperlink" Target="https://vt.tiktok.com/ZSypRrnMR/" TargetMode="External"/><Relationship Id="rId2378" Type="http://schemas.openxmlformats.org/officeDocument/2006/relationships/hyperlink" Target="https://x.com/Nacan297264/status/2013627808552231248" TargetMode="External"/><Relationship Id="rId249" Type="http://schemas.openxmlformats.org/officeDocument/2006/relationships/hyperlink" Target="https://www.facebook.com/reel/1310521957111178" TargetMode="External"/><Relationship Id="rId248" Type="http://schemas.openxmlformats.org/officeDocument/2006/relationships/hyperlink" Target="https://www.facebook.com/share/p/17LE6wZN87/" TargetMode="External"/><Relationship Id="rId247" Type="http://schemas.openxmlformats.org/officeDocument/2006/relationships/hyperlink" Target="https://www.facebook.com/reel/4130972213844028" TargetMode="External"/><Relationship Id="rId1070" Type="http://schemas.openxmlformats.org/officeDocument/2006/relationships/hyperlink" Target="https://www.facebook.com/ridho.rahman.7946/posts/pfbid01KMbjRUGJQ1LtLt3TDpspmxbHZUVQEeN1HuuVvdf82uS94jR61PSqSi1S6D8Z99Zl" TargetMode="External"/><Relationship Id="rId1071" Type="http://schemas.openxmlformats.org/officeDocument/2006/relationships/hyperlink" Target="https://www.facebook.com/groups/1194490485129602/?multi_permalinks=1502986134280034&amp;hoisted_section_header_type=recently_seen" TargetMode="External"/><Relationship Id="rId1072" Type="http://schemas.openxmlformats.org/officeDocument/2006/relationships/hyperlink" Target="https://www.tiktok.com/@keep.silent832/video/7543159640394157320?q=polisi%20korup&amp;t=1762841614741" TargetMode="External"/><Relationship Id="rId242" Type="http://schemas.openxmlformats.org/officeDocument/2006/relationships/hyperlink" Target="https://www.threads.com/@modalholongm/post/DOckUa5gd8e?xmt=AQF0SPlHukQZgvCrrHHf2VLI5xzXvKkG8Y0cvfNoLHy1Vw" TargetMode="External"/><Relationship Id="rId1073" Type="http://schemas.openxmlformats.org/officeDocument/2006/relationships/hyperlink" Target="https://www.tiktok.com/@kolabhubdigital/video/7562933657984306450?q=polisi%20korup&amp;t=1762841614741" TargetMode="External"/><Relationship Id="rId241" Type="http://schemas.openxmlformats.org/officeDocument/2006/relationships/hyperlink" Target="https://www.threads.com/@rafanza260212022/post/DOcnk2xktcK?xmt=AQF" TargetMode="External"/><Relationship Id="rId1074" Type="http://schemas.openxmlformats.org/officeDocument/2006/relationships/hyperlink" Target="https://www.tiktok.com/@garda_islam/video/7383425880460397829?q=polisi%20korup&amp;t=1762841614741" TargetMode="External"/><Relationship Id="rId240" Type="http://schemas.openxmlformats.org/officeDocument/2006/relationships/hyperlink" Target="https://twitter.com/areacegil/status/1962442809266585916" TargetMode="External"/><Relationship Id="rId1075" Type="http://schemas.openxmlformats.org/officeDocument/2006/relationships/hyperlink" Target="https://x.com/jihananwar_/status/1987549613851844778" TargetMode="External"/><Relationship Id="rId1076" Type="http://schemas.openxmlformats.org/officeDocument/2006/relationships/hyperlink" Target="https://x.com/badthinx/status/1988105180228055242" TargetMode="External"/><Relationship Id="rId246" Type="http://schemas.openxmlformats.org/officeDocument/2006/relationships/hyperlink" Target="https://www.facebook.com/reel/957176839899104" TargetMode="External"/><Relationship Id="rId1077" Type="http://schemas.openxmlformats.org/officeDocument/2006/relationships/hyperlink" Target="https://x.com/AGAnostic/status/1966719285746897228" TargetMode="External"/><Relationship Id="rId245" Type="http://schemas.openxmlformats.org/officeDocument/2006/relationships/hyperlink" Target="https://www.tiktok.com/@kabarjurnalis5/video/7546324041007664390" TargetMode="External"/><Relationship Id="rId1078" Type="http://schemas.openxmlformats.org/officeDocument/2006/relationships/hyperlink" Target="https://www.facebook.com/reel/1168189505226413" TargetMode="External"/><Relationship Id="rId244" Type="http://schemas.openxmlformats.org/officeDocument/2006/relationships/hyperlink" Target="https://www.threads.com/@haruskuiklaskan45/post/DOdKTTAEgBC?xmt=AQF0r0Po2c9SGypUiHezss0FezFkzKAYBaMao923wxgz2w" TargetMode="External"/><Relationship Id="rId1079" Type="http://schemas.openxmlformats.org/officeDocument/2006/relationships/hyperlink" Target="https://x.com/starrrfucks/status/1961062816263389606" TargetMode="External"/><Relationship Id="rId243" Type="http://schemas.openxmlformats.org/officeDocument/2006/relationships/hyperlink" Target="https://www.threads.com/@adiem_kesuma_wijaya/post/DOci6rkklpD" TargetMode="External"/><Relationship Id="rId239" Type="http://schemas.openxmlformats.org/officeDocument/2006/relationships/hyperlink" Target="https://twitter.com/JamesJinkz/status/1962545367855337731" TargetMode="External"/><Relationship Id="rId238" Type="http://schemas.openxmlformats.org/officeDocument/2006/relationships/hyperlink" Target="https://twitter.com/andreano_zaedan/status/1963406020014690591" TargetMode="External"/><Relationship Id="rId237" Type="http://schemas.openxmlformats.org/officeDocument/2006/relationships/hyperlink" Target="https://twitter.com/florebloems/status/1964872045113868625" TargetMode="External"/><Relationship Id="rId236" Type="http://schemas.openxmlformats.org/officeDocument/2006/relationships/hyperlink" Target="https://twitter.com/Just_mushlih/status/1961798404520202490" TargetMode="External"/><Relationship Id="rId2390" Type="http://schemas.openxmlformats.org/officeDocument/2006/relationships/hyperlink" Target="https://www.facebook.com/share/p/1CHVeR8Gta/" TargetMode="External"/><Relationship Id="rId1060" Type="http://schemas.openxmlformats.org/officeDocument/2006/relationships/hyperlink" Target="https://vt.tiktok.com/ZSyt1GeEN/" TargetMode="External"/><Relationship Id="rId2391" Type="http://schemas.openxmlformats.org/officeDocument/2006/relationships/hyperlink" Target="https://a2.regiis2025.online/?utm_source=ig&amp;utm_medium=social&amp;utm_content=link_in_bio&amp;fbclid=PAZXh0bgNhZW0CMTEAc3J0YwZhcHBfaWQMMjU2MjgxMDQwNTU4AAGnsslumyWYxDypggELzprBMZHzLAQ52IDVMKM1eBE1gXqgY5fX9RARkGWuig4_aem_Qj2jkVzDs_tXFTok0yOfpQ" TargetMode="External"/><Relationship Id="rId1061" Type="http://schemas.openxmlformats.org/officeDocument/2006/relationships/hyperlink" Target="https://vt.tiktok.com/ZSytJ1AUm/" TargetMode="External"/><Relationship Id="rId2392" Type="http://schemas.openxmlformats.org/officeDocument/2006/relationships/hyperlink" Target="https://www.facebook.com/share/p/1EGUu93J4n/" TargetMode="External"/><Relationship Id="rId231" Type="http://schemas.openxmlformats.org/officeDocument/2006/relationships/hyperlink" Target="https://www.tiktok.com/@geger.news06/video/7548425610670951687?q=CONTOH%20NEPAL&amp;t=1757566199016" TargetMode="External"/><Relationship Id="rId1062" Type="http://schemas.openxmlformats.org/officeDocument/2006/relationships/hyperlink" Target="https://vt.tiktok.com/ZSytJ1QcY/" TargetMode="External"/><Relationship Id="rId2393" Type="http://schemas.openxmlformats.org/officeDocument/2006/relationships/hyperlink" Target="https://www.facebook.com/share/v/1D5WypDkxe/" TargetMode="External"/><Relationship Id="rId230" Type="http://schemas.openxmlformats.org/officeDocument/2006/relationships/hyperlink" Target="https://www.tiktok.com/@suntukcuy/video/7548144907064511749?q=NEPAL&amp;t=1757565263505" TargetMode="External"/><Relationship Id="rId1063" Type="http://schemas.openxmlformats.org/officeDocument/2006/relationships/hyperlink" Target="https://www.facebook.com/share/r/17kx4zN65s/" TargetMode="External"/><Relationship Id="rId2394" Type="http://schemas.openxmlformats.org/officeDocument/2006/relationships/hyperlink" Target="https://www.facebook.com/share/r/1DF6rttfAg/" TargetMode="External"/><Relationship Id="rId1064" Type="http://schemas.openxmlformats.org/officeDocument/2006/relationships/hyperlink" Target="https://www.facebook.com/share/v/1BgT75nvpQ/" TargetMode="External"/><Relationship Id="rId2395" Type="http://schemas.openxmlformats.org/officeDocument/2006/relationships/hyperlink" Target="https://www.facebook.com/share/p/1DE2k5ESvg/" TargetMode="External"/><Relationship Id="rId1065" Type="http://schemas.openxmlformats.org/officeDocument/2006/relationships/hyperlink" Target="https://www.facebook.com/share/r/1ZkQPvLb8H/" TargetMode="External"/><Relationship Id="rId2396" Type="http://schemas.openxmlformats.org/officeDocument/2006/relationships/hyperlink" Target="https://www.facebook.com/share/p/1AbYp1dVaV/" TargetMode="External"/><Relationship Id="rId235" Type="http://schemas.openxmlformats.org/officeDocument/2006/relationships/hyperlink" Target="https://www.facebook.com/reel/1428234501762278" TargetMode="External"/><Relationship Id="rId1066" Type="http://schemas.openxmlformats.org/officeDocument/2006/relationships/hyperlink" Target="https://www.facebook.com/share/r/1AFijXcAKL/" TargetMode="External"/><Relationship Id="rId2397" Type="http://schemas.openxmlformats.org/officeDocument/2006/relationships/hyperlink" Target="https://www.facebook.com/share/p/1JwDghScER/" TargetMode="External"/><Relationship Id="rId234" Type="http://schemas.openxmlformats.org/officeDocument/2006/relationships/hyperlink" Target="https://www.facebook.com/reel/3946558178894814" TargetMode="External"/><Relationship Id="rId1067" Type="http://schemas.openxmlformats.org/officeDocument/2006/relationships/hyperlink" Target="https://www.facebook.com/share/r/1F2Xe7Csw1/" TargetMode="External"/><Relationship Id="rId2398" Type="http://schemas.openxmlformats.org/officeDocument/2006/relationships/hyperlink" Target="https://www.facebook.com/share/p/1FQjUgS19U/" TargetMode="External"/><Relationship Id="rId233" Type="http://schemas.openxmlformats.org/officeDocument/2006/relationships/hyperlink" Target="https://www.tiktok.com/@pakprespurwanti0690/video/7548455430326848775" TargetMode="External"/><Relationship Id="rId1068" Type="http://schemas.openxmlformats.org/officeDocument/2006/relationships/hyperlink" Target="https://www.facebook.com/reel/1325223339166037" TargetMode="External"/><Relationship Id="rId2399" Type="http://schemas.openxmlformats.org/officeDocument/2006/relationships/hyperlink" Target="https://www.facebook.com/share/p/1FYJr1AsjK/" TargetMode="External"/><Relationship Id="rId232" Type="http://schemas.openxmlformats.org/officeDocument/2006/relationships/hyperlink" Target="https://www.tiktok.com/@_attacker.cr_/video/7547763395701837063?q=BUBARKAN%20DPR&amp;t=1757562083474" TargetMode="External"/><Relationship Id="rId1069" Type="http://schemas.openxmlformats.org/officeDocument/2006/relationships/hyperlink" Target="https://www.facebook.com/groups/643962145669763/?multi_permalinks=24671428129163162&amp;hoisted_section_header_type=recently_seen" TargetMode="External"/><Relationship Id="rId1015" Type="http://schemas.openxmlformats.org/officeDocument/2006/relationships/hyperlink" Target="https://www.facebook.com/reel/1993488178137814" TargetMode="External"/><Relationship Id="rId2346" Type="http://schemas.openxmlformats.org/officeDocument/2006/relationships/hyperlink" Target="https://turnbackhoax.id/articles/31510" TargetMode="External"/><Relationship Id="rId1016" Type="http://schemas.openxmlformats.org/officeDocument/2006/relationships/hyperlink" Target="https://turnbackhoax.id/2025/11/07/salah-jaksa-agung-miskinkan-dpr-yang-korupsi-karena-tak-mau-sahkan-ruu-perampasan-aset/" TargetMode="External"/><Relationship Id="rId2347" Type="http://schemas.openxmlformats.org/officeDocument/2006/relationships/hyperlink" Target="https://www.instagram.com/reels/DTcMaCJEleM/" TargetMode="External"/><Relationship Id="rId1017" Type="http://schemas.openxmlformats.org/officeDocument/2006/relationships/hyperlink" Target="https://www.facebook.com/reel/4115370118704260" TargetMode="External"/><Relationship Id="rId2348" Type="http://schemas.openxmlformats.org/officeDocument/2006/relationships/hyperlink" Target="https://turnbackhoax.id/articles/31783" TargetMode="External"/><Relationship Id="rId1018" Type="http://schemas.openxmlformats.org/officeDocument/2006/relationships/hyperlink" Target="https://www.facebook.com/share/r/1GNBtVDyYc" TargetMode="External"/><Relationship Id="rId2349" Type="http://schemas.openxmlformats.org/officeDocument/2006/relationships/hyperlink" Target="https://vt.tiktok.com/ZSaY84aGh/" TargetMode="External"/><Relationship Id="rId1019" Type="http://schemas.openxmlformats.org/officeDocument/2006/relationships/hyperlink" Target="https://www.facebook.com/naim.naim.sulkar/posts/pfbid0RjNdjyiyhj55MmziyPQ4hf3scVpRehqhL21ERzY7UcGyqTM7trKrdLGFjRjg7Qy6l" TargetMode="External"/><Relationship Id="rId2340" Type="http://schemas.openxmlformats.org/officeDocument/2006/relationships/hyperlink" Target="https://www.kompas.com/cekfakta/read/2026/01/20/121700482/-hoaks-prabowo-membagikan-bantuan-rp-50-juta" TargetMode="External"/><Relationship Id="rId1010" Type="http://schemas.openxmlformats.org/officeDocument/2006/relationships/hyperlink" Target="https://x.com/yanisam375/status/1987151286278758915" TargetMode="External"/><Relationship Id="rId2341" Type="http://schemas.openxmlformats.org/officeDocument/2006/relationships/hyperlink" Target="https://www.facebook.com/100072063022776/posts/890900176655408/?rdid=bCkdH54vqrWX0ooL&amp;_rdc=1&amp;_rdr" TargetMode="External"/><Relationship Id="rId1011" Type="http://schemas.openxmlformats.org/officeDocument/2006/relationships/hyperlink" Target="https://x.com/MasNur2416/status/1987137994831372433" TargetMode="External"/><Relationship Id="rId2342" Type="http://schemas.openxmlformats.org/officeDocument/2006/relationships/hyperlink" Target="https://turnbackhoax.id/articles/31783" TargetMode="External"/><Relationship Id="rId1012" Type="http://schemas.openxmlformats.org/officeDocument/2006/relationships/hyperlink" Target="https://x.com/TheUncleDee/status/1987023742200054060" TargetMode="External"/><Relationship Id="rId2343" Type="http://schemas.openxmlformats.org/officeDocument/2006/relationships/hyperlink" Target="https://www.facebook.com/permalink.php?story_fbid=pfbid0PThgdKFEcMBgLsBZobyVZadt3SZYFLbhBmd72CRfHGrB5YqMD3gNjJ9SHSqW2ssvl&amp;id=61576294846791&amp;rdid=dTPkKuDTxpjtBQEh" TargetMode="External"/><Relationship Id="rId1013" Type="http://schemas.openxmlformats.org/officeDocument/2006/relationships/hyperlink" Target="https://www.facebook.com/share/p/14Pcq2aUZNB/" TargetMode="External"/><Relationship Id="rId2344" Type="http://schemas.openxmlformats.org/officeDocument/2006/relationships/hyperlink" Target="https://www.kompas.com/cekfakta/read/2026/01/14/164500882/-hoaks-purbaya-temukan-data-uang-jokowi-di-bank-china-senilai-ribuan" TargetMode="External"/><Relationship Id="rId1014" Type="http://schemas.openxmlformats.org/officeDocument/2006/relationships/hyperlink" Target="https://www.facebook.com/share/v/17JZT5W41R/" TargetMode="External"/><Relationship Id="rId2345" Type="http://schemas.openxmlformats.org/officeDocument/2006/relationships/hyperlink" Target="https://www.facebook.com/reel/893623820014127" TargetMode="External"/><Relationship Id="rId1004" Type="http://schemas.openxmlformats.org/officeDocument/2006/relationships/hyperlink" Target="https://www.facebook.com/share/r/17enf9FMYz/" TargetMode="External"/><Relationship Id="rId2335" Type="http://schemas.openxmlformats.org/officeDocument/2006/relationships/hyperlink" Target="https://www.facebook.com/groups/523183267134157/posts/870251079094039/" TargetMode="External"/><Relationship Id="rId1005" Type="http://schemas.openxmlformats.org/officeDocument/2006/relationships/hyperlink" Target="https://www.facebook.com/share/p/16UpcGPazE/" TargetMode="External"/><Relationship Id="rId2336" Type="http://schemas.openxmlformats.org/officeDocument/2006/relationships/hyperlink" Target="https://www.facebook.com/groups/647302417514795/posts/1199547182290313/" TargetMode="External"/><Relationship Id="rId1006" Type="http://schemas.openxmlformats.org/officeDocument/2006/relationships/hyperlink" Target="https://x.com/affanaffa12/status/1987408635010621795" TargetMode="External"/><Relationship Id="rId2337" Type="http://schemas.openxmlformats.org/officeDocument/2006/relationships/hyperlink" Target="https://www.facebook.com/groups/647302417514795/posts/1198930255685339/" TargetMode="External"/><Relationship Id="rId1007" Type="http://schemas.openxmlformats.org/officeDocument/2006/relationships/hyperlink" Target="https://x.com/PEOPLEOFTHELIE4/status/1987381788587729338" TargetMode="External"/><Relationship Id="rId2338" Type="http://schemas.openxmlformats.org/officeDocument/2006/relationships/hyperlink" Target="https://www.facebook.com/groups/647302417514795/posts/1198254589086239/" TargetMode="External"/><Relationship Id="rId1008" Type="http://schemas.openxmlformats.org/officeDocument/2006/relationships/hyperlink" Target="https://x.com/JoppieMagai/status/1987345405626228972" TargetMode="External"/><Relationship Id="rId2339" Type="http://schemas.openxmlformats.org/officeDocument/2006/relationships/hyperlink" Target="https://www.facebook.com/reel/2067741010680214" TargetMode="External"/><Relationship Id="rId1009" Type="http://schemas.openxmlformats.org/officeDocument/2006/relationships/hyperlink" Target="https://x.com/RepublikKecoak_/status/1987240235881869822" TargetMode="External"/><Relationship Id="rId2330" Type="http://schemas.openxmlformats.org/officeDocument/2006/relationships/hyperlink" Target="https://vt.tiktok.com/ZSaMNH6Ro/" TargetMode="External"/><Relationship Id="rId1000" Type="http://schemas.openxmlformats.org/officeDocument/2006/relationships/hyperlink" Target="https://www.facebook.com/reel/711322921440440" TargetMode="External"/><Relationship Id="rId2331" Type="http://schemas.openxmlformats.org/officeDocument/2006/relationships/hyperlink" Target="https://www.facebook.com/groups/523183267134157/posts/875566738562473/" TargetMode="External"/><Relationship Id="rId1001" Type="http://schemas.openxmlformats.org/officeDocument/2006/relationships/hyperlink" Target="https://www.facebook.com/groups/1160774992036525/?multi_permalinks=1557622215685132&amp;hoisted_section_header_type=recently_seen" TargetMode="External"/><Relationship Id="rId2332" Type="http://schemas.openxmlformats.org/officeDocument/2006/relationships/hyperlink" Target="https://www.facebook.com/aji.kj.1481/posts/pfbid0mQDhNWLVVeCroaX8REwxJy8GjMk2eLJNiCESdw53F64V5qFdv2oguFDNrs1DA7knl" TargetMode="External"/><Relationship Id="rId1002" Type="http://schemas.openxmlformats.org/officeDocument/2006/relationships/hyperlink" Target="https://www.facebook.com/share/p/1C3VzGMzfw/" TargetMode="External"/><Relationship Id="rId2333" Type="http://schemas.openxmlformats.org/officeDocument/2006/relationships/hyperlink" Target="https://www.facebook.com/groups/523183267134157/posts/874781391974341/" TargetMode="External"/><Relationship Id="rId1003" Type="http://schemas.openxmlformats.org/officeDocument/2006/relationships/hyperlink" Target="https://www.facebook.com/share/p/1D9kvqPdRJ/" TargetMode="External"/><Relationship Id="rId2334" Type="http://schemas.openxmlformats.org/officeDocument/2006/relationships/hyperlink" Target="https://www.facebook.com/groups/523183267134157/posts/870709085714905/" TargetMode="External"/><Relationship Id="rId1037" Type="http://schemas.openxmlformats.org/officeDocument/2006/relationships/hyperlink" Target="https://www.facebook.com/groups/1000621682260695/posts/1136514008671461/" TargetMode="External"/><Relationship Id="rId2368" Type="http://schemas.openxmlformats.org/officeDocument/2006/relationships/hyperlink" Target="https://www.facebook.com/share/p/1be2uBjV2d/" TargetMode="External"/><Relationship Id="rId1038" Type="http://schemas.openxmlformats.org/officeDocument/2006/relationships/hyperlink" Target="https://www.facebook.com/groups/1000621682260695/posts/1135147572141438/" TargetMode="External"/><Relationship Id="rId2369" Type="http://schemas.openxmlformats.org/officeDocument/2006/relationships/hyperlink" Target="https://vt.tiktok.com/ZSaY21D6K/" TargetMode="External"/><Relationship Id="rId1039" Type="http://schemas.openxmlformats.org/officeDocument/2006/relationships/hyperlink" Target="https://www.facebook.com/groups/225157887497430/posts/25583797664540103/" TargetMode="External"/><Relationship Id="rId206" Type="http://schemas.openxmlformats.org/officeDocument/2006/relationships/hyperlink" Target="https://www.tiktok.com/@civivox.id/video/7548005959130434821" TargetMode="External"/><Relationship Id="rId205" Type="http://schemas.openxmlformats.org/officeDocument/2006/relationships/hyperlink" Target="https://x.com/nattawat_ti/status/1965471465958261047?s=46&amp;t=6L9t7sM_LWsJSPiEr1yCYw" TargetMode="External"/><Relationship Id="rId204" Type="http://schemas.openxmlformats.org/officeDocument/2006/relationships/hyperlink" Target="https://x.com/M17522147/status/19643110564082524944" TargetMode="External"/><Relationship Id="rId203" Type="http://schemas.openxmlformats.org/officeDocument/2006/relationships/hyperlink" Target="https://x.com/albinousie/status/1964202367517131191" TargetMode="External"/><Relationship Id="rId209" Type="http://schemas.openxmlformats.org/officeDocument/2006/relationships/hyperlink" Target="https://www.tiktok.com/@lembaga_19/video/7548496799724555538" TargetMode="External"/><Relationship Id="rId208" Type="http://schemas.openxmlformats.org/officeDocument/2006/relationships/hyperlink" Target="https://x.com/bosedii/status/1965070871682580635" TargetMode="External"/><Relationship Id="rId207" Type="http://schemas.openxmlformats.org/officeDocument/2006/relationships/hyperlink" Target="https://x.com/ika_bhinne14288/status/1965697140224839714" TargetMode="External"/><Relationship Id="rId2360" Type="http://schemas.openxmlformats.org/officeDocument/2006/relationships/hyperlink" Target="https://x.com/AddaRul49854/status/2013213916751647219" TargetMode="External"/><Relationship Id="rId1030" Type="http://schemas.openxmlformats.org/officeDocument/2006/relationships/hyperlink" Target="https://x.com/PngAdilnR4kyt/status/1987741545639170471/video/1" TargetMode="External"/><Relationship Id="rId2361" Type="http://schemas.openxmlformats.org/officeDocument/2006/relationships/hyperlink" Target="https://x.com/Nacan297264/status/2013627808552231248" TargetMode="External"/><Relationship Id="rId1031" Type="http://schemas.openxmlformats.org/officeDocument/2006/relationships/hyperlink" Target="https://x.com/anakbrahman/status/1986701787328619013" TargetMode="External"/><Relationship Id="rId2362" Type="http://schemas.openxmlformats.org/officeDocument/2006/relationships/hyperlink" Target="https://www.facebook.com/share/v/1AhteATbDw/" TargetMode="External"/><Relationship Id="rId1032" Type="http://schemas.openxmlformats.org/officeDocument/2006/relationships/hyperlink" Target="https://x.com/bulepotanx/status/1961795888827027818" TargetMode="External"/><Relationship Id="rId2363" Type="http://schemas.openxmlformats.org/officeDocument/2006/relationships/hyperlink" Target="https://www.facebook.com/jumikomprank/posts/pfbid02CrXNjagWELBXRqrTbPaJFForoZiiVUK5vZnR4yH1QbYrxHqCnC42UiufrgF1doMQl" TargetMode="External"/><Relationship Id="rId202" Type="http://schemas.openxmlformats.org/officeDocument/2006/relationships/hyperlink" Target="https://x.com/albinousie/status/1964191933573575079" TargetMode="External"/><Relationship Id="rId1033" Type="http://schemas.openxmlformats.org/officeDocument/2006/relationships/hyperlink" Target="https://www.instagram.com/reel/DQGsN-eiKVW" TargetMode="External"/><Relationship Id="rId2364" Type="http://schemas.openxmlformats.org/officeDocument/2006/relationships/hyperlink" Target="https://www.facebook.com/permalink.php?story_fbid=pfbid02gEf7Un38aaNnsb52F72z4FFRB4kDWWrNDvxSD9fcxTmPUSFQc4Zv3soiuhjFd4cjl&amp;id=61577900456840" TargetMode="External"/><Relationship Id="rId201" Type="http://schemas.openxmlformats.org/officeDocument/2006/relationships/hyperlink" Target="https://www.tiktok.com/@bubarkandpr02/video/7548264436646071557" TargetMode="External"/><Relationship Id="rId1034" Type="http://schemas.openxmlformats.org/officeDocument/2006/relationships/hyperlink" Target="https://www.facebook.com/groups/1000621682260695/posts/1137996101856585/" TargetMode="External"/><Relationship Id="rId2365" Type="http://schemas.openxmlformats.org/officeDocument/2006/relationships/hyperlink" Target="https://www.facebook.com/sabar.s.7906/posts/pfbid0CcKzSTTxyZfgswTEeifadL3FVgQSapHuTutsYLWJ57jvQXB4pR3oSASHtMxEtdDnl" TargetMode="External"/><Relationship Id="rId200" Type="http://schemas.openxmlformats.org/officeDocument/2006/relationships/hyperlink" Target="https://www.youtube.com/shorts/DC7iUNbc4HA" TargetMode="External"/><Relationship Id="rId1035" Type="http://schemas.openxmlformats.org/officeDocument/2006/relationships/hyperlink" Target="https://www.facebook.com/groups/1000621682260695/posts/1137340345255494/" TargetMode="External"/><Relationship Id="rId2366" Type="http://schemas.openxmlformats.org/officeDocument/2006/relationships/hyperlink" Target="https://vt.tiktok.com/ZSaY84aGh/" TargetMode="External"/><Relationship Id="rId1036" Type="http://schemas.openxmlformats.org/officeDocument/2006/relationships/hyperlink" Target="https://www.facebook.com/groups/1000621682260695/posts/1137169171939278/" TargetMode="External"/><Relationship Id="rId2367" Type="http://schemas.openxmlformats.org/officeDocument/2006/relationships/hyperlink" Target="https://www.facebook.com/share/p/1AoNzY2aNR/" TargetMode="External"/><Relationship Id="rId1026" Type="http://schemas.openxmlformats.org/officeDocument/2006/relationships/hyperlink" Target="https://x.com/ochidzz/status/1987739492598608085" TargetMode="External"/><Relationship Id="rId2357" Type="http://schemas.openxmlformats.org/officeDocument/2006/relationships/hyperlink" Target="https://www.facebook.com/share/r/1GQyAenNBg/" TargetMode="External"/><Relationship Id="rId1027" Type="http://schemas.openxmlformats.org/officeDocument/2006/relationships/hyperlink" Target="https://x.com/ArdieSuhardi321/status/1987735977062985900" TargetMode="External"/><Relationship Id="rId2358" Type="http://schemas.openxmlformats.org/officeDocument/2006/relationships/hyperlink" Target="https://x.com/MichelAdam1515/status/2013104679199379964" TargetMode="External"/><Relationship Id="rId1028" Type="http://schemas.openxmlformats.org/officeDocument/2006/relationships/hyperlink" Target="https://x.com/YGundero35921/status/1987695564700754333" TargetMode="External"/><Relationship Id="rId2359" Type="http://schemas.openxmlformats.org/officeDocument/2006/relationships/hyperlink" Target="https://x.com/KayadiMur/status/2012725444274229593" TargetMode="External"/><Relationship Id="rId1029" Type="http://schemas.openxmlformats.org/officeDocument/2006/relationships/hyperlink" Target="https://x.com/Mustopa4646113/status/1987044731910848617" TargetMode="External"/><Relationship Id="rId2350" Type="http://schemas.openxmlformats.org/officeDocument/2006/relationships/hyperlink" Target="https://www.facebook.com/share/p/1AoNzY2aNR/" TargetMode="External"/><Relationship Id="rId1020" Type="http://schemas.openxmlformats.org/officeDocument/2006/relationships/hyperlink" Target="https://x.com/michiavelly04/status/1987697788118073734" TargetMode="External"/><Relationship Id="rId2351" Type="http://schemas.openxmlformats.org/officeDocument/2006/relationships/hyperlink" Target="https://www.facebook.com/share/p/1be2uBjV2d/" TargetMode="External"/><Relationship Id="rId1021" Type="http://schemas.openxmlformats.org/officeDocument/2006/relationships/hyperlink" Target="https://x.com/PaterStellae/status/1987735784242511953" TargetMode="External"/><Relationship Id="rId2352" Type="http://schemas.openxmlformats.org/officeDocument/2006/relationships/hyperlink" Target="https://vt.tiktok.com/ZSaY21D6K/" TargetMode="External"/><Relationship Id="rId1022" Type="http://schemas.openxmlformats.org/officeDocument/2006/relationships/hyperlink" Target="https://www.facebook.com/share/r/16yogoYiCd/" TargetMode="External"/><Relationship Id="rId2353" Type="http://schemas.openxmlformats.org/officeDocument/2006/relationships/hyperlink" Target="https://www.facebook.com/share/p/1FqcH2ptxN/" TargetMode="External"/><Relationship Id="rId1023" Type="http://schemas.openxmlformats.org/officeDocument/2006/relationships/hyperlink" Target="https://www.facebook.com/share/p/17Qz5ngucC/" TargetMode="External"/><Relationship Id="rId2354" Type="http://schemas.openxmlformats.org/officeDocument/2006/relationships/hyperlink" Target="https://www.facebook.com/share/p/17yeN5DN85/" TargetMode="External"/><Relationship Id="rId1024" Type="http://schemas.openxmlformats.org/officeDocument/2006/relationships/hyperlink" Target="https://x.com/PEOPLEOFTHELIE4/status/1987381788587729338" TargetMode="External"/><Relationship Id="rId2355" Type="http://schemas.openxmlformats.org/officeDocument/2006/relationships/hyperlink" Target="https://vt.tiktok.com/ZSaYerMXe/" TargetMode="External"/><Relationship Id="rId1025" Type="http://schemas.openxmlformats.org/officeDocument/2006/relationships/hyperlink" Target="https://x.com/jihananwar_/status/1987549613851844778" TargetMode="External"/><Relationship Id="rId2356" Type="http://schemas.openxmlformats.org/officeDocument/2006/relationships/hyperlink" Target="https://www.tiktok.com/@gibran.rakabuming22?_r=1&amp;_t=ZS-93Dw555368q" TargetMode="External"/><Relationship Id="rId1910" Type="http://schemas.openxmlformats.org/officeDocument/2006/relationships/hyperlink" Target="https://www.instagram.com/unexpcted__" TargetMode="External"/><Relationship Id="rId1911" Type="http://schemas.openxmlformats.org/officeDocument/2006/relationships/hyperlink" Target="https://www.instagram.com/p/DR9d8mXEg3H/" TargetMode="External"/><Relationship Id="rId1912" Type="http://schemas.openxmlformats.org/officeDocument/2006/relationships/hyperlink" Target="https://x.com/MichelAdam1515/status/2017810251408646166" TargetMode="External"/><Relationship Id="rId1913" Type="http://schemas.openxmlformats.org/officeDocument/2006/relationships/hyperlink" Target="https://x.com/Srik4ndiMuslim2/status/2017809560317399367" TargetMode="External"/><Relationship Id="rId1914" Type="http://schemas.openxmlformats.org/officeDocument/2006/relationships/hyperlink" Target="https://www.tiktok.com/@x_petung/video/7587348300580408583?q=plesetan%20wapres&amp;t=1769998150312" TargetMode="External"/><Relationship Id="rId1915" Type="http://schemas.openxmlformats.org/officeDocument/2006/relationships/hyperlink" Target="https://x.com/narkosun/status/2017920944069833051" TargetMode="External"/><Relationship Id="rId1916" Type="http://schemas.openxmlformats.org/officeDocument/2006/relationships/hyperlink" Target="https://x.com/MlayuTerus/status/2017897506542420383" TargetMode="External"/><Relationship Id="rId1917" Type="http://schemas.openxmlformats.org/officeDocument/2006/relationships/hyperlink" Target="https://www.tiktok.com/@martha.sidabutar8/video/7601919811014167828?q=plesetan%20wapres&amp;t=1769998150312" TargetMode="External"/><Relationship Id="rId1918" Type="http://schemas.openxmlformats.org/officeDocument/2006/relationships/hyperlink" Target="https://www.tiktok.com/@user458558932/video/7558506956546247954" TargetMode="External"/><Relationship Id="rId1919" Type="http://schemas.openxmlformats.org/officeDocument/2006/relationships/hyperlink" Target="https://www.tiktok.com/@bimacitracintanew/video/7602028026120916231" TargetMode="External"/><Relationship Id="rId1900" Type="http://schemas.openxmlformats.org/officeDocument/2006/relationships/hyperlink" Target="https://www.tiktok.com/@video_random_hiburan/photo/7589483186372087057?_r=1&amp;_t=ZS-93a7BslYzeC" TargetMode="External"/><Relationship Id="rId1901" Type="http://schemas.openxmlformats.org/officeDocument/2006/relationships/hyperlink" Target="https://www.tiktok.com/@muki_dim4n/video/7600727073505758485?_r=1&amp;_t=ZS-93a7GpE811F" TargetMode="External"/><Relationship Id="rId1902" Type="http://schemas.openxmlformats.org/officeDocument/2006/relationships/hyperlink" Target="https://www.facebook.com/share/p/1HgM6fRxbP/" TargetMode="External"/><Relationship Id="rId1903" Type="http://schemas.openxmlformats.org/officeDocument/2006/relationships/hyperlink" Target="https://x.com/kindablooming/status/2017856684920869204" TargetMode="External"/><Relationship Id="rId1904" Type="http://schemas.openxmlformats.org/officeDocument/2006/relationships/hyperlink" Target="https://x.com/Budiarietlol/status/2017837566532456833" TargetMode="External"/><Relationship Id="rId1905" Type="http://schemas.openxmlformats.org/officeDocument/2006/relationships/hyperlink" Target="https://x.com/Budiarietlol/status/2017836735615668627" TargetMode="External"/><Relationship Id="rId1906" Type="http://schemas.openxmlformats.org/officeDocument/2006/relationships/hyperlink" Target="https://x.com/deniseww2/status/2017771900597112881" TargetMode="External"/><Relationship Id="rId1907" Type="http://schemas.openxmlformats.org/officeDocument/2006/relationships/hyperlink" Target="https://x.com/vampirehoIy/status/2017765533383635099" TargetMode="External"/><Relationship Id="rId1908" Type="http://schemas.openxmlformats.org/officeDocument/2006/relationships/hyperlink" Target="https://x.com/kolongkursi/status/2017667311851954412" TargetMode="External"/><Relationship Id="rId1909" Type="http://schemas.openxmlformats.org/officeDocument/2006/relationships/hyperlink" Target="https://x.com/aingmaungraawrr/status/2017653615838826581" TargetMode="External"/><Relationship Id="rId1090" Type="http://schemas.openxmlformats.org/officeDocument/2006/relationships/hyperlink" Target="https://www.facebook.com/groups/372644750084407/posts/1758049721543896/" TargetMode="External"/><Relationship Id="rId1091" Type="http://schemas.openxmlformats.org/officeDocument/2006/relationships/hyperlink" Target="https://www.facebook.com/groups/372644750084407/posts/1758049118210623/" TargetMode="External"/><Relationship Id="rId1092" Type="http://schemas.openxmlformats.org/officeDocument/2006/relationships/hyperlink" Target="https://www.facebook.com/groups/372644750084407/posts/1758048894877312/" TargetMode="External"/><Relationship Id="rId1093" Type="http://schemas.openxmlformats.org/officeDocument/2006/relationships/hyperlink" Target="https://www.facebook.com/photo/?fbid=10163348005194757&amp;set=g.436927017440797" TargetMode="External"/><Relationship Id="rId1094" Type="http://schemas.openxmlformats.org/officeDocument/2006/relationships/hyperlink" Target="https://www.facebook.com/photo/?fbid=10163359604184757&amp;set=gm.1577311040069050&amp;idorvanity=436927017440797" TargetMode="External"/><Relationship Id="rId1095" Type="http://schemas.openxmlformats.org/officeDocument/2006/relationships/hyperlink" Target="https://www.facebook.com/photo/?fbid=10163352040524757&amp;set=gm.1575778096889011&amp;idorvanity=436927017440797" TargetMode="External"/><Relationship Id="rId1096" Type="http://schemas.openxmlformats.org/officeDocument/2006/relationships/hyperlink" Target="https://www.facebook.com/photo/?fbid=122187629438471265&amp;set=g.436927017440797" TargetMode="External"/><Relationship Id="rId1097" Type="http://schemas.openxmlformats.org/officeDocument/2006/relationships/hyperlink" Target="https://www.facebook.com/photo/?fbid=122125352168471265&amp;set=gm.1297196428080514&amp;idorvanity=436927017440797" TargetMode="External"/><Relationship Id="rId1098" Type="http://schemas.openxmlformats.org/officeDocument/2006/relationships/hyperlink" Target="https://www.facebook.com/photo/?fbid=10163352040524757&amp;set=gm.1575778096889011&amp;idorvanity=436927017440797" TargetMode="External"/><Relationship Id="rId1099" Type="http://schemas.openxmlformats.org/officeDocument/2006/relationships/hyperlink" Target="https://www.facebook.com/100089504973623/videos/1549262663194316/" TargetMode="External"/><Relationship Id="rId1080" Type="http://schemas.openxmlformats.org/officeDocument/2006/relationships/hyperlink" Target="https://www.facebook.com/satria.ababil234/posts/pfbid02zYo8cHjtfQLeSbXfzzQ4xxnKm1m9XmgdCR13oHy5GwT1QktAKJ7gefsz6pbgXiYUl" TargetMode="External"/><Relationship Id="rId1081" Type="http://schemas.openxmlformats.org/officeDocument/2006/relationships/hyperlink" Target="https://www.facebook.com/groups/171940866308646/posts/3273887799447255/" TargetMode="External"/><Relationship Id="rId1082" Type="http://schemas.openxmlformats.org/officeDocument/2006/relationships/hyperlink" Target="https://www.facebook.com/groups/171940866308646/posts/3273416049494430/" TargetMode="External"/><Relationship Id="rId1083" Type="http://schemas.openxmlformats.org/officeDocument/2006/relationships/hyperlink" Target="https://www.facebook.com/groups/171940866308646/posts/3273313649504670/" TargetMode="External"/><Relationship Id="rId1084" Type="http://schemas.openxmlformats.org/officeDocument/2006/relationships/hyperlink" Target="https://www.facebook.com/groups/171940866308646/posts/3262678503901518/" TargetMode="External"/><Relationship Id="rId1085" Type="http://schemas.openxmlformats.org/officeDocument/2006/relationships/hyperlink" Target="https://www.facebook.com/groups/171940866308646/posts/3261546470681388/" TargetMode="External"/><Relationship Id="rId1086" Type="http://schemas.openxmlformats.org/officeDocument/2006/relationships/hyperlink" Target="https://www.facebook.com/groups/225157887497430/posts/25581733801413156" TargetMode="External"/><Relationship Id="rId1087" Type="http://schemas.openxmlformats.org/officeDocument/2006/relationships/hyperlink" Target="https://www.facebook.com/groups/225157887497430/posts/25581607814759088" TargetMode="External"/><Relationship Id="rId1088" Type="http://schemas.openxmlformats.org/officeDocument/2006/relationships/hyperlink" Target="https://www.facebook.com/groups/225157887497430/posts/25562431356676734" TargetMode="External"/><Relationship Id="rId1089" Type="http://schemas.openxmlformats.org/officeDocument/2006/relationships/hyperlink" Target="https://www.facebook.com/groups/225157887497430/posts/25558498440403359" TargetMode="External"/><Relationship Id="rId1972" Type="http://schemas.openxmlformats.org/officeDocument/2006/relationships/hyperlink" Target="https://web.facebook.com/andra.jee.1/posts/pfbid02faDmxG3fsLEQHjcSVUBmwpkFLajdLC9jQ2mUMoDCfLNKVYHhNfVdfWTshSWd731dl" TargetMode="External"/><Relationship Id="rId1973" Type="http://schemas.openxmlformats.org/officeDocument/2006/relationships/hyperlink" Target="https://www.tempo.co/politik/komnas-ham-desak-pemerintah-terapkan-pendekatan-dialog-di-papua-2082094" TargetMode="External"/><Relationship Id="rId1974" Type="http://schemas.openxmlformats.org/officeDocument/2006/relationships/hyperlink" Target="https://www.facebook.com/story.php?story_fbid=3380296142125981&amp;id=100004368853728&amp;rdid=MfXIIA407912as1z" TargetMode="External"/><Relationship Id="rId1975" Type="http://schemas.openxmlformats.org/officeDocument/2006/relationships/hyperlink" Target="https://turnbackhoax.id/articles/32049" TargetMode="External"/><Relationship Id="rId1976" Type="http://schemas.openxmlformats.org/officeDocument/2006/relationships/hyperlink" Target="https://www.instagram.com/p/DQbjx80kr2M/" TargetMode="External"/><Relationship Id="rId1977" Type="http://schemas.openxmlformats.org/officeDocument/2006/relationships/hyperlink" Target="https://www.tempo.co/politik/komnas-ham-desak-pemerintah-terapkan-pendekatan-dialog-di-papua-2082094" TargetMode="External"/><Relationship Id="rId1978" Type="http://schemas.openxmlformats.org/officeDocument/2006/relationships/hyperlink" Target="https://www.instagram.com/p/DQbUt2ngaHA/" TargetMode="External"/><Relationship Id="rId1979" Type="http://schemas.openxmlformats.org/officeDocument/2006/relationships/hyperlink" Target="https://www.tempo.co/politik/komnas-ham-desak-pemerintah-terapkan-pendekatan-dialog-di-papua-2082094" TargetMode="External"/><Relationship Id="rId1970" Type="http://schemas.openxmlformats.org/officeDocument/2006/relationships/hyperlink" Target="https://www.facebook.com/100077567691354/posts/komnasham-pigaijika-semua-pasukan-tni-ditarik-mundur-mungkin-tidak-ada-lagi-nama/890912363504345/" TargetMode="External"/><Relationship Id="rId1971" Type="http://schemas.openxmlformats.org/officeDocument/2006/relationships/hyperlink" Target="https://www.tempo.co/politik/komnas-ham-desak-pemerintah-terapkan-pendekatan-dialog-di-papua-2082094" TargetMode="External"/><Relationship Id="rId1961" Type="http://schemas.openxmlformats.org/officeDocument/2006/relationships/hyperlink" Target="https://www.facebook.com/share/r/16uyEPLCxe/" TargetMode="External"/><Relationship Id="rId1962" Type="http://schemas.openxmlformats.org/officeDocument/2006/relationships/hyperlink" Target="https://x.com/Jumianto_RK/status/2017077138604826684" TargetMode="External"/><Relationship Id="rId1963" Type="http://schemas.openxmlformats.org/officeDocument/2006/relationships/hyperlink" Target="https://x.com/pasifisstate/status/2016837338438258832?t=Ypk8SdK_uw6i07Kt_jIp2g&amp;s=35" TargetMode="External"/><Relationship Id="rId1964" Type="http://schemas.openxmlformats.org/officeDocument/2006/relationships/hyperlink" Target="https://x.com/__PASMANTAP/status/2017044336387695031?t=t5TlMaMNd_WA3QtrNiK1DA&amp;s=35" TargetMode="External"/><Relationship Id="rId1965" Type="http://schemas.openxmlformats.org/officeDocument/2006/relationships/hyperlink" Target="https://vt.tiktok.com/ZSaC3HsKV/" TargetMode="External"/><Relationship Id="rId1966" Type="http://schemas.openxmlformats.org/officeDocument/2006/relationships/hyperlink" Target="https://vt.tiktok.com/ZSaC3S1qo/" TargetMode="External"/><Relationship Id="rId1967" Type="http://schemas.openxmlformats.org/officeDocument/2006/relationships/hyperlink" Target="https://x.com/ArtaN7707/status/2015002115308200253?t=kNXnuygONGtG2ZeemYBsgA&amp;s=35" TargetMode="External"/><Relationship Id="rId1968" Type="http://schemas.openxmlformats.org/officeDocument/2006/relationships/hyperlink" Target="https://www.facebook.com/andra.jee.1/posts/komnas-pigai-jika-semua-tni-ditarik-dari-papua-mungkn-tdk-ada-lagi-k3k3rs4n/1372589964611694" TargetMode="External"/><Relationship Id="rId1969" Type="http://schemas.openxmlformats.org/officeDocument/2006/relationships/hyperlink" Target="https://www.tempo.co/politik/komnas-ham-desak-pemerintah-terapkan-pendekatan-dialog-di-papua-2082094" TargetMode="External"/><Relationship Id="rId1960" Type="http://schemas.openxmlformats.org/officeDocument/2006/relationships/hyperlink" Target="https://x.com/MuhammadIkhtid5/status/2017015996255785177" TargetMode="External"/><Relationship Id="rId1994" Type="http://schemas.openxmlformats.org/officeDocument/2006/relationships/hyperlink" Target="https://x.com/ochidzz/status/2016453331577864410" TargetMode="External"/><Relationship Id="rId1995" Type="http://schemas.openxmlformats.org/officeDocument/2006/relationships/hyperlink" Target="https://x.com/kopitanpagula09/status/2016666044539293939" TargetMode="External"/><Relationship Id="rId1996" Type="http://schemas.openxmlformats.org/officeDocument/2006/relationships/hyperlink" Target="https://x.com/RiyadiMr2/status/2016663646701834527" TargetMode="External"/><Relationship Id="rId1997" Type="http://schemas.openxmlformats.org/officeDocument/2006/relationships/hyperlink" Target="https://x.com/ka588588/status/2016760502719017206" TargetMode="External"/><Relationship Id="rId1998" Type="http://schemas.openxmlformats.org/officeDocument/2006/relationships/hyperlink" Target="https://x.com/onotohar/status/2016747654152409560" TargetMode="External"/><Relationship Id="rId1999" Type="http://schemas.openxmlformats.org/officeDocument/2006/relationships/hyperlink" Target="https://x.com/blu3blu3blu/status/2016745098860720382" TargetMode="External"/><Relationship Id="rId1990" Type="http://schemas.openxmlformats.org/officeDocument/2006/relationships/hyperlink" Target="https://vt.tiktok.com/ZSaxC9RXP/" TargetMode="External"/><Relationship Id="rId1991" Type="http://schemas.openxmlformats.org/officeDocument/2006/relationships/hyperlink" Target="https://x.com/patillele4364/status/2016637696253579627?t=MTqF6pcDnAmGcH4oQfMfTA&amp;s=35" TargetMode="External"/><Relationship Id="rId1992" Type="http://schemas.openxmlformats.org/officeDocument/2006/relationships/hyperlink" Target="https://x.com/kang___L/status/2016114117061530030?s=35" TargetMode="External"/><Relationship Id="rId1993" Type="http://schemas.openxmlformats.org/officeDocument/2006/relationships/hyperlink" Target="https://x.com/KangManto123/status/2016415411374584131?t=odEeESdQVfGQyXtntajgwQ&amp;s=35" TargetMode="External"/><Relationship Id="rId1983" Type="http://schemas.openxmlformats.org/officeDocument/2006/relationships/hyperlink" Target="https://www.tiktok.com/@fadilfitrah03/photo/7595619105093242120" TargetMode="External"/><Relationship Id="rId1984" Type="http://schemas.openxmlformats.org/officeDocument/2006/relationships/hyperlink" Target="https://x.com/hasni33064/status/2016505635626684865" TargetMode="External"/><Relationship Id="rId1985" Type="http://schemas.openxmlformats.org/officeDocument/2006/relationships/hyperlink" Target="https://x.com/affanaffa12/status/2016316558642184603" TargetMode="External"/><Relationship Id="rId1986" Type="http://schemas.openxmlformats.org/officeDocument/2006/relationships/hyperlink" Target="https://x.com/KiYang4343/status/2016084534081814974" TargetMode="External"/><Relationship Id="rId1987" Type="http://schemas.openxmlformats.org/officeDocument/2006/relationships/hyperlink" Target="https://x.com/Pandawa5321/status/2016061571274051826" TargetMode="External"/><Relationship Id="rId1988" Type="http://schemas.openxmlformats.org/officeDocument/2006/relationships/hyperlink" Target="https://x.com/van88xier/status/2015985678069465505" TargetMode="External"/><Relationship Id="rId1989" Type="http://schemas.openxmlformats.org/officeDocument/2006/relationships/hyperlink" Target="https://vt.tiktok.com/ZSaxCPM8H/" TargetMode="External"/><Relationship Id="rId1980" Type="http://schemas.openxmlformats.org/officeDocument/2006/relationships/hyperlink" Target="https://www.tiktok.com/@fahrul40590/video/7600604897347751188" TargetMode="External"/><Relationship Id="rId1981" Type="http://schemas.openxmlformats.org/officeDocument/2006/relationships/hyperlink" Target="https://www.tiktok.com/@bgajuan2/video/7594876711330761992" TargetMode="External"/><Relationship Id="rId1982" Type="http://schemas.openxmlformats.org/officeDocument/2006/relationships/hyperlink" Target="https://www.tiktok.com/@cicem.pala.cicem/photo/7600025471253843207" TargetMode="External"/><Relationship Id="rId1930" Type="http://schemas.openxmlformats.org/officeDocument/2006/relationships/hyperlink" Target="https://x.com/Aceh/status/2016901250005303623" TargetMode="External"/><Relationship Id="rId1931" Type="http://schemas.openxmlformats.org/officeDocument/2006/relationships/hyperlink" Target="https://www.facebook.com/share/v/1KcFAQqivF/" TargetMode="External"/><Relationship Id="rId1932" Type="http://schemas.openxmlformats.org/officeDocument/2006/relationships/hyperlink" Target="https://www.facebook.com/share/v/18A3SYfeQP/" TargetMode="External"/><Relationship Id="rId1933" Type="http://schemas.openxmlformats.org/officeDocument/2006/relationships/hyperlink" Target="https://x.com/MeghUpdates/status/2017177369514307888" TargetMode="External"/><Relationship Id="rId1934" Type="http://schemas.openxmlformats.org/officeDocument/2006/relationships/hyperlink" Target="https://x.com/Andria75777/status/2017556705081757856?s=20" TargetMode="External"/><Relationship Id="rId1935" Type="http://schemas.openxmlformats.org/officeDocument/2006/relationships/hyperlink" Target="https://x.com/viprabuddhi/status/2017139885497602061?s=20" TargetMode="External"/><Relationship Id="rId1936" Type="http://schemas.openxmlformats.org/officeDocument/2006/relationships/hyperlink" Target="https://www.tiktok.com/@chutnaylanyakputroeaulia/video/7601526620238662930?_r=1&amp;_t=ZS-93Y7sK27dfV" TargetMode="External"/><Relationship Id="rId1937" Type="http://schemas.openxmlformats.org/officeDocument/2006/relationships/hyperlink" Target="https://www.facebook.com/story.php?story_fbid=1207216398237001&amp;id=100068459572727&amp;rdid=s3oBjBie2WaXxQwe" TargetMode="External"/><Relationship Id="rId1938" Type="http://schemas.openxmlformats.org/officeDocument/2006/relationships/hyperlink" Target="https://www.facebook.com/story.php?story_fbid=739619609218117&amp;id=100095102547713&amp;rdid=IMnMkfBOC3BbrnyE" TargetMode="External"/><Relationship Id="rId1939" Type="http://schemas.openxmlformats.org/officeDocument/2006/relationships/hyperlink" Target="https://x.com/MasBRO_back/status/2017640591103066185" TargetMode="External"/><Relationship Id="rId1920" Type="http://schemas.openxmlformats.org/officeDocument/2006/relationships/hyperlink" Target="https://www.facebook.com/groups/306524690118171?multi_permalinks=2166531134117508&amp;hoisted_section_header_type=recently_seen" TargetMode="External"/><Relationship Id="rId1921" Type="http://schemas.openxmlformats.org/officeDocument/2006/relationships/hyperlink" Target="https://x.com/EkoArdiyan55716/status/2018213524246597951" TargetMode="External"/><Relationship Id="rId1922" Type="http://schemas.openxmlformats.org/officeDocument/2006/relationships/hyperlink" Target="https://www.facebook.com/reel/1487175862554215" TargetMode="External"/><Relationship Id="rId1923" Type="http://schemas.openxmlformats.org/officeDocument/2006/relationships/hyperlink" Target="https://turnbackhoax.id/articles/32022" TargetMode="External"/><Relationship Id="rId1924" Type="http://schemas.openxmlformats.org/officeDocument/2006/relationships/hyperlink" Target="https://www.facebook.com/permalink.php?story_fbid=pfbid034CAUm5sma7po2k6BECnMV5JAz6PWiiPGG39LzJMm7ZndrP2AwZ4RmfXDkXZdwHiRl&amp;id=61558969051764" TargetMode="External"/><Relationship Id="rId1925" Type="http://schemas.openxmlformats.org/officeDocument/2006/relationships/hyperlink" Target="https://turnbackhoax.id/articles/32089-salah-dpr-tunda-pembahasan-ruu-perampasan-aset-hingga-tahun-depan" TargetMode="External"/><Relationship Id="rId1926" Type="http://schemas.openxmlformats.org/officeDocument/2006/relationships/hyperlink" Target="https://www.facebook.com/3minutecreator/posts/pfbid031VfZmRhdNoW8X7ujQjXcMBbt5BsqNqw36faMZyBmVjdhVa6jNd9EriotSiroCGdql" TargetMode="External"/><Relationship Id="rId1927" Type="http://schemas.openxmlformats.org/officeDocument/2006/relationships/hyperlink" Target="https://www.facebook.com/100000565391706/posts/26676388888629929/?rdid=vxSJYHfWRYzCtq8i" TargetMode="External"/><Relationship Id="rId1928" Type="http://schemas.openxmlformats.org/officeDocument/2006/relationships/hyperlink" Target="https://turnbackhoax.id/articles/32069-salah-bgn-melarang-keluhan-soal-makanan" TargetMode="External"/><Relationship Id="rId1929" Type="http://schemas.openxmlformats.org/officeDocument/2006/relationships/hyperlink" Target="https://x.com/aceh/status/2016883890242372095?s=46&amp;t=Gs3bgLjNYCJZTaqf1-hjAA" TargetMode="External"/><Relationship Id="rId1950" Type="http://schemas.openxmlformats.org/officeDocument/2006/relationships/hyperlink" Target="https://vt.tiktok.com/ZSa4n5DAR/" TargetMode="External"/><Relationship Id="rId1951" Type="http://schemas.openxmlformats.org/officeDocument/2006/relationships/hyperlink" Target="https://vt.tiktok.com/ZSa4n9cKs/" TargetMode="External"/><Relationship Id="rId1952" Type="http://schemas.openxmlformats.org/officeDocument/2006/relationships/hyperlink" Target="https://vt.tiktok.com/ZSa4nKbqm/" TargetMode="External"/><Relationship Id="rId1953" Type="http://schemas.openxmlformats.org/officeDocument/2006/relationships/hyperlink" Target="https://www.facebook.com/share/p/14TaXZNRDFX/" TargetMode="External"/><Relationship Id="rId1954" Type="http://schemas.openxmlformats.org/officeDocument/2006/relationships/hyperlink" Target="https://vt.tiktok.com/ZSa4vLqKy/" TargetMode="External"/><Relationship Id="rId1955" Type="http://schemas.openxmlformats.org/officeDocument/2006/relationships/hyperlink" Target="https://www.tiktok.com/@paramex_870/video/7600760916082216213" TargetMode="External"/><Relationship Id="rId1956" Type="http://schemas.openxmlformats.org/officeDocument/2006/relationships/hyperlink" Target="https://www.tiktok.com/@tengku.aneuk.miet/video/7588534515719507208" TargetMode="External"/><Relationship Id="rId1957" Type="http://schemas.openxmlformats.org/officeDocument/2006/relationships/hyperlink" Target="https://www.tiktok.com/@muhammir07/video/7600833930912173320" TargetMode="External"/><Relationship Id="rId1958" Type="http://schemas.openxmlformats.org/officeDocument/2006/relationships/hyperlink" Target="https://www.tiktok.com/@_nyak_136/video/7600758455002991892" TargetMode="External"/><Relationship Id="rId1959" Type="http://schemas.openxmlformats.org/officeDocument/2006/relationships/hyperlink" Target="https://x.com/OjolNyambi/status/2017094948999614704" TargetMode="External"/><Relationship Id="rId1940" Type="http://schemas.openxmlformats.org/officeDocument/2006/relationships/hyperlink" Target="https://x.com/ommi_siregar/status/2017745266179514740" TargetMode="External"/><Relationship Id="rId1941" Type="http://schemas.openxmlformats.org/officeDocument/2006/relationships/hyperlink" Target="https://www.tiktok.com/@pengikut6047/video/7601402577296575751?_r=1&amp;_t=ZS-93YL6wwgUMb" TargetMode="External"/><Relationship Id="rId1942" Type="http://schemas.openxmlformats.org/officeDocument/2006/relationships/hyperlink" Target="https://www.facebook.com/share/p/1GqPSmfY4u/" TargetMode="External"/><Relationship Id="rId1943" Type="http://schemas.openxmlformats.org/officeDocument/2006/relationships/hyperlink" Target="https://www.facebook.com/share/r/1KnH9q9afA/" TargetMode="External"/><Relationship Id="rId1944" Type="http://schemas.openxmlformats.org/officeDocument/2006/relationships/hyperlink" Target="https://www.facebook.com/share/p/179WFMpcvs/" TargetMode="External"/><Relationship Id="rId1945" Type="http://schemas.openxmlformats.org/officeDocument/2006/relationships/hyperlink" Target="https://www.facebook.com/share/p/1AuziWUtTC/" TargetMode="External"/><Relationship Id="rId1946" Type="http://schemas.openxmlformats.org/officeDocument/2006/relationships/hyperlink" Target="https://www.facebook.com/share/p/17nryW7HTK/" TargetMode="External"/><Relationship Id="rId1947" Type="http://schemas.openxmlformats.org/officeDocument/2006/relationships/hyperlink" Target="https://www.facebook.com/share/v/1GvGsLKsmu/" TargetMode="External"/><Relationship Id="rId1948" Type="http://schemas.openxmlformats.org/officeDocument/2006/relationships/hyperlink" Target="https://www.tiktok.com/@ragil_982/video/7601308989552348437" TargetMode="External"/><Relationship Id="rId1949" Type="http://schemas.openxmlformats.org/officeDocument/2006/relationships/hyperlink" Target="https://x.com/BlenkHead3737/status/2017472626395123721" TargetMode="External"/><Relationship Id="rId2423" Type="http://schemas.openxmlformats.org/officeDocument/2006/relationships/hyperlink" Target="https://x.com/blu3blu3blu/status/2001923304039551363?s=20" TargetMode="External"/><Relationship Id="rId2424" Type="http://schemas.openxmlformats.org/officeDocument/2006/relationships/hyperlink" Target="https://vt.tiktok.com/ZSaJSjgSb/" TargetMode="External"/><Relationship Id="rId2425" Type="http://schemas.openxmlformats.org/officeDocument/2006/relationships/hyperlink" Target="https://vt.tiktok.com/ZSaJSBXdh/" TargetMode="External"/><Relationship Id="rId2426" Type="http://schemas.openxmlformats.org/officeDocument/2006/relationships/hyperlink" Target="https://vt.tiktok.com/ZSaJSHgAq/" TargetMode="External"/><Relationship Id="rId2427" Type="http://schemas.openxmlformats.org/officeDocument/2006/relationships/hyperlink" Target="https://x.com/PutriKayan16645/status/2011340235964399815?t=jEK3vDiG2uDC8PHlt20zXw&amp;s=35" TargetMode="External"/><Relationship Id="rId2428" Type="http://schemas.openxmlformats.org/officeDocument/2006/relationships/hyperlink" Target="https://x.com/FayaAtika/status/2011320724385104309?t=0SmDYm-PQjro-UF-2KvW6w&amp;s=35" TargetMode="External"/><Relationship Id="rId2429" Type="http://schemas.openxmlformats.org/officeDocument/2006/relationships/hyperlink" Target="https://www.tiktok.com/@store94518/video/7596232725502184722" TargetMode="External"/><Relationship Id="rId509" Type="http://schemas.openxmlformats.org/officeDocument/2006/relationships/hyperlink" Target="https://vt.tiktok.com/ZSDaDJNDF/" TargetMode="External"/><Relationship Id="rId508" Type="http://schemas.openxmlformats.org/officeDocument/2006/relationships/hyperlink" Target="https://vt.tiktok.com/ZSDaAqry2/" TargetMode="External"/><Relationship Id="rId503" Type="http://schemas.openxmlformats.org/officeDocument/2006/relationships/hyperlink" Target="https://www.instagram.com/p/DN7kLNokrnh/" TargetMode="External"/><Relationship Id="rId502" Type="http://schemas.openxmlformats.org/officeDocument/2006/relationships/hyperlink" Target="https://www.instagram.com/p/DNsxu_L5McL/" TargetMode="External"/><Relationship Id="rId501" Type="http://schemas.openxmlformats.org/officeDocument/2006/relationships/hyperlink" Target="https://www.tiktok.com/@racingmaster076/video/7548504022374796550" TargetMode="External"/><Relationship Id="rId500" Type="http://schemas.openxmlformats.org/officeDocument/2006/relationships/hyperlink" Target="https://www.tiktok.com/@sumberpromo999/video/7551983204417162507" TargetMode="External"/><Relationship Id="rId507" Type="http://schemas.openxmlformats.org/officeDocument/2006/relationships/hyperlink" Target="https://vt.tiktok.com/ZSDaAx9V1/" TargetMode="External"/><Relationship Id="rId506" Type="http://schemas.openxmlformats.org/officeDocument/2006/relationships/hyperlink" Target="https://vt.tiktok.com/ZSDaAAdcb/" TargetMode="External"/><Relationship Id="rId505" Type="http://schemas.openxmlformats.org/officeDocument/2006/relationships/hyperlink" Target="https://www.instagram.com/p/DNxn_TeXgQ_/" TargetMode="External"/><Relationship Id="rId504" Type="http://schemas.openxmlformats.org/officeDocument/2006/relationships/hyperlink" Target="https://www.instagram.com/p/DN7bd7MEkIr/" TargetMode="External"/><Relationship Id="rId2420" Type="http://schemas.openxmlformats.org/officeDocument/2006/relationships/hyperlink" Target="https://www.facebook.com/share/p/1DzsyqE6zH/" TargetMode="External"/><Relationship Id="rId2421" Type="http://schemas.openxmlformats.org/officeDocument/2006/relationships/hyperlink" Target="https://x.com/miyaminkomplit/status/2006741948292542835" TargetMode="External"/><Relationship Id="rId2422" Type="http://schemas.openxmlformats.org/officeDocument/2006/relationships/hyperlink" Target="https://x.com/achehsultanate/status/2001289038356251036?s=20" TargetMode="External"/><Relationship Id="rId2412" Type="http://schemas.openxmlformats.org/officeDocument/2006/relationships/hyperlink" Target="https://x.com/yaniarsim/status/2012684272901984631" TargetMode="External"/><Relationship Id="rId2413" Type="http://schemas.openxmlformats.org/officeDocument/2006/relationships/hyperlink" Target="https://x.com/YgMenang_KPU_MK/status/2012864312185155746" TargetMode="External"/><Relationship Id="rId2414" Type="http://schemas.openxmlformats.org/officeDocument/2006/relationships/hyperlink" Target="https://x.com/kuntoadji/status/2012870177109516729" TargetMode="External"/><Relationship Id="rId2415" Type="http://schemas.openxmlformats.org/officeDocument/2006/relationships/hyperlink" Target="https://x.com/P3M4LSUIJ4Z4H/status/2012693888176394481" TargetMode="External"/><Relationship Id="rId2416" Type="http://schemas.openxmlformats.org/officeDocument/2006/relationships/hyperlink" Target="https://x.com/unaboobies/status/2012637554282017152" TargetMode="External"/><Relationship Id="rId2417" Type="http://schemas.openxmlformats.org/officeDocument/2006/relationships/hyperlink" Target="https://www.facebook.com/share/p/1DAo1LWVEj/" TargetMode="External"/><Relationship Id="rId2418" Type="http://schemas.openxmlformats.org/officeDocument/2006/relationships/hyperlink" Target="https://www.facebook.com/share/p/1HJatm81SB/" TargetMode="External"/><Relationship Id="rId2419" Type="http://schemas.openxmlformats.org/officeDocument/2006/relationships/hyperlink" Target="https://x.com/myshawti/status/2012745615491420317" TargetMode="External"/><Relationship Id="rId2410" Type="http://schemas.openxmlformats.org/officeDocument/2006/relationships/hyperlink" Target="https://x.com/patillele4364/status/2012107904112082945" TargetMode="External"/><Relationship Id="rId2411" Type="http://schemas.openxmlformats.org/officeDocument/2006/relationships/hyperlink" Target="https://x.com/yaniarsim/status/2012475543975858295" TargetMode="External"/><Relationship Id="rId1114" Type="http://schemas.openxmlformats.org/officeDocument/2006/relationships/hyperlink" Target="https://www.facebook.com/share/r/17LiddZECa/" TargetMode="External"/><Relationship Id="rId2445" Type="http://schemas.openxmlformats.org/officeDocument/2006/relationships/hyperlink" Target="https://www.facebook.com/share/p/1JKaWhy2Zp/" TargetMode="External"/><Relationship Id="rId1115" Type="http://schemas.openxmlformats.org/officeDocument/2006/relationships/hyperlink" Target="https://www.facebook.com/share/p/1G17ZuUTyP/" TargetMode="External"/><Relationship Id="rId2446" Type="http://schemas.openxmlformats.org/officeDocument/2006/relationships/hyperlink" Target="https://www.facebook.com/share/p/18AsHazXBM/" TargetMode="External"/><Relationship Id="rId1116" Type="http://schemas.openxmlformats.org/officeDocument/2006/relationships/hyperlink" Target="https://www.facebook.com/share/p/1HNxKVrv9k/" TargetMode="External"/><Relationship Id="rId2447" Type="http://schemas.openxmlformats.org/officeDocument/2006/relationships/hyperlink" Target="https://vt.tiktok.com/ZS5oJJvHK/" TargetMode="External"/><Relationship Id="rId1117" Type="http://schemas.openxmlformats.org/officeDocument/2006/relationships/hyperlink" Target="https://www.facebook.com/100058502340776/posts/1294447395848660/?rdid=CyxBFgXe20CeyLhK" TargetMode="External"/><Relationship Id="rId2448" Type="http://schemas.openxmlformats.org/officeDocument/2006/relationships/hyperlink" Target="https://www.facebook.com/share/p/1Ed7uCMoTG/" TargetMode="External"/><Relationship Id="rId1118" Type="http://schemas.openxmlformats.org/officeDocument/2006/relationships/hyperlink" Target="https://www.facebook.com/reel/1999564254230472" TargetMode="External"/><Relationship Id="rId2449" Type="http://schemas.openxmlformats.org/officeDocument/2006/relationships/hyperlink" Target="https://vt.tiktok.com/ZS5oPWJma/" TargetMode="External"/><Relationship Id="rId1119" Type="http://schemas.openxmlformats.org/officeDocument/2006/relationships/hyperlink" Target="https://www.facebook.com/reel/1372144177630708" TargetMode="External"/><Relationship Id="rId525" Type="http://schemas.openxmlformats.org/officeDocument/2006/relationships/hyperlink" Target="https://www.facebook.com/photo/?fbid=1288202806650925&amp;set=a.1240943508043522" TargetMode="External"/><Relationship Id="rId524" Type="http://schemas.openxmlformats.org/officeDocument/2006/relationships/hyperlink" Target="https://www.youtube.com/shorts/GDH9hbOVUxQ" TargetMode="External"/><Relationship Id="rId523" Type="http://schemas.openxmlformats.org/officeDocument/2006/relationships/hyperlink" Target="https://www.youtube.com/watch?v=xirD8jOP0nk" TargetMode="External"/><Relationship Id="rId522" Type="http://schemas.openxmlformats.org/officeDocument/2006/relationships/hyperlink" Target="https://www.facebook.com/scorpions.gaccor/posts/pfbid0nNWKtYQw2yss6DBrkNP8Cn4gcjuzyLzc5HkR21zWQmGrjXvXPPx6fU7zfQnfrBQTl" TargetMode="External"/><Relationship Id="rId529" Type="http://schemas.openxmlformats.org/officeDocument/2006/relationships/hyperlink" Target="https://x.com/GatotSiagian/status/1969191149618208851" TargetMode="External"/><Relationship Id="rId528" Type="http://schemas.openxmlformats.org/officeDocument/2006/relationships/hyperlink" Target="https://www.instagram.com/p/DN-QLnSjkZp/" TargetMode="External"/><Relationship Id="rId527" Type="http://schemas.openxmlformats.org/officeDocument/2006/relationships/hyperlink" Target="https://www.instagram.com/p/DN-zIKUk1A7/" TargetMode="External"/><Relationship Id="rId526" Type="http://schemas.openxmlformats.org/officeDocument/2006/relationships/hyperlink" Target="https://www.facebook.com/photo/?fbid=1434873281135667&amp;set=a.103301887626153" TargetMode="External"/><Relationship Id="rId2440" Type="http://schemas.openxmlformats.org/officeDocument/2006/relationships/hyperlink" Target="https://x.com/KayadiMur/status/2011261540234928360" TargetMode="External"/><Relationship Id="rId521" Type="http://schemas.openxmlformats.org/officeDocument/2006/relationships/hyperlink" Target="https://www.facebook.com/groups/221580229175240/?multi_permalinks=1465281201471797&amp;hoisted_section_header_type=recently_seen" TargetMode="External"/><Relationship Id="rId1110" Type="http://schemas.openxmlformats.org/officeDocument/2006/relationships/hyperlink" Target="https://www.facebook.com/share/p/1AHL8Ey1xU/" TargetMode="External"/><Relationship Id="rId2441" Type="http://schemas.openxmlformats.org/officeDocument/2006/relationships/hyperlink" Target="https://x.com/PEOPLEOFTHELIE4/status/2011248084131700898" TargetMode="External"/><Relationship Id="rId520" Type="http://schemas.openxmlformats.org/officeDocument/2006/relationships/hyperlink" Target="https://www.facebook.com/groups/882222322392995/?multi_permalinks=1826239287991289&amp;hoisted_section_header_type=recently_seen" TargetMode="External"/><Relationship Id="rId1111" Type="http://schemas.openxmlformats.org/officeDocument/2006/relationships/hyperlink" Target="https://www.facebook.com/share/p/1DivhCvUFE/" TargetMode="External"/><Relationship Id="rId2442" Type="http://schemas.openxmlformats.org/officeDocument/2006/relationships/hyperlink" Target="https://www.tiktok.com/@mzabdl.kata/photo/7582650523342441736" TargetMode="External"/><Relationship Id="rId1112" Type="http://schemas.openxmlformats.org/officeDocument/2006/relationships/hyperlink" Target="https://www.facebook.com/share/r/1A6kbWMbUq/" TargetMode="External"/><Relationship Id="rId2443" Type="http://schemas.openxmlformats.org/officeDocument/2006/relationships/hyperlink" Target="https://www.tiktok.com/@hennisrirahayu/video/7595831047783206151" TargetMode="External"/><Relationship Id="rId1113" Type="http://schemas.openxmlformats.org/officeDocument/2006/relationships/hyperlink" Target="https://www.facebook.com/share/r/1EhyWztAge/" TargetMode="External"/><Relationship Id="rId2444" Type="http://schemas.openxmlformats.org/officeDocument/2006/relationships/hyperlink" Target="https://www.facebook.com/share/p/15UowAxJQUr/" TargetMode="External"/><Relationship Id="rId1103" Type="http://schemas.openxmlformats.org/officeDocument/2006/relationships/hyperlink" Target="https://x.com/ZurfamiJ5777/status/1988330666212397178" TargetMode="External"/><Relationship Id="rId2434" Type="http://schemas.openxmlformats.org/officeDocument/2006/relationships/hyperlink" Target="https://x.com/van88xier/status/2012016133856170411" TargetMode="External"/><Relationship Id="rId1104" Type="http://schemas.openxmlformats.org/officeDocument/2006/relationships/hyperlink" Target="https://x.com/BagindoSati74/status/1988795535273390490" TargetMode="External"/><Relationship Id="rId2435" Type="http://schemas.openxmlformats.org/officeDocument/2006/relationships/hyperlink" Target="https://x.com/JokowiP3n1pu/status/2011671442015076420" TargetMode="External"/><Relationship Id="rId1105" Type="http://schemas.openxmlformats.org/officeDocument/2006/relationships/hyperlink" Target="https://x.com/PEOPLEOFTHELIE4/status/1988786139793436675" TargetMode="External"/><Relationship Id="rId2436" Type="http://schemas.openxmlformats.org/officeDocument/2006/relationships/hyperlink" Target="https://www.facebook.com/share/p/1EvpvSewgZ/" TargetMode="External"/><Relationship Id="rId1106" Type="http://schemas.openxmlformats.org/officeDocument/2006/relationships/hyperlink" Target="https://x.com/Juhari02168742/status/1988727848023257169" TargetMode="External"/><Relationship Id="rId2437" Type="http://schemas.openxmlformats.org/officeDocument/2006/relationships/hyperlink" Target="https://www.facebook.com/share/r/1WiNGhkmiM/" TargetMode="External"/><Relationship Id="rId1107" Type="http://schemas.openxmlformats.org/officeDocument/2006/relationships/hyperlink" Target="https://x.com/BelaRakyatPIK2/status/1988591439044112715" TargetMode="External"/><Relationship Id="rId2438" Type="http://schemas.openxmlformats.org/officeDocument/2006/relationships/hyperlink" Target="https://x.com/Qoqo_2020/status/2011626259768570205" TargetMode="External"/><Relationship Id="rId1108" Type="http://schemas.openxmlformats.org/officeDocument/2006/relationships/hyperlink" Target="https://x.com/alfatih212426/status/1988565673627500636" TargetMode="External"/><Relationship Id="rId2439" Type="http://schemas.openxmlformats.org/officeDocument/2006/relationships/hyperlink" Target="https://x.com/dewimajid4/status/2011430443263176856" TargetMode="External"/><Relationship Id="rId1109" Type="http://schemas.openxmlformats.org/officeDocument/2006/relationships/hyperlink" Target="https://www.facebook.com/share/v/17SUeCPa38/" TargetMode="External"/><Relationship Id="rId519" Type="http://schemas.openxmlformats.org/officeDocument/2006/relationships/hyperlink" Target="https://www.facebook.com/groups/882222322392995/?multi_permalinks=1833352363946648&amp;hoisted_section_header_type=recently_seen" TargetMode="External"/><Relationship Id="rId514" Type="http://schemas.openxmlformats.org/officeDocument/2006/relationships/hyperlink" Target="https://www.instagram.com/reel/DOenRs4iYw_/?igsh=MTBkanV6MnRsZ25hcg%3D%3D" TargetMode="External"/><Relationship Id="rId513" Type="http://schemas.openxmlformats.org/officeDocument/2006/relationships/hyperlink" Target="https://www.instagram.com/reel/DOYduotDyr-/?igsh=MTNxcmVodjBhbm9zeA%3D%3D" TargetMode="External"/><Relationship Id="rId512" Type="http://schemas.openxmlformats.org/officeDocument/2006/relationships/hyperlink" Target="https://vt.tiktok.com/ZSDaDHDue/" TargetMode="External"/><Relationship Id="rId511" Type="http://schemas.openxmlformats.org/officeDocument/2006/relationships/hyperlink" Target="https://vt.tiktok.com/ZSDaDXPum/" TargetMode="External"/><Relationship Id="rId518" Type="http://schemas.openxmlformats.org/officeDocument/2006/relationships/hyperlink" Target="https://www.facebook.com/groups/882222322392995/?multi_permalinks=1824898364792048&amp;hoisted_section_header_type=recently_seen" TargetMode="External"/><Relationship Id="rId517" Type="http://schemas.openxmlformats.org/officeDocument/2006/relationships/hyperlink" Target="https://www.facebook.com/groups/164092370959770/?multi_permalinks=1721835241852134&amp;hoisted_section_header_type=recently_seen" TargetMode="External"/><Relationship Id="rId516" Type="http://schemas.openxmlformats.org/officeDocument/2006/relationships/hyperlink" Target="https://www.facebook.com/groups/1079302926438806/?multi_permalinks=1422544868781275&amp;hoisted_section_header_type=recently_seen" TargetMode="External"/><Relationship Id="rId515" Type="http://schemas.openxmlformats.org/officeDocument/2006/relationships/hyperlink" Target="https://www.tiktok.com/@rmtv90/video/7548957881043881224?_r=1&amp;_t=ZS-8zpfqcyU0xd" TargetMode="External"/><Relationship Id="rId510" Type="http://schemas.openxmlformats.org/officeDocument/2006/relationships/hyperlink" Target="https://vt.tiktok.com/ZSDaD63GH/" TargetMode="External"/><Relationship Id="rId2430" Type="http://schemas.openxmlformats.org/officeDocument/2006/relationships/hyperlink" Target="https://www.tiktok.com/@rifi.yadi/video/7594348346446302471" TargetMode="External"/><Relationship Id="rId1100" Type="http://schemas.openxmlformats.org/officeDocument/2006/relationships/hyperlink" Target="https://www.facebook.com/watch/?v=859655943294521" TargetMode="External"/><Relationship Id="rId2431" Type="http://schemas.openxmlformats.org/officeDocument/2006/relationships/hyperlink" Target="https://x.com/dundunthetruth/status/2012463728604893574" TargetMode="External"/><Relationship Id="rId1101" Type="http://schemas.openxmlformats.org/officeDocument/2006/relationships/hyperlink" Target="https://www.facebook.com/satria.pergata.52/posts/pfbid02abyJvCR4RiqqKdT1qjPx87TxhmeNceDyQXTdcG5iTgp6vwTqD9dVMm8gbAGj27vVl?rdid=qvIiQDTb5qjlk8Ul" TargetMode="External"/><Relationship Id="rId2432" Type="http://schemas.openxmlformats.org/officeDocument/2006/relationships/hyperlink" Target="https://x.com/AMPONCUT_ACEH/status/2011826562602320193" TargetMode="External"/><Relationship Id="rId1102" Type="http://schemas.openxmlformats.org/officeDocument/2006/relationships/hyperlink" Target="https://www.facebook.com/watch/?v=1220262399911906" TargetMode="External"/><Relationship Id="rId2433" Type="http://schemas.openxmlformats.org/officeDocument/2006/relationships/hyperlink" Target="https://x.com/GondewaHati321/status/2012422258887647432" TargetMode="External"/><Relationship Id="rId2401" Type="http://schemas.openxmlformats.org/officeDocument/2006/relationships/hyperlink" Target="https://x.com/van88xier/status/2012016133856170411" TargetMode="External"/><Relationship Id="rId2402" Type="http://schemas.openxmlformats.org/officeDocument/2006/relationships/hyperlink" Target="https://x.com/ginamustika/status/2012026406616908244" TargetMode="External"/><Relationship Id="rId2403" Type="http://schemas.openxmlformats.org/officeDocument/2006/relationships/hyperlink" Target="https://x.com/RebutKedaulat4n/status/2012016885064482946" TargetMode="External"/><Relationship Id="rId2404" Type="http://schemas.openxmlformats.org/officeDocument/2006/relationships/hyperlink" Target="https://www.facebook.com/reel/2117585009069955" TargetMode="External"/><Relationship Id="rId2405" Type="http://schemas.openxmlformats.org/officeDocument/2006/relationships/hyperlink" Target="https://regional.kompas.com/read/2026/01/15/091501778/pt-antam-tepis-isu-orang-terjebak-asap-di-tambang-nanggung-bogor-berasal" TargetMode="External"/><Relationship Id="rId2406" Type="http://schemas.openxmlformats.org/officeDocument/2006/relationships/hyperlink" Target="https://www.facebook.com/reel/879590531146169" TargetMode="External"/><Relationship Id="rId2407" Type="http://schemas.openxmlformats.org/officeDocument/2006/relationships/hyperlink" Target="https://www.tiktok.com/@hamzahali_1978" TargetMode="External"/><Relationship Id="rId2408" Type="http://schemas.openxmlformats.org/officeDocument/2006/relationships/hyperlink" Target="https://x.com/Dee_Rose82/status/2012465950096814505" TargetMode="External"/><Relationship Id="rId2409" Type="http://schemas.openxmlformats.org/officeDocument/2006/relationships/hyperlink" Target="https://x.com/SenopatiDiAnno/status/2012470566989738040" TargetMode="External"/><Relationship Id="rId2400" Type="http://schemas.openxmlformats.org/officeDocument/2006/relationships/hyperlink" Target="https://x.com/pokenpwt567/status/2012016272423469341" TargetMode="External"/><Relationship Id="rId590" Type="http://schemas.openxmlformats.org/officeDocument/2006/relationships/hyperlink" Target="https://www.facebook.com/permalink.php?story_fbid=pfbid012WXVbofZPhENJGgzQ423vSquJddH4q2sqhiHtEDWDdEBmFxjp8VzqR1bWWkffBel&amp;id=61578795429368" TargetMode="External"/><Relationship Id="rId589" Type="http://schemas.openxmlformats.org/officeDocument/2006/relationships/hyperlink" Target="https://www.facebook.com/groups/201448925399919?multi_permalinks=1070533298491473&amp;hoisted_section_header_type=recently_seen" TargetMode="External"/><Relationship Id="rId588" Type="http://schemas.openxmlformats.org/officeDocument/2006/relationships/hyperlink" Target="https://www.facebook.com/west.papua.melanesia.pasific.2025/posts/pfbid03wnVQW1Eh2J5Ffg9GLd17i3xinNWHk4juvVPdgF1GZgoqeERcjH1JGd79zE8QhfVl" TargetMode="External"/><Relationship Id="rId1170" Type="http://schemas.openxmlformats.org/officeDocument/2006/relationships/hyperlink" Target="https://www.facebook.com/share/r/1Ch8HgmRVA/" TargetMode="External"/><Relationship Id="rId1171" Type="http://schemas.openxmlformats.org/officeDocument/2006/relationships/hyperlink" Target="https://www.facebook.com/share/p/1LM8zNDfRf/" TargetMode="External"/><Relationship Id="rId583" Type="http://schemas.openxmlformats.org/officeDocument/2006/relationships/hyperlink" Target="https://www.tiktok.com/@chutnayla/video/7551010299978042680" TargetMode="External"/><Relationship Id="rId1172" Type="http://schemas.openxmlformats.org/officeDocument/2006/relationships/hyperlink" Target="https://www.facebook.com/share/p/1BvemPshRV/" TargetMode="External"/><Relationship Id="rId582" Type="http://schemas.openxmlformats.org/officeDocument/2006/relationships/hyperlink" Target="https://www.tiktok.com/@kangdayon/video/7541649472347065606" TargetMode="External"/><Relationship Id="rId1173" Type="http://schemas.openxmlformats.org/officeDocument/2006/relationships/hyperlink" Target="https://www.facebook.com/share/v/1Aknqm9fJj/" TargetMode="External"/><Relationship Id="rId581" Type="http://schemas.openxmlformats.org/officeDocument/2006/relationships/hyperlink" Target="https://www.tiktok.com/@apisenja_21/video/7550900864299355398" TargetMode="External"/><Relationship Id="rId1174" Type="http://schemas.openxmlformats.org/officeDocument/2006/relationships/hyperlink" Target="https://www.facebook.com/share/p/14NT9wU9AKX/" TargetMode="External"/><Relationship Id="rId580" Type="http://schemas.openxmlformats.org/officeDocument/2006/relationships/hyperlink" Target="https://www.tiktok.com/@santri.gunung0/video/7543247387846823173" TargetMode="External"/><Relationship Id="rId1175" Type="http://schemas.openxmlformats.org/officeDocument/2006/relationships/hyperlink" Target="https://x.com/didiek_murdock/status/1990590880080933335?s=20" TargetMode="External"/><Relationship Id="rId587" Type="http://schemas.openxmlformats.org/officeDocument/2006/relationships/hyperlink" Target="https://www.facebook.com/agus.kossay.916321/posts/pfbid0T6XJzJUGzp1THV1A6k9os44so7zcWaKw2uNuBxBEA6WR6jTBrtVJcJRKPqQKgTwGl" TargetMode="External"/><Relationship Id="rId1176" Type="http://schemas.openxmlformats.org/officeDocument/2006/relationships/hyperlink" Target="https://x.com/Galaxsackti63/status/1990661983834980777?s=20" TargetMode="External"/><Relationship Id="rId586" Type="http://schemas.openxmlformats.org/officeDocument/2006/relationships/hyperlink" Target="https://www.facebook.com/papua.etaikenma.2025/posts/pfbid02zPNky1ksD5PfPgAAbo7YJXGxfYrxz4D5GbLK3PiqHRUWCCkX8JKMkLHXVFxciJ8El" TargetMode="External"/><Relationship Id="rId1177" Type="http://schemas.openxmlformats.org/officeDocument/2006/relationships/hyperlink" Target="https://x.com/LettaSel78823/status/1990669463210111000?s=20" TargetMode="External"/><Relationship Id="rId585" Type="http://schemas.openxmlformats.org/officeDocument/2006/relationships/hyperlink" Target="https://www.facebook.com/watch/?v=1175539801122197" TargetMode="External"/><Relationship Id="rId1178" Type="http://schemas.openxmlformats.org/officeDocument/2006/relationships/hyperlink" Target="https://x.com/PEOPLEOFTHELIE4/status/1990632041520771540?s=20" TargetMode="External"/><Relationship Id="rId584" Type="http://schemas.openxmlformats.org/officeDocument/2006/relationships/hyperlink" Target="https://www.tiktok.com/@muhammadyunusyu94/video/7552046062719028536" TargetMode="External"/><Relationship Id="rId1179" Type="http://schemas.openxmlformats.org/officeDocument/2006/relationships/hyperlink" Target="https://x.com/rexeleration/status/1990739678379598216?s=20" TargetMode="External"/><Relationship Id="rId1169" Type="http://schemas.openxmlformats.org/officeDocument/2006/relationships/hyperlink" Target="https://x.com/JatmikaAj2712/status/1989932520746754437" TargetMode="External"/><Relationship Id="rId579" Type="http://schemas.openxmlformats.org/officeDocument/2006/relationships/hyperlink" Target="https://x.com/JoppieMagai/status/1969881733454778776" TargetMode="External"/><Relationship Id="rId578" Type="http://schemas.openxmlformats.org/officeDocument/2006/relationships/hyperlink" Target="https://x.com/bagindo_kopi/status/1969986879333478875" TargetMode="External"/><Relationship Id="rId577" Type="http://schemas.openxmlformats.org/officeDocument/2006/relationships/hyperlink" Target="https://www.facebook.com/reel/1331816761897222" TargetMode="External"/><Relationship Id="rId2490" Type="http://schemas.openxmlformats.org/officeDocument/2006/relationships/hyperlink" Target="https://www.facebook.com/share/p/14XB8Yr2aAs/" TargetMode="External"/><Relationship Id="rId1160" Type="http://schemas.openxmlformats.org/officeDocument/2006/relationships/hyperlink" Target="https://vt.tiktok.com/ZSf1eJPEX/" TargetMode="External"/><Relationship Id="rId2491" Type="http://schemas.openxmlformats.org/officeDocument/2006/relationships/hyperlink" Target="https://www.facebook.com/share/p/14Sx87gxzsL/" TargetMode="External"/><Relationship Id="rId572" Type="http://schemas.openxmlformats.org/officeDocument/2006/relationships/hyperlink" Target="https://www.tiktok.com/@pecimerah.sangpan/video/7552514275986705672?_r=1&amp;_t=ZS-8zw7ylkMUWD" TargetMode="External"/><Relationship Id="rId1161" Type="http://schemas.openxmlformats.org/officeDocument/2006/relationships/hyperlink" Target="https://vt.tiktok.com/ZSyoydG2Y/" TargetMode="External"/><Relationship Id="rId2492" Type="http://schemas.openxmlformats.org/officeDocument/2006/relationships/hyperlink" Target="https://vt.tiktok.com/ZS5cseou9/" TargetMode="External"/><Relationship Id="rId571" Type="http://schemas.openxmlformats.org/officeDocument/2006/relationships/hyperlink" Target="https://www.tiktok.com/@ray_nha_asiyah/video/7552536788615679243?_r=1&amp;_t=ZS-8zw7NwQSv1c" TargetMode="External"/><Relationship Id="rId1162" Type="http://schemas.openxmlformats.org/officeDocument/2006/relationships/hyperlink" Target="https://x.com/supratmanareaky/status/1990324811525210342?s=20" TargetMode="External"/><Relationship Id="rId2493" Type="http://schemas.openxmlformats.org/officeDocument/2006/relationships/hyperlink" Target="https://vt.tiktok.com/ZS5cshBmw/" TargetMode="External"/><Relationship Id="rId570" Type="http://schemas.openxmlformats.org/officeDocument/2006/relationships/hyperlink" Target="https://www.tiktok.com/@riduan_s77/video/7552766302792863032?_r=1&amp;_t=ZS-8zvtZbFwJ8P" TargetMode="External"/><Relationship Id="rId1163" Type="http://schemas.openxmlformats.org/officeDocument/2006/relationships/hyperlink" Target="https://x.com/OjolNyambi/status/1990337938790756599?s=20" TargetMode="External"/><Relationship Id="rId2494" Type="http://schemas.openxmlformats.org/officeDocument/2006/relationships/hyperlink" Target="https://vt.tiktok.com/ZS5csQX3f/" TargetMode="External"/><Relationship Id="rId1164" Type="http://schemas.openxmlformats.org/officeDocument/2006/relationships/hyperlink" Target="https://x.com/OjolNyambi/status/1990307844135215261?s=20" TargetMode="External"/><Relationship Id="rId2495" Type="http://schemas.openxmlformats.org/officeDocument/2006/relationships/hyperlink" Target="https://vt.tiktok.com/ZS5csXeew/" TargetMode="External"/><Relationship Id="rId576" Type="http://schemas.openxmlformats.org/officeDocument/2006/relationships/hyperlink" Target="https://www.tiktok.com/@m.alfanbaihaqi/video/7552792013452659980" TargetMode="External"/><Relationship Id="rId1165" Type="http://schemas.openxmlformats.org/officeDocument/2006/relationships/hyperlink" Target="https://x.com/akhmadsoderi2/status/1990307819879534808?s=20" TargetMode="External"/><Relationship Id="rId2496" Type="http://schemas.openxmlformats.org/officeDocument/2006/relationships/hyperlink" Target="https://vt.tiktok.com/ZS5csfuv4/" TargetMode="External"/><Relationship Id="rId575" Type="http://schemas.openxmlformats.org/officeDocument/2006/relationships/hyperlink" Target="https://www.tiktok.com/@khardj76/video/7552191100103036172" TargetMode="External"/><Relationship Id="rId1166" Type="http://schemas.openxmlformats.org/officeDocument/2006/relationships/hyperlink" Target="https://x.com/balamvin/status/1990287947535671633" TargetMode="External"/><Relationship Id="rId2497" Type="http://schemas.openxmlformats.org/officeDocument/2006/relationships/hyperlink" Target="https://www.tiktok.com/@arielkeisya/video/7367022505799748869?q=meme%20gibran%20ngantuk&amp;t=1768360895285" TargetMode="External"/><Relationship Id="rId574" Type="http://schemas.openxmlformats.org/officeDocument/2006/relationships/hyperlink" Target="https://x.com/Pecel_Lele5678/status/1970133056297341362" TargetMode="External"/><Relationship Id="rId1167" Type="http://schemas.openxmlformats.org/officeDocument/2006/relationships/hyperlink" Target="https://x.com/KiYang4343/status/1990283034852262080" TargetMode="External"/><Relationship Id="rId2498" Type="http://schemas.openxmlformats.org/officeDocument/2006/relationships/hyperlink" Target="https://www.tiktok.com/@memeow113/video/7363607541764361478?q=meme%20gibran%20ngantuk&amp;t=1768360895285" TargetMode="External"/><Relationship Id="rId573" Type="http://schemas.openxmlformats.org/officeDocument/2006/relationships/hyperlink" Target="https://x.com/EddiSukarj22098/status/1970134568121573822" TargetMode="External"/><Relationship Id="rId1168" Type="http://schemas.openxmlformats.org/officeDocument/2006/relationships/hyperlink" Target="https://x.com/Andrie80079584/status/1990124312771310026" TargetMode="External"/><Relationship Id="rId2499" Type="http://schemas.openxmlformats.org/officeDocument/2006/relationships/hyperlink" Target="https://www.tiktok.com/@m4rs_93/video/7554518978551500088?q=meme%20gibran%20ngantuk&amp;t=1768360895285" TargetMode="External"/><Relationship Id="rId1190" Type="http://schemas.openxmlformats.org/officeDocument/2006/relationships/hyperlink" Target="https://www.facebook.com/photo/?fbid=797685606366851&amp;set=pcb.2054376545330964" TargetMode="External"/><Relationship Id="rId1191" Type="http://schemas.openxmlformats.org/officeDocument/2006/relationships/hyperlink" Target="https://www.facebook.com/photo.php?fbid=1859185158333718&amp;set=a.100918624160389&amp;type=3" TargetMode="External"/><Relationship Id="rId1192" Type="http://schemas.openxmlformats.org/officeDocument/2006/relationships/hyperlink" Target="https://www.facebook.com/reel/1896934270887345" TargetMode="External"/><Relationship Id="rId1193" Type="http://schemas.openxmlformats.org/officeDocument/2006/relationships/hyperlink" Target="https://www.facebook.com/photo.php?fbid=32399412436373580&amp;set=a.152645038143738&amp;type=3" TargetMode="External"/><Relationship Id="rId1194" Type="http://schemas.openxmlformats.org/officeDocument/2006/relationships/hyperlink" Target="https://www.facebook.com/photo.php?fbid=24797204833306472&amp;set=a.128040910649540&amp;type=3" TargetMode="External"/><Relationship Id="rId1195" Type="http://schemas.openxmlformats.org/officeDocument/2006/relationships/hyperlink" Target="https://www.facebook.com/groups/600655398635239/posts/1218477716853001/" TargetMode="External"/><Relationship Id="rId1196" Type="http://schemas.openxmlformats.org/officeDocument/2006/relationships/hyperlink" Target="https://x.com/Baseng1146525/status/1898786032579145748" TargetMode="External"/><Relationship Id="rId1197" Type="http://schemas.openxmlformats.org/officeDocument/2006/relationships/hyperlink" Target="https://x.com/Nagakayu11/status/1911947106786693559" TargetMode="External"/><Relationship Id="rId1198" Type="http://schemas.openxmlformats.org/officeDocument/2006/relationships/hyperlink" Target="https://www.tiktok.com/@jalan.hitam7/video/7573561685701692690" TargetMode="External"/><Relationship Id="rId1199" Type="http://schemas.openxmlformats.org/officeDocument/2006/relationships/hyperlink" Target="https://www.tiktok.com/@rom91681/video/7541029093970595078" TargetMode="External"/><Relationship Id="rId599" Type="http://schemas.openxmlformats.org/officeDocument/2006/relationships/hyperlink" Target="https://vt.tiktok.com/ZSDxhFdmC/" TargetMode="External"/><Relationship Id="rId1180" Type="http://schemas.openxmlformats.org/officeDocument/2006/relationships/hyperlink" Target="https://x.com/Dirgahayu394/status/1990715573320245645" TargetMode="External"/><Relationship Id="rId1181" Type="http://schemas.openxmlformats.org/officeDocument/2006/relationships/hyperlink" Target="https://x.com/jedhot5/status/1990692884526563480" TargetMode="External"/><Relationship Id="rId1182" Type="http://schemas.openxmlformats.org/officeDocument/2006/relationships/hyperlink" Target="https://x.com/jemmy81485936/status/1990607742768459987" TargetMode="External"/><Relationship Id="rId594" Type="http://schemas.openxmlformats.org/officeDocument/2006/relationships/hyperlink" Target="https://www.facebook.com/reel/1110826744058889" TargetMode="External"/><Relationship Id="rId1183" Type="http://schemas.openxmlformats.org/officeDocument/2006/relationships/hyperlink" Target="https://www.facebook.com/share/v/17zr8idboe/" TargetMode="External"/><Relationship Id="rId593" Type="http://schemas.openxmlformats.org/officeDocument/2006/relationships/hyperlink" Target="https://www.facebook.com/reel/1179672414001329" TargetMode="External"/><Relationship Id="rId1184" Type="http://schemas.openxmlformats.org/officeDocument/2006/relationships/hyperlink" Target="https://x.com/fransis74201222/status/1990058224570311017" TargetMode="External"/><Relationship Id="rId592" Type="http://schemas.openxmlformats.org/officeDocument/2006/relationships/hyperlink" Target="https://www.instagram.com/p/DN_m4DdE6UW/" TargetMode="External"/><Relationship Id="rId1185" Type="http://schemas.openxmlformats.org/officeDocument/2006/relationships/hyperlink" Target="https://x.com/mirzafahleviG/status/1990622977269117316" TargetMode="External"/><Relationship Id="rId591" Type="http://schemas.openxmlformats.org/officeDocument/2006/relationships/hyperlink" Target="https://www.instagram.com/p/DN1NJC-5qyh/" TargetMode="External"/><Relationship Id="rId1186" Type="http://schemas.openxmlformats.org/officeDocument/2006/relationships/hyperlink" Target="https://x.com/mirzafahleviG/status/1989601220261286350" TargetMode="External"/><Relationship Id="rId598" Type="http://schemas.openxmlformats.org/officeDocument/2006/relationships/hyperlink" Target="https://vt.tiktok.com/ZSDxhdsau/" TargetMode="External"/><Relationship Id="rId1187" Type="http://schemas.openxmlformats.org/officeDocument/2006/relationships/hyperlink" Target="https://www.facebook.com/groups/523183267134157/posts/824692440316570/" TargetMode="External"/><Relationship Id="rId597" Type="http://schemas.openxmlformats.org/officeDocument/2006/relationships/hyperlink" Target="https://www.tiktok.com/@jackytok7/video/7553071374055509260?_r=1&amp;_t=ZS-8zxEMti947d" TargetMode="External"/><Relationship Id="rId1188" Type="http://schemas.openxmlformats.org/officeDocument/2006/relationships/hyperlink" Target="https://www.facebook.com/groups/523183267134157/posts/813522041433610/" TargetMode="External"/><Relationship Id="rId596" Type="http://schemas.openxmlformats.org/officeDocument/2006/relationships/hyperlink" Target="https://www.tiktok.com/@berisi.tak.bearti/video/7552876011679976722?_r=1&amp;_t=ZS-8zxE1kS8BKC" TargetMode="External"/><Relationship Id="rId1189" Type="http://schemas.openxmlformats.org/officeDocument/2006/relationships/hyperlink" Target="https://www.facebook.com/photo/?fbid=1856196561965911&amp;set=gm.1015554747397252&amp;idorvanity=472499775036088" TargetMode="External"/><Relationship Id="rId595" Type="http://schemas.openxmlformats.org/officeDocument/2006/relationships/hyperlink" Target="https://www.tiktok.com/@yanyanyuana2021/video/7553040311329524999?_r=1&amp;_t=ZS-8zxRhheeZI8" TargetMode="External"/><Relationship Id="rId1136" Type="http://schemas.openxmlformats.org/officeDocument/2006/relationships/hyperlink" Target="https://x.com/PuisiP4hit_/status/1989195822303703491" TargetMode="External"/><Relationship Id="rId2467" Type="http://schemas.openxmlformats.org/officeDocument/2006/relationships/hyperlink" Target="https://www.facebook.com/groups/600655398635239/posts/1252961686737937/" TargetMode="External"/><Relationship Id="rId1137" Type="http://schemas.openxmlformats.org/officeDocument/2006/relationships/hyperlink" Target="https://www.facebook.com/share/p/17icqaD9Am/" TargetMode="External"/><Relationship Id="rId2468" Type="http://schemas.openxmlformats.org/officeDocument/2006/relationships/hyperlink" Target="https://www.facebook.com/aji.kj.1481/posts/pfbid022sANM1yWC3NjWpiL6te2TF8ZEjA2xFGkEsqy9v9PzCjjF2cdURQpJAcaHYnsjuY1l" TargetMode="External"/><Relationship Id="rId1138" Type="http://schemas.openxmlformats.org/officeDocument/2006/relationships/hyperlink" Target="https://www.facebook.com/share/r/1BeyHgw47C/" TargetMode="External"/><Relationship Id="rId2469" Type="http://schemas.openxmlformats.org/officeDocument/2006/relationships/hyperlink" Target="https://www.facebook.com/aji.kj.1481/posts/pfbid0mQDhNWLVVeCroaX8REwxJy8GjMk2eLJNiCESdw53F64V5qFdv2oguFDNrs1DA7knl" TargetMode="External"/><Relationship Id="rId1139" Type="http://schemas.openxmlformats.org/officeDocument/2006/relationships/hyperlink" Target="https://www.facebook.com/share/p/19iAazqKqU/" TargetMode="External"/><Relationship Id="rId547" Type="http://schemas.openxmlformats.org/officeDocument/2006/relationships/hyperlink" Target="https://www.tiktok.com/@wongdeso4739/video/7552184682818047240" TargetMode="External"/><Relationship Id="rId546" Type="http://schemas.openxmlformats.org/officeDocument/2006/relationships/hyperlink" Target="https://www.tiktok.com/@ridwan19457/video/7552105743994899723" TargetMode="External"/><Relationship Id="rId545" Type="http://schemas.openxmlformats.org/officeDocument/2006/relationships/hyperlink" Target="https://www.tiktok.com/@wongalus090/video/7551197847014640901" TargetMode="External"/><Relationship Id="rId544" Type="http://schemas.openxmlformats.org/officeDocument/2006/relationships/hyperlink" Target="https://www.tiktok.com/@santy.norys09/video/7551596374316305720" TargetMode="External"/><Relationship Id="rId549" Type="http://schemas.openxmlformats.org/officeDocument/2006/relationships/hyperlink" Target="https://www.tiktok.com/@negara.konyol/video/7552291081442938168" TargetMode="External"/><Relationship Id="rId548" Type="http://schemas.openxmlformats.org/officeDocument/2006/relationships/hyperlink" Target="https://www.tiktok.com/@bang.feri28/video/7552453146505727243" TargetMode="External"/><Relationship Id="rId2460" Type="http://schemas.openxmlformats.org/officeDocument/2006/relationships/hyperlink" Target="https://vt.tiktok.com/ZS5TXYpWM/" TargetMode="External"/><Relationship Id="rId1130" Type="http://schemas.openxmlformats.org/officeDocument/2006/relationships/hyperlink" Target="https://www.facebook.com/share/r/1M3rt14yMi/" TargetMode="External"/><Relationship Id="rId2461" Type="http://schemas.openxmlformats.org/officeDocument/2006/relationships/hyperlink" Target="https://web.facebook.com/photo/?fbid=26807117282212199&amp;set=a.484721761545110" TargetMode="External"/><Relationship Id="rId1131" Type="http://schemas.openxmlformats.org/officeDocument/2006/relationships/hyperlink" Target="https://x.com/hasni33064/status/1989166277076873548" TargetMode="External"/><Relationship Id="rId2462" Type="http://schemas.openxmlformats.org/officeDocument/2006/relationships/hyperlink" Target="https://web.facebook.com/share/p/14TECmbg4jh/" TargetMode="External"/><Relationship Id="rId543" Type="http://schemas.openxmlformats.org/officeDocument/2006/relationships/hyperlink" Target="https://www.tiktok.com/@hariy11805/video/7551301051358399749" TargetMode="External"/><Relationship Id="rId1132" Type="http://schemas.openxmlformats.org/officeDocument/2006/relationships/hyperlink" Target="https://x.com/Strata388594/status/1989159862589399511" TargetMode="External"/><Relationship Id="rId2463" Type="http://schemas.openxmlformats.org/officeDocument/2006/relationships/hyperlink" Target="https://vt.tiktok.com/ZS5w9JnGh/" TargetMode="External"/><Relationship Id="rId542" Type="http://schemas.openxmlformats.org/officeDocument/2006/relationships/hyperlink" Target="https://www.tiktok.com/@musikku505/video/7552100211036900620" TargetMode="External"/><Relationship Id="rId1133" Type="http://schemas.openxmlformats.org/officeDocument/2006/relationships/hyperlink" Target="https://x.com/VirgoMan333/status/1989153787416854598" TargetMode="External"/><Relationship Id="rId2464" Type="http://schemas.openxmlformats.org/officeDocument/2006/relationships/hyperlink" Target="https://vt.tiktok.com/ZS5wxnSvC/" TargetMode="External"/><Relationship Id="rId541" Type="http://schemas.openxmlformats.org/officeDocument/2006/relationships/hyperlink" Target="https://www.instagram.com/p/DO1TzUijw71/" TargetMode="External"/><Relationship Id="rId1134" Type="http://schemas.openxmlformats.org/officeDocument/2006/relationships/hyperlink" Target="https://x.com/RepublikKecoak_/status/1989151876684890269" TargetMode="External"/><Relationship Id="rId2465" Type="http://schemas.openxmlformats.org/officeDocument/2006/relationships/hyperlink" Target="https://www.facebook.com/photo/?fbid=1416879546766783&amp;set=g.600655398635239" TargetMode="External"/><Relationship Id="rId540" Type="http://schemas.openxmlformats.org/officeDocument/2006/relationships/hyperlink" Target="https://www.tiktok.com/@sekak093/video/7551621908912082194?_r=1&amp;_t=ZS-8zuR7jCRa8D" TargetMode="External"/><Relationship Id="rId1135" Type="http://schemas.openxmlformats.org/officeDocument/2006/relationships/hyperlink" Target="https://x.com/PuisiP4hit_/status/1989184159311679998" TargetMode="External"/><Relationship Id="rId2466" Type="http://schemas.openxmlformats.org/officeDocument/2006/relationships/hyperlink" Target="https://www.facebook.com/groups/600655398635239/posts/1252619003438872/" TargetMode="External"/><Relationship Id="rId1125" Type="http://schemas.openxmlformats.org/officeDocument/2006/relationships/hyperlink" Target="https://www.facebook.com/groups/1490531638038128/permalink/2297152260709391/?rdid=Gg7XKV93CEO26kjC" TargetMode="External"/><Relationship Id="rId2456" Type="http://schemas.openxmlformats.org/officeDocument/2006/relationships/hyperlink" Target="https://www.facebook.com/share/p/1BvkyM6D8o/" TargetMode="External"/><Relationship Id="rId1126" Type="http://schemas.openxmlformats.org/officeDocument/2006/relationships/hyperlink" Target="https://www.facebook.com/story.php?story_fbid=1372587204499163&amp;id=100052436900085&amp;post_id=100052436900085_1372587204499163&amp;rdid=rhGKMmgKT2GvUPOW" TargetMode="External"/><Relationship Id="rId2457" Type="http://schemas.openxmlformats.org/officeDocument/2006/relationships/hyperlink" Target="https://www.facebook.com/share/p/16TWNqxH4b/" TargetMode="External"/><Relationship Id="rId1127" Type="http://schemas.openxmlformats.org/officeDocument/2006/relationships/hyperlink" Target="https://www.facebook.com/watch/?v=1510895767026188" TargetMode="External"/><Relationship Id="rId2458" Type="http://schemas.openxmlformats.org/officeDocument/2006/relationships/hyperlink" Target="https://www.facebook.com/share/p/1AGS9UkCDy/" TargetMode="External"/><Relationship Id="rId1128" Type="http://schemas.openxmlformats.org/officeDocument/2006/relationships/hyperlink" Target="https://www.facebook.com/watch/?v=1347034406547011" TargetMode="External"/><Relationship Id="rId2459" Type="http://schemas.openxmlformats.org/officeDocument/2006/relationships/hyperlink" Target="https://vt.tiktok.com/ZS5TCNBAV/" TargetMode="External"/><Relationship Id="rId1129" Type="http://schemas.openxmlformats.org/officeDocument/2006/relationships/hyperlink" Target="https://www.facebook.com/share/p/17Xr8tX34d/" TargetMode="External"/><Relationship Id="rId536" Type="http://schemas.openxmlformats.org/officeDocument/2006/relationships/hyperlink" Target="https://www.tiktok.com/@abahkeling75/video/7551987935592172801?_r=1&amp;_t=ZS-8zu6zkxNl7Y" TargetMode="External"/><Relationship Id="rId535" Type="http://schemas.openxmlformats.org/officeDocument/2006/relationships/hyperlink" Target="https://x.com/putrisakera/status/1969329819448963353" TargetMode="External"/><Relationship Id="rId534" Type="http://schemas.openxmlformats.org/officeDocument/2006/relationships/hyperlink" Target="https://x.com/Panji_hitam_313/status/1969710957854404640" TargetMode="External"/><Relationship Id="rId533" Type="http://schemas.openxmlformats.org/officeDocument/2006/relationships/hyperlink" Target="https://x.com/NenkMonica/status/1969706531919978615" TargetMode="External"/><Relationship Id="rId539" Type="http://schemas.openxmlformats.org/officeDocument/2006/relationships/hyperlink" Target="https://www.tiktok.com/@papua.negeri.ku?_t=ZS-8zu7UBcsAhp&amp;_r=1" TargetMode="External"/><Relationship Id="rId538" Type="http://schemas.openxmlformats.org/officeDocument/2006/relationships/hyperlink" Target="https://www.tiktok.com/@sumatraselatanmerdeka?_t=ZS-8zu7RR35sHt&amp;_r=1" TargetMode="External"/><Relationship Id="rId537" Type="http://schemas.openxmlformats.org/officeDocument/2006/relationships/hyperlink" Target="https://www.tiktok.com/@hartaro00/video/7552061831771163922?_r=1&amp;_t=ZS-8zu76pWluXC" TargetMode="External"/><Relationship Id="rId2450" Type="http://schemas.openxmlformats.org/officeDocument/2006/relationships/hyperlink" Target="https://www.facebook.com/arnima.pekanbaru/posts/pfbid0nJy8hdWjjZazGu99gENGaosj1KHMUen6ARnzHginLwexothkpujbtHJWbXsNvhE3l" TargetMode="External"/><Relationship Id="rId1120" Type="http://schemas.openxmlformats.org/officeDocument/2006/relationships/hyperlink" Target="https://www.facebook.com/story.php?story_fbid=1208360294692363&amp;id=100065552113945&amp;rdid=i0hJn32ZPkvKUFjB" TargetMode="External"/><Relationship Id="rId2451" Type="http://schemas.openxmlformats.org/officeDocument/2006/relationships/hyperlink" Target="https://www.facebook.com/om.d.aja/posts/pfbid02tdUbvZWDujMZBHXJ6LjySYF4hxDotsgH6A6rjYsB8tw8cea1YHboMQtxJ9avzfbVl" TargetMode="External"/><Relationship Id="rId532" Type="http://schemas.openxmlformats.org/officeDocument/2006/relationships/hyperlink" Target="https://www.tiktok.com/@ekalastri1404/video/7552366707772312849" TargetMode="External"/><Relationship Id="rId1121" Type="http://schemas.openxmlformats.org/officeDocument/2006/relationships/hyperlink" Target="https://www.facebook.com/reel/739572908393553" TargetMode="External"/><Relationship Id="rId2452" Type="http://schemas.openxmlformats.org/officeDocument/2006/relationships/hyperlink" Target="https://www.facebook.com/share/r/1CugpXEF59/" TargetMode="External"/><Relationship Id="rId531" Type="http://schemas.openxmlformats.org/officeDocument/2006/relationships/hyperlink" Target="https://web.facebook.com/djatisahara/videos/4160134190919516" TargetMode="External"/><Relationship Id="rId1122" Type="http://schemas.openxmlformats.org/officeDocument/2006/relationships/hyperlink" Target="https://www.facebook.com/reel/820203744131049" TargetMode="External"/><Relationship Id="rId2453" Type="http://schemas.openxmlformats.org/officeDocument/2006/relationships/hyperlink" Target="https://www.facebook.com/share/v/16j2zhVm3K/" TargetMode="External"/><Relationship Id="rId530" Type="http://schemas.openxmlformats.org/officeDocument/2006/relationships/hyperlink" Target="https://x.com/Anak__Ogi/status/1969611619157361130" TargetMode="External"/><Relationship Id="rId1123" Type="http://schemas.openxmlformats.org/officeDocument/2006/relationships/hyperlink" Target="https://www.facebook.com/groups/276774466702481/permalink/1525246738521908/?rdid=iryg1OZDOgJWUKhW" TargetMode="External"/><Relationship Id="rId2454" Type="http://schemas.openxmlformats.org/officeDocument/2006/relationships/hyperlink" Target="https://www.facebook.com/share/r/1AWzauK3vM/" TargetMode="External"/><Relationship Id="rId1124" Type="http://schemas.openxmlformats.org/officeDocument/2006/relationships/hyperlink" Target="https://www.facebook.com/reel/847193124630774" TargetMode="External"/><Relationship Id="rId2455" Type="http://schemas.openxmlformats.org/officeDocument/2006/relationships/hyperlink" Target="https://www.facebook.com/share/p/1KCNn521VX/" TargetMode="External"/><Relationship Id="rId1158" Type="http://schemas.openxmlformats.org/officeDocument/2006/relationships/hyperlink" Target="https://vt.tiktok.com/ZSyoUuKVu/" TargetMode="External"/><Relationship Id="rId2489" Type="http://schemas.openxmlformats.org/officeDocument/2006/relationships/hyperlink" Target="https://x.com/Strata388594/status/2010519384285126688" TargetMode="External"/><Relationship Id="rId1159" Type="http://schemas.openxmlformats.org/officeDocument/2006/relationships/hyperlink" Target="https://vt.tiktok.com/ZSyoUCnEX/" TargetMode="External"/><Relationship Id="rId569" Type="http://schemas.openxmlformats.org/officeDocument/2006/relationships/hyperlink" Target="https://www.tiktok.com/@rakyat.jelata938/video/7552732591451950354?_r=1&amp;_t=ZS-8zvtG0L2lVN" TargetMode="External"/><Relationship Id="rId568" Type="http://schemas.openxmlformats.org/officeDocument/2006/relationships/hyperlink" Target="https://www.tiktok.com/@jack.tfm.shn/video/7551695381780778247?_r=1&amp;_t=ZS-8zvt6RVpfd3" TargetMode="External"/><Relationship Id="rId567" Type="http://schemas.openxmlformats.org/officeDocument/2006/relationships/hyperlink" Target="https://vt.tiktok.com/ZSDHMXrnK/" TargetMode="External"/><Relationship Id="rId566" Type="http://schemas.openxmlformats.org/officeDocument/2006/relationships/hyperlink" Target="https://www.tiktok.com/@faktakalbar.id/video/7525427321692523782?_r=1&amp;_t=ZS-8zvsfob5zCH" TargetMode="External"/><Relationship Id="rId2480" Type="http://schemas.openxmlformats.org/officeDocument/2006/relationships/hyperlink" Target="https://www.facebook.com/reel/1403374597831143" TargetMode="External"/><Relationship Id="rId561" Type="http://schemas.openxmlformats.org/officeDocument/2006/relationships/hyperlink" Target="https://www.facebook.com/reel/1873802276521324" TargetMode="External"/><Relationship Id="rId1150" Type="http://schemas.openxmlformats.org/officeDocument/2006/relationships/hyperlink" Target="https://vt.tiktok.com/ZSyKJXLuC/" TargetMode="External"/><Relationship Id="rId2481" Type="http://schemas.openxmlformats.org/officeDocument/2006/relationships/hyperlink" Target="https://www.facebook.com/reel/2676066502728997" TargetMode="External"/><Relationship Id="rId560" Type="http://schemas.openxmlformats.org/officeDocument/2006/relationships/hyperlink" Target="https://www.facebook.com/reel/1263619751973787" TargetMode="External"/><Relationship Id="rId1151" Type="http://schemas.openxmlformats.org/officeDocument/2006/relationships/hyperlink" Target="https://vt.tiktok.com/ZSyKJmkeu/" TargetMode="External"/><Relationship Id="rId2482" Type="http://schemas.openxmlformats.org/officeDocument/2006/relationships/hyperlink" Target="https://turnbackhoax.id/articles/31633" TargetMode="External"/><Relationship Id="rId1152" Type="http://schemas.openxmlformats.org/officeDocument/2006/relationships/hyperlink" Target="https://www.facebook.com/share/p/1ASPohALY7/" TargetMode="External"/><Relationship Id="rId2483" Type="http://schemas.openxmlformats.org/officeDocument/2006/relationships/hyperlink" Target="https://www.tiktok.com/@buyawoyla/video/7594889927821823240" TargetMode="External"/><Relationship Id="rId1153" Type="http://schemas.openxmlformats.org/officeDocument/2006/relationships/hyperlink" Target="https://www.facebook.com/share/p/1DFj9SarPP/" TargetMode="External"/><Relationship Id="rId2484" Type="http://schemas.openxmlformats.org/officeDocument/2006/relationships/hyperlink" Target="https://x.com/PEOPLEOFTHELIE4/status/2011275936591987201" TargetMode="External"/><Relationship Id="rId565" Type="http://schemas.openxmlformats.org/officeDocument/2006/relationships/hyperlink" Target="https://www.tiktok.com/@wwwalexander76/photo/7549553283157806392?_r=1&amp;_t=ZS-8zuS4k0VEyC" TargetMode="External"/><Relationship Id="rId1154" Type="http://schemas.openxmlformats.org/officeDocument/2006/relationships/hyperlink" Target="https://www.facebook.com/share/r/1CyLfzLxoX/" TargetMode="External"/><Relationship Id="rId2485" Type="http://schemas.openxmlformats.org/officeDocument/2006/relationships/hyperlink" Target="https://x.com/RoemahDjoeang45/status/2011268169747591511" TargetMode="External"/><Relationship Id="rId564" Type="http://schemas.openxmlformats.org/officeDocument/2006/relationships/hyperlink" Target="https://www.tiktok.com/@mcbc008/video/7548381171617598725?_r=1&amp;_t=ZS-8zuRyUsSZY8" TargetMode="External"/><Relationship Id="rId1155" Type="http://schemas.openxmlformats.org/officeDocument/2006/relationships/hyperlink" Target="https://www.facebook.com/share/p/1BR9MACRHv/" TargetMode="External"/><Relationship Id="rId2486" Type="http://schemas.openxmlformats.org/officeDocument/2006/relationships/hyperlink" Target="https://x.com/RoemahDjoeang45/status/2011267758789628211" TargetMode="External"/><Relationship Id="rId563" Type="http://schemas.openxmlformats.org/officeDocument/2006/relationships/hyperlink" Target="https://www.facebook.com/share/r/17RzopcRg4/" TargetMode="External"/><Relationship Id="rId1156" Type="http://schemas.openxmlformats.org/officeDocument/2006/relationships/hyperlink" Target="https://www.facebook.com/share/v/1BqH7zJCSM/" TargetMode="External"/><Relationship Id="rId2487" Type="http://schemas.openxmlformats.org/officeDocument/2006/relationships/hyperlink" Target="https://x.com/PEOPLEOFTHELIE4/status/2011097311284535630" TargetMode="External"/><Relationship Id="rId562" Type="http://schemas.openxmlformats.org/officeDocument/2006/relationships/hyperlink" Target="https://www.facebook.com/share/p/1BdLivFXQd/" TargetMode="External"/><Relationship Id="rId1157" Type="http://schemas.openxmlformats.org/officeDocument/2006/relationships/hyperlink" Target="https://vt.tiktok.com/ZSyoUbgr3/" TargetMode="External"/><Relationship Id="rId2488" Type="http://schemas.openxmlformats.org/officeDocument/2006/relationships/hyperlink" Target="https://x.com/van88xier/status/2010590003240612200" TargetMode="External"/><Relationship Id="rId1147" Type="http://schemas.openxmlformats.org/officeDocument/2006/relationships/hyperlink" Target="https://vt.tiktok.com/ZSyK1wF6R/" TargetMode="External"/><Relationship Id="rId2478" Type="http://schemas.openxmlformats.org/officeDocument/2006/relationships/hyperlink" Target="https://www.facebook.com/groups/1010933189941887/?multi_permalinks=1147791346256070&amp;hoisted_section_header_type=recently_seen" TargetMode="External"/><Relationship Id="rId1148" Type="http://schemas.openxmlformats.org/officeDocument/2006/relationships/hyperlink" Target="https://vt.tiktok.com/ZSyKJAV7a/" TargetMode="External"/><Relationship Id="rId2479" Type="http://schemas.openxmlformats.org/officeDocument/2006/relationships/hyperlink" Target="https://www.facebook.com/groups/1010933189941887/?multi_permalinks=1148630886172116&amp;hoisted_section_header_type=recently_seen" TargetMode="External"/><Relationship Id="rId1149" Type="http://schemas.openxmlformats.org/officeDocument/2006/relationships/hyperlink" Target="https://vt.tiktok.com/ZSyKJyrqL/" TargetMode="External"/><Relationship Id="rId558" Type="http://schemas.openxmlformats.org/officeDocument/2006/relationships/hyperlink" Target="https://www.instagram.com/p/DOALrN3kjGO/" TargetMode="External"/><Relationship Id="rId557" Type="http://schemas.openxmlformats.org/officeDocument/2006/relationships/hyperlink" Target="https://www.facebook.com/groups/221580229175240/posts/1484666229533294/" TargetMode="External"/><Relationship Id="rId556" Type="http://schemas.openxmlformats.org/officeDocument/2006/relationships/hyperlink" Target="https://www.facebook.com/groups/221580229175240/posts/1485858626080721/" TargetMode="External"/><Relationship Id="rId555" Type="http://schemas.openxmlformats.org/officeDocument/2006/relationships/hyperlink" Target="https://www.facebook.com/groups/221580229175240/posts/1485946766071907/" TargetMode="External"/><Relationship Id="rId559" Type="http://schemas.openxmlformats.org/officeDocument/2006/relationships/hyperlink" Target="https://www.instagram.com/p/DOAj4tyicxa/" TargetMode="External"/><Relationship Id="rId550" Type="http://schemas.openxmlformats.org/officeDocument/2006/relationships/hyperlink" Target="https://www.tiktok.com/@awal.lagi2/video/7552513489021979960" TargetMode="External"/><Relationship Id="rId2470" Type="http://schemas.openxmlformats.org/officeDocument/2006/relationships/hyperlink" Target="https://www.facebook.com/aji.kj.1481/posts/pfbid0jXSpfQyrznKvjj2u4sYmeabtFqdV8scf8uPNQCo7qF7zdj1iknNS7Qaf8JvxzsFul" TargetMode="External"/><Relationship Id="rId1140" Type="http://schemas.openxmlformats.org/officeDocument/2006/relationships/hyperlink" Target="https://www.facebook.com/share/p/1Cxd5ViqrU/" TargetMode="External"/><Relationship Id="rId2471" Type="http://schemas.openxmlformats.org/officeDocument/2006/relationships/hyperlink" Target="https://www.facebook.com/aji.kj.1481/posts/pfbid0PvMGuEgSp4JGm4pEXdi3Q5398NY2SaPctqr5ekwLddrao2VwE81KyEnWCeUcAA6Wl" TargetMode="External"/><Relationship Id="rId1141" Type="http://schemas.openxmlformats.org/officeDocument/2006/relationships/hyperlink" Target="https://www.facebook.com/share/p/1BTDuFmfba/" TargetMode="External"/><Relationship Id="rId2472" Type="http://schemas.openxmlformats.org/officeDocument/2006/relationships/hyperlink" Target="https://www.facebook.com/aji.kj.1481/posts/pfbid02WteQ1XT43bMyHjeD32GVG7LVSZfc5X4dYAP2b84EQ72HQF2vrukxZ2ByM5dSqLctl" TargetMode="External"/><Relationship Id="rId1142" Type="http://schemas.openxmlformats.org/officeDocument/2006/relationships/hyperlink" Target="https://x.com/RON1N3535/status/1989330059782476128?s=20" TargetMode="External"/><Relationship Id="rId2473" Type="http://schemas.openxmlformats.org/officeDocument/2006/relationships/hyperlink" Target="https://www.facebook.com/groups/9767428643312271/posts/25384713454490538/" TargetMode="External"/><Relationship Id="rId554" Type="http://schemas.openxmlformats.org/officeDocument/2006/relationships/hyperlink" Target="https://www.facebook.com/groups/221580229175240/posts/1486227966043787/" TargetMode="External"/><Relationship Id="rId1143" Type="http://schemas.openxmlformats.org/officeDocument/2006/relationships/hyperlink" Target="https://www.tiktok.com/@hady_262/video/7571968262053825810" TargetMode="External"/><Relationship Id="rId2474" Type="http://schemas.openxmlformats.org/officeDocument/2006/relationships/hyperlink" Target="https://www.facebook.com/groups/9767428643312271/posts/25369361006025783/" TargetMode="External"/><Relationship Id="rId553" Type="http://schemas.openxmlformats.org/officeDocument/2006/relationships/hyperlink" Target="https://www.facebook.com/groups/221580229175240/posts/1485938342739416/" TargetMode="External"/><Relationship Id="rId1144" Type="http://schemas.openxmlformats.org/officeDocument/2006/relationships/hyperlink" Target="https://www.tiktok.com/@nazarethislam/video/7572770360853286152" TargetMode="External"/><Relationship Id="rId2475" Type="http://schemas.openxmlformats.org/officeDocument/2006/relationships/hyperlink" Target="https://www.facebook.com/reel/737347499023839" TargetMode="External"/><Relationship Id="rId552" Type="http://schemas.openxmlformats.org/officeDocument/2006/relationships/hyperlink" Target="https://www.facebook.com/abdul.basit.7126/posts/pfbid02axN7unCJjjwvsLfDibcU2iKRZVe9hDsxU3XcMkjwYSrEJPJmAfmrQmE6xQjuGWZLl" TargetMode="External"/><Relationship Id="rId1145" Type="http://schemas.openxmlformats.org/officeDocument/2006/relationships/hyperlink" Target="https://www.tiktok.com/@kangsaprud/video/7571090934218181906" TargetMode="External"/><Relationship Id="rId2476" Type="http://schemas.openxmlformats.org/officeDocument/2006/relationships/hyperlink" Target="https://www.facebook.com/groups/meikolektif/posts/1985686975540746/" TargetMode="External"/><Relationship Id="rId551" Type="http://schemas.openxmlformats.org/officeDocument/2006/relationships/hyperlink" Target="https://x.com/JokowiP3n1pu/status/1969575394732097757" TargetMode="External"/><Relationship Id="rId1146" Type="http://schemas.openxmlformats.org/officeDocument/2006/relationships/hyperlink" Target="https://www.tiktok.com/@arumkituyo/video/7572388007785794823" TargetMode="External"/><Relationship Id="rId2477" Type="http://schemas.openxmlformats.org/officeDocument/2006/relationships/hyperlink" Target="https://x.com/DhonieJoe/status/2006281784603156567" TargetMode="External"/><Relationship Id="rId495" Type="http://schemas.openxmlformats.org/officeDocument/2006/relationships/hyperlink" Target="https://www.facebook.com/reel/1128864438713878" TargetMode="External"/><Relationship Id="rId494" Type="http://schemas.openxmlformats.org/officeDocument/2006/relationships/hyperlink" Target="https://www.facebook.com/reel/1467288361253766" TargetMode="External"/><Relationship Id="rId493" Type="http://schemas.openxmlformats.org/officeDocument/2006/relationships/hyperlink" Target="https://www.facebook.com/groups/1392429151628587/posts/1858793701658794" TargetMode="External"/><Relationship Id="rId492" Type="http://schemas.openxmlformats.org/officeDocument/2006/relationships/hyperlink" Target="https://www.facebook.com/nur.cahayaibrahimy/posts/pfbid02NDE2S4qKcs3s2j3djiqy1F4DyQuhvEUT19VMkJKqs1TMEujU8zATbH6GHCGhSfkRl" TargetMode="External"/><Relationship Id="rId499" Type="http://schemas.openxmlformats.org/officeDocument/2006/relationships/hyperlink" Target="https://www.facebook.com/reel/1665767320763674" TargetMode="External"/><Relationship Id="rId498" Type="http://schemas.openxmlformats.org/officeDocument/2006/relationships/hyperlink" Target="https://www.facebook.com/reel/1854693518797261" TargetMode="External"/><Relationship Id="rId497" Type="http://schemas.openxmlformats.org/officeDocument/2006/relationships/hyperlink" Target="https://www.facebook.com/reel/1827451297889277" TargetMode="External"/><Relationship Id="rId496" Type="http://schemas.openxmlformats.org/officeDocument/2006/relationships/hyperlink" Target="https://www.facebook.com/reel/740913078830521" TargetMode="External"/><Relationship Id="rId1213" Type="http://schemas.openxmlformats.org/officeDocument/2006/relationships/hyperlink" Target="https://www.facebook.com/groups/734515222685845/posts/816421991161834/" TargetMode="External"/><Relationship Id="rId2544" Type="http://schemas.openxmlformats.org/officeDocument/2006/relationships/hyperlink" Target="https://www.facebook.com/groups/416141525935651/?multi_permalinks=1852685618947894&amp;hoisted_section_header_type=recently_seen" TargetMode="External"/><Relationship Id="rId1214" Type="http://schemas.openxmlformats.org/officeDocument/2006/relationships/hyperlink" Target="https://www.facebook.com/groups/734515222685845/posts/816373097833390/" TargetMode="External"/><Relationship Id="rId2545" Type="http://schemas.openxmlformats.org/officeDocument/2006/relationships/hyperlink" Target="https://www.facebook.com/groups/416141525935651/?multi_permalinks=1821552542061202&amp;hoisted_section_header_type=recently_seen" TargetMode="External"/><Relationship Id="rId1215" Type="http://schemas.openxmlformats.org/officeDocument/2006/relationships/hyperlink" Target="https://www.facebook.com/groups/2378433292339269/posts/3076545945861330/" TargetMode="External"/><Relationship Id="rId2546" Type="http://schemas.openxmlformats.org/officeDocument/2006/relationships/hyperlink" Target="https://www.facebook.com/groups/416141525935651/?multi_permalinks=1828164968066626&amp;hoisted_section_header_type=recently_seen" TargetMode="External"/><Relationship Id="rId1216" Type="http://schemas.openxmlformats.org/officeDocument/2006/relationships/hyperlink" Target="https://www.facebook.com/groups/2378433292339269/posts/3070925276423397/" TargetMode="External"/><Relationship Id="rId2547" Type="http://schemas.openxmlformats.org/officeDocument/2006/relationships/hyperlink" Target="https://www.facebook.com/groups/416141525935651/?multi_permalinks=1848017796081343&amp;hoisted_section_header_type=recently_seen" TargetMode="External"/><Relationship Id="rId1217" Type="http://schemas.openxmlformats.org/officeDocument/2006/relationships/hyperlink" Target="https://www.facebook.com/groups/2378433292339269/posts/3070920273090564/" TargetMode="External"/><Relationship Id="rId2548" Type="http://schemas.openxmlformats.org/officeDocument/2006/relationships/hyperlink" Target="https://www.facebook.com/groups/416141525935651/?multi_permalinks=1847370736146049&amp;hoisted_section_header_type=recently_seen" TargetMode="External"/><Relationship Id="rId1218" Type="http://schemas.openxmlformats.org/officeDocument/2006/relationships/hyperlink" Target="https://www.facebook.com/groups/2378433292339269/posts/3070391146476810/" TargetMode="External"/><Relationship Id="rId2549" Type="http://schemas.openxmlformats.org/officeDocument/2006/relationships/hyperlink" Target="https://x.com/devprinceps/status/2006976269146272131" TargetMode="External"/><Relationship Id="rId1219" Type="http://schemas.openxmlformats.org/officeDocument/2006/relationships/hyperlink" Target="https://www.facebook.com/groups/2378433292339269/posts/3064089803773611/" TargetMode="External"/><Relationship Id="rId2540" Type="http://schemas.openxmlformats.org/officeDocument/2006/relationships/hyperlink" Target="https://www.facebook.com/reel/1811536512787700" TargetMode="External"/><Relationship Id="rId1210" Type="http://schemas.openxmlformats.org/officeDocument/2006/relationships/hyperlink" Target="https://www.facebook.com/eki.suprianto.3/photos/mantap-ga-tuh-ahli-gizi-aja-dri-india-berarti-di-indonesia-nih-orangnya-ga-bisa-/25766464046275249/" TargetMode="External"/><Relationship Id="rId2541" Type="http://schemas.openxmlformats.org/officeDocument/2006/relationships/hyperlink" Target="https://www.facebook.com/groups/324646180513763/?multi_permalinks=933130482998660&amp;hoisted_section_header_type=recently_seen" TargetMode="External"/><Relationship Id="rId1211" Type="http://schemas.openxmlformats.org/officeDocument/2006/relationships/hyperlink" Target="https://www.facebook.com/reel/1344433620617492" TargetMode="External"/><Relationship Id="rId2542" Type="http://schemas.openxmlformats.org/officeDocument/2006/relationships/hyperlink" Target="https://www.facebook.com/reel/839883595364566" TargetMode="External"/><Relationship Id="rId1212" Type="http://schemas.openxmlformats.org/officeDocument/2006/relationships/hyperlink" Target="https://www.facebook.com/groups/734515222685845/posts/816432141160819/" TargetMode="External"/><Relationship Id="rId2543" Type="http://schemas.openxmlformats.org/officeDocument/2006/relationships/hyperlink" Target="https://www.facebook.com/reel/1943189663111756" TargetMode="External"/><Relationship Id="rId1202" Type="http://schemas.openxmlformats.org/officeDocument/2006/relationships/hyperlink" Target="https://www.tiktok.com/@moch.asyieq/video/7553061420947098892" TargetMode="External"/><Relationship Id="rId2533" Type="http://schemas.openxmlformats.org/officeDocument/2006/relationships/hyperlink" Target="https://www.facebook.com/share/p/1Fv7as3nBa/" TargetMode="External"/><Relationship Id="rId1203" Type="http://schemas.openxmlformats.org/officeDocument/2006/relationships/hyperlink" Target="https://www.tiktok.com/@shoheh53/video/7567566728302120199" TargetMode="External"/><Relationship Id="rId2534" Type="http://schemas.openxmlformats.org/officeDocument/2006/relationships/hyperlink" Target="https://www.facebook.com/share/p/1HUkDsw6pU/" TargetMode="External"/><Relationship Id="rId1204" Type="http://schemas.openxmlformats.org/officeDocument/2006/relationships/hyperlink" Target="https://vt.tiktok.com/ZSfNf1Mqh/" TargetMode="External"/><Relationship Id="rId2535" Type="http://schemas.openxmlformats.org/officeDocument/2006/relationships/hyperlink" Target="https://www.facebook.com/share/p/1817yLNzYq/" TargetMode="External"/><Relationship Id="rId1205" Type="http://schemas.openxmlformats.org/officeDocument/2006/relationships/hyperlink" Target="https://vt.tiktok.com/ZSfNfjTh6/" TargetMode="External"/><Relationship Id="rId2536" Type="http://schemas.openxmlformats.org/officeDocument/2006/relationships/hyperlink" Target="https://www.facebook.com/share/p/17kw9G3Woy/" TargetMode="External"/><Relationship Id="rId1206" Type="http://schemas.openxmlformats.org/officeDocument/2006/relationships/hyperlink" Target="https://vt.tiktok.com/ZSfNfNVqK/" TargetMode="External"/><Relationship Id="rId2537" Type="http://schemas.openxmlformats.org/officeDocument/2006/relationships/hyperlink" Target="https://x.com/fransis74201222/status/2009807304854823271" TargetMode="External"/><Relationship Id="rId1207" Type="http://schemas.openxmlformats.org/officeDocument/2006/relationships/hyperlink" Target="https://vt.tiktok.com/ZSfNfL3gR/" TargetMode="External"/><Relationship Id="rId2538" Type="http://schemas.openxmlformats.org/officeDocument/2006/relationships/hyperlink" Target="https://x.com/fransis74201222/status/2010632612189176228" TargetMode="External"/><Relationship Id="rId1208" Type="http://schemas.openxmlformats.org/officeDocument/2006/relationships/hyperlink" Target="https://vt.tiktok.com/ZSfNfba63/" TargetMode="External"/><Relationship Id="rId2539" Type="http://schemas.openxmlformats.org/officeDocument/2006/relationships/hyperlink" Target="https://www.facebook.com/groups/3065799250328878/?multi_permalinks=4258718524370272&amp;hoisted_section_header_type=recently_seen" TargetMode="External"/><Relationship Id="rId1209" Type="http://schemas.openxmlformats.org/officeDocument/2006/relationships/hyperlink" Target="https://www.facebook.com/photo/?fbid=24982614934736105&amp;set=a.831566043600998" TargetMode="External"/><Relationship Id="rId2530" Type="http://schemas.openxmlformats.org/officeDocument/2006/relationships/hyperlink" Target="https://vt.tiktok.com/ZS5GSsUVG/" TargetMode="External"/><Relationship Id="rId1200" Type="http://schemas.openxmlformats.org/officeDocument/2006/relationships/hyperlink" Target="https://www.facebook.com/share/r/1CoQBiBMBn/" TargetMode="External"/><Relationship Id="rId2531" Type="http://schemas.openxmlformats.org/officeDocument/2006/relationships/hyperlink" Target="https://vt.tiktok.com/ZS5GA2NaH/" TargetMode="External"/><Relationship Id="rId1201" Type="http://schemas.openxmlformats.org/officeDocument/2006/relationships/hyperlink" Target="https://www.facebook.com/share/r/17SAtD6NRh/" TargetMode="External"/><Relationship Id="rId2532" Type="http://schemas.openxmlformats.org/officeDocument/2006/relationships/hyperlink" Target="https://www.facebook.com/share/r/17xYcY6BwP/" TargetMode="External"/><Relationship Id="rId1235" Type="http://schemas.openxmlformats.org/officeDocument/2006/relationships/hyperlink" Target="https://www.facebook.com/groups/1695525427952688/permalink/2120401268798433/?rdid=k2JWNBy669qX7hiN" TargetMode="External"/><Relationship Id="rId2566" Type="http://schemas.openxmlformats.org/officeDocument/2006/relationships/hyperlink" Target="https://vt.tiktok.com/ZS5gS1sB7/" TargetMode="External"/><Relationship Id="rId1236" Type="http://schemas.openxmlformats.org/officeDocument/2006/relationships/hyperlink" Target="https://www.facebook.com/reel/1508692983700152" TargetMode="External"/><Relationship Id="rId2567" Type="http://schemas.openxmlformats.org/officeDocument/2006/relationships/hyperlink" Target="https://www.facebook.com/berbagaidanabantuanprab0w0" TargetMode="External"/><Relationship Id="rId1237" Type="http://schemas.openxmlformats.org/officeDocument/2006/relationships/hyperlink" Target="https://www.facebook.com/reel/3375223822631667" TargetMode="External"/><Relationship Id="rId2568" Type="http://schemas.openxmlformats.org/officeDocument/2006/relationships/hyperlink" Target="https://www.facebook.com/reel/732053996253602" TargetMode="External"/><Relationship Id="rId1238" Type="http://schemas.openxmlformats.org/officeDocument/2006/relationships/hyperlink" Target="https://www.facebook.com/story.php?story_fbid=122149915994722556&amp;id=61571676690760&amp;rdid=rsEezv1zAwK5By3E" TargetMode="External"/><Relationship Id="rId2569" Type="http://schemas.openxmlformats.org/officeDocument/2006/relationships/hyperlink" Target="https://www.facebook.com/profile.php?id=61586153737758" TargetMode="External"/><Relationship Id="rId1239" Type="http://schemas.openxmlformats.org/officeDocument/2006/relationships/hyperlink" Target="https://www.facebook.com/story.php?story_fbid=10230766536934473&amp;id=1456565538&amp;rdid=7N839e9kXXEPqRro" TargetMode="External"/><Relationship Id="rId409" Type="http://schemas.openxmlformats.org/officeDocument/2006/relationships/hyperlink" Target="https://www.facebook.com/cokkresna.pudak/posts/pfbid0hu8V7o5b7vj8bHHaUg8MomgVjp2jaJxH8Y3AQ2WhwGSgePzTXyKP7ENBCs8f4Vh1l?rdid=3vCh1LdS48KrcbBb" TargetMode="External"/><Relationship Id="rId404" Type="http://schemas.openxmlformats.org/officeDocument/2006/relationships/hyperlink" Target="https://x.com/wasleee/status/1966499550551576700" TargetMode="External"/><Relationship Id="rId403" Type="http://schemas.openxmlformats.org/officeDocument/2006/relationships/hyperlink" Target="https://x.com/JoppieMagai/status/1966446570783539404" TargetMode="External"/><Relationship Id="rId402" Type="http://schemas.openxmlformats.org/officeDocument/2006/relationships/hyperlink" Target="https://x.com/mat_teleng/status/1966501905909350544" TargetMode="External"/><Relationship Id="rId401" Type="http://schemas.openxmlformats.org/officeDocument/2006/relationships/hyperlink" Target="https://x.com/inisky_001/status/1966338194263388522" TargetMode="External"/><Relationship Id="rId408" Type="http://schemas.openxmlformats.org/officeDocument/2006/relationships/hyperlink" Target="https://www.facebook.com/juni.hutabarat/posts/pfbid02sV1TZPRNvq5BY8JzGHGJkndyeEKqKSTN4JVXcgd9J2pBQn5r7M5QYNp4VLPgvYi1l?rdid=HRQZOEl6jvOrMvqc" TargetMode="External"/><Relationship Id="rId407" Type="http://schemas.openxmlformats.org/officeDocument/2006/relationships/hyperlink" Target="https://www.facebook.com/reel/1335689934900531" TargetMode="External"/><Relationship Id="rId406" Type="http://schemas.openxmlformats.org/officeDocument/2006/relationships/hyperlink" Target="https://www.facebook.com/nadine.rizma.2025/posts/pfbid037y426JqowxLR6i492X38hGPGgwKseFysYmkArRBt7JVFu6H8WwARiJbb5SLwbBt9l?rdid=rR9rKH88Y3K0DqVY" TargetMode="External"/><Relationship Id="rId405" Type="http://schemas.openxmlformats.org/officeDocument/2006/relationships/hyperlink" Target="https://x.com/decepticon073/status/1966397257194025418" TargetMode="External"/><Relationship Id="rId2560" Type="http://schemas.openxmlformats.org/officeDocument/2006/relationships/hyperlink" Target="https://x.com/DoankWarto/status/2010546838198468909" TargetMode="External"/><Relationship Id="rId1230" Type="http://schemas.openxmlformats.org/officeDocument/2006/relationships/hyperlink" Target="https://x.com/B4sm1Oligarki/status/1991424377678889455" TargetMode="External"/><Relationship Id="rId2561" Type="http://schemas.openxmlformats.org/officeDocument/2006/relationships/hyperlink" Target="https://www.facebook.com/groups/776406629631198/posts/1793981751207009/" TargetMode="External"/><Relationship Id="rId400" Type="http://schemas.openxmlformats.org/officeDocument/2006/relationships/hyperlink" Target="https://x.com/DediSat78222308/status/1965943392002781394" TargetMode="External"/><Relationship Id="rId1231" Type="http://schemas.openxmlformats.org/officeDocument/2006/relationships/hyperlink" Target="https://x.com/B4sm1Oligarki/status/1991423706200174887" TargetMode="External"/><Relationship Id="rId2562" Type="http://schemas.openxmlformats.org/officeDocument/2006/relationships/hyperlink" Target="https://www.facebook.com/groups/SpOotaXxkEerR/posts/25687380370903080/" TargetMode="External"/><Relationship Id="rId1232" Type="http://schemas.openxmlformats.org/officeDocument/2006/relationships/hyperlink" Target="https://www.facebook.com/share/v/16nF68qvDe/" TargetMode="External"/><Relationship Id="rId2563" Type="http://schemas.openxmlformats.org/officeDocument/2006/relationships/hyperlink" Target="https://www.facebook.com/groups/776406629631198/posts/1795419091063275/" TargetMode="External"/><Relationship Id="rId1233" Type="http://schemas.openxmlformats.org/officeDocument/2006/relationships/hyperlink" Target="https://www.tiktok.com/@martunis_15/video/7574775277310577940?_r=1&amp;_t=ZS-91ah3rJzwob" TargetMode="External"/><Relationship Id="rId2564" Type="http://schemas.openxmlformats.org/officeDocument/2006/relationships/hyperlink" Target="https://vt.tiktok.com/ZS5gkUqNE/" TargetMode="External"/><Relationship Id="rId1234" Type="http://schemas.openxmlformats.org/officeDocument/2006/relationships/hyperlink" Target="https://www.tiktok.com/@acehdarussalam07/video/7574263065458314514?_r=1&amp;_t=ZS-91ah5PsP8Vt" TargetMode="External"/><Relationship Id="rId2565" Type="http://schemas.openxmlformats.org/officeDocument/2006/relationships/hyperlink" Target="https://vt.tiktok.com/ZS5gk8UCS/" TargetMode="External"/><Relationship Id="rId1224" Type="http://schemas.openxmlformats.org/officeDocument/2006/relationships/hyperlink" Target="https://www.facebook.com/share/r/1ARZdAKcbe/" TargetMode="External"/><Relationship Id="rId2555" Type="http://schemas.openxmlformats.org/officeDocument/2006/relationships/hyperlink" Target="https://www.kompas.tv/nasional/643312/roy-suryo-rismon-dan-tifa-geruduk-kemendikdasmen-tagih-surat-penyetaraan-wapres-gibran" TargetMode="External"/><Relationship Id="rId1225" Type="http://schemas.openxmlformats.org/officeDocument/2006/relationships/hyperlink" Target="https://www.facebook.com/share/v/195gq1xo7n/" TargetMode="External"/><Relationship Id="rId2556" Type="http://schemas.openxmlformats.org/officeDocument/2006/relationships/hyperlink" Target="https://www.satuju.com/berita/13654/sabar-tambunan-tak-ada-maaf-untuk-kepentingan-rakyat-jokowi-harus-diadili-gibran-dimakzulkan.html" TargetMode="External"/><Relationship Id="rId1226" Type="http://schemas.openxmlformats.org/officeDocument/2006/relationships/hyperlink" Target="https://www.facebook.com/share/r/1CSsAxvswb/" TargetMode="External"/><Relationship Id="rId2557" Type="http://schemas.openxmlformats.org/officeDocument/2006/relationships/hyperlink" Target="https://www.suara.com/news/2026/01/12/151222/rismon-siap-buka-bukaan-di-sidang-kip-besok-sebut-ijazah-gibran-tak-penuhi-dua-syarat-krusial" TargetMode="External"/><Relationship Id="rId1227" Type="http://schemas.openxmlformats.org/officeDocument/2006/relationships/hyperlink" Target="https://x.com/PEOPLEOFTHELIE4/status/1991690484998369684" TargetMode="External"/><Relationship Id="rId2558" Type="http://schemas.openxmlformats.org/officeDocument/2006/relationships/hyperlink" Target="https://x.com/HoyacOnly/status/2010565547944198472" TargetMode="External"/><Relationship Id="rId1228" Type="http://schemas.openxmlformats.org/officeDocument/2006/relationships/hyperlink" Target="https://x.com/ur_comrades/status/1991665657189134795" TargetMode="External"/><Relationship Id="rId2559" Type="http://schemas.openxmlformats.org/officeDocument/2006/relationships/hyperlink" Target="https://x.com/celerio1132/status/2010549471378334060" TargetMode="External"/><Relationship Id="rId1229" Type="http://schemas.openxmlformats.org/officeDocument/2006/relationships/hyperlink" Target="https://x.com/PEOPLEOFTHELIE4/status/1991487167269597327" TargetMode="External"/><Relationship Id="rId2550" Type="http://schemas.openxmlformats.org/officeDocument/2006/relationships/hyperlink" Target="https://x.com/Txtpersonograta/status/2008441693281132937" TargetMode="External"/><Relationship Id="rId1220" Type="http://schemas.openxmlformats.org/officeDocument/2006/relationships/hyperlink" Target="https://www.facebook.com/groups/2479676585560598/posts/2981072738754311" TargetMode="External"/><Relationship Id="rId2551" Type="http://schemas.openxmlformats.org/officeDocument/2006/relationships/hyperlink" Target="https://www.facebook.com/sanusi.anwar.37/posts/pfbid023AR3es2PgFej76B3HGD6ucpFkdW3xTyLKq1v2sxAX84ER1gWWwVRD1kzvFnvQpHKl" TargetMode="External"/><Relationship Id="rId1221" Type="http://schemas.openxmlformats.org/officeDocument/2006/relationships/hyperlink" Target="https://www.facebook.com/groups/2479676585560598/posts/2981062928755292" TargetMode="External"/><Relationship Id="rId2552" Type="http://schemas.openxmlformats.org/officeDocument/2006/relationships/hyperlink" Target="https://kbanews.com/resonansi/utang-sebagai-jalan-pintas-arah-berbahaya-kebijakan-prabowo-gibran/" TargetMode="External"/><Relationship Id="rId1222" Type="http://schemas.openxmlformats.org/officeDocument/2006/relationships/hyperlink" Target="https://www.facebook.com/groups/2479676585560598/posts/2981035672091351" TargetMode="External"/><Relationship Id="rId2553" Type="http://schemas.openxmlformats.org/officeDocument/2006/relationships/hyperlink" Target="https://x.com/zetsuboujin/status/2010569568763449444" TargetMode="External"/><Relationship Id="rId1223" Type="http://schemas.openxmlformats.org/officeDocument/2006/relationships/hyperlink" Target="https://www.facebook.com/share/r/1SpDhd8SbP/" TargetMode="External"/><Relationship Id="rId2554" Type="http://schemas.openxmlformats.org/officeDocument/2006/relationships/hyperlink" Target="https://x.com/MahadewaDharne/status/2010567920343281930" TargetMode="External"/><Relationship Id="rId2500" Type="http://schemas.openxmlformats.org/officeDocument/2006/relationships/hyperlink" Target="https://www.facebook.com/groups/805384549471574?multi_permalinks=25941802072069808&amp;hoisted_section_header_type=recently_seen" TargetMode="External"/><Relationship Id="rId2501" Type="http://schemas.openxmlformats.org/officeDocument/2006/relationships/hyperlink" Target="https://x.com/SenopatiDiAnno/status/2005549462790533133" TargetMode="External"/><Relationship Id="rId2502" Type="http://schemas.openxmlformats.org/officeDocument/2006/relationships/hyperlink" Target="https://x.com/124hmahHastuti1/status/2010181473316548973" TargetMode="External"/><Relationship Id="rId2503" Type="http://schemas.openxmlformats.org/officeDocument/2006/relationships/hyperlink" Target="https://x.com/yaniarsim/status/2009056273086771592" TargetMode="External"/><Relationship Id="rId2504" Type="http://schemas.openxmlformats.org/officeDocument/2006/relationships/hyperlink" Target="https://www.tiktok.com/@wan.limpeun.pasee/video/7581527010246233364" TargetMode="External"/><Relationship Id="rId2505" Type="http://schemas.openxmlformats.org/officeDocument/2006/relationships/hyperlink" Target="https://bmcc.org.my/welcoming-h-e-ajay-sharma-british-high-commissioner-to-malaysia-at-eq-hotel-kuala-lumpur/" TargetMode="External"/><Relationship Id="rId2506" Type="http://schemas.openxmlformats.org/officeDocument/2006/relationships/hyperlink" Target="https://www.tiktok.com/@murdani5957/video/7590423045597105428" TargetMode="External"/><Relationship Id="rId2507" Type="http://schemas.openxmlformats.org/officeDocument/2006/relationships/hyperlink" Target="https://www.tiktok.com/@aliamin1605/video/7594463638841216264" TargetMode="External"/><Relationship Id="rId2508" Type="http://schemas.openxmlformats.org/officeDocument/2006/relationships/hyperlink" Target="https://www.tiktok.com/@aliamin1605/video/7594665212050132231" TargetMode="External"/><Relationship Id="rId2509" Type="http://schemas.openxmlformats.org/officeDocument/2006/relationships/hyperlink" Target="https://x.com/JkBataona_09/status/2010688133088575783" TargetMode="External"/><Relationship Id="rId2522" Type="http://schemas.openxmlformats.org/officeDocument/2006/relationships/hyperlink" Target="https://www.gelora.co/2025/12/jadi-tersangka-kpk-harta-bupati-bekasi.html" TargetMode="External"/><Relationship Id="rId2523" Type="http://schemas.openxmlformats.org/officeDocument/2006/relationships/hyperlink" Target="https://www.facebook.com/share/p/164CZT4yeD/" TargetMode="External"/><Relationship Id="rId2524" Type="http://schemas.openxmlformats.org/officeDocument/2006/relationships/hyperlink" Target="https://www.facebook.com/profile.php?id=100092282271526" TargetMode="External"/><Relationship Id="rId2525" Type="http://schemas.openxmlformats.org/officeDocument/2006/relationships/hyperlink" Target="https://vt.tiktok.com/ZS5snS4PR/" TargetMode="External"/><Relationship Id="rId2526" Type="http://schemas.openxmlformats.org/officeDocument/2006/relationships/hyperlink" Target="https://www.tiktok.com/@purbayas_kemenkeu" TargetMode="External"/><Relationship Id="rId2527" Type="http://schemas.openxmlformats.org/officeDocument/2006/relationships/hyperlink" Target="https://www.facebook.com/dana.bantuan.pemerintah.indonesia.920429%5C" TargetMode="External"/><Relationship Id="rId2528" Type="http://schemas.openxmlformats.org/officeDocument/2006/relationships/hyperlink" Target="https://www.facebook.com/profile.php?id=61585992870726" TargetMode="External"/><Relationship Id="rId2529" Type="http://schemas.openxmlformats.org/officeDocument/2006/relationships/hyperlink" Target="https://www.facebook.com/profile.php?id=61551680884218" TargetMode="External"/><Relationship Id="rId2520" Type="http://schemas.openxmlformats.org/officeDocument/2006/relationships/hyperlink" Target="https://www.youtube.com/watch?v=q-eQvEI74Ik" TargetMode="External"/><Relationship Id="rId2521" Type="http://schemas.openxmlformats.org/officeDocument/2006/relationships/hyperlink" Target="https://www.facebook.com/groups/1151853379265315/posts/1558344315282884/" TargetMode="External"/><Relationship Id="rId2511" Type="http://schemas.openxmlformats.org/officeDocument/2006/relationships/hyperlink" Target="https://x.com/Dirgahayu394/status/2010810281195422057" TargetMode="External"/><Relationship Id="rId2512" Type="http://schemas.openxmlformats.org/officeDocument/2006/relationships/hyperlink" Target="https://www.facebook.com/share/p/17muFBiN9f/" TargetMode="External"/><Relationship Id="rId2513" Type="http://schemas.openxmlformats.org/officeDocument/2006/relationships/hyperlink" Target="https://www.facebook.com/share/r/1ECvqWGPMV/" TargetMode="External"/><Relationship Id="rId2514" Type="http://schemas.openxmlformats.org/officeDocument/2006/relationships/hyperlink" Target="https://x.com/denni_sauya/status/2010657767200346231?t=gzlYX-z7CewSugqh-0qpng&amp;s=35" TargetMode="External"/><Relationship Id="rId2515" Type="http://schemas.openxmlformats.org/officeDocument/2006/relationships/hyperlink" Target="https://x.com/didiek_murdock/status/2010408095185592721?t=UT0_1Pra6kBZxogpgD5MWQ&amp;s=35" TargetMode="External"/><Relationship Id="rId2516" Type="http://schemas.openxmlformats.org/officeDocument/2006/relationships/hyperlink" Target="https://x.com/MayaA62580468/status/2010637884517470700?t=2wbdp7Wdt9A6m7zJqPYh5Q&amp;s=35" TargetMode="External"/><Relationship Id="rId2517" Type="http://schemas.openxmlformats.org/officeDocument/2006/relationships/hyperlink" Target="https://x.com/MichelAdam1515/status/2010919107160654016?t=TzwoSy_kjfy5yIMBcNewBA&amp;s=35" TargetMode="External"/><Relationship Id="rId2518" Type="http://schemas.openxmlformats.org/officeDocument/2006/relationships/hyperlink" Target="https://x.com/PngAdilnR4kyt/status/2010927110073041357?t=7XNxGfd8INA56YeY3slbZA&amp;s=35" TargetMode="External"/><Relationship Id="rId2519" Type="http://schemas.openxmlformats.org/officeDocument/2006/relationships/hyperlink" Target="https://www.facebook.com/groups/566857346817339/posts/3534501720052872/" TargetMode="External"/><Relationship Id="rId2510" Type="http://schemas.openxmlformats.org/officeDocument/2006/relationships/hyperlink" Target="https://x.com/fransis74201222/status/2010632612189176228" TargetMode="External"/><Relationship Id="rId469" Type="http://schemas.openxmlformats.org/officeDocument/2006/relationships/hyperlink" Target="https://www.instagram.com/p/DN6L_GWkyKL/" TargetMode="External"/><Relationship Id="rId468" Type="http://schemas.openxmlformats.org/officeDocument/2006/relationships/hyperlink" Target="https://x.com/AnKiiim_/status/1968368670570393642?t=JC-0xDNboYSrYzOkl31l7w&amp;s=35" TargetMode="External"/><Relationship Id="rId467" Type="http://schemas.openxmlformats.org/officeDocument/2006/relationships/hyperlink" Target="https://x.com/Y_Radianto/status/1968506964293595579?t=M4AOaWgedm58sltZdCUarg&amp;s=35" TargetMode="External"/><Relationship Id="rId1290" Type="http://schemas.openxmlformats.org/officeDocument/2006/relationships/hyperlink" Target="https://x.com/C0BRA3131/status/1993089781396652050" TargetMode="External"/><Relationship Id="rId1291" Type="http://schemas.openxmlformats.org/officeDocument/2006/relationships/hyperlink" Target="https://x.com/jagosputra06/status/1993010160181420232" TargetMode="External"/><Relationship Id="rId1292" Type="http://schemas.openxmlformats.org/officeDocument/2006/relationships/hyperlink" Target="https://x.com/FaridOYI/status/1992713200648028515" TargetMode="External"/><Relationship Id="rId462" Type="http://schemas.openxmlformats.org/officeDocument/2006/relationships/hyperlink" Target="https://www.tiktok.com/@wahyubalakosa99/video/7551343188603112760?_r=1&amp;_t=ZS-8zpmhcAPoUm" TargetMode="External"/><Relationship Id="rId1293" Type="http://schemas.openxmlformats.org/officeDocument/2006/relationships/hyperlink" Target="https://x.com/indepenSumatera/status/1993194421190524941" TargetMode="External"/><Relationship Id="rId461" Type="http://schemas.openxmlformats.org/officeDocument/2006/relationships/hyperlink" Target="https://x.com/ZurfamiJ5777/status/1968265986953675115?t=axM3I466h67OxU64RVe6Mw&amp;s=08" TargetMode="External"/><Relationship Id="rId1294" Type="http://schemas.openxmlformats.org/officeDocument/2006/relationships/hyperlink" Target="https://x.com/indepenSumatera/status/1993497692572729781" TargetMode="External"/><Relationship Id="rId460" Type="http://schemas.openxmlformats.org/officeDocument/2006/relationships/hyperlink" Target="https://x.com/YgMenang_KPU_MK/status/1968666731414442022?t=WvVuxiy8ll7800JKC-87EQ&amp;s=08" TargetMode="External"/><Relationship Id="rId1295" Type="http://schemas.openxmlformats.org/officeDocument/2006/relationships/hyperlink" Target="https://x.com/indepenSumatera/status/1912015337379495941" TargetMode="External"/><Relationship Id="rId1296" Type="http://schemas.openxmlformats.org/officeDocument/2006/relationships/hyperlink" Target="https://x.com/indepenSumatera/status/1913063971168690481" TargetMode="External"/><Relationship Id="rId466" Type="http://schemas.openxmlformats.org/officeDocument/2006/relationships/hyperlink" Target="https://x.com/barengwarga/status/1968624361142960424?t=EYWrGmI_sVnZBQQtG9zzRw&amp;s=19" TargetMode="External"/><Relationship Id="rId1297" Type="http://schemas.openxmlformats.org/officeDocument/2006/relationships/hyperlink" Target="https://x.com/indepenSumatera/status/1900934231632871782/photo/1" TargetMode="External"/><Relationship Id="rId465" Type="http://schemas.openxmlformats.org/officeDocument/2006/relationships/hyperlink" Target="https://www.tiktok.com/@malayan.secret.so/photo/7544613685419838727?_r=1&amp;_t=ZS-8zpnVfPFF6j" TargetMode="External"/><Relationship Id="rId1298" Type="http://schemas.openxmlformats.org/officeDocument/2006/relationships/hyperlink" Target="https://x.com/indepenSumatera/status/1993483757178044743" TargetMode="External"/><Relationship Id="rId464" Type="http://schemas.openxmlformats.org/officeDocument/2006/relationships/hyperlink" Target="https://www.tiktok.com/@acehfuture.id/photo/7549964182666349880?_r=1&amp;_t=ZS-8zpmvSmA5ZA" TargetMode="External"/><Relationship Id="rId1299" Type="http://schemas.openxmlformats.org/officeDocument/2006/relationships/hyperlink" Target="https://x.com/indepenSumatera/status/1993483348875096285" TargetMode="External"/><Relationship Id="rId463" Type="http://schemas.openxmlformats.org/officeDocument/2006/relationships/hyperlink" Target="https://www.instagram.com/p/DOmT_4ekxxr/" TargetMode="External"/><Relationship Id="rId459" Type="http://schemas.openxmlformats.org/officeDocument/2006/relationships/hyperlink" Target="https://www.tiktok.com/@indonesiaforever69/video/7550599688999750968?_r=1&amp;_t=ZS-8zplJe2V3Mv" TargetMode="External"/><Relationship Id="rId458" Type="http://schemas.openxmlformats.org/officeDocument/2006/relationships/hyperlink" Target="https://www.tiktok.com/@khairul.abdi01/photo/7548463085980241208?_r=1&amp;_t=ZS-8zpkj8yLeba" TargetMode="External"/><Relationship Id="rId457" Type="http://schemas.openxmlformats.org/officeDocument/2006/relationships/hyperlink" Target="https://www.tiktok.com/@khairul.abdi01/video/7550402834085285125?_r=1&amp;_t=ZS-8zpkhgpZfO5" TargetMode="External"/><Relationship Id="rId456" Type="http://schemas.openxmlformats.org/officeDocument/2006/relationships/hyperlink" Target="https://www.tiktok.com/@independent4038/photo/7550520924349484294?_r=1&amp;_t=ZS-8zpkexNtwmo" TargetMode="External"/><Relationship Id="rId1280" Type="http://schemas.openxmlformats.org/officeDocument/2006/relationships/hyperlink" Target="https://www.facebook.com/share/p/1D5vRz63Sj/" TargetMode="External"/><Relationship Id="rId1281" Type="http://schemas.openxmlformats.org/officeDocument/2006/relationships/hyperlink" Target="https://www.facebook.com/share/g/17NJRM29Lp/" TargetMode="External"/><Relationship Id="rId451" Type="http://schemas.openxmlformats.org/officeDocument/2006/relationships/hyperlink" Target="https://www.tiktok.com/@gopar044/video/7548277379274149140" TargetMode="External"/><Relationship Id="rId1282" Type="http://schemas.openxmlformats.org/officeDocument/2006/relationships/hyperlink" Target="https://www.facebook.com/share/p/1FWAaA31L1/" TargetMode="External"/><Relationship Id="rId450" Type="http://schemas.openxmlformats.org/officeDocument/2006/relationships/hyperlink" Target="https://www.tiktok.com/@miskintapibahagia/video/7551204206338772280" TargetMode="External"/><Relationship Id="rId1283" Type="http://schemas.openxmlformats.org/officeDocument/2006/relationships/hyperlink" Target="https://x.com/ok_samsul/status/1993303341603209380" TargetMode="External"/><Relationship Id="rId1284" Type="http://schemas.openxmlformats.org/officeDocument/2006/relationships/hyperlink" Target="https://x.com/PEOPLEOFTHELIE4/status/1993261173576548808" TargetMode="External"/><Relationship Id="rId1285" Type="http://schemas.openxmlformats.org/officeDocument/2006/relationships/hyperlink" Target="https://x.com/PEOPLEOFTHELIE4/status/1993259310596653080" TargetMode="External"/><Relationship Id="rId455" Type="http://schemas.openxmlformats.org/officeDocument/2006/relationships/hyperlink" Target="https://www.facebook.com/share/p/1BJbXiSSvM/" TargetMode="External"/><Relationship Id="rId1286" Type="http://schemas.openxmlformats.org/officeDocument/2006/relationships/hyperlink" Target="https://x.com/LordK1ngkong_/status/1993200967685488840" TargetMode="External"/><Relationship Id="rId454" Type="http://schemas.openxmlformats.org/officeDocument/2006/relationships/hyperlink" Target="https://www.tiktok.com/@haji_arsyadmip/video/7532690095179074872" TargetMode="External"/><Relationship Id="rId1287" Type="http://schemas.openxmlformats.org/officeDocument/2006/relationships/hyperlink" Target="https://x.com/LordK1ngkong_/status/199320050870280225" TargetMode="External"/><Relationship Id="rId453" Type="http://schemas.openxmlformats.org/officeDocument/2006/relationships/hyperlink" Target="https://x.com/kenvi_yo/status/1968513267342389451" TargetMode="External"/><Relationship Id="rId1288" Type="http://schemas.openxmlformats.org/officeDocument/2006/relationships/hyperlink" Target="https://x.com/Margaputra2907/status/1993198205677494387" TargetMode="External"/><Relationship Id="rId452" Type="http://schemas.openxmlformats.org/officeDocument/2006/relationships/hyperlink" Target="https://x.com/n0wbigdyl/status/1968514858414129282" TargetMode="External"/><Relationship Id="rId1289" Type="http://schemas.openxmlformats.org/officeDocument/2006/relationships/hyperlink" Target="https://x.com/navisa_cm/status/1993165521223925942" TargetMode="External"/><Relationship Id="rId3018" Type="http://schemas.openxmlformats.org/officeDocument/2006/relationships/hyperlink" Target="https://www.facebook.com/share/p/1KPykrfxFQ/" TargetMode="External"/><Relationship Id="rId3017" Type="http://schemas.openxmlformats.org/officeDocument/2006/relationships/hyperlink" Target="https://www.facebook.com/share/p/18QmGD1fG5/" TargetMode="External"/><Relationship Id="rId3019" Type="http://schemas.openxmlformats.org/officeDocument/2006/relationships/hyperlink" Target="https://www.facebook.com/share/p/1FcLuvR3b7/" TargetMode="External"/><Relationship Id="rId491" Type="http://schemas.openxmlformats.org/officeDocument/2006/relationships/hyperlink" Target="https://www.facebook.com/MayaSamosirr/posts/pfbid0VsbtXwkSaxWGjNCFSrGQujJqCdXZ6McQq5VnU79C9o18LJQLu6U4eqCS43FjVnbnl" TargetMode="External"/><Relationship Id="rId490" Type="http://schemas.openxmlformats.org/officeDocument/2006/relationships/hyperlink" Target="https://www.instagram.com/p/DN-9cSSgabr/" TargetMode="External"/><Relationship Id="rId489" Type="http://schemas.openxmlformats.org/officeDocument/2006/relationships/hyperlink" Target="https://www.instagram.com/p/DN8Xkv8kpO-/" TargetMode="External"/><Relationship Id="rId484" Type="http://schemas.openxmlformats.org/officeDocument/2006/relationships/hyperlink" Target="https://x.com/YgMenang_KPU_MK/status/1968666731414442022" TargetMode="External"/><Relationship Id="rId3010" Type="http://schemas.openxmlformats.org/officeDocument/2006/relationships/hyperlink" Target="https://www.tiktok.com/@budisurya978/video/7581965650533321991?_r=1&amp;_t=ZS-928ZnXWO2PB" TargetMode="External"/><Relationship Id="rId483" Type="http://schemas.openxmlformats.org/officeDocument/2006/relationships/hyperlink" Target="https://x.com/srape_/status/1968950773775012047" TargetMode="External"/><Relationship Id="rId482" Type="http://schemas.openxmlformats.org/officeDocument/2006/relationships/hyperlink" Target="https://x.com/MukaniRudi8970/status/1966157266111041587" TargetMode="External"/><Relationship Id="rId3012" Type="http://schemas.openxmlformats.org/officeDocument/2006/relationships/hyperlink" Target="https://www.tiktok.com/@achmad.fauzi50/video/7582444745171963154" TargetMode="External"/><Relationship Id="rId481" Type="http://schemas.openxmlformats.org/officeDocument/2006/relationships/hyperlink" Target="https://www.tiktok.com/@ajipickyclose/video/7364626943855316230" TargetMode="External"/><Relationship Id="rId3011" Type="http://schemas.openxmlformats.org/officeDocument/2006/relationships/hyperlink" Target="https://www.tiktok.com/@pelitatiga.0306/video/7582522586073009429?_r=1&amp;_t=ZS-928ZqbCgdPM" TargetMode="External"/><Relationship Id="rId488" Type="http://schemas.openxmlformats.org/officeDocument/2006/relationships/hyperlink" Target="https://www.instagram.com/reel/DOgAYJ2gdmJ/?utm_source=ig_web_copy_link" TargetMode="External"/><Relationship Id="rId3014" Type="http://schemas.openxmlformats.org/officeDocument/2006/relationships/hyperlink" Target="https://www.tiktok.com/@rakyatjelata912/video/7580494715259211026" TargetMode="External"/><Relationship Id="rId487" Type="http://schemas.openxmlformats.org/officeDocument/2006/relationships/hyperlink" Target="https://www.tiktok.com/@sodikan68/video/7551822037182909717?_r=1&amp;_t=ZS-8zrtxBBFvfd" TargetMode="External"/><Relationship Id="rId3013" Type="http://schemas.openxmlformats.org/officeDocument/2006/relationships/hyperlink" Target="https://www.tiktok.com/@oposisi_cerdas/video/7581636732290960658" TargetMode="External"/><Relationship Id="rId486" Type="http://schemas.openxmlformats.org/officeDocument/2006/relationships/hyperlink" Target="https://x.com/mutajir_mohamat/status/1968466877564301400" TargetMode="External"/><Relationship Id="rId3016" Type="http://schemas.openxmlformats.org/officeDocument/2006/relationships/hyperlink" Target="https://www.facebook.com/share/p/1Biz9phhf1/" TargetMode="External"/><Relationship Id="rId485" Type="http://schemas.openxmlformats.org/officeDocument/2006/relationships/hyperlink" Target="https://x.com/pinginsugih/status/1968469362609709275" TargetMode="External"/><Relationship Id="rId3015" Type="http://schemas.openxmlformats.org/officeDocument/2006/relationships/hyperlink" Target="https://www.facebook.com/share/p/1HRzs77V9e/" TargetMode="External"/><Relationship Id="rId3007" Type="http://schemas.openxmlformats.org/officeDocument/2006/relationships/hyperlink" Target="https://www.facebook.com/share/r/1BgRjBszmr/" TargetMode="External"/><Relationship Id="rId3006" Type="http://schemas.openxmlformats.org/officeDocument/2006/relationships/hyperlink" Target="https://www.facebook.com/share/p/1DdoUSfGvY/" TargetMode="External"/><Relationship Id="rId3009" Type="http://schemas.openxmlformats.org/officeDocument/2006/relationships/hyperlink" Target="https://www.tiktok.com/@zulfikarr774/video/7582438195183357192?_r=1&amp;_t=ZS-928ZfrNyjB3" TargetMode="External"/><Relationship Id="rId3008" Type="http://schemas.openxmlformats.org/officeDocument/2006/relationships/hyperlink" Target="https://www.tiktok.com/@mh_ali85/video/7582405381033446677?_r=1&amp;_t=ZS-928ZeaqS0uH" TargetMode="External"/><Relationship Id="rId480" Type="http://schemas.openxmlformats.org/officeDocument/2006/relationships/hyperlink" Target="https://www.facebook.com/reel/1194056029196987" TargetMode="External"/><Relationship Id="rId479" Type="http://schemas.openxmlformats.org/officeDocument/2006/relationships/hyperlink" Target="https://www.facebook.com/reel/645385968253046" TargetMode="External"/><Relationship Id="rId478" Type="http://schemas.openxmlformats.org/officeDocument/2006/relationships/hyperlink" Target="https://www.tiktok.com/@negara.konyol/video/7551296352433507590" TargetMode="External"/><Relationship Id="rId473" Type="http://schemas.openxmlformats.org/officeDocument/2006/relationships/hyperlink" Target="https://www.facebook.com/reel/1132153508414944" TargetMode="External"/><Relationship Id="rId472" Type="http://schemas.openxmlformats.org/officeDocument/2006/relationships/hyperlink" Target="https://www.tiktok.com/@amran.l.a.04/video/7549184606017228038" TargetMode="External"/><Relationship Id="rId471" Type="http://schemas.openxmlformats.org/officeDocument/2006/relationships/hyperlink" Target="https://www.tiktok.com/@amran.l.a.04/video/7541264385121996037" TargetMode="External"/><Relationship Id="rId3001" Type="http://schemas.openxmlformats.org/officeDocument/2006/relationships/hyperlink" Target="https://www.facebook.com/share/p/14SE37YpJ61/" TargetMode="External"/><Relationship Id="rId470" Type="http://schemas.openxmlformats.org/officeDocument/2006/relationships/hyperlink" Target="https://www.tiktok.com/@aneuk.agam.agam.a/video/7550343402991193349" TargetMode="External"/><Relationship Id="rId3000" Type="http://schemas.openxmlformats.org/officeDocument/2006/relationships/hyperlink" Target="https://www.facebook.com/share/p/16ydaepk4f/" TargetMode="External"/><Relationship Id="rId477" Type="http://schemas.openxmlformats.org/officeDocument/2006/relationships/hyperlink" Target="https://www.tiktok.com/@suararakyat534/video/7551436214172175627" TargetMode="External"/><Relationship Id="rId3003" Type="http://schemas.openxmlformats.org/officeDocument/2006/relationships/hyperlink" Target="https://www.instagram.com/p/DR-_3F2koay/?img_index=2" TargetMode="External"/><Relationship Id="rId476" Type="http://schemas.openxmlformats.org/officeDocument/2006/relationships/hyperlink" Target="https://www.facebook.com/reel/2542681349425807" TargetMode="External"/><Relationship Id="rId3002" Type="http://schemas.openxmlformats.org/officeDocument/2006/relationships/hyperlink" Target="https://www.facebook.com/photo/?fbid=122098301931160602&amp;set=a.122098301955160602" TargetMode="External"/><Relationship Id="rId475" Type="http://schemas.openxmlformats.org/officeDocument/2006/relationships/hyperlink" Target="https://www.facebook.com/reel/783450367961032" TargetMode="External"/><Relationship Id="rId3005" Type="http://schemas.openxmlformats.org/officeDocument/2006/relationships/hyperlink" Target="https://www.facebook.com/share/p/1JXrweLbKn/" TargetMode="External"/><Relationship Id="rId474" Type="http://schemas.openxmlformats.org/officeDocument/2006/relationships/hyperlink" Target="https://www.facebook.com/reel/656986696737567" TargetMode="External"/><Relationship Id="rId3004" Type="http://schemas.openxmlformats.org/officeDocument/2006/relationships/hyperlink" Target="https://www.facebook.com/share/p/17hhtoMZ5J/" TargetMode="External"/><Relationship Id="rId1257" Type="http://schemas.openxmlformats.org/officeDocument/2006/relationships/hyperlink" Target="https://www.facebook.com/groups/1439336049598659/?multi_permalinks=2837105026488414&amp;hoisted_section_header_type=recently_seen" TargetMode="External"/><Relationship Id="rId2588" Type="http://schemas.openxmlformats.org/officeDocument/2006/relationships/hyperlink" Target="https://www.facebook.com/groups/523183267134157/posts/869161889202958/" TargetMode="External"/><Relationship Id="rId1258" Type="http://schemas.openxmlformats.org/officeDocument/2006/relationships/hyperlink" Target="https://www.facebook.com/groups/456481828956436/?multi_permalinks=1518326322771976&amp;hoisted_section_header_type=recently_seen" TargetMode="External"/><Relationship Id="rId2589" Type="http://schemas.openxmlformats.org/officeDocument/2006/relationships/hyperlink" Target="https://www.facebook.com/groups/523183267134157/posts/869150342537446/" TargetMode="External"/><Relationship Id="rId1259" Type="http://schemas.openxmlformats.org/officeDocument/2006/relationships/hyperlink" Target="https://www.facebook.com/groups/319794727369478/?multi_permalinks=840978161917796&amp;hoisted_section_header_type=recently_seen" TargetMode="External"/><Relationship Id="rId426" Type="http://schemas.openxmlformats.org/officeDocument/2006/relationships/hyperlink" Target="https://x.com/Nirmala787/status/1968374505874849875" TargetMode="External"/><Relationship Id="rId425" Type="http://schemas.openxmlformats.org/officeDocument/2006/relationships/hyperlink" Target="https://www.tiktok.com/@pujisaptayuliana9384gmai/video/7549163333828513045" TargetMode="External"/><Relationship Id="rId424" Type="http://schemas.openxmlformats.org/officeDocument/2006/relationships/hyperlink" Target="https://www.tiktok.com/@syechkomang/video/7549814810444074296" TargetMode="External"/><Relationship Id="rId423" Type="http://schemas.openxmlformats.org/officeDocument/2006/relationships/hyperlink" Target="https://www.tiktok.com/@darji.polaeng/video/7549524004734881032" TargetMode="External"/><Relationship Id="rId429" Type="http://schemas.openxmlformats.org/officeDocument/2006/relationships/hyperlink" Target="https://www.tiktok.com/@ervino0001/photo/7550531540942343430?_r=1&amp;_t=ZS-8zo4DOprQiz" TargetMode="External"/><Relationship Id="rId428" Type="http://schemas.openxmlformats.org/officeDocument/2006/relationships/hyperlink" Target="https://x.com/MamanPiyul/status/1967947100332965998" TargetMode="External"/><Relationship Id="rId427" Type="http://schemas.openxmlformats.org/officeDocument/2006/relationships/hyperlink" Target="https://x.com/gundala2221/status/1968373493248225461" TargetMode="External"/><Relationship Id="rId2580" Type="http://schemas.openxmlformats.org/officeDocument/2006/relationships/hyperlink" Target="https://www.facebook.com/share/r/14SocWRdLYo/" TargetMode="External"/><Relationship Id="rId1250" Type="http://schemas.openxmlformats.org/officeDocument/2006/relationships/hyperlink" Target="https://vt.tiktok.com/ZSfS2uWTM/" TargetMode="External"/><Relationship Id="rId2581" Type="http://schemas.openxmlformats.org/officeDocument/2006/relationships/hyperlink" Target="https://www.facebook.com/share/p/1Cykvw2ZXz/" TargetMode="External"/><Relationship Id="rId1251" Type="http://schemas.openxmlformats.org/officeDocument/2006/relationships/hyperlink" Target="https://vt.tiktok.com/ZSfS2gnMQ/" TargetMode="External"/><Relationship Id="rId2582" Type="http://schemas.openxmlformats.org/officeDocument/2006/relationships/hyperlink" Target="https://x.com/M3di4Upd4t3/status/2010181642258919786" TargetMode="External"/><Relationship Id="rId1252" Type="http://schemas.openxmlformats.org/officeDocument/2006/relationships/hyperlink" Target="https://vt.tiktok.com/ZSfSjRbSc/" TargetMode="External"/><Relationship Id="rId2583" Type="http://schemas.openxmlformats.org/officeDocument/2006/relationships/hyperlink" Target="https://x.com/JendralKepitin9/status/2010359264083341395" TargetMode="External"/><Relationship Id="rId422" Type="http://schemas.openxmlformats.org/officeDocument/2006/relationships/hyperlink" Target="https://www.tiktok.com/@miskintapibahagia/video/7548362524756921656" TargetMode="External"/><Relationship Id="rId1253" Type="http://schemas.openxmlformats.org/officeDocument/2006/relationships/hyperlink" Target="https://www.facebook.com/reel/1164785282364737" TargetMode="External"/><Relationship Id="rId2584" Type="http://schemas.openxmlformats.org/officeDocument/2006/relationships/hyperlink" Target="https://x.com/Hnirankara/status/2010217520331186232" TargetMode="External"/><Relationship Id="rId421" Type="http://schemas.openxmlformats.org/officeDocument/2006/relationships/hyperlink" Target="https://x.com/jackkece1/status/1967268860626944204" TargetMode="External"/><Relationship Id="rId1254" Type="http://schemas.openxmlformats.org/officeDocument/2006/relationships/hyperlink" Target="https://www.merdeka.com/peristiwa/seluruh-fraksi-komisi-i-dpr-hadir-saat-rapat-terakhir-bareng-prabowo-203867-mvk.html" TargetMode="External"/><Relationship Id="rId2585" Type="http://schemas.openxmlformats.org/officeDocument/2006/relationships/hyperlink" Target="https://www.facebook.com/groups/523183267134157/posts/869324795853334/" TargetMode="External"/><Relationship Id="rId420" Type="http://schemas.openxmlformats.org/officeDocument/2006/relationships/hyperlink" Target="https://x.com/M17522147/status/1966917430686728573" TargetMode="External"/><Relationship Id="rId1255" Type="http://schemas.openxmlformats.org/officeDocument/2006/relationships/hyperlink" Target="https://www.facebook.com/reel/1731090450934638" TargetMode="External"/><Relationship Id="rId2586" Type="http://schemas.openxmlformats.org/officeDocument/2006/relationships/hyperlink" Target="https://www.facebook.com/groups/523183267134157/posts/869196489199498/" TargetMode="External"/><Relationship Id="rId1256" Type="http://schemas.openxmlformats.org/officeDocument/2006/relationships/hyperlink" Target="https://www.facebook.com/permalink.php?story_fbid=233256065925833&amp;id=100077243243741&amp;substory_index=178147065112664" TargetMode="External"/><Relationship Id="rId2587" Type="http://schemas.openxmlformats.org/officeDocument/2006/relationships/hyperlink" Target="https://www.facebook.com/groups/523183267134157/posts/869184195867394/" TargetMode="External"/><Relationship Id="rId1246" Type="http://schemas.openxmlformats.org/officeDocument/2006/relationships/hyperlink" Target="https://x.com/_luv_0499/status/1992257697497117044" TargetMode="External"/><Relationship Id="rId2577" Type="http://schemas.openxmlformats.org/officeDocument/2006/relationships/hyperlink" Target="https://www.facebook.com/share/p/1AQ3ykdYgf/" TargetMode="External"/><Relationship Id="rId1247" Type="http://schemas.openxmlformats.org/officeDocument/2006/relationships/hyperlink" Target="https://pomf2.lain.la/f/hgoo2u1p.mp4" TargetMode="External"/><Relationship Id="rId2578" Type="http://schemas.openxmlformats.org/officeDocument/2006/relationships/hyperlink" Target="https://www.facebook.com/share/p/16mmK2WPpf/" TargetMode="External"/><Relationship Id="rId1248" Type="http://schemas.openxmlformats.org/officeDocument/2006/relationships/hyperlink" Target="https://vt.tiktok.com/ZSfS2mfnL/" TargetMode="External"/><Relationship Id="rId2579" Type="http://schemas.openxmlformats.org/officeDocument/2006/relationships/hyperlink" Target="https://www.facebook.com/share/r/1D68dmMhJ9/" TargetMode="External"/><Relationship Id="rId1249" Type="http://schemas.openxmlformats.org/officeDocument/2006/relationships/hyperlink" Target="https://vt.tiktok.com/ZSfS2vdae/" TargetMode="External"/><Relationship Id="rId415" Type="http://schemas.openxmlformats.org/officeDocument/2006/relationships/hyperlink" Target="https://x.com/RooneySianny/status/1967830873115590862" TargetMode="External"/><Relationship Id="rId414" Type="http://schemas.openxmlformats.org/officeDocument/2006/relationships/hyperlink" Target="https://www.youtube.com/live/LaiBisFf9L4" TargetMode="External"/><Relationship Id="rId413" Type="http://schemas.openxmlformats.org/officeDocument/2006/relationships/hyperlink" Target="https://www.tiktok.com/@adinurhandono/video/7550578600156663096" TargetMode="External"/><Relationship Id="rId412" Type="http://schemas.openxmlformats.org/officeDocument/2006/relationships/hyperlink" Target="https://www.facebook.com/share/p/179PuTQk1Z/" TargetMode="External"/><Relationship Id="rId419" Type="http://schemas.openxmlformats.org/officeDocument/2006/relationships/hyperlink" Target="https://x.com/HalimTeuku/status/1968082882100080936" TargetMode="External"/><Relationship Id="rId418" Type="http://schemas.openxmlformats.org/officeDocument/2006/relationships/hyperlink" Target="https://www.facebook.com/photo/?fbid=1115254457459069&amp;set=a.167602315557626" TargetMode="External"/><Relationship Id="rId417" Type="http://schemas.openxmlformats.org/officeDocument/2006/relationships/hyperlink" Target="https://www.facebook.com/rico.setiawan.16144606/posts/pfbid02ZdhNa6Xuz927atKSNez98rXTBGDKmangSLAamUHUEEJBxUvKEDfh8tyw1VWF9trVl" TargetMode="External"/><Relationship Id="rId416" Type="http://schemas.openxmlformats.org/officeDocument/2006/relationships/hyperlink" Target="https://www.facebook.com/reel/1324000609100384" TargetMode="External"/><Relationship Id="rId2570" Type="http://schemas.openxmlformats.org/officeDocument/2006/relationships/hyperlink" Target="https://x.com/volterposisi/status/2009968671956054332" TargetMode="External"/><Relationship Id="rId1240" Type="http://schemas.openxmlformats.org/officeDocument/2006/relationships/hyperlink" Target="https://x.com/ahlinaceh001/status/1992016802432581972" TargetMode="External"/><Relationship Id="rId2571" Type="http://schemas.openxmlformats.org/officeDocument/2006/relationships/hyperlink" Target="https://x.com/__anomali__/status/2010192090219851882" TargetMode="External"/><Relationship Id="rId1241" Type="http://schemas.openxmlformats.org/officeDocument/2006/relationships/hyperlink" Target="https://www.tiktok.com/@husni.nyinyir/video/7567917008763866389" TargetMode="External"/><Relationship Id="rId2572" Type="http://schemas.openxmlformats.org/officeDocument/2006/relationships/hyperlink" Target="https://www.facebook.com/share/p/1G1MR6dY4o/" TargetMode="External"/><Relationship Id="rId411" Type="http://schemas.openxmlformats.org/officeDocument/2006/relationships/hyperlink" Target="https://www.facebook.com/groups/332535936199966/permalink/774858575301031/?rdid=A2GBR0ZHg0ba4Rpq" TargetMode="External"/><Relationship Id="rId1242" Type="http://schemas.openxmlformats.org/officeDocument/2006/relationships/hyperlink" Target="https://www.facebook.com/asep.suryanto.811604/posts/pfbid0h5E1EKBML7sQBry53LnQtj7LrBA43Zu4FUz8MsTV2KiYGZAGckZLNBRicQ4ZBHXEl" TargetMode="External"/><Relationship Id="rId2573" Type="http://schemas.openxmlformats.org/officeDocument/2006/relationships/hyperlink" Target="https://vt.tiktok.com/ZS5pdxN7Y/" TargetMode="External"/><Relationship Id="rId410" Type="http://schemas.openxmlformats.org/officeDocument/2006/relationships/hyperlink" Target="https://www.facebook.com/groups/5231157630293312/permalink/24515003104815476/?rdid=SH7oH9bn163bipMA" TargetMode="External"/><Relationship Id="rId1243" Type="http://schemas.openxmlformats.org/officeDocument/2006/relationships/hyperlink" Target="https://www.facebook.com/groups/selatpanjang/posts/24993567170286005" TargetMode="External"/><Relationship Id="rId2574" Type="http://schemas.openxmlformats.org/officeDocument/2006/relationships/hyperlink" Target="https://www.instagram.com/reel/DTUSrj5kViC/?igsh=MWMzMm5id2NiMW9vYg==" TargetMode="External"/><Relationship Id="rId1244" Type="http://schemas.openxmlformats.org/officeDocument/2006/relationships/hyperlink" Target="https://x.com/Nobetrayer/status/1992060872223842384" TargetMode="External"/><Relationship Id="rId2575" Type="http://schemas.openxmlformats.org/officeDocument/2006/relationships/hyperlink" Target="https://www.instagram.com/reel/DTU4v3VkVGH/?igsh=MW4xdmtueWhmdWgyNQ==" TargetMode="External"/><Relationship Id="rId1245" Type="http://schemas.openxmlformats.org/officeDocument/2006/relationships/hyperlink" Target="https://www.facebook.com/groups/1914419445514497/?multi_permalinks=4262085737414511&amp;hoisted_section_header_type=recently_seen" TargetMode="External"/><Relationship Id="rId2576" Type="http://schemas.openxmlformats.org/officeDocument/2006/relationships/hyperlink" Target="https://www.facebook.com/share/p/1Bw3ANMQSA/" TargetMode="External"/><Relationship Id="rId1279" Type="http://schemas.openxmlformats.org/officeDocument/2006/relationships/hyperlink" Target="https://www.facebook.com/share/v/1C2hpHapHE/" TargetMode="External"/><Relationship Id="rId448" Type="http://schemas.openxmlformats.org/officeDocument/2006/relationships/hyperlink" Target="https://www.tiktok.com/@_boyk4_00/video/7549250423937305861" TargetMode="External"/><Relationship Id="rId447" Type="http://schemas.openxmlformats.org/officeDocument/2006/relationships/hyperlink" Target="https://www.tiktok.com/@jagat.jaya7" TargetMode="External"/><Relationship Id="rId446" Type="http://schemas.openxmlformats.org/officeDocument/2006/relationships/hyperlink" Target="https://www.tiktok.com/@sangglek3/video/7551024242079370514" TargetMode="External"/><Relationship Id="rId445" Type="http://schemas.openxmlformats.org/officeDocument/2006/relationships/hyperlink" Target="https://www.tiktok.com/@mr.bejo.wage/video/7551091790787529990" TargetMode="External"/><Relationship Id="rId449" Type="http://schemas.openxmlformats.org/officeDocument/2006/relationships/hyperlink" Target="https://www.tiktok.com/@boss_muda_berhati_mulia/video/7545339406534692101" TargetMode="External"/><Relationship Id="rId1270" Type="http://schemas.openxmlformats.org/officeDocument/2006/relationships/hyperlink" Target="https://www.facebook.com/groups/221580229175240/posts/1510181020315148/" TargetMode="External"/><Relationship Id="rId440" Type="http://schemas.openxmlformats.org/officeDocument/2006/relationships/hyperlink" Target="https://www.instagram.com/p/DN-Bj7xEb26/" TargetMode="External"/><Relationship Id="rId1271" Type="http://schemas.openxmlformats.org/officeDocument/2006/relationships/hyperlink" Target="https://www.facebook.com/groups/221580229175240/posts/1504689100864340/" TargetMode="External"/><Relationship Id="rId1272" Type="http://schemas.openxmlformats.org/officeDocument/2006/relationships/hyperlink" Target="https://www.facebook.com/groups/221580229175240/posts/1504418057558111/" TargetMode="External"/><Relationship Id="rId1273" Type="http://schemas.openxmlformats.org/officeDocument/2006/relationships/hyperlink" Target="https://www.facebook.com/share/r/1BzZp6Wkqy/" TargetMode="External"/><Relationship Id="rId1274" Type="http://schemas.openxmlformats.org/officeDocument/2006/relationships/hyperlink" Target="https://www.facebook.com/share/p/17iMVTXVmG/" TargetMode="External"/><Relationship Id="rId444" Type="http://schemas.openxmlformats.org/officeDocument/2006/relationships/hyperlink" Target="https://www.tiktok.com/@yohanes__00/video/7550300989677440261" TargetMode="External"/><Relationship Id="rId1275" Type="http://schemas.openxmlformats.org/officeDocument/2006/relationships/hyperlink" Target="https://x.com/Pado_Sutan/status/1993156724442976595?s=20" TargetMode="External"/><Relationship Id="rId443" Type="http://schemas.openxmlformats.org/officeDocument/2006/relationships/hyperlink" Target="https://www.facebook.com/reel/1776181847116568" TargetMode="External"/><Relationship Id="rId1276" Type="http://schemas.openxmlformats.org/officeDocument/2006/relationships/hyperlink" Target="https://x.com/Pado_Sutan/status/1992509018221445374?s=20" TargetMode="External"/><Relationship Id="rId442" Type="http://schemas.openxmlformats.org/officeDocument/2006/relationships/hyperlink" Target="https://www.facebook.com/reel/1967633294006176" TargetMode="External"/><Relationship Id="rId1277" Type="http://schemas.openxmlformats.org/officeDocument/2006/relationships/hyperlink" Target="https://x.com/indepenSumatera" TargetMode="External"/><Relationship Id="rId441" Type="http://schemas.openxmlformats.org/officeDocument/2006/relationships/hyperlink" Target="https://www.instagram.com/reel/DN4_IyfAH2v/" TargetMode="External"/><Relationship Id="rId1278" Type="http://schemas.openxmlformats.org/officeDocument/2006/relationships/hyperlink" Target="https://www.facebook.com/share/p/17RdgYBANc/" TargetMode="External"/><Relationship Id="rId1268" Type="http://schemas.openxmlformats.org/officeDocument/2006/relationships/hyperlink" Target="https://www.facebook.com/groups/9767428643312271/posts/24958388387123049/" TargetMode="External"/><Relationship Id="rId2599" Type="http://schemas.openxmlformats.org/officeDocument/2006/relationships/hyperlink" Target="https://x.com/rinalnardi/status/2009638065908953475" TargetMode="External"/><Relationship Id="rId1269" Type="http://schemas.openxmlformats.org/officeDocument/2006/relationships/hyperlink" Target="https://www.facebook.com/groups/523183267134157/posts/825695916882889/" TargetMode="External"/><Relationship Id="rId437" Type="http://schemas.openxmlformats.org/officeDocument/2006/relationships/hyperlink" Target="https://www.facebook.com/groups/221580229175240/?multi_permalinks=1481346429865274" TargetMode="External"/><Relationship Id="rId436" Type="http://schemas.openxmlformats.org/officeDocument/2006/relationships/hyperlink" Target="https://www.facebook.com/groups/221580229175240/?multi_permalinks=1482841259715791" TargetMode="External"/><Relationship Id="rId435" Type="http://schemas.openxmlformats.org/officeDocument/2006/relationships/hyperlink" Target="https://www.facebook.com/sriyonosukses/posts/pfbid022mXPdxvE9sijpWQZ17qMVvfNLoEK8C7xPZJZHi74Th1vGE3VKFaNSskXZRw6Rj8Dl" TargetMode="External"/><Relationship Id="rId434" Type="http://schemas.openxmlformats.org/officeDocument/2006/relationships/hyperlink" Target="https://www.facebook.com/edy.mulyadi.28348/posts/pfbid0kVWi7LdTAXrhkYbY2F4pF2kivDxHvKgLiJUUffg52aLdazJNtE7VS91rcV3z9oXUl?rdid=YFnHv0vAYA9luca4" TargetMode="External"/><Relationship Id="rId439" Type="http://schemas.openxmlformats.org/officeDocument/2006/relationships/hyperlink" Target="https://www.facebook.com/groups/882222322392995/posts/1818900495391835/" TargetMode="External"/><Relationship Id="rId438" Type="http://schemas.openxmlformats.org/officeDocument/2006/relationships/hyperlink" Target="https://www.facebook.com/groups/1499992370958626/?multi_permalinks=1590152538609275" TargetMode="External"/><Relationship Id="rId2590" Type="http://schemas.openxmlformats.org/officeDocument/2006/relationships/hyperlink" Target="https://x.com/pakaipeci/status/2009086511757894026?t=R9q_Yg5DB5yD8Lm7kdP12w&amp;s=35" TargetMode="External"/><Relationship Id="rId1260" Type="http://schemas.openxmlformats.org/officeDocument/2006/relationships/hyperlink" Target="https://www.facebook.com/groups/1439336049598659/?multi_permalinks=2838908159641434&amp;hoisted_section_header_type=recently_seen" TargetMode="External"/><Relationship Id="rId2591" Type="http://schemas.openxmlformats.org/officeDocument/2006/relationships/hyperlink" Target="https://x.com/Tan_Mar3M/status/2009286701315772458?t=-kmmJmmPa3HlTbhKaxqCiA&amp;s=35" TargetMode="External"/><Relationship Id="rId1261" Type="http://schemas.openxmlformats.org/officeDocument/2006/relationships/hyperlink" Target="https://www.facebook.com/groups/1010933189941887/?multi_permalinks=1360652098303326&amp;hoisted_section_header_type=recently_seen" TargetMode="External"/><Relationship Id="rId2592" Type="http://schemas.openxmlformats.org/officeDocument/2006/relationships/hyperlink" Target="https://x.com/M3di4Upd4t3/status/2009465382634205418?t=mNI7uGEMvCeKiGflpCnbjg&amp;s=35" TargetMode="External"/><Relationship Id="rId1262" Type="http://schemas.openxmlformats.org/officeDocument/2006/relationships/hyperlink" Target="https://www.facebook.com/je.nabe.33/posts/pfbid031khTSEHTvxajkwBiFimE5E31vpp429PEcLBRjXV8bm3d7pD5sZm4VsJzsiPJeRYBl?rdid=6clwvVCSDaajTR54" TargetMode="External"/><Relationship Id="rId2593" Type="http://schemas.openxmlformats.org/officeDocument/2006/relationships/hyperlink" Target="https://x.com/MichelAdam1515/status/2009462650133168617?t=5j2DuLfghg_Uw7d4Yyyitw&amp;s=35" TargetMode="External"/><Relationship Id="rId1263" Type="http://schemas.openxmlformats.org/officeDocument/2006/relationships/hyperlink" Target="https://drive.google.com/open?id=181M6Jncywyjk1Quzpt8mUUkhD92NuRiV&amp;usp=drive_copy" TargetMode="External"/><Relationship Id="rId2594" Type="http://schemas.openxmlformats.org/officeDocument/2006/relationships/hyperlink" Target="https://twitter.com/Anak__Ogi/status/2009445651428594005?t=PFUg-yR678gVQoPCGgIHNA&amp;s=19" TargetMode="External"/><Relationship Id="rId433" Type="http://schemas.openxmlformats.org/officeDocument/2006/relationships/hyperlink" Target="https://www.facebook.com/reel/1329374435248551" TargetMode="External"/><Relationship Id="rId1264" Type="http://schemas.openxmlformats.org/officeDocument/2006/relationships/hyperlink" Target="https://www.facebook.com/61565653801596/posts/pfbid02PUyTTq7WSNNhJBCLbDEHD1aPE15tcxeAp6USTuRZxydjFJYiLak7bZNpReokWtQkl/?app=fbl" TargetMode="External"/><Relationship Id="rId2595" Type="http://schemas.openxmlformats.org/officeDocument/2006/relationships/hyperlink" Target="https://x.com/didiek_murdock/status/2009514048531124725?t=nLaw7H_nOb0o8XlvVPRM1w&amp;s=35" TargetMode="External"/><Relationship Id="rId432" Type="http://schemas.openxmlformats.org/officeDocument/2006/relationships/hyperlink" Target="https://www.tiktok.com/@mr.bejo.wage/video/7551091790787529990" TargetMode="External"/><Relationship Id="rId1265" Type="http://schemas.openxmlformats.org/officeDocument/2006/relationships/hyperlink" Target="https://drive.google.com/open?id=1hsS6GHn8vPoZyU2B37FCUE-SakCkRVby&amp;usp=drive_copy" TargetMode="External"/><Relationship Id="rId2596" Type="http://schemas.openxmlformats.org/officeDocument/2006/relationships/hyperlink" Target="https://www.tiktok.com/@ayra.humayraa0/video/7593657047808281877" TargetMode="External"/><Relationship Id="rId431" Type="http://schemas.openxmlformats.org/officeDocument/2006/relationships/hyperlink" Target="https://www.tiktok.com/@halimhalim9946fi/video/7550960146726309176?q=nepalkan&amp;t=1758133830856" TargetMode="External"/><Relationship Id="rId1266" Type="http://schemas.openxmlformats.org/officeDocument/2006/relationships/hyperlink" Target="https://www.facebook.com/groups/9767428643312271/posts/24966474886314399/" TargetMode="External"/><Relationship Id="rId2597" Type="http://schemas.openxmlformats.org/officeDocument/2006/relationships/hyperlink" Target="https://www.tiktok.com/@tchello_ai/video/7591967134448684308" TargetMode="External"/><Relationship Id="rId430" Type="http://schemas.openxmlformats.org/officeDocument/2006/relationships/hyperlink" Target="https://www.tiktok.com/@predator.predator91" TargetMode="External"/><Relationship Id="rId1267" Type="http://schemas.openxmlformats.org/officeDocument/2006/relationships/hyperlink" Target="https://www.facebook.com/groups/9767428643312271/posts/24965697746392113/" TargetMode="External"/><Relationship Id="rId2598" Type="http://schemas.openxmlformats.org/officeDocument/2006/relationships/hyperlink" Target="https://x.com/PEOPLEOFTHELIE4/status/2009842362672132355" TargetMode="External"/><Relationship Id="rId3070" Type="http://schemas.openxmlformats.org/officeDocument/2006/relationships/hyperlink" Target="https://web.facebook.com/groups/3798955057049943/posts/4237296016549176/" TargetMode="External"/><Relationship Id="rId3072" Type="http://schemas.openxmlformats.org/officeDocument/2006/relationships/hyperlink" Target="https://web.facebook.com/groups/3798955057049943/posts/4222265574718887/" TargetMode="External"/><Relationship Id="rId3071" Type="http://schemas.openxmlformats.org/officeDocument/2006/relationships/hyperlink" Target="https://web.facebook.com/groups/3798955057049943/posts/4227243357554442/" TargetMode="External"/><Relationship Id="rId3074" Type="http://schemas.openxmlformats.org/officeDocument/2006/relationships/hyperlink" Target="https://www.youtube.com/@RealitasSocial" TargetMode="External"/><Relationship Id="rId3073" Type="http://schemas.openxmlformats.org/officeDocument/2006/relationships/hyperlink" Target="https://www.facebook.com/photo?fbid=876592228069236&amp;set=a.197446775983788" TargetMode="External"/><Relationship Id="rId3076" Type="http://schemas.openxmlformats.org/officeDocument/2006/relationships/hyperlink" Target="https://www.facebook.com/share/r/1Ay4uamgMy/" TargetMode="External"/><Relationship Id="rId3075" Type="http://schemas.openxmlformats.org/officeDocument/2006/relationships/hyperlink" Target="https://www.facebook.com/share/p/1G1CuSwCnp/" TargetMode="External"/><Relationship Id="rId3078" Type="http://schemas.openxmlformats.org/officeDocument/2006/relationships/hyperlink" Target="https://www.facebook.com/share/r/1Bx1ojxNud/" TargetMode="External"/><Relationship Id="rId3077" Type="http://schemas.openxmlformats.org/officeDocument/2006/relationships/hyperlink" Target="https://www.facebook.com/share/r/1RhjMnPhAK/" TargetMode="External"/><Relationship Id="rId3079" Type="http://schemas.openxmlformats.org/officeDocument/2006/relationships/hyperlink" Target="https://www.facebook.com/reel/869877712045977" TargetMode="External"/><Relationship Id="rId3061" Type="http://schemas.openxmlformats.org/officeDocument/2006/relationships/hyperlink" Target="https://www.facebook.com/share/r/16dkBLbHyC/" TargetMode="External"/><Relationship Id="rId3060" Type="http://schemas.openxmlformats.org/officeDocument/2006/relationships/hyperlink" Target="https://www.facebook.com/share/v/17d3psnYp9/" TargetMode="External"/><Relationship Id="rId3063" Type="http://schemas.openxmlformats.org/officeDocument/2006/relationships/hyperlink" Target="https://www.facebook.com/share/p/1FBRSvXnce/" TargetMode="External"/><Relationship Id="rId3062" Type="http://schemas.openxmlformats.org/officeDocument/2006/relationships/hyperlink" Target="https://www.facebook.com/share/v/1ACDcnLWau/" TargetMode="External"/><Relationship Id="rId3065" Type="http://schemas.openxmlformats.org/officeDocument/2006/relationships/hyperlink" Target="https://www.facebook.com/share/v/1Be1wmFLHa/" TargetMode="External"/><Relationship Id="rId3064" Type="http://schemas.openxmlformats.org/officeDocument/2006/relationships/hyperlink" Target="https://www.facebook.com/share/r/1AeLoo6Ajs/" TargetMode="External"/><Relationship Id="rId3067" Type="http://schemas.openxmlformats.org/officeDocument/2006/relationships/hyperlink" Target="https://x.com/AbuNawa48105494/status/2000031978192871787?s=20" TargetMode="External"/><Relationship Id="rId3066" Type="http://schemas.openxmlformats.org/officeDocument/2006/relationships/hyperlink" Target="https://x.com/irhandy_santoso/status/2000070268035936275?s=20" TargetMode="External"/><Relationship Id="rId3069" Type="http://schemas.openxmlformats.org/officeDocument/2006/relationships/hyperlink" Target="https://web.facebook.com/groups/3798955057049943/posts/4257651531180291/" TargetMode="External"/><Relationship Id="rId3068" Type="http://schemas.openxmlformats.org/officeDocument/2006/relationships/hyperlink" Target="https://web.facebook.com/groups/3798955057049943/posts/4259626724316105/" TargetMode="External"/><Relationship Id="rId3090" Type="http://schemas.openxmlformats.org/officeDocument/2006/relationships/hyperlink" Target="https://www.facebook.com/profile.php?id=61572892911849" TargetMode="External"/><Relationship Id="rId3092" Type="http://schemas.openxmlformats.org/officeDocument/2006/relationships/hyperlink" Target="https://www.facebook.com/profile.php?id=61582883850605" TargetMode="External"/><Relationship Id="rId3091" Type="http://schemas.openxmlformats.org/officeDocument/2006/relationships/hyperlink" Target="https://www.facebook.com/profile.php?id=61574998711591" TargetMode="External"/><Relationship Id="rId3094" Type="http://schemas.openxmlformats.org/officeDocument/2006/relationships/hyperlink" Target="https://www.facebook.com/profile.php?id=61582935637690" TargetMode="External"/><Relationship Id="rId3093" Type="http://schemas.openxmlformats.org/officeDocument/2006/relationships/hyperlink" Target="https://tirto.id/hoaks-bantuan-dana-untuk-gereja-dari-kemenag-kedubes-australia-hmL4" TargetMode="External"/><Relationship Id="rId3096" Type="http://schemas.openxmlformats.org/officeDocument/2006/relationships/hyperlink" Target="https://www.facebook.com/profile.php?id=61584100706674" TargetMode="External"/><Relationship Id="rId3095" Type="http://schemas.openxmlformats.org/officeDocument/2006/relationships/hyperlink" Target="https://tirto.id/hoaks-bantuan-dana-untuk-gereja-dari-kemenag-kedubes-australia-hmL4" TargetMode="External"/><Relationship Id="rId3098" Type="http://schemas.openxmlformats.org/officeDocument/2006/relationships/hyperlink" Target="https://www.facebook.com/profile.php?id=61584592954390" TargetMode="External"/><Relationship Id="rId3097" Type="http://schemas.openxmlformats.org/officeDocument/2006/relationships/hyperlink" Target="https://www.facebook.com/profile.php?id=61584493601943" TargetMode="External"/><Relationship Id="rId3099" Type="http://schemas.openxmlformats.org/officeDocument/2006/relationships/hyperlink" Target="https://www.facebook.com/profile.php?id=61584664184070" TargetMode="External"/><Relationship Id="rId3081" Type="http://schemas.openxmlformats.org/officeDocument/2006/relationships/hyperlink" Target="https://www.idntimes.com/news/indonesia/cek-fakta-pemerintah-gelontorkan-triliunan-rupiah-ke-aceh-usai-banjir-00-xvwcc-3nwndl" TargetMode="External"/><Relationship Id="rId3080" Type="http://schemas.openxmlformats.org/officeDocument/2006/relationships/hyperlink" Target="https://vt.tiktok.com/ZSPPF5sg1/" TargetMode="External"/><Relationship Id="rId3083" Type="http://schemas.openxmlformats.org/officeDocument/2006/relationships/hyperlink" Target="https://vt.tiktok.com/ZSPPY4sGs/" TargetMode="External"/><Relationship Id="rId3082" Type="http://schemas.openxmlformats.org/officeDocument/2006/relationships/hyperlink" Target="https://vt.tiktok.com/ZSPPF71ag/" TargetMode="External"/><Relationship Id="rId3085" Type="http://schemas.openxmlformats.org/officeDocument/2006/relationships/hyperlink" Target="https://vt.tiktok.com/ZSPPYdTtX/" TargetMode="External"/><Relationship Id="rId3084" Type="http://schemas.openxmlformats.org/officeDocument/2006/relationships/hyperlink" Target="https://www.youtube.com/watch?v=mV76HHDJu0A&amp;embeds_referring_euri=https%3A%2F%2Fwww.bing.com%2F&amp;embeds_referring_origin=https%3A%2F%2Fwww.bing.com&amp;source_ve_path=MjM4NTE" TargetMode="External"/><Relationship Id="rId3087" Type="http://schemas.openxmlformats.org/officeDocument/2006/relationships/hyperlink" Target="https://vt.tiktok.com/ZSPPYnLNp/" TargetMode="External"/><Relationship Id="rId3086" Type="http://schemas.openxmlformats.org/officeDocument/2006/relationships/hyperlink" Target="https://vt.tiktok.com/ZSPPYdYbe/" TargetMode="External"/><Relationship Id="rId3089" Type="http://schemas.openxmlformats.org/officeDocument/2006/relationships/hyperlink" Target="https://www.facebook.com/profile.php?id=61569300718170" TargetMode="External"/><Relationship Id="rId3088" Type="http://schemas.openxmlformats.org/officeDocument/2006/relationships/hyperlink" Target="https://www.facebook.com/danabantuandaripresidenriprabowosubianto" TargetMode="External"/><Relationship Id="rId3039" Type="http://schemas.openxmlformats.org/officeDocument/2006/relationships/hyperlink" Target="https://x.com/ArdieSuhardi321/status/1999689606015631373" TargetMode="External"/><Relationship Id="rId1" Type="http://schemas.openxmlformats.org/officeDocument/2006/relationships/hyperlink" Target="https://www.facebook.com/reel/4123019804633671" TargetMode="External"/><Relationship Id="rId2" Type="http://schemas.openxmlformats.org/officeDocument/2006/relationships/hyperlink" Target="https://x.com/fransis74201222/status/1963889901809627600" TargetMode="External"/><Relationship Id="rId3" Type="http://schemas.openxmlformats.org/officeDocument/2006/relationships/hyperlink" Target="https://x.com/vdsyst3msx/status/1961828764314395007?s=46" TargetMode="External"/><Relationship Id="rId4" Type="http://schemas.openxmlformats.org/officeDocument/2006/relationships/hyperlink" Target="https://www.facebook.com/photo?fbid=833262655691021" TargetMode="External"/><Relationship Id="rId3030" Type="http://schemas.openxmlformats.org/officeDocument/2006/relationships/hyperlink" Target="https://www.tiktok.com/@imusnyak768/video/7582800994203880711?_t=ZS-92AJsgAGGzR&amp;_r=1" TargetMode="External"/><Relationship Id="rId9" Type="http://schemas.openxmlformats.org/officeDocument/2006/relationships/hyperlink" Target="https://www.tiktok.com/@tuanmudatiro/video/7546594594968898834?_r=1&amp;_t=ZS-8zUXYRYN4at" TargetMode="External"/><Relationship Id="rId3032" Type="http://schemas.openxmlformats.org/officeDocument/2006/relationships/hyperlink" Target="https://www.tiktok.com/@teukuamex1976/video/7582601987603107092?_r=1&amp;_t=ZS-92AK0WR7y2i" TargetMode="External"/><Relationship Id="rId3031" Type="http://schemas.openxmlformats.org/officeDocument/2006/relationships/hyperlink" Target="http://tiktok.com/@hudeup_mulia_mate_syahid/video/7580497773129141512?_t=ZS-92AJxh2k06C&amp;_r=1" TargetMode="External"/><Relationship Id="rId3034" Type="http://schemas.openxmlformats.org/officeDocument/2006/relationships/hyperlink" Target="https://www.facebook.com/groups/523183267134157/posts/838983485554132/" TargetMode="External"/><Relationship Id="rId3033" Type="http://schemas.openxmlformats.org/officeDocument/2006/relationships/hyperlink" Target="https://www.facebook.com/groups/523183267134157/posts/842458458539968/" TargetMode="External"/><Relationship Id="rId5" Type="http://schemas.openxmlformats.org/officeDocument/2006/relationships/hyperlink" Target="https://web.facebook.com/reel/765573856278973" TargetMode="External"/><Relationship Id="rId3036" Type="http://schemas.openxmlformats.org/officeDocument/2006/relationships/hyperlink" Target="https://www.tiktok.com/@garehindatu/video/7582888223026842898" TargetMode="External"/><Relationship Id="rId6" Type="http://schemas.openxmlformats.org/officeDocument/2006/relationships/hyperlink" Target="https://web.facebook.com/leni.arlina.961/posts/pfbid034Ua4r2y9AAxjENUiJiCAhCt1UHS397BugQTkEL7MXE4rpL5YPqbi2gfVBTKFeEU9l" TargetMode="External"/><Relationship Id="rId3035" Type="http://schemas.openxmlformats.org/officeDocument/2006/relationships/hyperlink" Target="https://www.facebook.com/reel/1504545010811814" TargetMode="External"/><Relationship Id="rId7" Type="http://schemas.openxmlformats.org/officeDocument/2006/relationships/hyperlink" Target="https://www.tiktok.com/@j.an577/video/7544027935993253126" TargetMode="External"/><Relationship Id="rId3038" Type="http://schemas.openxmlformats.org/officeDocument/2006/relationships/hyperlink" Target="https://www.tiktok.com/@sid_aj00/video/7533135517332819207" TargetMode="External"/><Relationship Id="rId8" Type="http://schemas.openxmlformats.org/officeDocument/2006/relationships/hyperlink" Target="https://x.com/HaryaWee/status/1963764427875914147" TargetMode="External"/><Relationship Id="rId3037" Type="http://schemas.openxmlformats.org/officeDocument/2006/relationships/hyperlink" Target="https://www.tiktok.com/@chutnaylanyakputroeaulia/video/7582478391987719431" TargetMode="External"/><Relationship Id="rId3029" Type="http://schemas.openxmlformats.org/officeDocument/2006/relationships/hyperlink" Target="https://x.com/achehsultanate/status/1999231085641891925" TargetMode="External"/><Relationship Id="rId3028" Type="http://schemas.openxmlformats.org/officeDocument/2006/relationships/hyperlink" Target="https://www.facebook.com/share/p/165cxdj3JU/" TargetMode="External"/><Relationship Id="rId3021" Type="http://schemas.openxmlformats.org/officeDocument/2006/relationships/hyperlink" Target="https://www.facebook.com/share/p/17avoVeeTo/" TargetMode="External"/><Relationship Id="rId3020" Type="http://schemas.openxmlformats.org/officeDocument/2006/relationships/hyperlink" Target="https://www.facebook.com/share/p/1GUHnaEFHk/" TargetMode="External"/><Relationship Id="rId3023" Type="http://schemas.openxmlformats.org/officeDocument/2006/relationships/hyperlink" Target="https://x.com/SaufyJauhary/status/1998661996536017395" TargetMode="External"/><Relationship Id="rId3022" Type="http://schemas.openxmlformats.org/officeDocument/2006/relationships/hyperlink" Target="https://x.com/amiryogi/status/1999109078778535964" TargetMode="External"/><Relationship Id="rId3025" Type="http://schemas.openxmlformats.org/officeDocument/2006/relationships/hyperlink" Target="https://x.com/achehsultanate/status/1999265004395303389" TargetMode="External"/><Relationship Id="rId3024" Type="http://schemas.openxmlformats.org/officeDocument/2006/relationships/hyperlink" Target="https://x.com/omizra/status/1999099461751185576" TargetMode="External"/><Relationship Id="rId3027" Type="http://schemas.openxmlformats.org/officeDocument/2006/relationships/hyperlink" Target="https://x.com/alfatih212426/status/1998999825820610897" TargetMode="External"/><Relationship Id="rId3026" Type="http://schemas.openxmlformats.org/officeDocument/2006/relationships/hyperlink" Target="https://x.com/indonesiaeffort/status/1998921378796597699" TargetMode="External"/><Relationship Id="rId3050" Type="http://schemas.openxmlformats.org/officeDocument/2006/relationships/hyperlink" Target="https://www.facebook.com/share/r/1BkSkB3TUU/" TargetMode="External"/><Relationship Id="rId3052" Type="http://schemas.openxmlformats.org/officeDocument/2006/relationships/hyperlink" Target="https://www.facebook.com/share/p/1WJ1h7W2Y6/" TargetMode="External"/><Relationship Id="rId3051" Type="http://schemas.openxmlformats.org/officeDocument/2006/relationships/hyperlink" Target="https://www.facebook.com/share/p/1Be14Mm6Nx/" TargetMode="External"/><Relationship Id="rId3054" Type="http://schemas.openxmlformats.org/officeDocument/2006/relationships/hyperlink" Target="https://x.com/arindraaa/status/1998939735348359422?s=20" TargetMode="External"/><Relationship Id="rId3053" Type="http://schemas.openxmlformats.org/officeDocument/2006/relationships/hyperlink" Target="https://www.facebook.com/share/r/1ALG38WVFg/" TargetMode="External"/><Relationship Id="rId3056" Type="http://schemas.openxmlformats.org/officeDocument/2006/relationships/hyperlink" Target="https://www.facebook.com/reel/3183068675196483" TargetMode="External"/><Relationship Id="rId3055" Type="http://schemas.openxmlformats.org/officeDocument/2006/relationships/hyperlink" Target="https://www.facebook.com/groups/766222896075905/permalink/893480553350138" TargetMode="External"/><Relationship Id="rId3058" Type="http://schemas.openxmlformats.org/officeDocument/2006/relationships/hyperlink" Target="https://www.facebook.com/reel/1223570866498950" TargetMode="External"/><Relationship Id="rId3057" Type="http://schemas.openxmlformats.org/officeDocument/2006/relationships/hyperlink" Target="https://www.facebook.com/rachwinsyah/videos/833512389577423/" TargetMode="External"/><Relationship Id="rId3059" Type="http://schemas.openxmlformats.org/officeDocument/2006/relationships/hyperlink" Target="https://x.com/secr3thm4nz56/status/1999347090900811902" TargetMode="External"/><Relationship Id="rId3041" Type="http://schemas.openxmlformats.org/officeDocument/2006/relationships/hyperlink" Target="https://x.com/KangAnfield8/status/1999817498649378920" TargetMode="External"/><Relationship Id="rId3040" Type="http://schemas.openxmlformats.org/officeDocument/2006/relationships/hyperlink" Target="https://x.com/benaradil/status/1999259993976242311" TargetMode="External"/><Relationship Id="rId3043" Type="http://schemas.openxmlformats.org/officeDocument/2006/relationships/hyperlink" Target="https://www.tiktok.com/@gerakansumateramerdeka" TargetMode="External"/><Relationship Id="rId3042" Type="http://schemas.openxmlformats.org/officeDocument/2006/relationships/hyperlink" Target="https://www.tiktok.com/@sumatra_merdeka12ags" TargetMode="External"/><Relationship Id="rId3045" Type="http://schemas.openxmlformats.org/officeDocument/2006/relationships/hyperlink" Target="https://www.facebook.com/share/r/1AKnSt9pAL/" TargetMode="External"/><Relationship Id="rId3044" Type="http://schemas.openxmlformats.org/officeDocument/2006/relationships/hyperlink" Target="https://x.com/triewahyu38/status/1999443859416428932?s=20" TargetMode="External"/><Relationship Id="rId3047" Type="http://schemas.openxmlformats.org/officeDocument/2006/relationships/hyperlink" Target="https://www.facebook.com/share/p/1McnquR1kY/" TargetMode="External"/><Relationship Id="rId3046" Type="http://schemas.openxmlformats.org/officeDocument/2006/relationships/hyperlink" Target="https://www.facebook.com/share/p/14PYD1DbFR8/" TargetMode="External"/><Relationship Id="rId3049" Type="http://schemas.openxmlformats.org/officeDocument/2006/relationships/hyperlink" Target="https://www.facebook.com/share/r/17vUziTWzE/" TargetMode="External"/><Relationship Id="rId3048" Type="http://schemas.openxmlformats.org/officeDocument/2006/relationships/hyperlink" Target="https://www.facebook.com/share/p/1WJWbcJXLU/" TargetMode="External"/><Relationship Id="rId2600" Type="http://schemas.openxmlformats.org/officeDocument/2006/relationships/hyperlink" Target="https://www.facebook.com/share/r/1bPNL2AVpC/" TargetMode="External"/><Relationship Id="rId2601" Type="http://schemas.openxmlformats.org/officeDocument/2006/relationships/hyperlink" Target="https://www.facebook.com/share/r/1GKYRPXUjZ/" TargetMode="External"/><Relationship Id="rId2602" Type="http://schemas.openxmlformats.org/officeDocument/2006/relationships/hyperlink" Target="https://x.com/ommi_siregar/status/2009035337419698370?t=Sjv7RCqE_nYZrepmEZNzbQ&amp;s=35" TargetMode="External"/><Relationship Id="rId2603" Type="http://schemas.openxmlformats.org/officeDocument/2006/relationships/hyperlink" Target="https://x.com/pakaipeci/status/2009086511757894026?t=PKJQDeOYuXQtsc_x4sgdtg&amp;s=35" TargetMode="External"/><Relationship Id="rId2604" Type="http://schemas.openxmlformats.org/officeDocument/2006/relationships/hyperlink" Target="https://x.com/Bambangmulyonoo/status/2009069513439134009?t=c3OHWuaE5vP5h1l3Kla8QQ&amp;s=35" TargetMode="External"/><Relationship Id="rId2605" Type="http://schemas.openxmlformats.org/officeDocument/2006/relationships/hyperlink" Target="https://x.com/BelengBeleng687/status/2008358907799105725" TargetMode="External"/><Relationship Id="rId2606" Type="http://schemas.openxmlformats.org/officeDocument/2006/relationships/hyperlink" Target="https://www.tiktok.com/@prab0wosubianto2" TargetMode="External"/><Relationship Id="rId808" Type="http://schemas.openxmlformats.org/officeDocument/2006/relationships/hyperlink" Target="https://www.tiktok.com/@agu..1945/video/7554536463862369547" TargetMode="External"/><Relationship Id="rId2607" Type="http://schemas.openxmlformats.org/officeDocument/2006/relationships/hyperlink" Target="https://x.com/MichelAdam1515/status/2009462650133168617" TargetMode="External"/><Relationship Id="rId807" Type="http://schemas.openxmlformats.org/officeDocument/2006/relationships/hyperlink" Target="https://www.tiktok.com/@mamanotoy456/video/7553940907519905031" TargetMode="External"/><Relationship Id="rId2608" Type="http://schemas.openxmlformats.org/officeDocument/2006/relationships/hyperlink" Target="https://www.tiktok.com/@zainalbfc/video/7592552267018931476" TargetMode="External"/><Relationship Id="rId806" Type="http://schemas.openxmlformats.org/officeDocument/2006/relationships/hyperlink" Target="https://x.com/Ind1509/status/1972466481146560834" TargetMode="External"/><Relationship Id="rId2609" Type="http://schemas.openxmlformats.org/officeDocument/2006/relationships/hyperlink" Target="https://www.tiktok.com/@ekalc1/video/7591146975119035655" TargetMode="External"/><Relationship Id="rId805" Type="http://schemas.openxmlformats.org/officeDocument/2006/relationships/hyperlink" Target="https://x.com/in_hoping/status/1972644533172417002" TargetMode="External"/><Relationship Id="rId809" Type="http://schemas.openxmlformats.org/officeDocument/2006/relationships/hyperlink" Target="https://www.tiktok.com/@zainal.abidin.824/video/7554296409172872466" TargetMode="External"/><Relationship Id="rId800" Type="http://schemas.openxmlformats.org/officeDocument/2006/relationships/hyperlink" Target="https://www.tiktok.com/@keripiksingkong40/video/7555158914057227538?_r=1&amp;_t=ZS-907TnVj3wIv" TargetMode="External"/><Relationship Id="rId804" Type="http://schemas.openxmlformats.org/officeDocument/2006/relationships/hyperlink" Target="https://x.com/secr3thm4nz56/status/1972559570385141860" TargetMode="External"/><Relationship Id="rId803" Type="http://schemas.openxmlformats.org/officeDocument/2006/relationships/hyperlink" Target="https://www.tiktok.com/@kamudihatiku98/video/7555380944048377100" TargetMode="External"/><Relationship Id="rId802" Type="http://schemas.openxmlformats.org/officeDocument/2006/relationships/hyperlink" Target="https://www.tiktok.com/@rudi.piono/video/7555301211969244434?_r=1&amp;_t=ZS-907hsUZFW6e" TargetMode="External"/><Relationship Id="rId801" Type="http://schemas.openxmlformats.org/officeDocument/2006/relationships/hyperlink" Target="https://www.tiktok.com/@aktivisosmed.id/video/7555037432647929099?_r=1&amp;_t=ZS-907hpxnF06e" TargetMode="External"/><Relationship Id="rId1334" Type="http://schemas.openxmlformats.org/officeDocument/2006/relationships/hyperlink" Target="https://vt.tiktok.com/ZSfxJTMut/" TargetMode="External"/><Relationship Id="rId2665" Type="http://schemas.openxmlformats.org/officeDocument/2006/relationships/hyperlink" Target="https://x.com/MafiosoGengSolo/status/2008077516452544977" TargetMode="External"/><Relationship Id="rId1335" Type="http://schemas.openxmlformats.org/officeDocument/2006/relationships/hyperlink" Target="https://vt.tiktok.com/ZSfxeXswQ/" TargetMode="External"/><Relationship Id="rId2666" Type="http://schemas.openxmlformats.org/officeDocument/2006/relationships/hyperlink" Target="https://x.com/MisterVakum/status/2008064379284271442" TargetMode="External"/><Relationship Id="rId1336" Type="http://schemas.openxmlformats.org/officeDocument/2006/relationships/hyperlink" Target="https://vt.tiktok.com/ZSfxeQFtX/" TargetMode="External"/><Relationship Id="rId2667" Type="http://schemas.openxmlformats.org/officeDocument/2006/relationships/hyperlink" Target="https://www.facebook.com/share/v/1bgVfMe3vk/" TargetMode="External"/><Relationship Id="rId1337" Type="http://schemas.openxmlformats.org/officeDocument/2006/relationships/hyperlink" Target="https://vt.tiktok.com/ZSfxdF6Gj/" TargetMode="External"/><Relationship Id="rId2668" Type="http://schemas.openxmlformats.org/officeDocument/2006/relationships/hyperlink" Target="https://www.facebook.com/share/r/1ApX83umLm/" TargetMode="External"/><Relationship Id="rId1338" Type="http://schemas.openxmlformats.org/officeDocument/2006/relationships/hyperlink" Target="https://x.com/MuhammadDjazul1/status/1994306163999969319" TargetMode="External"/><Relationship Id="rId2669" Type="http://schemas.openxmlformats.org/officeDocument/2006/relationships/hyperlink" Target="https://www.facebook.com/share/r/1Hc94MaF7J/" TargetMode="External"/><Relationship Id="rId1339" Type="http://schemas.openxmlformats.org/officeDocument/2006/relationships/hyperlink" Target="https://x.com/NomerSi_ali/status/1994419078107402309" TargetMode="External"/><Relationship Id="rId745" Type="http://schemas.openxmlformats.org/officeDocument/2006/relationships/hyperlink" Target="https://vt.tiktok.com/ZSDsps1bv/" TargetMode="External"/><Relationship Id="rId744" Type="http://schemas.openxmlformats.org/officeDocument/2006/relationships/hyperlink" Target="https://vt.tiktok.com/ZSDspboAr/" TargetMode="External"/><Relationship Id="rId743" Type="http://schemas.openxmlformats.org/officeDocument/2006/relationships/hyperlink" Target="https://vt.tiktok.com/ZSDsprgNL/" TargetMode="External"/><Relationship Id="rId742" Type="http://schemas.openxmlformats.org/officeDocument/2006/relationships/hyperlink" Target="https://vt.tiktok.com/ZSDpPu2fV/" TargetMode="External"/><Relationship Id="rId749" Type="http://schemas.openxmlformats.org/officeDocument/2006/relationships/hyperlink" Target="https://vt.tiktok.com/ZSDG89eRm/" TargetMode="External"/><Relationship Id="rId748" Type="http://schemas.openxmlformats.org/officeDocument/2006/relationships/hyperlink" Target="https://vt.tiktok.com/ZSDG8CsEc/" TargetMode="External"/><Relationship Id="rId747" Type="http://schemas.openxmlformats.org/officeDocument/2006/relationships/hyperlink" Target="https://vt.tiktok.com/ZSDssM6Yy/" TargetMode="External"/><Relationship Id="rId746" Type="http://schemas.openxmlformats.org/officeDocument/2006/relationships/hyperlink" Target="https://vt.tiktok.com/ZSDssRb8X/" TargetMode="External"/><Relationship Id="rId2660" Type="http://schemas.openxmlformats.org/officeDocument/2006/relationships/hyperlink" Target="https://www.facebook.com/share/p/14NMHL7TZ37/" TargetMode="External"/><Relationship Id="rId741" Type="http://schemas.openxmlformats.org/officeDocument/2006/relationships/hyperlink" Target="https://vt.tiktok.com/ZSDpfpLM3/" TargetMode="External"/><Relationship Id="rId1330" Type="http://schemas.openxmlformats.org/officeDocument/2006/relationships/hyperlink" Target="https://www.facebook.com/sarjawan.gede/posts/pfbid035zRUVAzn87JxjsqtvAZgNcwC2xvW9v35WAgDyt8kuqHJRmSmSkJUADpJTXtQyge8l" TargetMode="External"/><Relationship Id="rId2661" Type="http://schemas.openxmlformats.org/officeDocument/2006/relationships/hyperlink" Target="https://x.com/mukabeton/status/2008372216505762249" TargetMode="External"/><Relationship Id="rId740" Type="http://schemas.openxmlformats.org/officeDocument/2006/relationships/hyperlink" Target="https://www.tiktok.com/@rusda.wati4/video/7554556129896942866?is_from_webapp=1&amp;sender_device=pc&amp;web_id=7498917195896882696" TargetMode="External"/><Relationship Id="rId1331" Type="http://schemas.openxmlformats.org/officeDocument/2006/relationships/hyperlink" Target="https://www.facebook.com/groups/298513263542390/?multi_permalinks=25231725343127837" TargetMode="External"/><Relationship Id="rId2662" Type="http://schemas.openxmlformats.org/officeDocument/2006/relationships/hyperlink" Target="https://x.com/langitbirubth/status/2008145440173416544" TargetMode="External"/><Relationship Id="rId1332" Type="http://schemas.openxmlformats.org/officeDocument/2006/relationships/hyperlink" Target="https://x.com/jagosputra06/status/1994022937805066531" TargetMode="External"/><Relationship Id="rId2663" Type="http://schemas.openxmlformats.org/officeDocument/2006/relationships/hyperlink" Target="https://www.facebook.com/share/p/1JAeS11VYz/" TargetMode="External"/><Relationship Id="rId1333" Type="http://schemas.openxmlformats.org/officeDocument/2006/relationships/hyperlink" Target="https://vt.tiktok.com/ZSfxJ3MDE/" TargetMode="External"/><Relationship Id="rId2664" Type="http://schemas.openxmlformats.org/officeDocument/2006/relationships/hyperlink" Target="https://www.facebook.com/share/p/1SBbuzkw6T/" TargetMode="External"/><Relationship Id="rId1323" Type="http://schemas.openxmlformats.org/officeDocument/2006/relationships/hyperlink" Target="https://x.com/Joxplalong/status/1993575174021824894" TargetMode="External"/><Relationship Id="rId2654" Type="http://schemas.openxmlformats.org/officeDocument/2006/relationships/hyperlink" Target="https://vt.tiktok.com/ZS599L6ND/" TargetMode="External"/><Relationship Id="rId1324" Type="http://schemas.openxmlformats.org/officeDocument/2006/relationships/hyperlink" Target="https://x.com/b3l4h4nh4t1ku_/status/1993569473379606856" TargetMode="External"/><Relationship Id="rId2655" Type="http://schemas.openxmlformats.org/officeDocument/2006/relationships/hyperlink" Target="https://www.facebook.com/share/p/18HvNECiNQ/" TargetMode="External"/><Relationship Id="rId1325" Type="http://schemas.openxmlformats.org/officeDocument/2006/relationships/hyperlink" Target="https://x.com/Amrizaldy511/status/1993466585873576251" TargetMode="External"/><Relationship Id="rId2656" Type="http://schemas.openxmlformats.org/officeDocument/2006/relationships/hyperlink" Target="https://www.facebook.com/share/p/17qVGJLrrV/" TargetMode="External"/><Relationship Id="rId1326" Type="http://schemas.openxmlformats.org/officeDocument/2006/relationships/hyperlink" Target="https://vt.tiktok.com/ZSfufXhdy/" TargetMode="External"/><Relationship Id="rId2657" Type="http://schemas.openxmlformats.org/officeDocument/2006/relationships/hyperlink" Target="https://www.facebook.com/share/p/17qMnENeqy/" TargetMode="External"/><Relationship Id="rId1327" Type="http://schemas.openxmlformats.org/officeDocument/2006/relationships/hyperlink" Target="https://x.com/decepticon073/status/1993975970152501249" TargetMode="External"/><Relationship Id="rId2658" Type="http://schemas.openxmlformats.org/officeDocument/2006/relationships/hyperlink" Target="https://www.instagram.com/reel/DTIxeUGEweh/?igsh=MWNrdGdraTI1cG41Yg==" TargetMode="External"/><Relationship Id="rId1328" Type="http://schemas.openxmlformats.org/officeDocument/2006/relationships/hyperlink" Target="https://www.facebook.com/hi.dayat.144972/posts/pfbid0Edb9gRdmS6QCGcqS4XLU3G7xB7s7EnkaxvChXBCu4ePZZR8XXb5YF6Tc6mBcDSSwl" TargetMode="External"/><Relationship Id="rId2659" Type="http://schemas.openxmlformats.org/officeDocument/2006/relationships/hyperlink" Target="https://www.facebook.com/share/r/1ANg1AS54A/" TargetMode="External"/><Relationship Id="rId1329" Type="http://schemas.openxmlformats.org/officeDocument/2006/relationships/hyperlink" Target="https://www.facebook.com/PETIR.ICE/videos/1929643401233635" TargetMode="External"/><Relationship Id="rId739" Type="http://schemas.openxmlformats.org/officeDocument/2006/relationships/hyperlink" Target="https://x.com/suwoto1219169/status/1971749821087399942" TargetMode="External"/><Relationship Id="rId734" Type="http://schemas.openxmlformats.org/officeDocument/2006/relationships/hyperlink" Target="https://vt.tiktok.com/ZSDpkprgK/" TargetMode="External"/><Relationship Id="rId733" Type="http://schemas.openxmlformats.org/officeDocument/2006/relationships/hyperlink" Target="https://vt.tiktok.com/ZSDpkQScs/" TargetMode="External"/><Relationship Id="rId732" Type="http://schemas.openxmlformats.org/officeDocument/2006/relationships/hyperlink" Target="https://www.facebook.com/mochamad.irvan.5/posts/pfbid0Q7s4WpnzbvUwfb8cRyU3tZmwVfPjqVDiyESWyY5E6TvskewPihJ7Hrxhk5vdsmPLl?rdid=ZVh4qc9GcvhpB10C" TargetMode="External"/><Relationship Id="rId731" Type="http://schemas.openxmlformats.org/officeDocument/2006/relationships/hyperlink" Target="https://www.instagram.com/p/DNr8rpHz7_O/" TargetMode="External"/><Relationship Id="rId738" Type="http://schemas.openxmlformats.org/officeDocument/2006/relationships/hyperlink" Target="https://x.com/INRI2025/status/1971742508989534622" TargetMode="External"/><Relationship Id="rId737" Type="http://schemas.openxmlformats.org/officeDocument/2006/relationships/hyperlink" Target="https://vt.tiktok.com/ZSDpB5FM4/" TargetMode="External"/><Relationship Id="rId736" Type="http://schemas.openxmlformats.org/officeDocument/2006/relationships/hyperlink" Target="https://vt.tiktok.com/ZSDpBNm2h/" TargetMode="External"/><Relationship Id="rId735" Type="http://schemas.openxmlformats.org/officeDocument/2006/relationships/hyperlink" Target="https://vt.tiktok.com/ZSDpBR3ds/" TargetMode="External"/><Relationship Id="rId730" Type="http://schemas.openxmlformats.org/officeDocument/2006/relationships/hyperlink" Target="https://www.instagram.com/p/DOpoknvgZgj/" TargetMode="External"/><Relationship Id="rId2650" Type="http://schemas.openxmlformats.org/officeDocument/2006/relationships/hyperlink" Target="https://www.facebook.com/share/r/17jyX2WST8/" TargetMode="External"/><Relationship Id="rId1320" Type="http://schemas.openxmlformats.org/officeDocument/2006/relationships/hyperlink" Target="https://www.facebook.com/groups/456481828956436/" TargetMode="External"/><Relationship Id="rId2651" Type="http://schemas.openxmlformats.org/officeDocument/2006/relationships/hyperlink" Target="https://www.facebook.com/share/v/1MPssCYm5z/" TargetMode="External"/><Relationship Id="rId1321" Type="http://schemas.openxmlformats.org/officeDocument/2006/relationships/hyperlink" Target="https://www.facebook.com/groups/177498100731007/" TargetMode="External"/><Relationship Id="rId2652" Type="http://schemas.openxmlformats.org/officeDocument/2006/relationships/hyperlink" Target="https://www.facebook.com/share/p/17trzcfZss/" TargetMode="External"/><Relationship Id="rId1322" Type="http://schemas.openxmlformats.org/officeDocument/2006/relationships/hyperlink" Target="https://x.com/navisa_cm/status/1993494071147741525?t=16hF7NC691RaiaZgucr84A&amp;s=08" TargetMode="External"/><Relationship Id="rId2653" Type="http://schemas.openxmlformats.org/officeDocument/2006/relationships/hyperlink" Target="https://x.com/ArdieSuhardi321/status/2008773985883009516" TargetMode="External"/><Relationship Id="rId1356" Type="http://schemas.openxmlformats.org/officeDocument/2006/relationships/hyperlink" Target="https://www.facebook.com/share/p/1Cm8QxCJMC/" TargetMode="External"/><Relationship Id="rId2687" Type="http://schemas.openxmlformats.org/officeDocument/2006/relationships/hyperlink" Target="https://x.com/bravojumadi/status/2007500595855540621" TargetMode="External"/><Relationship Id="rId1357" Type="http://schemas.openxmlformats.org/officeDocument/2006/relationships/hyperlink" Target="https://www.facebook.com/share/p/17WRwhubFA/" TargetMode="External"/><Relationship Id="rId2688" Type="http://schemas.openxmlformats.org/officeDocument/2006/relationships/hyperlink" Target="https://vt.tiktok.com/ZS555mc2Q/" TargetMode="External"/><Relationship Id="rId1358" Type="http://schemas.openxmlformats.org/officeDocument/2006/relationships/hyperlink" Target="https://www.facebook.com/share/p/1DQCY3vN3m/" TargetMode="External"/><Relationship Id="rId2689" Type="http://schemas.openxmlformats.org/officeDocument/2006/relationships/hyperlink" Target="https://vt.tiktok.com/ZS55uVKgw/" TargetMode="External"/><Relationship Id="rId1359" Type="http://schemas.openxmlformats.org/officeDocument/2006/relationships/hyperlink" Target="https://www.facebook.com/share/p/1MoUzNsaZT/" TargetMode="External"/><Relationship Id="rId767" Type="http://schemas.openxmlformats.org/officeDocument/2006/relationships/hyperlink" Target="https://www.tiktok.com/@nugrohosuryo12181n/video/7554844690298817804?_r=1&amp;_t=ZS-905o1nhq7FY" TargetMode="External"/><Relationship Id="rId766" Type="http://schemas.openxmlformats.org/officeDocument/2006/relationships/hyperlink" Target="https://www.instagram.com/p/DNxFYC55OrI/" TargetMode="External"/><Relationship Id="rId765" Type="http://schemas.openxmlformats.org/officeDocument/2006/relationships/hyperlink" Target="https://www.facebook.com/permalink.php?story_fbid=pfbid0XzuhrhH7M1yNojg3YzYiDrewuEZLcJaGFa7aVjgs7fxKWQLLFS2FSCXLkdnKm8YPl&amp;id=61577687862278&amp;rdid=Xw2AHXC6x7hMQnDg" TargetMode="External"/><Relationship Id="rId764" Type="http://schemas.openxmlformats.org/officeDocument/2006/relationships/hyperlink" Target="https://www.facebook.com/ziahcrewmust/posts/pfbid05W732keZLE5gxh3wNxwpppFGXsrR8Dd3b76hBpfUucbRPvTP7t5jWkEoKxzpybQZl?rdid=4hzlgyFdqdloskZC" TargetMode="External"/><Relationship Id="rId769" Type="http://schemas.openxmlformats.org/officeDocument/2006/relationships/hyperlink" Target="https://www.tiktok.com/@koko.king.01/video/7554944799845977351?_r=1&amp;_t=ZS-905oaeynIZ7" TargetMode="External"/><Relationship Id="rId768" Type="http://schemas.openxmlformats.org/officeDocument/2006/relationships/hyperlink" Target="https://www.tiktok.com/@banggery18/video/7554938971483081991?_r=1&amp;_t=ZS-905o8cys1Vx" TargetMode="External"/><Relationship Id="rId2680" Type="http://schemas.openxmlformats.org/officeDocument/2006/relationships/hyperlink" Target="https://www.facebook.com/reel/2645394685830072" TargetMode="External"/><Relationship Id="rId1350" Type="http://schemas.openxmlformats.org/officeDocument/2006/relationships/hyperlink" Target="https://x.com/fransis74201222/status/1990058224570311017" TargetMode="External"/><Relationship Id="rId2681" Type="http://schemas.openxmlformats.org/officeDocument/2006/relationships/hyperlink" Target="https://x.com/__anomali__/status/2007659143289811359" TargetMode="External"/><Relationship Id="rId1351" Type="http://schemas.openxmlformats.org/officeDocument/2006/relationships/hyperlink" Target="https://x.com/bulepotanx/status/1961795888827027818" TargetMode="External"/><Relationship Id="rId2682" Type="http://schemas.openxmlformats.org/officeDocument/2006/relationships/hyperlink" Target="https://x.com/fransis74201222/status/2007629936702701797" TargetMode="External"/><Relationship Id="rId763" Type="http://schemas.openxmlformats.org/officeDocument/2006/relationships/hyperlink" Target="https://www.facebook.com/permalink.php?story_fbid=pfbid02UwDu8VnXcrh6UEmCiKVY712T3CTvgcjaEm6SWa145y4MUncSs33K6hCuuJxNnj3cl&amp;id=61565986896301&amp;rdid=gjTdoUyR84JdGodk" TargetMode="External"/><Relationship Id="rId1352" Type="http://schemas.openxmlformats.org/officeDocument/2006/relationships/hyperlink" Target="https://x.com/PEOPLEOFTHELIE4/status/1994658799182041143" TargetMode="External"/><Relationship Id="rId2683" Type="http://schemas.openxmlformats.org/officeDocument/2006/relationships/hyperlink" Target="https://x.com/fransis74201222/status/2007623744911814902" TargetMode="External"/><Relationship Id="rId762" Type="http://schemas.openxmlformats.org/officeDocument/2006/relationships/hyperlink" Target="https://www.facebook.com/groups/1536579139944963/posts/4160802477522603/" TargetMode="External"/><Relationship Id="rId1353" Type="http://schemas.openxmlformats.org/officeDocument/2006/relationships/hyperlink" Target="https://x.com/BelaRakyatPIK2/status/1994549398454636775" TargetMode="External"/><Relationship Id="rId2684" Type="http://schemas.openxmlformats.org/officeDocument/2006/relationships/hyperlink" Target="https://x.com/Ahmad14752769/status/2007550502184329309" TargetMode="External"/><Relationship Id="rId761" Type="http://schemas.openxmlformats.org/officeDocument/2006/relationships/hyperlink" Target="https://www.facebook.com/groups/1536579139944963/posts/4160906547512196/" TargetMode="External"/><Relationship Id="rId1354" Type="http://schemas.openxmlformats.org/officeDocument/2006/relationships/hyperlink" Target="https://x.com/syamh45/status/1994453918227861618" TargetMode="External"/><Relationship Id="rId2685" Type="http://schemas.openxmlformats.org/officeDocument/2006/relationships/hyperlink" Target="https://x.com/RUW3TNES14__/status/2008003317591650797" TargetMode="External"/><Relationship Id="rId760" Type="http://schemas.openxmlformats.org/officeDocument/2006/relationships/hyperlink" Target="https://www.facebook.com/groups/1536579139944963/posts/4160944290841755/" TargetMode="External"/><Relationship Id="rId1355" Type="http://schemas.openxmlformats.org/officeDocument/2006/relationships/hyperlink" Target="https://x.com/RON1N3535/status/1994342909546533038" TargetMode="External"/><Relationship Id="rId2686" Type="http://schemas.openxmlformats.org/officeDocument/2006/relationships/hyperlink" Target="https://x.com/bravojumadi/status/2007504714339172562" TargetMode="External"/><Relationship Id="rId1345" Type="http://schemas.openxmlformats.org/officeDocument/2006/relationships/hyperlink" Target="https://www.facebook.com/permalink.php?story_fbid=pfbid0XpMHyQjtW9mJY4oYSvnvUDjMVFp2cHttv3z3AaXbWhCLoeTdyhzQ63sZXQjr7CsGl&amp;id=61581427726113" TargetMode="External"/><Relationship Id="rId2676" Type="http://schemas.openxmlformats.org/officeDocument/2006/relationships/hyperlink" Target="https://www.facebook.com/groups/523183267134157/posts/864745982977882/" TargetMode="External"/><Relationship Id="rId1346" Type="http://schemas.openxmlformats.org/officeDocument/2006/relationships/hyperlink" Target="https://www.facebook.com/permalink.php?story_fbid=pfbid02Nis7ZJUH3argcUDdPX8paeipYrTkHn7cpjuXNWLs7aASCPcC57P6Nkr7eTnkh51Jl&amp;id=61581427726113" TargetMode="External"/><Relationship Id="rId2677" Type="http://schemas.openxmlformats.org/officeDocument/2006/relationships/hyperlink" Target="https://www.facebook.com/groups/523183267134157/posts/864674659651681/" TargetMode="External"/><Relationship Id="rId1347" Type="http://schemas.openxmlformats.org/officeDocument/2006/relationships/hyperlink" Target="https://www.facebook.com/permalink.php?story_fbid=pfbid0trfVS29a6yZ9SEW1Sk225WPuskBoVsx7wUNLyZN3mjrBWb5BqyDUHeuQYiPHzWfWl&amp;id=61581427726113" TargetMode="External"/><Relationship Id="rId2678" Type="http://schemas.openxmlformats.org/officeDocument/2006/relationships/hyperlink" Target="https://www.facebook.com/groups/523183267134157/posts/864462096339604/" TargetMode="External"/><Relationship Id="rId1348" Type="http://schemas.openxmlformats.org/officeDocument/2006/relationships/hyperlink" Target="https://www.facebook.com/permalink.php?story_fbid=pfbid02wgb3Z178A24EqKmFSRh6Z8wQBhH89akRC4LbVp5QZHcWPPdMPSGTDVo7XSxct5oyl&amp;id=61581427726113" TargetMode="External"/><Relationship Id="rId2679" Type="http://schemas.openxmlformats.org/officeDocument/2006/relationships/hyperlink" Target="https://www.facebook.com/reel/26481536834767390" TargetMode="External"/><Relationship Id="rId1349" Type="http://schemas.openxmlformats.org/officeDocument/2006/relationships/hyperlink" Target="https://x.com/saltingcaramel/status/1990796482602283045" TargetMode="External"/><Relationship Id="rId756" Type="http://schemas.openxmlformats.org/officeDocument/2006/relationships/hyperlink" Target="https://www.facebook.com/groups/1536579139944963/posts/4161465814122936/" TargetMode="External"/><Relationship Id="rId755" Type="http://schemas.openxmlformats.org/officeDocument/2006/relationships/hyperlink" Target="https://www.facebook.com/groups/1536579139944963/posts/4161569137445937/" TargetMode="External"/><Relationship Id="rId754" Type="http://schemas.openxmlformats.org/officeDocument/2006/relationships/hyperlink" Target="https://www.facebook.com/groups/1536579139944963/posts/4161575920778592/" TargetMode="External"/><Relationship Id="rId753" Type="http://schemas.openxmlformats.org/officeDocument/2006/relationships/hyperlink" Target="https://www.facebook.com/groups/221580229175240/posts/1492734455393138/" TargetMode="External"/><Relationship Id="rId759" Type="http://schemas.openxmlformats.org/officeDocument/2006/relationships/hyperlink" Target="https://www.facebook.com/groups/1536579139944963/posts/4161309564138561/" TargetMode="External"/><Relationship Id="rId758" Type="http://schemas.openxmlformats.org/officeDocument/2006/relationships/hyperlink" Target="https://www.facebook.com/groups/1536579139944963/posts/4161325777470273/" TargetMode="External"/><Relationship Id="rId757" Type="http://schemas.openxmlformats.org/officeDocument/2006/relationships/hyperlink" Target="https://www.facebook.com/groups/1536579139944963/posts/4161333004136217/" TargetMode="External"/><Relationship Id="rId2670" Type="http://schemas.openxmlformats.org/officeDocument/2006/relationships/hyperlink" Target="https://vt.tiktok.com/ZS5udRan3/" TargetMode="External"/><Relationship Id="rId1340" Type="http://schemas.openxmlformats.org/officeDocument/2006/relationships/hyperlink" Target="https://www.facebook.com/reel/831895389485992" TargetMode="External"/><Relationship Id="rId2671" Type="http://schemas.openxmlformats.org/officeDocument/2006/relationships/hyperlink" Target="https://www.facebook.com/groups/523183267134157/posts/864418796343934/" TargetMode="External"/><Relationship Id="rId752" Type="http://schemas.openxmlformats.org/officeDocument/2006/relationships/hyperlink" Target="https://vt.tiktok.com/ZSDGLErsc/" TargetMode="External"/><Relationship Id="rId1341" Type="http://schemas.openxmlformats.org/officeDocument/2006/relationships/hyperlink" Target="https://www.facebook.com/groups/1417103738524228/?multi_permalinks=4513372142230690" TargetMode="External"/><Relationship Id="rId2672" Type="http://schemas.openxmlformats.org/officeDocument/2006/relationships/hyperlink" Target="https://www.facebook.com/groups/523183267134157/posts/862197813232699/" TargetMode="External"/><Relationship Id="rId751" Type="http://schemas.openxmlformats.org/officeDocument/2006/relationships/hyperlink" Target="https://vt.tiktok.com/ZSDGL4ypu/" TargetMode="External"/><Relationship Id="rId1342" Type="http://schemas.openxmlformats.org/officeDocument/2006/relationships/hyperlink" Target="https://www.facebook.com/trisno.suparjo.2025/posts/pfbid0XN966mbyhDWRQhdMSh8mz9rnZNo7vULn6yRXLTKPvNH59XoP1nnRZdXPkwk3tRgUl" TargetMode="External"/><Relationship Id="rId2673" Type="http://schemas.openxmlformats.org/officeDocument/2006/relationships/hyperlink" Target="https://www.facebook.com/groups/523183267134157/posts/858413103611170/" TargetMode="External"/><Relationship Id="rId750" Type="http://schemas.openxmlformats.org/officeDocument/2006/relationships/hyperlink" Target="https://www.tiktok.com/@mutiaraislami64/video/7554597027267562764" TargetMode="External"/><Relationship Id="rId1343" Type="http://schemas.openxmlformats.org/officeDocument/2006/relationships/hyperlink" Target="https://www.facebook.com/reel/1383683473269919" TargetMode="External"/><Relationship Id="rId2674" Type="http://schemas.openxmlformats.org/officeDocument/2006/relationships/hyperlink" Target="https://www.facebook.com/groups/523183267134157/posts/865026349616512/" TargetMode="External"/><Relationship Id="rId1344" Type="http://schemas.openxmlformats.org/officeDocument/2006/relationships/hyperlink" Target="https://www.facebook.com/permalink.php?story_fbid=pfbid02sacsrdBK5ZR29eKhahFszLqvnc1Bne2qFgedAG9umftL57dzJsN3rPdbxaSS1gffl&amp;id=61581427726113" TargetMode="External"/><Relationship Id="rId2675" Type="http://schemas.openxmlformats.org/officeDocument/2006/relationships/hyperlink" Target="https://www.facebook.com/groups/523183267134157/posts/865004496285364/" TargetMode="External"/><Relationship Id="rId2621" Type="http://schemas.openxmlformats.org/officeDocument/2006/relationships/hyperlink" Target="https://www.tiktok.com/@suara.netizen_/video/7584821151113678101?q=presiden%20omon&amp;t=1767945445252" TargetMode="External"/><Relationship Id="rId2622" Type="http://schemas.openxmlformats.org/officeDocument/2006/relationships/hyperlink" Target="https://www.tiktok.com/@story.aceh81/video/7585034564339354901?q=presiden%20omon&amp;t=1767945445252" TargetMode="External"/><Relationship Id="rId2623" Type="http://schemas.openxmlformats.org/officeDocument/2006/relationships/hyperlink" Target="https://www.facebook.com/share/r/1BfQXii3wC/" TargetMode="External"/><Relationship Id="rId2624" Type="http://schemas.openxmlformats.org/officeDocument/2006/relationships/hyperlink" Target="https://x.com/i/status/2009543007356502432" TargetMode="External"/><Relationship Id="rId2625" Type="http://schemas.openxmlformats.org/officeDocument/2006/relationships/hyperlink" Target="https://x.com/i/status/2009537695102775583" TargetMode="External"/><Relationship Id="rId2626" Type="http://schemas.openxmlformats.org/officeDocument/2006/relationships/hyperlink" Target="https://x.com/xlongnyan/status/2006619679134199929" TargetMode="External"/><Relationship Id="rId2627" Type="http://schemas.openxmlformats.org/officeDocument/2006/relationships/hyperlink" Target="https://vt.tiktok.com/ZS548wao3/" TargetMode="External"/><Relationship Id="rId2628" Type="http://schemas.openxmlformats.org/officeDocument/2006/relationships/hyperlink" Target="https://x.com/ade_rusmaya/status/2009447093296091187" TargetMode="External"/><Relationship Id="rId709" Type="http://schemas.openxmlformats.org/officeDocument/2006/relationships/hyperlink" Target="https://www.tiktok.com/@negara.konyol" TargetMode="External"/><Relationship Id="rId2629" Type="http://schemas.openxmlformats.org/officeDocument/2006/relationships/hyperlink" Target="https://x.com/tukangtwittter/status/2003467422213501000" TargetMode="External"/><Relationship Id="rId708" Type="http://schemas.openxmlformats.org/officeDocument/2006/relationships/hyperlink" Target="https://www.tiktok.com/@user606066633/video/7554076110972144908?q=demo%2030%20september%20&amp;t=1758859656874" TargetMode="External"/><Relationship Id="rId707" Type="http://schemas.openxmlformats.org/officeDocument/2006/relationships/hyperlink" Target="https://www.tiktok.com/@singlemoms300/video/7545144939378674945?q=demo%2030%20september%20&amp;t=1758859656874" TargetMode="External"/><Relationship Id="rId706" Type="http://schemas.openxmlformats.org/officeDocument/2006/relationships/hyperlink" Target="https://www.tiktok.com/@biyangtr2/video/7554134710847393031?q=demo%2030%20september%20&amp;t=1758859656874" TargetMode="External"/><Relationship Id="rId701" Type="http://schemas.openxmlformats.org/officeDocument/2006/relationships/hyperlink" Target="https://www.tiktok.com/@riduan_s77/video/7545002401007291704?q=prabowo%20mundur&amp;t=1758850170180" TargetMode="External"/><Relationship Id="rId700" Type="http://schemas.openxmlformats.org/officeDocument/2006/relationships/hyperlink" Target="https://www.tiktok.com/@harryccpatty/video/7551871844912074002?q=prabowo%20mundur&amp;t=1758850170180" TargetMode="External"/><Relationship Id="rId705" Type="http://schemas.openxmlformats.org/officeDocument/2006/relationships/hyperlink" Target="https://www.tiktok.com/@biskut.coklat4/video/7553977437412019512?q=bubarkandpr&amp;t=1758859188512" TargetMode="External"/><Relationship Id="rId704" Type="http://schemas.openxmlformats.org/officeDocument/2006/relationships/hyperlink" Target="https://www.facebook.com/reel/1462713348137369" TargetMode="External"/><Relationship Id="rId703" Type="http://schemas.openxmlformats.org/officeDocument/2006/relationships/hyperlink" Target="https://www.facebook.com/reel/3691572544484617" TargetMode="External"/><Relationship Id="rId702" Type="http://schemas.openxmlformats.org/officeDocument/2006/relationships/hyperlink" Target="https://www.facebook.com/reel/665651522802612" TargetMode="External"/><Relationship Id="rId2620" Type="http://schemas.openxmlformats.org/officeDocument/2006/relationships/hyperlink" Target="https://www.tiktok.com/@thesiliters/video/7588380835154300178?q=PRABOWO%20KACAU&amp;t=1767945052143" TargetMode="External"/><Relationship Id="rId2610" Type="http://schemas.openxmlformats.org/officeDocument/2006/relationships/hyperlink" Target="https://www.tiktok.com/@zulfadlikofa/photo/7585497410118356232" TargetMode="External"/><Relationship Id="rId2611" Type="http://schemas.openxmlformats.org/officeDocument/2006/relationships/hyperlink" Target="https://www.facebook.com/share/r/17hpvAEiUz/" TargetMode="External"/><Relationship Id="rId2612" Type="http://schemas.openxmlformats.org/officeDocument/2006/relationships/hyperlink" Target="https://www.tiktok.com/@andyputra9330/video/7593351964004568328" TargetMode="External"/><Relationship Id="rId2613" Type="http://schemas.openxmlformats.org/officeDocument/2006/relationships/hyperlink" Target="https://www.facebook.com/samuel.rakinaung/posts/pfbid02rZ1mmuGuN1TiAkU5qUZ8BL9snX2ZaXXa75Kr7fp1V3AjQhk9Bmkg8YpMKbreqxiYl" TargetMode="External"/><Relationship Id="rId2614" Type="http://schemas.openxmlformats.org/officeDocument/2006/relationships/hyperlink" Target="https://www.facebook.com/johnki.johndeer/posts/pfbid0SprkXJkzQkQJ9tYrsdRBfTrg2tsFxeQ7c1BrYCjeDYYRQutiHRvGTSii5mwVaXvnl" TargetMode="External"/><Relationship Id="rId2615" Type="http://schemas.openxmlformats.org/officeDocument/2006/relationships/hyperlink" Target="https://www.facebook.com/groups/3981440815329599/?multi_permalinks=4740013562805650&amp;hoisted_section_header_type=recently_seen" TargetMode="External"/><Relationship Id="rId2616" Type="http://schemas.openxmlformats.org/officeDocument/2006/relationships/hyperlink" Target="https://www.tiktok.com/@onoff6024/video/7504929322591849735?q=gibran%20BODOH&amp;t=1767944945500" TargetMode="External"/><Relationship Id="rId2617" Type="http://schemas.openxmlformats.org/officeDocument/2006/relationships/hyperlink" Target="https://www.tiktok.com/@pahlawangitarsibocchi/video/7592422656104828167?q=PRABOWO%20KACAU&amp;t=1767945052143" TargetMode="External"/><Relationship Id="rId2618" Type="http://schemas.openxmlformats.org/officeDocument/2006/relationships/hyperlink" Target="https://x.com/PngAdilnR4kyt/status/2009141685910126601" TargetMode="External"/><Relationship Id="rId2619" Type="http://schemas.openxmlformats.org/officeDocument/2006/relationships/hyperlink" Target="https://www.facebook.com/share/r/1Ji93kRNyj/" TargetMode="External"/><Relationship Id="rId1312" Type="http://schemas.openxmlformats.org/officeDocument/2006/relationships/hyperlink" Target="https://www.facebook.com/groups/1132473153516507/posts/24918116221192200" TargetMode="External"/><Relationship Id="rId2643" Type="http://schemas.openxmlformats.org/officeDocument/2006/relationships/hyperlink" Target="https://vt.tiktok.com/ZS5CShxLY/" TargetMode="External"/><Relationship Id="rId1313" Type="http://schemas.openxmlformats.org/officeDocument/2006/relationships/hyperlink" Target="https://www.facebook.com/groups/1132473153516507/posts/24918043947866094" TargetMode="External"/><Relationship Id="rId2644" Type="http://schemas.openxmlformats.org/officeDocument/2006/relationships/hyperlink" Target="https://www.facebook.com/share/p/1GbzVyF8S5/" TargetMode="External"/><Relationship Id="rId1314" Type="http://schemas.openxmlformats.org/officeDocument/2006/relationships/hyperlink" Target="https://www.facebook.com/groups/1132473153516507/posts/24917078801295942" TargetMode="External"/><Relationship Id="rId2645" Type="http://schemas.openxmlformats.org/officeDocument/2006/relationships/hyperlink" Target="https://www.facebook.com/reel/1579761459695369" TargetMode="External"/><Relationship Id="rId1315" Type="http://schemas.openxmlformats.org/officeDocument/2006/relationships/hyperlink" Target="https://www.facebook.com/share/p/1Cbfw7deNh/" TargetMode="External"/><Relationship Id="rId2646" Type="http://schemas.openxmlformats.org/officeDocument/2006/relationships/hyperlink" Target="https://www.facebook.com/share/p/17zBuTJkRq/" TargetMode="External"/><Relationship Id="rId1316" Type="http://schemas.openxmlformats.org/officeDocument/2006/relationships/hyperlink" Target="https://www.facebook.com/share/p/1BSdjXK7is/" TargetMode="External"/><Relationship Id="rId2647" Type="http://schemas.openxmlformats.org/officeDocument/2006/relationships/hyperlink" Target="https://www.facebook.com/share/p/14Y4NNYBNNV/" TargetMode="External"/><Relationship Id="rId1317" Type="http://schemas.openxmlformats.org/officeDocument/2006/relationships/hyperlink" Target="https://www.facebook.com/share/p/1BxSPf7ZcR/" TargetMode="External"/><Relationship Id="rId2648" Type="http://schemas.openxmlformats.org/officeDocument/2006/relationships/hyperlink" Target="https://www.facebook.com/share/p/1ApvZS6dHE/" TargetMode="External"/><Relationship Id="rId1318" Type="http://schemas.openxmlformats.org/officeDocument/2006/relationships/hyperlink" Target="https://www.facebook.com/share/p/17M38C91ci/" TargetMode="External"/><Relationship Id="rId2649" Type="http://schemas.openxmlformats.org/officeDocument/2006/relationships/hyperlink" Target="https://www.facebook.com/share/p/1D1rY1LBHB/" TargetMode="External"/><Relationship Id="rId1319" Type="http://schemas.openxmlformats.org/officeDocument/2006/relationships/hyperlink" Target="https://www.facebook.com/groups/1319705151792135/" TargetMode="External"/><Relationship Id="rId729" Type="http://schemas.openxmlformats.org/officeDocument/2006/relationships/hyperlink" Target="https://www.instagram.com/polimediasejahtera/p/DCOSTpZT_4t/" TargetMode="External"/><Relationship Id="rId728" Type="http://schemas.openxmlformats.org/officeDocument/2006/relationships/hyperlink" Target="https://www.instagram.com/polimediasejahtera/" TargetMode="External"/><Relationship Id="rId723" Type="http://schemas.openxmlformats.org/officeDocument/2006/relationships/hyperlink" Target="https://www.facebook.com/groups/882222322392995/?multi_permalinks=1815164765765408&amp;hoisted_section_header_type=recently_seen" TargetMode="External"/><Relationship Id="rId722" Type="http://schemas.openxmlformats.org/officeDocument/2006/relationships/hyperlink" Target="https://www.facebook.com/groups/311162067239166/?multi_permalinks=1315760806779282&amp;hoisted_section_header_type=recently_seen" TargetMode="External"/><Relationship Id="rId721" Type="http://schemas.openxmlformats.org/officeDocument/2006/relationships/hyperlink" Target="https://www.facebook.com/groups/1536579139944963/?multi_permalinks=4161465814122936&amp;hoisted_section_header_type=recently_seen" TargetMode="External"/><Relationship Id="rId720" Type="http://schemas.openxmlformats.org/officeDocument/2006/relationships/hyperlink" Target="https://www.facebook.com/groups/184880179285868/?multi_permalinks=1426371648470042&amp;hoisted_section_header_type=recently_seen" TargetMode="External"/><Relationship Id="rId727" Type="http://schemas.openxmlformats.org/officeDocument/2006/relationships/hyperlink" Target="https://www.facebook.com/groups/311162067239166/posts/1348585536830142/" TargetMode="External"/><Relationship Id="rId726" Type="http://schemas.openxmlformats.org/officeDocument/2006/relationships/hyperlink" Target="https://www.facebook.com/groups/311162067239166/posts/1348591553496207/" TargetMode="External"/><Relationship Id="rId725" Type="http://schemas.openxmlformats.org/officeDocument/2006/relationships/hyperlink" Target="https://www.facebook.com/groups/311162067239166/?multi_permalinks=1334060844949278&amp;hoisted_section_header_type=recently_seen" TargetMode="External"/><Relationship Id="rId724" Type="http://schemas.openxmlformats.org/officeDocument/2006/relationships/hyperlink" Target="https://www.facebook.com/groups/1536579139944963/?multi_permalinks=4143941255875392&amp;hoisted_section_header_type=recently_seen" TargetMode="External"/><Relationship Id="rId2640" Type="http://schemas.openxmlformats.org/officeDocument/2006/relationships/hyperlink" Target="https://www.facebook.com/share/p/1HX7tHEm5f/" TargetMode="External"/><Relationship Id="rId1310" Type="http://schemas.openxmlformats.org/officeDocument/2006/relationships/hyperlink" Target="https://www.facebook.com/groups/1132473153516507/posts/24919035594433596" TargetMode="External"/><Relationship Id="rId2641" Type="http://schemas.openxmlformats.org/officeDocument/2006/relationships/hyperlink" Target="https://www.facebook.com/profile.php?id=61584367992916" TargetMode="External"/><Relationship Id="rId1311" Type="http://schemas.openxmlformats.org/officeDocument/2006/relationships/hyperlink" Target="https://www.facebook.com/groups/1132473153516507/posts/24918612654475890" TargetMode="External"/><Relationship Id="rId2642" Type="http://schemas.openxmlformats.org/officeDocument/2006/relationships/hyperlink" Target="https://www.facebook.com/program.bantuan.akhiir.tahun.2025" TargetMode="External"/><Relationship Id="rId1301" Type="http://schemas.openxmlformats.org/officeDocument/2006/relationships/hyperlink" Target="https://www.facebook.com/groups/2378433292339269/posts/3073821262800465/" TargetMode="External"/><Relationship Id="rId2632" Type="http://schemas.openxmlformats.org/officeDocument/2006/relationships/hyperlink" Target="https://www.facebook.com/share/p/1AQz3QzVGs/" TargetMode="External"/><Relationship Id="rId1302" Type="http://schemas.openxmlformats.org/officeDocument/2006/relationships/hyperlink" Target="https://www.facebook.com/groups/2378433292339269/posts/3073821262800465/" TargetMode="External"/><Relationship Id="rId2633" Type="http://schemas.openxmlformats.org/officeDocument/2006/relationships/hyperlink" Target="https://www.facebook.com/share/p/1D3myp6FNj/" TargetMode="External"/><Relationship Id="rId1303" Type="http://schemas.openxmlformats.org/officeDocument/2006/relationships/hyperlink" Target="https://www.facebook.com/groups/2378433292339269/posts/3071695426346382/" TargetMode="External"/><Relationship Id="rId2634" Type="http://schemas.openxmlformats.org/officeDocument/2006/relationships/hyperlink" Target="https://www.facebook.com/share/r/1Je68YWXFN/" TargetMode="External"/><Relationship Id="rId1304" Type="http://schemas.openxmlformats.org/officeDocument/2006/relationships/hyperlink" Target="https://www.facebook.com/groups/2378433292339269/posts/3071201019729156/" TargetMode="External"/><Relationship Id="rId2635" Type="http://schemas.openxmlformats.org/officeDocument/2006/relationships/hyperlink" Target="https://www.facebook.com/share/p/1FscoJULLL/" TargetMode="External"/><Relationship Id="rId1305" Type="http://schemas.openxmlformats.org/officeDocument/2006/relationships/hyperlink" Target="https://www.facebook.com/groups/1198444775319965/posts/1368360544995053" TargetMode="External"/><Relationship Id="rId2636" Type="http://schemas.openxmlformats.org/officeDocument/2006/relationships/hyperlink" Target="https://www.facebook.com/share/p/1CKkomUyfd/" TargetMode="External"/><Relationship Id="rId1306" Type="http://schemas.openxmlformats.org/officeDocument/2006/relationships/hyperlink" Target="https://www.facebook.com/groups/1198444775319965/posts/1349836083514166" TargetMode="External"/><Relationship Id="rId2637" Type="http://schemas.openxmlformats.org/officeDocument/2006/relationships/hyperlink" Target="https://www.facebook.com/share/p/1cFMp4vkjZ/" TargetMode="External"/><Relationship Id="rId1307" Type="http://schemas.openxmlformats.org/officeDocument/2006/relationships/hyperlink" Target="https://www.facebook.com/groups/1198444775319965/posts/1348003483697426" TargetMode="External"/><Relationship Id="rId2638" Type="http://schemas.openxmlformats.org/officeDocument/2006/relationships/hyperlink" Target="https://www.facebook.com/share/r/1BUxgyj5Fb/" TargetMode="External"/><Relationship Id="rId1308" Type="http://schemas.openxmlformats.org/officeDocument/2006/relationships/hyperlink" Target="https://www.facebook.com/groups/1198444775319965/posts/1344018290762612" TargetMode="External"/><Relationship Id="rId2639" Type="http://schemas.openxmlformats.org/officeDocument/2006/relationships/hyperlink" Target="https://www.facebook.com/share/p/1Cnnuj11Zf/" TargetMode="External"/><Relationship Id="rId1309" Type="http://schemas.openxmlformats.org/officeDocument/2006/relationships/hyperlink" Target="https://www.facebook.com/groups/1198444775319965/posts/1342102660954175" TargetMode="External"/><Relationship Id="rId719" Type="http://schemas.openxmlformats.org/officeDocument/2006/relationships/hyperlink" Target="https://web.facebook.com/share/v/1BQTogob5B/" TargetMode="External"/><Relationship Id="rId718" Type="http://schemas.openxmlformats.org/officeDocument/2006/relationships/hyperlink" Target="https://x.com/van88xier/status/1971538719552520290" TargetMode="External"/><Relationship Id="rId717" Type="http://schemas.openxmlformats.org/officeDocument/2006/relationships/hyperlink" Target="https://x.com/gw_neena/status/1970446021122818414" TargetMode="External"/><Relationship Id="rId712" Type="http://schemas.openxmlformats.org/officeDocument/2006/relationships/hyperlink" Target="https://www.tiktok.com/@solehudi05/video/7553850325644496184?_r=1&amp;_t=ZS-903K863glDI" TargetMode="External"/><Relationship Id="rId711" Type="http://schemas.openxmlformats.org/officeDocument/2006/relationships/hyperlink" Target="https://www.tiktok.com/@jatiwelahcanell/video/7553579001411931400?_r=1&amp;_t=ZS-903K58SL7dk" TargetMode="External"/><Relationship Id="rId710" Type="http://schemas.openxmlformats.org/officeDocument/2006/relationships/hyperlink" Target="https://www.tiktok.com/@hermanofficial831/video/7554056882759945484?_r=1&amp;_t=ZS-903JwdeFloK" TargetMode="External"/><Relationship Id="rId716" Type="http://schemas.openxmlformats.org/officeDocument/2006/relationships/hyperlink" Target="https://web.facebook.com/share/p/1A31mpNw7Q/" TargetMode="External"/><Relationship Id="rId715" Type="http://schemas.openxmlformats.org/officeDocument/2006/relationships/hyperlink" Target="https://www.tiktok.com/@untuk.diri8/video/7553543064074161416" TargetMode="External"/><Relationship Id="rId714" Type="http://schemas.openxmlformats.org/officeDocument/2006/relationships/hyperlink" Target="https://www.tiktok.com/@track98antibanned9099/video/7554236015649623314?_r=1&amp;_t=ZS-903KO9HalIi" TargetMode="External"/><Relationship Id="rId713" Type="http://schemas.openxmlformats.org/officeDocument/2006/relationships/hyperlink" Target="https://www.tiktok.com/@netizen.62_6/video/7552600153123851532?_r=1&amp;_t=ZS-903KIuZbnub" TargetMode="External"/><Relationship Id="rId2630" Type="http://schemas.openxmlformats.org/officeDocument/2006/relationships/hyperlink" Target="https://www.facebook.com/share/r/1AvCBAfouX/" TargetMode="External"/><Relationship Id="rId1300" Type="http://schemas.openxmlformats.org/officeDocument/2006/relationships/hyperlink" Target="https://www.facebook.com/groups/2378433292339269/posts/3082024198646838/" TargetMode="External"/><Relationship Id="rId2631" Type="http://schemas.openxmlformats.org/officeDocument/2006/relationships/hyperlink" Target="https://www.facebook.com/share/p/1Br3g79aGj/" TargetMode="External"/><Relationship Id="rId3117" Type="http://schemas.openxmlformats.org/officeDocument/2006/relationships/hyperlink" Target="https://www.facebook.com/share/p/16egTGuMnE/" TargetMode="External"/><Relationship Id="rId3116" Type="http://schemas.openxmlformats.org/officeDocument/2006/relationships/hyperlink" Target="https://www.facebook.com/reel/1641968986596009" TargetMode="External"/><Relationship Id="rId3119" Type="http://schemas.openxmlformats.org/officeDocument/2006/relationships/hyperlink" Target="https://www.facebook.com/share/r/1AAjn2D1kS/" TargetMode="External"/><Relationship Id="rId3118" Type="http://schemas.openxmlformats.org/officeDocument/2006/relationships/hyperlink" Target="https://www.facebook.com/share/p/17WrnPwHtY/" TargetMode="External"/><Relationship Id="rId3111" Type="http://schemas.openxmlformats.org/officeDocument/2006/relationships/hyperlink" Target="https://tirto.id/hoaks-bantuan-dana-untuk-gereja-dari-kemenag-kedubes-australia-hmL4" TargetMode="External"/><Relationship Id="rId3110" Type="http://schemas.openxmlformats.org/officeDocument/2006/relationships/hyperlink" Target="https://www.facebook.com/profile.php?id=61585110964050" TargetMode="External"/><Relationship Id="rId3113" Type="http://schemas.openxmlformats.org/officeDocument/2006/relationships/hyperlink" Target="https://www.facebook.com/profile.php?id=61585130841474" TargetMode="External"/><Relationship Id="rId3112" Type="http://schemas.openxmlformats.org/officeDocument/2006/relationships/hyperlink" Target="https://www.facebook.com/profile.php?id=61585120946293" TargetMode="External"/><Relationship Id="rId3115" Type="http://schemas.openxmlformats.org/officeDocument/2006/relationships/hyperlink" Target="https://tirto.id/hoaks-bantuan-dana-untuk-gereja-dari-kemenag-kedubes-australia-hmL4" TargetMode="External"/><Relationship Id="rId3114" Type="http://schemas.openxmlformats.org/officeDocument/2006/relationships/hyperlink" Target="https://www.facebook.com/profile.php?id=61585178370175" TargetMode="External"/><Relationship Id="rId3106" Type="http://schemas.openxmlformats.org/officeDocument/2006/relationships/hyperlink" Target="https://www.facebook.com/profile.php?id=61584869951303" TargetMode="External"/><Relationship Id="rId3105" Type="http://schemas.openxmlformats.org/officeDocument/2006/relationships/hyperlink" Target="https://www.facebook.com/profile.php?id=61584827047258" TargetMode="External"/><Relationship Id="rId3108" Type="http://schemas.openxmlformats.org/officeDocument/2006/relationships/hyperlink" Target="https://www.facebook.com/profile.php?id=61584921631010" TargetMode="External"/><Relationship Id="rId3107" Type="http://schemas.openxmlformats.org/officeDocument/2006/relationships/hyperlink" Target="https://www.facebook.com/profile.php?id=61584881380802" TargetMode="External"/><Relationship Id="rId3109" Type="http://schemas.openxmlformats.org/officeDocument/2006/relationships/hyperlink" Target="https://www.facebook.com/profile.php?id=61584930747478" TargetMode="External"/><Relationship Id="rId3100" Type="http://schemas.openxmlformats.org/officeDocument/2006/relationships/hyperlink" Target="https://www.facebook.com/profile.php?id=61584689679661" TargetMode="External"/><Relationship Id="rId3102" Type="http://schemas.openxmlformats.org/officeDocument/2006/relationships/hyperlink" Target="https://www.facebook.com/profile.php?id=61584694571777" TargetMode="External"/><Relationship Id="rId3101" Type="http://schemas.openxmlformats.org/officeDocument/2006/relationships/hyperlink" Target="https://tirto.id/hoaks-bantuan-dana-untuk-gereja-dari-kemenag-kedubes-australia-hmL4" TargetMode="External"/><Relationship Id="rId3104" Type="http://schemas.openxmlformats.org/officeDocument/2006/relationships/hyperlink" Target="https://www.facebook.com/profile.php?id=61584751151624" TargetMode="External"/><Relationship Id="rId3103" Type="http://schemas.openxmlformats.org/officeDocument/2006/relationships/hyperlink" Target="https://www.facebook.com/profile.php?id=61584710381440" TargetMode="External"/><Relationship Id="rId3139" Type="http://schemas.openxmlformats.org/officeDocument/2006/relationships/hyperlink" Target="https://www.facebook.com/share/r/1CgCwCtgmd/" TargetMode="External"/><Relationship Id="rId3138" Type="http://schemas.openxmlformats.org/officeDocument/2006/relationships/hyperlink" Target="https://www.facebook.com/onengtattoo" TargetMode="External"/><Relationship Id="rId3131" Type="http://schemas.openxmlformats.org/officeDocument/2006/relationships/hyperlink" Target="https://x.com/AlisaJiwan265/status/2000374507484369318?s=20" TargetMode="External"/><Relationship Id="rId3130" Type="http://schemas.openxmlformats.org/officeDocument/2006/relationships/hyperlink" Target="https://x.com/tp_angraeni51/status/2000733095763538418?s=20" TargetMode="External"/><Relationship Id="rId3133" Type="http://schemas.openxmlformats.org/officeDocument/2006/relationships/hyperlink" Target="https://www.facebook.com/share/p/1FP5oq2xaf/" TargetMode="External"/><Relationship Id="rId3132" Type="http://schemas.openxmlformats.org/officeDocument/2006/relationships/hyperlink" Target="https://www.facebook.com/share/p/1CxWnCMt5A/" TargetMode="External"/><Relationship Id="rId3135" Type="http://schemas.openxmlformats.org/officeDocument/2006/relationships/hyperlink" Target="https://www.facebook.com/share/r/1HBPojC86e/" TargetMode="External"/><Relationship Id="rId3134" Type="http://schemas.openxmlformats.org/officeDocument/2006/relationships/hyperlink" Target="https://www.facebook.com/share/v/1ANvGrAtSq/" TargetMode="External"/><Relationship Id="rId3137" Type="http://schemas.openxmlformats.org/officeDocument/2006/relationships/hyperlink" Target="https://x.com/noorca_7/status/2000897303494975669" TargetMode="External"/><Relationship Id="rId3136" Type="http://schemas.openxmlformats.org/officeDocument/2006/relationships/hyperlink" Target="https://www.facebook.com/share/r/1C7oUnhqga/" TargetMode="External"/><Relationship Id="rId3128" Type="http://schemas.openxmlformats.org/officeDocument/2006/relationships/hyperlink" Target="https://www.facebook.com/reel/1236959901579458" TargetMode="External"/><Relationship Id="rId3127" Type="http://schemas.openxmlformats.org/officeDocument/2006/relationships/hyperlink" Target="https://www.facebook.com/reel/2548395575525845" TargetMode="External"/><Relationship Id="rId3129" Type="http://schemas.openxmlformats.org/officeDocument/2006/relationships/hyperlink" Target="https://www.facebook.com/reel/1924332701800907" TargetMode="External"/><Relationship Id="rId3120" Type="http://schemas.openxmlformats.org/officeDocument/2006/relationships/hyperlink" Target="https://www.facebook.com/share/r/1BJ6pKZbrw/" TargetMode="External"/><Relationship Id="rId3122" Type="http://schemas.openxmlformats.org/officeDocument/2006/relationships/hyperlink" Target="https://x.com/Opposisi6890/status/2000244576892932197?t=7njyrrPqK8TIGC5PAGACPQ&amp;s=19" TargetMode="External"/><Relationship Id="rId3121" Type="http://schemas.openxmlformats.org/officeDocument/2006/relationships/hyperlink" Target="https://www.facebook.com/share/v/16kt2MSrzr/" TargetMode="External"/><Relationship Id="rId3124" Type="http://schemas.openxmlformats.org/officeDocument/2006/relationships/hyperlink" Target="https://www.facebook.com/reel/794805843378375" TargetMode="External"/><Relationship Id="rId3123" Type="http://schemas.openxmlformats.org/officeDocument/2006/relationships/hyperlink" Target="https://x.com/Pedri_Kluivert/status/2000192570987888693?t=ifSWa_WN79JohQEhPN98Gg&amp;s=19" TargetMode="External"/><Relationship Id="rId3126" Type="http://schemas.openxmlformats.org/officeDocument/2006/relationships/hyperlink" Target="https://www.facebook.com/reel/2689727454694313" TargetMode="External"/><Relationship Id="rId3125" Type="http://schemas.openxmlformats.org/officeDocument/2006/relationships/hyperlink" Target="https://www.facebook.com/reel/698055243373538" TargetMode="External"/><Relationship Id="rId1378" Type="http://schemas.openxmlformats.org/officeDocument/2006/relationships/hyperlink" Target="https://www.facebook.com/arisandy.sakito/posts/pfbid09ZNsqg22FLHoS5uVYs6KaiQSYsD9ZnXPwKJRjcSYcbZp2BahfFXbd5N9hC7CyBDfl" TargetMode="External"/><Relationship Id="rId1379" Type="http://schemas.openxmlformats.org/officeDocument/2006/relationships/hyperlink" Target="https://x.com/Anfieldbreath/status/1992462225089663053" TargetMode="External"/><Relationship Id="rId789" Type="http://schemas.openxmlformats.org/officeDocument/2006/relationships/hyperlink" Target="https://www.facebook.com/groups/1364141841333887/posts/1424303755317695/" TargetMode="External"/><Relationship Id="rId788" Type="http://schemas.openxmlformats.org/officeDocument/2006/relationships/hyperlink" Target="https://www.facebook.com/groups/221580229175240/?multi_permalinks=1436697724330145&amp;hoisted_section_header_type=recently_seen" TargetMode="External"/><Relationship Id="rId787" Type="http://schemas.openxmlformats.org/officeDocument/2006/relationships/hyperlink" Target="https://www.facebook.com/groups/221580229175240/?multi_permalinks=1491594498840467&amp;hoisted_section_header_type=recently_seen" TargetMode="External"/><Relationship Id="rId786" Type="http://schemas.openxmlformats.org/officeDocument/2006/relationships/hyperlink" Target="https://www.facebook.com/groups/221580229175240/?multi_permalinks=1482996199700297&amp;hoisted_section_header_type=recently_seen" TargetMode="External"/><Relationship Id="rId781" Type="http://schemas.openxmlformats.org/officeDocument/2006/relationships/hyperlink" Target="https://vt.tiktok.com/ZSDnjjLoS/" TargetMode="External"/><Relationship Id="rId1370" Type="http://schemas.openxmlformats.org/officeDocument/2006/relationships/hyperlink" Target="https://www.facebook.com/groups/199908090907381/posts/1957118031853036/" TargetMode="External"/><Relationship Id="rId780" Type="http://schemas.openxmlformats.org/officeDocument/2006/relationships/hyperlink" Target="https://vt.tiktok.com/ZSDnjhtkY/" TargetMode="External"/><Relationship Id="rId1371" Type="http://schemas.openxmlformats.org/officeDocument/2006/relationships/hyperlink" Target="https://www.facebook.com/groups/199908090907381/posts/1941546340076872/" TargetMode="External"/><Relationship Id="rId1372" Type="http://schemas.openxmlformats.org/officeDocument/2006/relationships/hyperlink" Target="https://www.facebook.com/groups/199908090907381/posts/1940727780158728/" TargetMode="External"/><Relationship Id="rId1373" Type="http://schemas.openxmlformats.org/officeDocument/2006/relationships/hyperlink" Target="https://www.facebook.com/groups/199908090907381/posts/1887929108771929/" TargetMode="External"/><Relationship Id="rId785" Type="http://schemas.openxmlformats.org/officeDocument/2006/relationships/hyperlink" Target="https://www.facebook.com/groups/225157887497430/?multi_permalinks=9864953950184394&amp;hoisted_section_header_type=recently_seen" TargetMode="External"/><Relationship Id="rId1374" Type="http://schemas.openxmlformats.org/officeDocument/2006/relationships/hyperlink" Target="https://x.com/PresidenKopi/status/1985236765721117112" TargetMode="External"/><Relationship Id="rId784" Type="http://schemas.openxmlformats.org/officeDocument/2006/relationships/hyperlink" Target="https://www.facebook.com/groups/1376765419280363/?multi_permalinks=3832000957090118&amp;hoisted_section_header_type=recently_seen" TargetMode="External"/><Relationship Id="rId1375" Type="http://schemas.openxmlformats.org/officeDocument/2006/relationships/hyperlink" Target="https://x.com/tinylotus27/status/1985507197670105254" TargetMode="External"/><Relationship Id="rId783" Type="http://schemas.openxmlformats.org/officeDocument/2006/relationships/hyperlink" Target="https://www.facebook.com/groups/221580229175240/?multi_permalinks=1491735242159726&amp;hoisted_section_header_type=recently_seen" TargetMode="External"/><Relationship Id="rId1376" Type="http://schemas.openxmlformats.org/officeDocument/2006/relationships/hyperlink" Target="https://www.facebook.com/photo?fbid=1540620517639968&amp;set=a.698520645183297" TargetMode="External"/><Relationship Id="rId782" Type="http://schemas.openxmlformats.org/officeDocument/2006/relationships/hyperlink" Target="https://www.facebook.com/groups/221580229175240/?multi_permalinks=1489846972348553&amp;hoisted_section_header_type=recently_seen" TargetMode="External"/><Relationship Id="rId1377" Type="http://schemas.openxmlformats.org/officeDocument/2006/relationships/hyperlink" Target="https://www.facebook.com/eko.oktareza/posts/pfbid02X5KZgLUXHvhqPXhWmjUHjKFtiuiTgaxgSstMGPnXkEHryDfN4T8SF9KxF7GW22Qhl" TargetMode="External"/><Relationship Id="rId1367" Type="http://schemas.openxmlformats.org/officeDocument/2006/relationships/hyperlink" Target="http://facebook.com/share/p/1CcSZFUS4Q/" TargetMode="External"/><Relationship Id="rId2698" Type="http://schemas.openxmlformats.org/officeDocument/2006/relationships/hyperlink" Target="https://www.facebook.com/groups/9767428643312271/posts/25301747676120450/" TargetMode="External"/><Relationship Id="rId1368" Type="http://schemas.openxmlformats.org/officeDocument/2006/relationships/hyperlink" Target="https://www.facebook.com/groups/502100264914813/permalink/1166122728512560/?rdid=fsZIjXhZLvAHc5yn" TargetMode="External"/><Relationship Id="rId2699" Type="http://schemas.openxmlformats.org/officeDocument/2006/relationships/hyperlink" Target="https://www.facebook.com/groups/9767428643312271/posts/25301190729509478/" TargetMode="External"/><Relationship Id="rId1369" Type="http://schemas.openxmlformats.org/officeDocument/2006/relationships/hyperlink" Target="https://www.facebook.com/story.php?story_fbid=122106178905129957&amp;id=61583898728881&amp;rdid=gePsCDqQRIv3eo4B" TargetMode="External"/><Relationship Id="rId778" Type="http://schemas.openxmlformats.org/officeDocument/2006/relationships/hyperlink" Target="https://vt.tiktok.com/ZSDtwseTH/" TargetMode="External"/><Relationship Id="rId777" Type="http://schemas.openxmlformats.org/officeDocument/2006/relationships/hyperlink" Target="https://vt.tiktok.com/ZSDtwseTH/" TargetMode="External"/><Relationship Id="rId776" Type="http://schemas.openxmlformats.org/officeDocument/2006/relationships/hyperlink" Target="https://vt.tiktok.com/ZSDtwm2D1/" TargetMode="External"/><Relationship Id="rId775" Type="http://schemas.openxmlformats.org/officeDocument/2006/relationships/hyperlink" Target="https://vt.tiktok.com/ZSDtw5pXT/" TargetMode="External"/><Relationship Id="rId779" Type="http://schemas.openxmlformats.org/officeDocument/2006/relationships/hyperlink" Target="https://vt.tiktok.com/ZSDtw3LMR/" TargetMode="External"/><Relationship Id="rId770" Type="http://schemas.openxmlformats.org/officeDocument/2006/relationships/hyperlink" Target="https://www.tiktok.com/@aderianiskandar31/video/7554797900950342923?_r=1&amp;_t=ZS-905odxSBaBF" TargetMode="External"/><Relationship Id="rId2690" Type="http://schemas.openxmlformats.org/officeDocument/2006/relationships/hyperlink" Target="https://vt.tiktok.com/ZS55uDy76/" TargetMode="External"/><Relationship Id="rId1360" Type="http://schemas.openxmlformats.org/officeDocument/2006/relationships/hyperlink" Target="https://x.com/Umar83638540/status/1983936395589918790?s=20" TargetMode="External"/><Relationship Id="rId2691" Type="http://schemas.openxmlformats.org/officeDocument/2006/relationships/hyperlink" Target="https://www.facebook.com/photo/?fbid=889005860727546&amp;set=gm.3023291004532484&amp;idorvanity=2479676585560598" TargetMode="External"/><Relationship Id="rId1361" Type="http://schemas.openxmlformats.org/officeDocument/2006/relationships/hyperlink" Target="https://x.com/susno2g/status/1994706145169281279?s=20" TargetMode="External"/><Relationship Id="rId2692" Type="http://schemas.openxmlformats.org/officeDocument/2006/relationships/hyperlink" Target="https://www.facebook.com/photo/?fbid=886897047605094&amp;set=gm.3020753768119541&amp;idorvanity=2479676585560598" TargetMode="External"/><Relationship Id="rId1362" Type="http://schemas.openxmlformats.org/officeDocument/2006/relationships/hyperlink" Target="https://x.com/Hasby21834910/status/1994671425526141257?s=20" TargetMode="External"/><Relationship Id="rId2693" Type="http://schemas.openxmlformats.org/officeDocument/2006/relationships/hyperlink" Target="https://www.facebook.com/photo/?fbid=884798704481595&amp;set=gm.3018235171704734&amp;idorvanity=2479676585560598" TargetMode="External"/><Relationship Id="rId774" Type="http://schemas.openxmlformats.org/officeDocument/2006/relationships/hyperlink" Target="https://vt.tiktok.com/ZSDtw5tUS/" TargetMode="External"/><Relationship Id="rId1363" Type="http://schemas.openxmlformats.org/officeDocument/2006/relationships/hyperlink" Target="https://www.facebook.com/share/v/1CvL2YHCk3/" TargetMode="External"/><Relationship Id="rId2694" Type="http://schemas.openxmlformats.org/officeDocument/2006/relationships/hyperlink" Target="https://www.facebook.com/photo/?fbid=1432820841920711&amp;set=gm.3003925486469036&amp;idorvanity=2479676585560598" TargetMode="External"/><Relationship Id="rId773" Type="http://schemas.openxmlformats.org/officeDocument/2006/relationships/hyperlink" Target="https://www.tiktok.com/@yanyanyuana2021/video/7554998260650298631?_r=1&amp;_t=ZS-906LYxJZxp3" TargetMode="External"/><Relationship Id="rId1364" Type="http://schemas.openxmlformats.org/officeDocument/2006/relationships/hyperlink" Target="https://x.com/neohistoria_id/status/1993917507078640048?s=20" TargetMode="External"/><Relationship Id="rId2695" Type="http://schemas.openxmlformats.org/officeDocument/2006/relationships/hyperlink" Target="https://www.facebook.com/photo/?fbid=1443050387564423&amp;set=gm.3016522598542658&amp;idorvanity=2479676585560598" TargetMode="External"/><Relationship Id="rId772" Type="http://schemas.openxmlformats.org/officeDocument/2006/relationships/hyperlink" Target="https://x.com/alisyarief/status/1972207406437617858" TargetMode="External"/><Relationship Id="rId1365" Type="http://schemas.openxmlformats.org/officeDocument/2006/relationships/hyperlink" Target="https://x.com/LeoMess84466017/status/1994740388712910883?t=DGWIwA3Ibg-pSbAt5PRsSg&amp;s=08" TargetMode="External"/><Relationship Id="rId2696" Type="http://schemas.openxmlformats.org/officeDocument/2006/relationships/hyperlink" Target="https://www.facebook.com/photo/?fbid=1384950383426390&amp;set=g.2479676585560598" TargetMode="External"/><Relationship Id="rId771" Type="http://schemas.openxmlformats.org/officeDocument/2006/relationships/hyperlink" Target="https://www.tiktok.com/@ricky.jurnalklik.com/video/7554814428005403916?_r=1&amp;_t=ZS-905odxmNAHY" TargetMode="External"/><Relationship Id="rId1366" Type="http://schemas.openxmlformats.org/officeDocument/2006/relationships/hyperlink" Target="https://www.facebook.com/share/v/1JxfhUU5Bg/" TargetMode="External"/><Relationship Id="rId2697" Type="http://schemas.openxmlformats.org/officeDocument/2006/relationships/hyperlink" Target="https://www.facebook.com/groups/9767428643312271/posts/25302592406035977/" TargetMode="External"/><Relationship Id="rId1390" Type="http://schemas.openxmlformats.org/officeDocument/2006/relationships/hyperlink" Target="https://x.com/HotelBrongto/status/1995038420662718628" TargetMode="External"/><Relationship Id="rId1391" Type="http://schemas.openxmlformats.org/officeDocument/2006/relationships/hyperlink" Target="https://www.facebook.com/share/p/17JgktjbZD/" TargetMode="External"/><Relationship Id="rId1392" Type="http://schemas.openxmlformats.org/officeDocument/2006/relationships/hyperlink" Target="https://www.facebook.com/share/p/1BSoaP6C3C/" TargetMode="External"/><Relationship Id="rId1393" Type="http://schemas.openxmlformats.org/officeDocument/2006/relationships/hyperlink" Target="https://www.facebook.com/share/p/1NvFnhV5Hq/" TargetMode="External"/><Relationship Id="rId1394" Type="http://schemas.openxmlformats.org/officeDocument/2006/relationships/hyperlink" Target="https://www.facebook.com/share/p/1b3obXmYMz/" TargetMode="External"/><Relationship Id="rId1395" Type="http://schemas.openxmlformats.org/officeDocument/2006/relationships/hyperlink" Target="https://www.facebook.com/share/p/17jrP2dTsS/" TargetMode="External"/><Relationship Id="rId1396" Type="http://schemas.openxmlformats.org/officeDocument/2006/relationships/hyperlink" Target="https://www.facebook.com/profile.php?id=61577741050666" TargetMode="External"/><Relationship Id="rId1397" Type="http://schemas.openxmlformats.org/officeDocument/2006/relationships/hyperlink" Target="https://www.facebook.com/share/p/14TbG9d1s3A/" TargetMode="External"/><Relationship Id="rId1398" Type="http://schemas.openxmlformats.org/officeDocument/2006/relationships/hyperlink" Target="https://x.com/Jamel7791/status/1995052140663013521?s=20" TargetMode="External"/><Relationship Id="rId1399" Type="http://schemas.openxmlformats.org/officeDocument/2006/relationships/hyperlink" Target="https://x.com/achehsultanate/status/1994729176541409467?s=20" TargetMode="External"/><Relationship Id="rId1389" Type="http://schemas.openxmlformats.org/officeDocument/2006/relationships/hyperlink" Target="https://www.facebook.com/share/p/1CQ8DJku4s/" TargetMode="External"/><Relationship Id="rId799" Type="http://schemas.openxmlformats.org/officeDocument/2006/relationships/hyperlink" Target="https://www.tiktok.com/@srigala_terakhir5/video/7555242019560508683?_r=1&amp;_t=ZS-907Tky6tM6X" TargetMode="External"/><Relationship Id="rId798" Type="http://schemas.openxmlformats.org/officeDocument/2006/relationships/hyperlink" Target="https://www.tiktok.com/@rusli_756/video/7554976585695153420?_r=1&amp;_t=ZS-907Tkm0w2Fu" TargetMode="External"/><Relationship Id="rId797" Type="http://schemas.openxmlformats.org/officeDocument/2006/relationships/hyperlink" Target="https://www.tiktok.com/@sahril9213/video/7555289338720881928?_r=1&amp;_t=ZS-907TjguD51h" TargetMode="External"/><Relationship Id="rId1380" Type="http://schemas.openxmlformats.org/officeDocument/2006/relationships/hyperlink" Target="https://x.com/zaitshalsyabill/status/1992789858851667992" TargetMode="External"/><Relationship Id="rId792" Type="http://schemas.openxmlformats.org/officeDocument/2006/relationships/hyperlink" Target="https://www.instagram.com/pustakacatut/p/DNzwLiOQnFA/" TargetMode="External"/><Relationship Id="rId1381" Type="http://schemas.openxmlformats.org/officeDocument/2006/relationships/hyperlink" Target="https://www.facebook.com/groups/523183267134157/posts/830934093025738/" TargetMode="External"/><Relationship Id="rId791" Type="http://schemas.openxmlformats.org/officeDocument/2006/relationships/hyperlink" Target="https://www.facebook.com/groups/1499992370958626/?multi_permalinks=1616084299349432&amp;hoisted_section_header_type=recently_seen" TargetMode="External"/><Relationship Id="rId1382" Type="http://schemas.openxmlformats.org/officeDocument/2006/relationships/hyperlink" Target="https://www.facebook.com/groups/523183267134157/posts/829862156466265/" TargetMode="External"/><Relationship Id="rId790" Type="http://schemas.openxmlformats.org/officeDocument/2006/relationships/hyperlink" Target="https://www.facebook.com/groups/1364141841333887/posts/1424992445248826/" TargetMode="External"/><Relationship Id="rId1383" Type="http://schemas.openxmlformats.org/officeDocument/2006/relationships/hyperlink" Target="https://www.facebook.com/groups/523183267134157/posts/829901523128995/" TargetMode="External"/><Relationship Id="rId1384" Type="http://schemas.openxmlformats.org/officeDocument/2006/relationships/hyperlink" Target="https://x.com/junaidin97880/status/1994933096479908044" TargetMode="External"/><Relationship Id="rId796" Type="http://schemas.openxmlformats.org/officeDocument/2006/relationships/hyperlink" Target="https://www.tiktok.com/@mutiaraislami64/video/7555201536226299147?_r=1&amp;_t=ZS-907TiGypDoT" TargetMode="External"/><Relationship Id="rId1385" Type="http://schemas.openxmlformats.org/officeDocument/2006/relationships/hyperlink" Target="https://x.com/lendirkekuasaan/status/1994914306530660498" TargetMode="External"/><Relationship Id="rId795" Type="http://schemas.openxmlformats.org/officeDocument/2006/relationships/hyperlink" Target="https://www.tiktok.com/@info.media.sumbar/video/7555068005818846475?_r=1&amp;_t=ZS-907ThXuIOVZ" TargetMode="External"/><Relationship Id="rId1386" Type="http://schemas.openxmlformats.org/officeDocument/2006/relationships/hyperlink" Target="https://www.facebook.com/share/p/1JWthA1A92/" TargetMode="External"/><Relationship Id="rId794" Type="http://schemas.openxmlformats.org/officeDocument/2006/relationships/hyperlink" Target="https://www.facebook.com/nur.cahayaibrahimy/posts/pfbid0JZuykJPo8HTXmDafnu9vqop3nVQxSZ1VhRjmQe9haMuNdNt9Z8ogsNUS3RRKQW9Al" TargetMode="External"/><Relationship Id="rId1387" Type="http://schemas.openxmlformats.org/officeDocument/2006/relationships/hyperlink" Target="https://www.facebook.com/share/p/181nA1BvyX/" TargetMode="External"/><Relationship Id="rId793" Type="http://schemas.openxmlformats.org/officeDocument/2006/relationships/hyperlink" Target="https://www.facebook.com/nur.cahayaibrahimy/posts/pfbid0JZuykJPo8HTXmDafnu9vqop3nVQxSZ1VhRjmQe9haMuNdNt9Z8ogsNUS3RRKQW9Al" TargetMode="External"/><Relationship Id="rId1388" Type="http://schemas.openxmlformats.org/officeDocument/2006/relationships/hyperlink" Target="https://www.facebook.com/share/p/16XLEsieKN/" TargetMode="External"/><Relationship Id="rId3191" Type="http://schemas.openxmlformats.org/officeDocument/2006/relationships/hyperlink" Target="https://www.facebook.com/groups/1949085075472987/posts/2591344044580417/" TargetMode="External"/><Relationship Id="rId3190" Type="http://schemas.openxmlformats.org/officeDocument/2006/relationships/hyperlink" Target="https://www.facebook.com/reel/1215453430770422" TargetMode="External"/><Relationship Id="rId3193" Type="http://schemas.openxmlformats.org/officeDocument/2006/relationships/hyperlink" Target="https://www.facebook.com/groups/3798955057049943/permalink/4282138812064896/?rdid=p882V52aglk5iUo5" TargetMode="External"/><Relationship Id="rId3192" Type="http://schemas.openxmlformats.org/officeDocument/2006/relationships/hyperlink" Target="https://www.facebook.com/groups/647302417514795/permalink/1166989502212748/?" TargetMode="External"/><Relationship Id="rId3195" Type="http://schemas.openxmlformats.org/officeDocument/2006/relationships/hyperlink" Target="https://www.facebook.com/story.php?story_fbid=122112893139126299&amp;id=61583788979475&amp;rdid=4mUPXgyN01QL9EQP" TargetMode="External"/><Relationship Id="rId3194" Type="http://schemas.openxmlformats.org/officeDocument/2006/relationships/hyperlink" Target="https://www.facebook.com/groups/1271958309871151/permalink/2616383725428596/" TargetMode="External"/><Relationship Id="rId3197" Type="http://schemas.openxmlformats.org/officeDocument/2006/relationships/hyperlink" Target="https://www.facebook.com/groups/1439336049598659/permalink/2837367603128823/?rdid=kVxjRN4KuzVf2Dq3" TargetMode="External"/><Relationship Id="rId3196" Type="http://schemas.openxmlformats.org/officeDocument/2006/relationships/hyperlink" Target="https://www.facebook.com/story.php?story_fbid=122110179909126299&amp;id=61583788979475&amp;rdid=6T5h2L2HAuY6rCim" TargetMode="External"/><Relationship Id="rId3199" Type="http://schemas.openxmlformats.org/officeDocument/2006/relationships/hyperlink" Target="https://x.com/i/status/2000560959237365925" TargetMode="External"/><Relationship Id="rId3198" Type="http://schemas.openxmlformats.org/officeDocument/2006/relationships/hyperlink" Target="https://www.facebook.com/groups/3798955057049943/permalink/4214462355499209/?rdid=cc3HpXE6K59OAqM9" TargetMode="External"/><Relationship Id="rId3180" Type="http://schemas.openxmlformats.org/officeDocument/2006/relationships/hyperlink" Target="https://www.facebook.com/share/p/1A2N5jw9GA/" TargetMode="External"/><Relationship Id="rId3182" Type="http://schemas.openxmlformats.org/officeDocument/2006/relationships/hyperlink" Target="https://www.facebook.com/share/r/1Mf5XeCVgC/" TargetMode="External"/><Relationship Id="rId3181" Type="http://schemas.openxmlformats.org/officeDocument/2006/relationships/hyperlink" Target="https://www.facebook.com/share/v/15sHpAXF5w/" TargetMode="External"/><Relationship Id="rId3184" Type="http://schemas.openxmlformats.org/officeDocument/2006/relationships/hyperlink" Target="https://www.tiktok.com/@nue19365/video/7582885962351381768" TargetMode="External"/><Relationship Id="rId3183" Type="http://schemas.openxmlformats.org/officeDocument/2006/relationships/hyperlink" Target="https://www.facebook.com/share/p/18J5MRFL6c/" TargetMode="External"/><Relationship Id="rId3186" Type="http://schemas.openxmlformats.org/officeDocument/2006/relationships/hyperlink" Target="https://www.facebook.com/reel/1183264090605294" TargetMode="External"/><Relationship Id="rId3185" Type="http://schemas.openxmlformats.org/officeDocument/2006/relationships/hyperlink" Target="https://www.facebook.com/permalink.php?story_fbid=pfbid028KRFrF26gt3q3VgbmtH7Xo47RAit4cfkNxSEa2dCJwfGGxeAp6FJ3K8MEromZ6awl&amp;id=100074017628923" TargetMode="External"/><Relationship Id="rId3188" Type="http://schemas.openxmlformats.org/officeDocument/2006/relationships/hyperlink" Target="https://www.facebook.com/reel/4442698669297178" TargetMode="External"/><Relationship Id="rId3187" Type="http://schemas.openxmlformats.org/officeDocument/2006/relationships/hyperlink" Target="https://www.facebook.com/reel/2301891243662620" TargetMode="External"/><Relationship Id="rId3189" Type="http://schemas.openxmlformats.org/officeDocument/2006/relationships/hyperlink" Target="https://www.facebook.com/permalink.php?story_fbid=pfbid02pYoTRD3gPeFtMoCndygfJge9PttcQFV9QArNY22t9LAq6cR9y6BmZJ7sYUbgvmRhl&amp;id=100095136112645" TargetMode="External"/><Relationship Id="rId3151" Type="http://schemas.openxmlformats.org/officeDocument/2006/relationships/hyperlink" Target="https://www.facebook.com/groups/debatintelektualteisateis2/posts/901759505857315/" TargetMode="External"/><Relationship Id="rId3150" Type="http://schemas.openxmlformats.org/officeDocument/2006/relationships/hyperlink" Target="https://www.facebook.com/groups/debatintelektualteisateis2/posts/901827432517189/" TargetMode="External"/><Relationship Id="rId3153" Type="http://schemas.openxmlformats.org/officeDocument/2006/relationships/hyperlink" Target="https://www.facebook.com/photo/?fbid=884161114127105&amp;set=gm.2990324888022696&amp;idorvanity=1438524923202708" TargetMode="External"/><Relationship Id="rId3152" Type="http://schemas.openxmlformats.org/officeDocument/2006/relationships/hyperlink" Target="https://www.facebook.com/groups/debatintelektualteisateis2/posts/898808019485797/" TargetMode="External"/><Relationship Id="rId3155" Type="http://schemas.openxmlformats.org/officeDocument/2006/relationships/hyperlink" Target="https://www.facebook.com/share/r/1DTGb4nwZW/" TargetMode="External"/><Relationship Id="rId3154" Type="http://schemas.openxmlformats.org/officeDocument/2006/relationships/hyperlink" Target="https://www.facebook.com/share/v/1CGm3CEpXQ/" TargetMode="External"/><Relationship Id="rId3157" Type="http://schemas.openxmlformats.org/officeDocument/2006/relationships/hyperlink" Target="https://www.facebook.com/share/p/1GpUS8vLDp/" TargetMode="External"/><Relationship Id="rId3156" Type="http://schemas.openxmlformats.org/officeDocument/2006/relationships/hyperlink" Target="https://www.facebook.com/share/r/1HJWCGAngD/" TargetMode="External"/><Relationship Id="rId3159" Type="http://schemas.openxmlformats.org/officeDocument/2006/relationships/hyperlink" Target="https://www.facebook.com/share/p/16gLYhMQXs/" TargetMode="External"/><Relationship Id="rId3158" Type="http://schemas.openxmlformats.org/officeDocument/2006/relationships/hyperlink" Target="https://www.facebook.com/share/r/1BZFetkdzt/" TargetMode="External"/><Relationship Id="rId3149" Type="http://schemas.openxmlformats.org/officeDocument/2006/relationships/hyperlink" Target="https://www.facebook.com/groups/debatintelektualteisateis2/posts/902633479103251/" TargetMode="External"/><Relationship Id="rId3140" Type="http://schemas.openxmlformats.org/officeDocument/2006/relationships/hyperlink" Target="https://www.facebook.com/share/p/17SBjiRMsg/" TargetMode="External"/><Relationship Id="rId3142" Type="http://schemas.openxmlformats.org/officeDocument/2006/relationships/hyperlink" Target="https://www.facebook.com/groups/9767428643312271/posts/25130572523237967" TargetMode="External"/><Relationship Id="rId3141" Type="http://schemas.openxmlformats.org/officeDocument/2006/relationships/hyperlink" Target="https://www.facebook.com/groups/9767428643312271/posts/25132032036425349" TargetMode="External"/><Relationship Id="rId3144" Type="http://schemas.openxmlformats.org/officeDocument/2006/relationships/hyperlink" Target="https://www.facebook.com/groups/9767428643312271/posts/25127491770212709" TargetMode="External"/><Relationship Id="rId3143" Type="http://schemas.openxmlformats.org/officeDocument/2006/relationships/hyperlink" Target="https://www.facebook.com/groups/9767428643312271/posts/25129711076657445" TargetMode="External"/><Relationship Id="rId3146" Type="http://schemas.openxmlformats.org/officeDocument/2006/relationships/hyperlink" Target="https://www.facebook.com/groups/9767428643312271/posts/25120276584267561" TargetMode="External"/><Relationship Id="rId3145" Type="http://schemas.openxmlformats.org/officeDocument/2006/relationships/hyperlink" Target="https://www.facebook.com/groups/9767428643312271/posts/25121233674171852" TargetMode="External"/><Relationship Id="rId3148" Type="http://schemas.openxmlformats.org/officeDocument/2006/relationships/hyperlink" Target="https://www.facebook.com/groups/debatintelektualteisateis2/posts/902639022436030/" TargetMode="External"/><Relationship Id="rId3147" Type="http://schemas.openxmlformats.org/officeDocument/2006/relationships/hyperlink" Target="https://www.facebook.com/groups/9767428643312271/posts/25114122971549589" TargetMode="External"/><Relationship Id="rId3171" Type="http://schemas.openxmlformats.org/officeDocument/2006/relationships/hyperlink" Target="https://www.facebook.com/photo/?fbid=884161114127105&amp;set=gm.2990324888022696&amp;idorvanity=1438524923202708" TargetMode="External"/><Relationship Id="rId3170" Type="http://schemas.openxmlformats.org/officeDocument/2006/relationships/hyperlink" Target="https://x.com/hogngalactx/status/2000965775654576574" TargetMode="External"/><Relationship Id="rId3173" Type="http://schemas.openxmlformats.org/officeDocument/2006/relationships/hyperlink" Target="https://www.facebook.com/share/r/1AGfVBNM7e/" TargetMode="External"/><Relationship Id="rId3172" Type="http://schemas.openxmlformats.org/officeDocument/2006/relationships/hyperlink" Target="https://www.tiktok.com/@fadlicicijannata/video/7584696444477623573" TargetMode="External"/><Relationship Id="rId3175" Type="http://schemas.openxmlformats.org/officeDocument/2006/relationships/hyperlink" Target="https://www.facebook.com/share/p/16hxSkzH35/" TargetMode="External"/><Relationship Id="rId3174" Type="http://schemas.openxmlformats.org/officeDocument/2006/relationships/hyperlink" Target="https://www.facebook.com/share/v/18a1xytLoT/" TargetMode="External"/><Relationship Id="rId3177" Type="http://schemas.openxmlformats.org/officeDocument/2006/relationships/hyperlink" Target="https://www.facebook.com/share/p/1ADue9dCHk/" TargetMode="External"/><Relationship Id="rId3176" Type="http://schemas.openxmlformats.org/officeDocument/2006/relationships/hyperlink" Target="https://www.facebook.com/share/p/1Ghe6QJA2Q/" TargetMode="External"/><Relationship Id="rId3179" Type="http://schemas.openxmlformats.org/officeDocument/2006/relationships/hyperlink" Target="https://www.facebook.com/share/p/1REHfybp3E/" TargetMode="External"/><Relationship Id="rId3178" Type="http://schemas.openxmlformats.org/officeDocument/2006/relationships/hyperlink" Target="https://www.facebook.com/share/p/1C1KUDQ4zh/" TargetMode="External"/><Relationship Id="rId3160" Type="http://schemas.openxmlformats.org/officeDocument/2006/relationships/hyperlink" Target="https://www.facebook.com/share/r/1RZqcnmVLd/" TargetMode="External"/><Relationship Id="rId3162" Type="http://schemas.openxmlformats.org/officeDocument/2006/relationships/hyperlink" Target="https://www.tiktok.com/@noname.cr7/video/7406499043788246277" TargetMode="External"/><Relationship Id="rId3161" Type="http://schemas.openxmlformats.org/officeDocument/2006/relationships/hyperlink" Target="https://www.facebook.com/share/r/1AZrh7pHn7/" TargetMode="External"/><Relationship Id="rId3164" Type="http://schemas.openxmlformats.org/officeDocument/2006/relationships/hyperlink" Target="https://www.tiktok.com/@bubarkan_polri/video/7197745127308168475?_r=1&amp;_t=ZS-92J1r7WM7aG" TargetMode="External"/><Relationship Id="rId3163" Type="http://schemas.openxmlformats.org/officeDocument/2006/relationships/hyperlink" Target="https://www.tiktok.com/@bubarkan_polri" TargetMode="External"/><Relationship Id="rId3166" Type="http://schemas.openxmlformats.org/officeDocument/2006/relationships/hyperlink" Target="https://www.facebook.com/reel/1247989974017856" TargetMode="External"/><Relationship Id="rId3165" Type="http://schemas.openxmlformats.org/officeDocument/2006/relationships/hyperlink" Target="https://www.facebook.com/reel/1401209964973404" TargetMode="External"/><Relationship Id="rId3168" Type="http://schemas.openxmlformats.org/officeDocument/2006/relationships/hyperlink" Target="https://x.com/parfumnara/status/2001265830932422777" TargetMode="External"/><Relationship Id="rId3167" Type="http://schemas.openxmlformats.org/officeDocument/2006/relationships/hyperlink" Target="https://x.com/AnandaAdim/status/2001176501845193130" TargetMode="External"/><Relationship Id="rId3169" Type="http://schemas.openxmlformats.org/officeDocument/2006/relationships/hyperlink" Target="https://x.com/yoongurlll/status/2001171335863734604" TargetMode="External"/><Relationship Id="rId2700" Type="http://schemas.openxmlformats.org/officeDocument/2006/relationships/hyperlink" Target="https://www.facebook.com/groups/523183267134157/posts/863362713116209/" TargetMode="External"/><Relationship Id="rId2701" Type="http://schemas.openxmlformats.org/officeDocument/2006/relationships/hyperlink" Target="https://www.facebook.com/groups/523183267134157/posts/863360559783091/" TargetMode="External"/><Relationship Id="rId2702" Type="http://schemas.openxmlformats.org/officeDocument/2006/relationships/hyperlink" Target="https://www.facebook.com/groups/523183267134157/posts/858739650245182/" TargetMode="External"/><Relationship Id="rId2703" Type="http://schemas.openxmlformats.org/officeDocument/2006/relationships/hyperlink" Target="https://www.facebook.com/groups/523183267134157/posts/858737416912072/" TargetMode="External"/><Relationship Id="rId2704" Type="http://schemas.openxmlformats.org/officeDocument/2006/relationships/hyperlink" Target="https://www.facebook.com/groups/523183267134157/posts/851786374273843/" TargetMode="External"/><Relationship Id="rId2705" Type="http://schemas.openxmlformats.org/officeDocument/2006/relationships/hyperlink" Target="https://www.facebook.com/reel/1977276102858061" TargetMode="External"/><Relationship Id="rId2706" Type="http://schemas.openxmlformats.org/officeDocument/2006/relationships/hyperlink" Target="https://vt.tiktok.com/ZS5UKkbd2/" TargetMode="External"/><Relationship Id="rId2707" Type="http://schemas.openxmlformats.org/officeDocument/2006/relationships/hyperlink" Target="https://vt.tiktok.com/ZS5UKQTa7/" TargetMode="External"/><Relationship Id="rId2708" Type="http://schemas.openxmlformats.org/officeDocument/2006/relationships/hyperlink" Target="https://vt.tiktok.com/ZS5UEeMvV/" TargetMode="External"/><Relationship Id="rId2709" Type="http://schemas.openxmlformats.org/officeDocument/2006/relationships/hyperlink" Target="https://web.facebook.com/share/p/1ExZEDvQ29/" TargetMode="External"/><Relationship Id="rId2720" Type="http://schemas.openxmlformats.org/officeDocument/2006/relationships/hyperlink" Target="https://www.facebook.com/groups/2378433292339269/posts/3083527495163175/" TargetMode="External"/><Relationship Id="rId2721" Type="http://schemas.openxmlformats.org/officeDocument/2006/relationships/hyperlink" Target="https://www.facebook.com/groups/2378433292339269/posts/3076039102578681/" TargetMode="External"/><Relationship Id="rId2722" Type="http://schemas.openxmlformats.org/officeDocument/2006/relationships/hyperlink" Target="https://www.facebook.com/groups/1652536848794280/posts/1799096340804996/" TargetMode="External"/><Relationship Id="rId2723" Type="http://schemas.openxmlformats.org/officeDocument/2006/relationships/hyperlink" Target="https://www.facebook.com/groups/1652536848794280/posts/1796870927694204/" TargetMode="External"/><Relationship Id="rId2724" Type="http://schemas.openxmlformats.org/officeDocument/2006/relationships/hyperlink" Target="https://www.facebook.com/groups/1652536848794280/posts/1795870761127554/" TargetMode="External"/><Relationship Id="rId2725" Type="http://schemas.openxmlformats.org/officeDocument/2006/relationships/hyperlink" Target="https://www.facebook.com/reel/2405833189852423" TargetMode="External"/><Relationship Id="rId2726" Type="http://schemas.openxmlformats.org/officeDocument/2006/relationships/hyperlink" Target="https://www.facebook.com/reel/1263377548971148" TargetMode="External"/><Relationship Id="rId2727" Type="http://schemas.openxmlformats.org/officeDocument/2006/relationships/hyperlink" Target="https://www.facebook.com/share/v/17aHe1HUfK/" TargetMode="External"/><Relationship Id="rId2728" Type="http://schemas.openxmlformats.org/officeDocument/2006/relationships/hyperlink" Target="https://www.facebook.com/share/p/1GMmS3gXcL/" TargetMode="External"/><Relationship Id="rId2729" Type="http://schemas.openxmlformats.org/officeDocument/2006/relationships/hyperlink" Target="https://www.facebook.com/share/p/1BvN9A9xTk/" TargetMode="External"/><Relationship Id="rId2710" Type="http://schemas.openxmlformats.org/officeDocument/2006/relationships/hyperlink" Target="https://www.facebook.com/share/p/17M2u5KeLZ/" TargetMode="External"/><Relationship Id="rId2711" Type="http://schemas.openxmlformats.org/officeDocument/2006/relationships/hyperlink" Target="https://www.facebook.com/share/r/1CGtJWbm7u/" TargetMode="External"/><Relationship Id="rId2712" Type="http://schemas.openxmlformats.org/officeDocument/2006/relationships/hyperlink" Target="https://www.facebook.com/share/r/1PRvzcYqbM/" TargetMode="External"/><Relationship Id="rId2713" Type="http://schemas.openxmlformats.org/officeDocument/2006/relationships/hyperlink" Target="https://www.facebook.com/share/v/1BgPPk4Abb/" TargetMode="External"/><Relationship Id="rId2714" Type="http://schemas.openxmlformats.org/officeDocument/2006/relationships/hyperlink" Target="https://www.facebook.com/share/p/17DjZieGER/" TargetMode="External"/><Relationship Id="rId2715" Type="http://schemas.openxmlformats.org/officeDocument/2006/relationships/hyperlink" Target="https://www.facebook.com/share/p/1aaZKwWCpB/" TargetMode="External"/><Relationship Id="rId2716" Type="http://schemas.openxmlformats.org/officeDocument/2006/relationships/hyperlink" Target="https://www.tiktok.com/@berita.politik66/video/7589338261160545556" TargetMode="External"/><Relationship Id="rId2717" Type="http://schemas.openxmlformats.org/officeDocument/2006/relationships/hyperlink" Target="https://www.tiktok.com/@akbarullah171/video/7590806603918478613" TargetMode="External"/><Relationship Id="rId2718" Type="http://schemas.openxmlformats.org/officeDocument/2006/relationships/hyperlink" Target="https://x.com/Satria93602/status/2007718362894479585" TargetMode="External"/><Relationship Id="rId2719" Type="http://schemas.openxmlformats.org/officeDocument/2006/relationships/hyperlink" Target="https://www.facebook.com/groups/2378433292339269/posts/3095598277289430/" TargetMode="External"/><Relationship Id="rId1455" Type="http://schemas.openxmlformats.org/officeDocument/2006/relationships/hyperlink" Target="https://www.youtube.com/watch?v=FYsljTTOU6I" TargetMode="External"/><Relationship Id="rId2786" Type="http://schemas.openxmlformats.org/officeDocument/2006/relationships/hyperlink" Target="https://www.facebook.com/groups/600655398635239/posts/1244389504261822/" TargetMode="External"/><Relationship Id="rId1456" Type="http://schemas.openxmlformats.org/officeDocument/2006/relationships/hyperlink" Target="https://www.facebook.com/share/r/17cnakME5w/" TargetMode="External"/><Relationship Id="rId2787" Type="http://schemas.openxmlformats.org/officeDocument/2006/relationships/hyperlink" Target="https://www.facebook.com/groups/600655398635239/posts/1240266614674111/" TargetMode="External"/><Relationship Id="rId1457" Type="http://schemas.openxmlformats.org/officeDocument/2006/relationships/hyperlink" Target="https://www.facebook.com/reel/1075481361257655" TargetMode="External"/><Relationship Id="rId2788" Type="http://schemas.openxmlformats.org/officeDocument/2006/relationships/hyperlink" Target="https://www.facebook.com/groups/600655398635239/posts/1229902575710515/" TargetMode="External"/><Relationship Id="rId1458" Type="http://schemas.openxmlformats.org/officeDocument/2006/relationships/hyperlink" Target="https://www.youtube.com/watch?v=dj8zfgHxP74" TargetMode="External"/><Relationship Id="rId2789" Type="http://schemas.openxmlformats.org/officeDocument/2006/relationships/hyperlink" Target="https://www.facebook.com/groups/9767428643312271/posts/25254902367471648/" TargetMode="External"/><Relationship Id="rId1459" Type="http://schemas.openxmlformats.org/officeDocument/2006/relationships/hyperlink" Target="https://www.instagram.com/p/DRyFNBSE1v2/" TargetMode="External"/><Relationship Id="rId629" Type="http://schemas.openxmlformats.org/officeDocument/2006/relationships/hyperlink" Target="https://www.facebook.com/share/p/14JJu67oC69/" TargetMode="External"/><Relationship Id="rId624" Type="http://schemas.openxmlformats.org/officeDocument/2006/relationships/hyperlink" Target="https://www.instagram.com/reel/DOpj44cE3cZ/?igsh=ZGJ1bXFiMTljbm45" TargetMode="External"/><Relationship Id="rId623" Type="http://schemas.openxmlformats.org/officeDocument/2006/relationships/hyperlink" Target="https://www.instagram.com/reel/DOpMyNcFZj8/?igsh=ODcxNXBmMjYzZGls" TargetMode="External"/><Relationship Id="rId622" Type="http://schemas.openxmlformats.org/officeDocument/2006/relationships/hyperlink" Target="https://www.instagram.com/reel/DOpimW9jp8y/?igsh=YmtqeTRlY3BxOGdi" TargetMode="External"/><Relationship Id="rId621" Type="http://schemas.openxmlformats.org/officeDocument/2006/relationships/hyperlink" Target="https://vt.tiktok.com/ZSDhs8BFH/" TargetMode="External"/><Relationship Id="rId628" Type="http://schemas.openxmlformats.org/officeDocument/2006/relationships/hyperlink" Target="https://www.facebook.com/agus.kossay.916321/posts/pfbid021VG7tv4P29KnyqemWjU2VBTWV17YP8HWGX3s65Ek4fmq1AvRckELBbkSoQnWjs5Kl" TargetMode="External"/><Relationship Id="rId627" Type="http://schemas.openxmlformats.org/officeDocument/2006/relationships/hyperlink" Target="https://www.facebook.com/permalink.php?story_fbid=pfbid02gg2sSdr9KUBL146D8URgYsyXviqbTNqZ9ppi19fpVth3FKj15T6wkmunXupD34Gvl&amp;id=61555753717356" TargetMode="External"/><Relationship Id="rId626" Type="http://schemas.openxmlformats.org/officeDocument/2006/relationships/hyperlink" Target="https://www.facebook.com/photo/?fbid=664366030042207&amp;set=a.116076158204533" TargetMode="External"/><Relationship Id="rId625" Type="http://schemas.openxmlformats.org/officeDocument/2006/relationships/hyperlink" Target="https://www.instagram.com/reel/DOpcKqrkyuP/?igsh=MXBvYmkwemhxbjFy" TargetMode="External"/><Relationship Id="rId2780" Type="http://schemas.openxmlformats.org/officeDocument/2006/relationships/hyperlink" Target="https://www.facebook.com/share/p/16xkVgALEp/" TargetMode="External"/><Relationship Id="rId1450" Type="http://schemas.openxmlformats.org/officeDocument/2006/relationships/hyperlink" Target="https://www.facebook.com/photo/?fbid=791273153713898&amp;set=gm.2051770782258207&amp;idorvanity=746512186117413" TargetMode="External"/><Relationship Id="rId2781" Type="http://schemas.openxmlformats.org/officeDocument/2006/relationships/hyperlink" Target="https://www.facebook.com/share/p/1AmYjDX6cX/" TargetMode="External"/><Relationship Id="rId620" Type="http://schemas.openxmlformats.org/officeDocument/2006/relationships/hyperlink" Target="https://www.facebook.com/abuputrahabema.knpb/videos/792015383201431/" TargetMode="External"/><Relationship Id="rId1451" Type="http://schemas.openxmlformats.org/officeDocument/2006/relationships/hyperlink" Target="https://www.facebook.com/photo/?fbid=1126106173007243&amp;set=gm.1947294842667159&amp;idorvanity=1297911904272126" TargetMode="External"/><Relationship Id="rId2782" Type="http://schemas.openxmlformats.org/officeDocument/2006/relationships/hyperlink" Target="https://x.com/jawir69/status/2005979531610640513" TargetMode="External"/><Relationship Id="rId1452" Type="http://schemas.openxmlformats.org/officeDocument/2006/relationships/hyperlink" Target="https://www.facebook.com/photo.php?fbid=25010556148611414&amp;set=a.108511075909266&amp;type=3" TargetMode="External"/><Relationship Id="rId2783" Type="http://schemas.openxmlformats.org/officeDocument/2006/relationships/hyperlink" Target="https://www.facebook.com/share/p/1DaLq8Xtxe/" TargetMode="External"/><Relationship Id="rId1453" Type="http://schemas.openxmlformats.org/officeDocument/2006/relationships/hyperlink" Target="https://www.instagram.com/reel/DRyLSuMCD6i/" TargetMode="External"/><Relationship Id="rId2784" Type="http://schemas.openxmlformats.org/officeDocument/2006/relationships/hyperlink" Target="https://www.tiktok.com/@pey230786/video/7588450509195922695" TargetMode="External"/><Relationship Id="rId1454" Type="http://schemas.openxmlformats.org/officeDocument/2006/relationships/hyperlink" Target="https://www.threads.com/search?q=sumatera%20merdeka&amp;serp_type=default" TargetMode="External"/><Relationship Id="rId2785" Type="http://schemas.openxmlformats.org/officeDocument/2006/relationships/hyperlink" Target="https://www.facebook.com/share/p/17rNa4dxmy/" TargetMode="External"/><Relationship Id="rId1444" Type="http://schemas.openxmlformats.org/officeDocument/2006/relationships/hyperlink" Target="https://www.facebook.com/groups/1613421496004593/posts/1796672704346137" TargetMode="External"/><Relationship Id="rId2775" Type="http://schemas.openxmlformats.org/officeDocument/2006/relationships/hyperlink" Target="https://x.com/ceritatati/status/2005985041244119550" TargetMode="External"/><Relationship Id="rId1445" Type="http://schemas.openxmlformats.org/officeDocument/2006/relationships/hyperlink" Target="https://www.facebook.com/groups/1613421496004593/posts/1793735451306529" TargetMode="External"/><Relationship Id="rId2776" Type="http://schemas.openxmlformats.org/officeDocument/2006/relationships/hyperlink" Target="https://x.com/MamanPiyul/status/2005646758588879204" TargetMode="External"/><Relationship Id="rId1446" Type="http://schemas.openxmlformats.org/officeDocument/2006/relationships/hyperlink" Target="https://www.facebook.com/permalink.php?story_fbid=pfbid02SPPZfsPCrJx5MpN5BESaDcSK1euSJeMmKGrUuGeQtfFCrx7G56KZyCqnWJAKQVGdl&amp;id=61567028345656" TargetMode="External"/><Relationship Id="rId2777" Type="http://schemas.openxmlformats.org/officeDocument/2006/relationships/hyperlink" Target="https://www.facebook.com/share/r/17dbU6ci3d/" TargetMode="External"/><Relationship Id="rId1447" Type="http://schemas.openxmlformats.org/officeDocument/2006/relationships/hyperlink" Target="https://www.facebook.com/permalink.php?story_fbid=pfbid02x7vhYCQLjdQ1TBW15mMKPZbtMZWFequTvtLBFFNsoRCmm8AVnuXaBHqtASGhzNRrl&amp;id=61567028345656" TargetMode="External"/><Relationship Id="rId2778" Type="http://schemas.openxmlformats.org/officeDocument/2006/relationships/hyperlink" Target="https://www.facebook.com/share/r/1GuLkEWFaH/" TargetMode="External"/><Relationship Id="rId1448" Type="http://schemas.openxmlformats.org/officeDocument/2006/relationships/hyperlink" Target="https://www.facebook.com/permalink.php?story_fbid=pfbid02GS75boVdL6DQPJQYMS9khTxPnrygnfbfbqQoFRWU8HGKV5urfez6ioKiSFsmoLb6l&amp;id=61567028345656" TargetMode="External"/><Relationship Id="rId2779" Type="http://schemas.openxmlformats.org/officeDocument/2006/relationships/hyperlink" Target="https://www.facebook.com/share/p/1C9s3P2vAR/" TargetMode="External"/><Relationship Id="rId1449" Type="http://schemas.openxmlformats.org/officeDocument/2006/relationships/hyperlink" Target="https://www.facebook.com/permalink.php?story_fbid=pfbid0264gh4UXexTWmzsf7BxVhe6h8DUiPLye9LiKYB1MFtVpFWjScgmyqhzTXxPvixHjhl&amp;id=61567028345656" TargetMode="External"/><Relationship Id="rId619" Type="http://schemas.openxmlformats.org/officeDocument/2006/relationships/hyperlink" Target="https://www.facebook.com/reel/4305274103038042/" TargetMode="External"/><Relationship Id="rId618" Type="http://schemas.openxmlformats.org/officeDocument/2006/relationships/hyperlink" Target="https://www.facebook.com/reel/1087568436914208" TargetMode="External"/><Relationship Id="rId613" Type="http://schemas.openxmlformats.org/officeDocument/2006/relationships/hyperlink" Target="https://www.facebook.com/genander.wakurenak.christina/posts/pfbid02AZSEFNNXuXyjqW3hpKaLd4Hq1TYyTstASefoTaGWTT5eW82NBNPjGa2mweRcerXnl" TargetMode="External"/><Relationship Id="rId612" Type="http://schemas.openxmlformats.org/officeDocument/2006/relationships/hyperlink" Target="https://www.facebook.com/share/r/17QLwSs1Rc/" TargetMode="External"/><Relationship Id="rId611" Type="http://schemas.openxmlformats.org/officeDocument/2006/relationships/hyperlink" Target="https://www.facebook.com/share/v/17UxPAbY8u/" TargetMode="External"/><Relationship Id="rId610" Type="http://schemas.openxmlformats.org/officeDocument/2006/relationships/hyperlink" Target="https://www.facebook.com/reel/658234696878055/?mibextid=rS40aB7S9Ucbxw6v" TargetMode="External"/><Relationship Id="rId617" Type="http://schemas.openxmlformats.org/officeDocument/2006/relationships/hyperlink" Target="https://www.facebook.com/genander.wakurenak.christina/posts/pfbid02AZSEFNNXuXyjqW3hpKaLd4Hq1TYyTstASefoTaGWTT5eW82NBNPjGa2mweRcerXnl" TargetMode="External"/><Relationship Id="rId616" Type="http://schemas.openxmlformats.org/officeDocument/2006/relationships/hyperlink" Target="https://www.facebook.com/share/r/17QLwSs1Rc/" TargetMode="External"/><Relationship Id="rId615" Type="http://schemas.openxmlformats.org/officeDocument/2006/relationships/hyperlink" Target="https://www.facebook.com/reel/24795982736690005" TargetMode="External"/><Relationship Id="rId614" Type="http://schemas.openxmlformats.org/officeDocument/2006/relationships/hyperlink" Target="http://facebook.com/reel/2038474310230479/?s=single_unit" TargetMode="External"/><Relationship Id="rId2770" Type="http://schemas.openxmlformats.org/officeDocument/2006/relationships/hyperlink" Target="https://www.facebook.com/share/r/1EvCMyF3qn/" TargetMode="External"/><Relationship Id="rId1440" Type="http://schemas.openxmlformats.org/officeDocument/2006/relationships/hyperlink" Target="https://www.facebook.com/photo?fbid=122204244296316851&amp;set=gm.2991550767706508&amp;idorvanity=2479676585560598" TargetMode="External"/><Relationship Id="rId2771" Type="http://schemas.openxmlformats.org/officeDocument/2006/relationships/hyperlink" Target="https://www.facebook.com/share/r/1CgqQKYfW7/" TargetMode="External"/><Relationship Id="rId1441" Type="http://schemas.openxmlformats.org/officeDocument/2006/relationships/hyperlink" Target="https://www.facebook.com/photo/?fbid=122204227634316851&amp;set=gm.2991473147714270&amp;idorvanity=2479676585560598" TargetMode="External"/><Relationship Id="rId2772" Type="http://schemas.openxmlformats.org/officeDocument/2006/relationships/hyperlink" Target="https://www.facebook.com/share/r/1QjzPfZ6jK/" TargetMode="External"/><Relationship Id="rId1442" Type="http://schemas.openxmlformats.org/officeDocument/2006/relationships/hyperlink" Target="https://www.facebook.com/photo/?fbid=122204236544316851&amp;set=gm.2991490771045841&amp;idorvanity=2479676585560598" TargetMode="External"/><Relationship Id="rId2773" Type="http://schemas.openxmlformats.org/officeDocument/2006/relationships/hyperlink" Target="https://www.facebook.com/share/v/1MQeTGnFRR/" TargetMode="External"/><Relationship Id="rId1443" Type="http://schemas.openxmlformats.org/officeDocument/2006/relationships/hyperlink" Target="https://www.facebook.com/groups/1613421496004593/posts/1801720740508000" TargetMode="External"/><Relationship Id="rId2774" Type="http://schemas.openxmlformats.org/officeDocument/2006/relationships/hyperlink" Target="https://x.com/Loveinloveyz/status/2005145942669041849" TargetMode="External"/><Relationship Id="rId1477" Type="http://schemas.openxmlformats.org/officeDocument/2006/relationships/hyperlink" Target="https://www.facebook.com/share/p/14QGneDc4QR/" TargetMode="External"/><Relationship Id="rId1478" Type="http://schemas.openxmlformats.org/officeDocument/2006/relationships/hyperlink" Target="https://www.facebook.com/share/r/1GcaSWTxWm/" TargetMode="External"/><Relationship Id="rId1479" Type="http://schemas.openxmlformats.org/officeDocument/2006/relationships/hyperlink" Target="https://www.facebook.com/share/v/1HAvoRMCUx/" TargetMode="External"/><Relationship Id="rId646" Type="http://schemas.openxmlformats.org/officeDocument/2006/relationships/hyperlink" Target="https://www.tiktok.com/@faruq.incu.elang/video/7541977395625004344" TargetMode="External"/><Relationship Id="rId645" Type="http://schemas.openxmlformats.org/officeDocument/2006/relationships/hyperlink" Target="https://www.tiktok.com/@bolank_905/video/7551105374565289221" TargetMode="External"/><Relationship Id="rId644" Type="http://schemas.openxmlformats.org/officeDocument/2006/relationships/hyperlink" Target="https://www.tiktok.com/@wong.gabut7964/video/7553335477672103180" TargetMode="External"/><Relationship Id="rId643" Type="http://schemas.openxmlformats.org/officeDocument/2006/relationships/hyperlink" Target="https://www.tiktok.com/@negara.konyol/video/7553298334581132555" TargetMode="External"/><Relationship Id="rId649" Type="http://schemas.openxmlformats.org/officeDocument/2006/relationships/hyperlink" Target="https://www.facebook.com/groups/882222322392995/posts/1834140887201129/" TargetMode="External"/><Relationship Id="rId648" Type="http://schemas.openxmlformats.org/officeDocument/2006/relationships/hyperlink" Target="https://www.facebook.com/groups/732699413011048/posts/766893476258308/" TargetMode="External"/><Relationship Id="rId647" Type="http://schemas.openxmlformats.org/officeDocument/2006/relationships/hyperlink" Target="https://www.facebook.com/groups/732699413011048/posts/769927359288253/" TargetMode="External"/><Relationship Id="rId1470" Type="http://schemas.openxmlformats.org/officeDocument/2006/relationships/hyperlink" Target="https://www.facebook.com/share/r/1GZepJXswV/" TargetMode="External"/><Relationship Id="rId1471" Type="http://schemas.openxmlformats.org/officeDocument/2006/relationships/hyperlink" Target="https://www.facebook.com/share/p/1BeBD8ia2M/" TargetMode="External"/><Relationship Id="rId1472" Type="http://schemas.openxmlformats.org/officeDocument/2006/relationships/hyperlink" Target="https://www.facebook.com/share/r/1K5HFKGRd7/" TargetMode="External"/><Relationship Id="rId642" Type="http://schemas.openxmlformats.org/officeDocument/2006/relationships/hyperlink" Target="https://www.tiktok.com/@negara.konyol/video/7553482887606160696" TargetMode="External"/><Relationship Id="rId1473" Type="http://schemas.openxmlformats.org/officeDocument/2006/relationships/hyperlink" Target="https://www.tiktok.com/@talino_nalino/video/7578890793348336903?_r=1&amp;_t=ZS-91uqHU00EM9" TargetMode="External"/><Relationship Id="rId641" Type="http://schemas.openxmlformats.org/officeDocument/2006/relationships/hyperlink" Target="https://www.facebook.com/share/v/192gkYS6Ci/" TargetMode="External"/><Relationship Id="rId1474" Type="http://schemas.openxmlformats.org/officeDocument/2006/relationships/hyperlink" Target="https://www.tiktok.com/@daskopi/video/7579277069951978773?_r=1&amp;_t=ZS-91uqPs8nYXN" TargetMode="External"/><Relationship Id="rId640" Type="http://schemas.openxmlformats.org/officeDocument/2006/relationships/hyperlink" Target="https://www.facebook.com/share/v/1Asjkh3VkC/" TargetMode="External"/><Relationship Id="rId1475" Type="http://schemas.openxmlformats.org/officeDocument/2006/relationships/hyperlink" Target="https://www.tiktok.com/@bang_one_avenue/video/7578461190112693511?_r=1&amp;_t=ZS-91ur0zUDgKy" TargetMode="External"/><Relationship Id="rId1476" Type="http://schemas.openxmlformats.org/officeDocument/2006/relationships/hyperlink" Target="https://www.facebook.com/share/v/17ff4KnyG9/" TargetMode="External"/><Relationship Id="rId1466" Type="http://schemas.openxmlformats.org/officeDocument/2006/relationships/hyperlink" Target="https://www.facebook.com/groups/2386029115037553/posts/3187314938242296/" TargetMode="External"/><Relationship Id="rId2797" Type="http://schemas.openxmlformats.org/officeDocument/2006/relationships/hyperlink" Target="https://www.facebook.com/reel/1351977506225968" TargetMode="External"/><Relationship Id="rId1467" Type="http://schemas.openxmlformats.org/officeDocument/2006/relationships/hyperlink" Target="https://www.facebook.com/wani.rachman/posts/pfbid02pUCvdzZ8cDuRjn9hWRLvdtPkYwejMjyWAjTzJrwjK9mX3j48wRVt7PUHUexn2aebl" TargetMode="External"/><Relationship Id="rId2798" Type="http://schemas.openxmlformats.org/officeDocument/2006/relationships/hyperlink" Target="https://www.facebook.com/takin.sidqialubis/videos/1508220236927616/" TargetMode="External"/><Relationship Id="rId1468" Type="http://schemas.openxmlformats.org/officeDocument/2006/relationships/hyperlink" Target="https://www.facebook.com/groups/1016963035392197/posts/2309740239447797/" TargetMode="External"/><Relationship Id="rId2799" Type="http://schemas.openxmlformats.org/officeDocument/2006/relationships/hyperlink" Target="https://x.com/RomoMoses3/status/2004063007308148862" TargetMode="External"/><Relationship Id="rId1469" Type="http://schemas.openxmlformats.org/officeDocument/2006/relationships/hyperlink" Target="https://www.facebook.com/share/r/1GncAKb2jj/" TargetMode="External"/><Relationship Id="rId635" Type="http://schemas.openxmlformats.org/officeDocument/2006/relationships/hyperlink" Target="https://vt.tiktok.com/ZSDCnC2Us/" TargetMode="External"/><Relationship Id="rId634" Type="http://schemas.openxmlformats.org/officeDocument/2006/relationships/hyperlink" Target="https://vt.tiktok.com/ZSDCneSVQ/" TargetMode="External"/><Relationship Id="rId633" Type="http://schemas.openxmlformats.org/officeDocument/2006/relationships/hyperlink" Target="https://vt.tiktok.com/ZSDCp3XNe/" TargetMode="External"/><Relationship Id="rId632" Type="http://schemas.openxmlformats.org/officeDocument/2006/relationships/hyperlink" Target="https://www.facebook.com/reel/2198428824004457/" TargetMode="External"/><Relationship Id="rId639" Type="http://schemas.openxmlformats.org/officeDocument/2006/relationships/hyperlink" Target="https://www.facebook.com/share/r/1FUWPBdkx5/" TargetMode="External"/><Relationship Id="rId638" Type="http://schemas.openxmlformats.org/officeDocument/2006/relationships/hyperlink" Target="https://vt.tiktok.com/ZSDCt3Hpe/" TargetMode="External"/><Relationship Id="rId637" Type="http://schemas.openxmlformats.org/officeDocument/2006/relationships/hyperlink" Target="https://vt.tiktok.com/ZSDCnU2ky/" TargetMode="External"/><Relationship Id="rId636" Type="http://schemas.openxmlformats.org/officeDocument/2006/relationships/hyperlink" Target="https://vt.tiktok.com/ZSDCngFrG/" TargetMode="External"/><Relationship Id="rId2790" Type="http://schemas.openxmlformats.org/officeDocument/2006/relationships/hyperlink" Target="https://www.facebook.com/groups/9767428643312271/posts/25254854617476423/" TargetMode="External"/><Relationship Id="rId1460" Type="http://schemas.openxmlformats.org/officeDocument/2006/relationships/hyperlink" Target="https://x.com/SemutMerah2024/status/1996075402411081837" TargetMode="External"/><Relationship Id="rId2791" Type="http://schemas.openxmlformats.org/officeDocument/2006/relationships/hyperlink" Target="https://www.facebook.com/groups/9767428643312271/posts/25252900924338459/" TargetMode="External"/><Relationship Id="rId1461" Type="http://schemas.openxmlformats.org/officeDocument/2006/relationships/hyperlink" Target="https://www.facebook.com/par.pasaribu.7/posts/anak-tirisumatera-anak-tiri-nkri-mau-dikadalin-dicoba-mengatakan-tak-ada-bencana/1372874161254113/" TargetMode="External"/><Relationship Id="rId2792" Type="http://schemas.openxmlformats.org/officeDocument/2006/relationships/hyperlink" Target="https://www.facebook.com/groups/1179856566370579/posts/1566334281056137/" TargetMode="External"/><Relationship Id="rId631" Type="http://schemas.openxmlformats.org/officeDocument/2006/relationships/hyperlink" Target="https://www.facebook.com/share/r/1B3heJTfQh/" TargetMode="External"/><Relationship Id="rId1462" Type="http://schemas.openxmlformats.org/officeDocument/2006/relationships/hyperlink" Target="https://www.facebook.com/100092604229866/posts/aceh-merdeka-%EF%B8%8F/770584042705063/" TargetMode="External"/><Relationship Id="rId2793" Type="http://schemas.openxmlformats.org/officeDocument/2006/relationships/hyperlink" Target="https://www.facebook.com/groups/1179856566370579/posts/1566020651087500/" TargetMode="External"/><Relationship Id="rId630" Type="http://schemas.openxmlformats.org/officeDocument/2006/relationships/hyperlink" Target="https://www.facebook.com/reel/1814683849442726" TargetMode="External"/><Relationship Id="rId1463" Type="http://schemas.openxmlformats.org/officeDocument/2006/relationships/hyperlink" Target="https://www.threads.com/@salwamaze/post/DRxKPCEklCO/indonesia-memang-dari-dulu-tak-pernah-sukakan-sumatra-gara-pemerintah-republik" TargetMode="External"/><Relationship Id="rId2794" Type="http://schemas.openxmlformats.org/officeDocument/2006/relationships/hyperlink" Target="https://www.facebook.com/groups/1179856566370579/posts/1564830931206472/" TargetMode="External"/><Relationship Id="rId1464" Type="http://schemas.openxmlformats.org/officeDocument/2006/relationships/hyperlink" Target="https://www.facebook.com/groups/2386029115037553/posts/3187618618211928/" TargetMode="External"/><Relationship Id="rId2795" Type="http://schemas.openxmlformats.org/officeDocument/2006/relationships/hyperlink" Target="https://www.facebook.com/groups/1179856566370579/posts/1564252137931018/" TargetMode="External"/><Relationship Id="rId1465" Type="http://schemas.openxmlformats.org/officeDocument/2006/relationships/hyperlink" Target="https://www.facebook.com/groups/2386029115037553/posts/3187569304883526/" TargetMode="External"/><Relationship Id="rId2796" Type="http://schemas.openxmlformats.org/officeDocument/2006/relationships/hyperlink" Target="https://www.facebook.com/groups/1179856566370579/posts/1555442255478673/" TargetMode="External"/><Relationship Id="rId1411" Type="http://schemas.openxmlformats.org/officeDocument/2006/relationships/hyperlink" Target="https://x.com/sammy10726838/status/1993923014313046503" TargetMode="External"/><Relationship Id="rId2742" Type="http://schemas.openxmlformats.org/officeDocument/2006/relationships/hyperlink" Target="https://www.facebook.com/share/r/16kCssWvPR/" TargetMode="External"/><Relationship Id="rId1412" Type="http://schemas.openxmlformats.org/officeDocument/2006/relationships/hyperlink" Target="https://www.facebook.com/masykur.bhother/posts/pfbid02ARcfdrVh4Z2GSRgXQQcegHktNzdHNe6NqtENmvU1MHm1vQVyBLeoHobRY3NsDqb7l" TargetMode="External"/><Relationship Id="rId2743" Type="http://schemas.openxmlformats.org/officeDocument/2006/relationships/hyperlink" Target="https://www.facebook.com/share/r/1CbpD2quvh/" TargetMode="External"/><Relationship Id="rId1413" Type="http://schemas.openxmlformats.org/officeDocument/2006/relationships/hyperlink" Target="https://www.facebook.com/bella.nurzanah.94/posts/pfbid02PFSovDzgBnrXn2nHgY3CrB32xju1uueuFjDLPeTAMqhBnxJHWMgr6BVG8R4XUH6fl" TargetMode="External"/><Relationship Id="rId2744" Type="http://schemas.openxmlformats.org/officeDocument/2006/relationships/hyperlink" Target="https://x.com/sugengyuli45786/status/2006914952397996250" TargetMode="External"/><Relationship Id="rId1414" Type="http://schemas.openxmlformats.org/officeDocument/2006/relationships/hyperlink" Target="https://www.facebook.com/reel/823963270457037" TargetMode="External"/><Relationship Id="rId2745" Type="http://schemas.openxmlformats.org/officeDocument/2006/relationships/hyperlink" Target="https://x.com/thiagodhewi/status/2006896263711830442" TargetMode="External"/><Relationship Id="rId1415" Type="http://schemas.openxmlformats.org/officeDocument/2006/relationships/hyperlink" Target="https://www.gelora.co/2025/11/kpk-dalami-aliran-duit-pemerasan-rp-2.html?m=1" TargetMode="External"/><Relationship Id="rId2746" Type="http://schemas.openxmlformats.org/officeDocument/2006/relationships/hyperlink" Target="https://x.com/budisetyo5273/status/2006732867293032629" TargetMode="External"/><Relationship Id="rId1416" Type="http://schemas.openxmlformats.org/officeDocument/2006/relationships/hyperlink" Target="https://www.facebook.com/reel/1520950809111784" TargetMode="External"/><Relationship Id="rId2747" Type="http://schemas.openxmlformats.org/officeDocument/2006/relationships/hyperlink" Target="https://x.com/fransis74201222/status/2006945970500808810" TargetMode="External"/><Relationship Id="rId1417" Type="http://schemas.openxmlformats.org/officeDocument/2006/relationships/hyperlink" Target="https://www.facebook.com/reel/1557147215303356" TargetMode="External"/><Relationship Id="rId2748" Type="http://schemas.openxmlformats.org/officeDocument/2006/relationships/hyperlink" Target="https://x.com/surya0377/status/2006939747172888603" TargetMode="External"/><Relationship Id="rId1418" Type="http://schemas.openxmlformats.org/officeDocument/2006/relationships/hyperlink" Target="https://web.facebook.com/share/v/19s3DFh9Tk/" TargetMode="External"/><Relationship Id="rId2749" Type="http://schemas.openxmlformats.org/officeDocument/2006/relationships/hyperlink" Target="https://www.facebook.com/share/p/1Co4BJezGH/" TargetMode="External"/><Relationship Id="rId1419" Type="http://schemas.openxmlformats.org/officeDocument/2006/relationships/hyperlink" Target="https://web.facebook.com/share/r/17VqVfwpzi/" TargetMode="External"/><Relationship Id="rId2740" Type="http://schemas.openxmlformats.org/officeDocument/2006/relationships/hyperlink" Target="https://www.facebook.com/reel/1140859521212297" TargetMode="External"/><Relationship Id="rId1410" Type="http://schemas.openxmlformats.org/officeDocument/2006/relationships/hyperlink" Target="https://x.com/skybenar/status/1995299226465734770" TargetMode="External"/><Relationship Id="rId2741" Type="http://schemas.openxmlformats.org/officeDocument/2006/relationships/hyperlink" Target="https://www.facebook.com/share/v/1C4DzzdKdR/" TargetMode="External"/><Relationship Id="rId1400" Type="http://schemas.openxmlformats.org/officeDocument/2006/relationships/hyperlink" Target="https://x.com/achehsultanate/status/1995154794806489444?s=20" TargetMode="External"/><Relationship Id="rId2731" Type="http://schemas.openxmlformats.org/officeDocument/2006/relationships/hyperlink" Target="https://www.facebook.com/share/r/1ANxiCBEen/" TargetMode="External"/><Relationship Id="rId1401" Type="http://schemas.openxmlformats.org/officeDocument/2006/relationships/hyperlink" Target="https://www.facebook.com/61583220370446/videos/860107456701239/" TargetMode="External"/><Relationship Id="rId2732" Type="http://schemas.openxmlformats.org/officeDocument/2006/relationships/hyperlink" Target="https://www.facebook.com/share/r/1CGtJWbm7u/" TargetMode="External"/><Relationship Id="rId1402" Type="http://schemas.openxmlformats.org/officeDocument/2006/relationships/hyperlink" Target="https://www.facebook.com/Cahyabae13/videos/1550524455943400/" TargetMode="External"/><Relationship Id="rId2733" Type="http://schemas.openxmlformats.org/officeDocument/2006/relationships/hyperlink" Target="https://www.facebook.com/share/v/1akDQNMrCc/" TargetMode="External"/><Relationship Id="rId1403" Type="http://schemas.openxmlformats.org/officeDocument/2006/relationships/hyperlink" Target="https://web.facebook.com/share/p/1BAAJzogFJ/" TargetMode="External"/><Relationship Id="rId2734" Type="http://schemas.openxmlformats.org/officeDocument/2006/relationships/hyperlink" Target="https://www.facebook.com/share/p/1AwFjdiXQ6/" TargetMode="External"/><Relationship Id="rId1404" Type="http://schemas.openxmlformats.org/officeDocument/2006/relationships/hyperlink" Target="https://web.facebook.com/share/p/1BwPuDkvRn/" TargetMode="External"/><Relationship Id="rId2735" Type="http://schemas.openxmlformats.org/officeDocument/2006/relationships/hyperlink" Target="https://www.facebook.com/share/p/1DBuo73cgb/" TargetMode="External"/><Relationship Id="rId1405" Type="http://schemas.openxmlformats.org/officeDocument/2006/relationships/hyperlink" Target="https://web.facebook.com/share/p/15YVdwveqZH/" TargetMode="External"/><Relationship Id="rId2736" Type="http://schemas.openxmlformats.org/officeDocument/2006/relationships/hyperlink" Target="https://www.facebook.com/share/r/1Ab3mERExA/" TargetMode="External"/><Relationship Id="rId1406" Type="http://schemas.openxmlformats.org/officeDocument/2006/relationships/hyperlink" Target="https://web.facebook.com/share/r/1b9Gk6y1Gb/" TargetMode="External"/><Relationship Id="rId2737" Type="http://schemas.openxmlformats.org/officeDocument/2006/relationships/hyperlink" Target="https://x.com/HisyamMochtar/status/2007420524281163986" TargetMode="External"/><Relationship Id="rId1407" Type="http://schemas.openxmlformats.org/officeDocument/2006/relationships/hyperlink" Target="https://web.facebook.com/share/p/1GBYzj98Qg/" TargetMode="External"/><Relationship Id="rId2738" Type="http://schemas.openxmlformats.org/officeDocument/2006/relationships/hyperlink" Target="https://x.com/KayadiMur/status/2007396857270657280" TargetMode="External"/><Relationship Id="rId1408" Type="http://schemas.openxmlformats.org/officeDocument/2006/relationships/hyperlink" Target="https://x.com/regar_op0sisi/status/1994584769859129661" TargetMode="External"/><Relationship Id="rId2739" Type="http://schemas.openxmlformats.org/officeDocument/2006/relationships/hyperlink" Target="https://www.facebook.com/reel/1410840013785850" TargetMode="External"/><Relationship Id="rId1409" Type="http://schemas.openxmlformats.org/officeDocument/2006/relationships/hyperlink" Target="https://x.com/rasasasa333/status/1995591289249931635" TargetMode="External"/><Relationship Id="rId2730" Type="http://schemas.openxmlformats.org/officeDocument/2006/relationships/hyperlink" Target="https://www.facebook.com/share/r/1KJu6TZ47V/" TargetMode="External"/><Relationship Id="rId1433" Type="http://schemas.openxmlformats.org/officeDocument/2006/relationships/hyperlink" Target="https://x.com/maznariady" TargetMode="External"/><Relationship Id="rId2764" Type="http://schemas.openxmlformats.org/officeDocument/2006/relationships/hyperlink" Target="https://www.facebook.com/share/p/16pTLEca2L/" TargetMode="External"/><Relationship Id="rId1434" Type="http://schemas.openxmlformats.org/officeDocument/2006/relationships/hyperlink" Target="https://www.facebook.com/groups/1179856566370579/?multi_permalinks=1544884639867768" TargetMode="External"/><Relationship Id="rId2765" Type="http://schemas.openxmlformats.org/officeDocument/2006/relationships/hyperlink" Target="https://vt.tiktok.com/ZS5j4jbB6/" TargetMode="External"/><Relationship Id="rId1435" Type="http://schemas.openxmlformats.org/officeDocument/2006/relationships/hyperlink" Target="https://www.facebook.com/groups/319794727369478/?multi_permalinks=855688913780054" TargetMode="External"/><Relationship Id="rId2766" Type="http://schemas.openxmlformats.org/officeDocument/2006/relationships/hyperlink" Target="https://www.facebook.com/groups/2144232016009025/user/61576746098877/" TargetMode="External"/><Relationship Id="rId1436" Type="http://schemas.openxmlformats.org/officeDocument/2006/relationships/hyperlink" Target="https://www.facebook.com/groups/225157887497430/?multi_permalinks=25008629842056891" TargetMode="External"/><Relationship Id="rId2767" Type="http://schemas.openxmlformats.org/officeDocument/2006/relationships/hyperlink" Target="https://www.facebook.com/share/p/17jNe364Ng/" TargetMode="External"/><Relationship Id="rId1437" Type="http://schemas.openxmlformats.org/officeDocument/2006/relationships/hyperlink" Target="https://www.facebook.com/photo/?fbid=122105824437131080&amp;set=gm.2990097334518518&amp;idorvanity=2479676585560598" TargetMode="External"/><Relationship Id="rId2768" Type="http://schemas.openxmlformats.org/officeDocument/2006/relationships/hyperlink" Target="https://www.facebook.com/share/p/1BUgihVuRF/" TargetMode="External"/><Relationship Id="rId1438" Type="http://schemas.openxmlformats.org/officeDocument/2006/relationships/hyperlink" Target="https://www.facebook.com/photo/?fbid=861498573078561&amp;set=g.2479676585560598" TargetMode="External"/><Relationship Id="rId2769" Type="http://schemas.openxmlformats.org/officeDocument/2006/relationships/hyperlink" Target="https://www.tiktok.com/@otto.vianus61?_r=1&amp;_t=ZS-92baEMcMNU1" TargetMode="External"/><Relationship Id="rId1439" Type="http://schemas.openxmlformats.org/officeDocument/2006/relationships/hyperlink" Target="https://www.facebook.com/photo/?fbid=122105824059131080&amp;set=gm.2990095634518688&amp;idorvanity=2479676585560598" TargetMode="External"/><Relationship Id="rId609" Type="http://schemas.openxmlformats.org/officeDocument/2006/relationships/hyperlink" Target="https://www.facebook.com/reel/2331733663896682" TargetMode="External"/><Relationship Id="rId608" Type="http://schemas.openxmlformats.org/officeDocument/2006/relationships/hyperlink" Target="https://www.facebook.com/reel/756031800506026" TargetMode="External"/><Relationship Id="rId607" Type="http://schemas.openxmlformats.org/officeDocument/2006/relationships/hyperlink" Target="https://www.facebook.com/photo/?fbid=1127624512808568&amp;set=a.102195778684785" TargetMode="External"/><Relationship Id="rId602" Type="http://schemas.openxmlformats.org/officeDocument/2006/relationships/hyperlink" Target="https://www.facebook.com/share/v/1Dj6FmU7RC/" TargetMode="External"/><Relationship Id="rId601" Type="http://schemas.openxmlformats.org/officeDocument/2006/relationships/hyperlink" Target="https://www.facebook.com/share/v/16UkFMqBZK/" TargetMode="External"/><Relationship Id="rId600" Type="http://schemas.openxmlformats.org/officeDocument/2006/relationships/hyperlink" Target="https://vt.tiktok.com/ZSDxhntwu/" TargetMode="External"/><Relationship Id="rId606" Type="http://schemas.openxmlformats.org/officeDocument/2006/relationships/hyperlink" Target="https://www.facebook.com/reel/1491861848487861" TargetMode="External"/><Relationship Id="rId605" Type="http://schemas.openxmlformats.org/officeDocument/2006/relationships/hyperlink" Target="https://www.facebook.com/reel/1298831528384542" TargetMode="External"/><Relationship Id="rId604" Type="http://schemas.openxmlformats.org/officeDocument/2006/relationships/hyperlink" Target="https://www.facebook.com/reel/780239458052138" TargetMode="External"/><Relationship Id="rId603" Type="http://schemas.openxmlformats.org/officeDocument/2006/relationships/hyperlink" Target="https://www.facebook.com/share/r/18mSM79geQ/" TargetMode="External"/><Relationship Id="rId2760" Type="http://schemas.openxmlformats.org/officeDocument/2006/relationships/hyperlink" Target="https://www.facebook.com/reel/3934505636846220" TargetMode="External"/><Relationship Id="rId1430" Type="http://schemas.openxmlformats.org/officeDocument/2006/relationships/hyperlink" Target="https://x.com/KiYang4343/status/1995709595306594561" TargetMode="External"/><Relationship Id="rId2761" Type="http://schemas.openxmlformats.org/officeDocument/2006/relationships/hyperlink" Target="https://www.facebook.com/share/p/1SWaFds6nu/" TargetMode="External"/><Relationship Id="rId1431" Type="http://schemas.openxmlformats.org/officeDocument/2006/relationships/hyperlink" Target="https://www.facebook.com/groups/553943753567210/?multi_permalinks=1170346225260290&amp;hoisted_section_header_type=recently_seen" TargetMode="External"/><Relationship Id="rId2762" Type="http://schemas.openxmlformats.org/officeDocument/2006/relationships/hyperlink" Target="https://www.facebook.com/share/p/1Dp3JCNqiH/" TargetMode="External"/><Relationship Id="rId1432" Type="http://schemas.openxmlformats.org/officeDocument/2006/relationships/hyperlink" Target="https://www.facebook.com/groups/1392429151628587" TargetMode="External"/><Relationship Id="rId2763" Type="http://schemas.openxmlformats.org/officeDocument/2006/relationships/hyperlink" Target="https://www.facebook.com/share/p/188BbvMSbZ/" TargetMode="External"/><Relationship Id="rId1422" Type="http://schemas.openxmlformats.org/officeDocument/2006/relationships/hyperlink" Target="https://web.facebook.com/share/p/1BtTZbAP1x/" TargetMode="External"/><Relationship Id="rId2753" Type="http://schemas.openxmlformats.org/officeDocument/2006/relationships/hyperlink" Target="https://www.facebook.com/reel/910583871476225" TargetMode="External"/><Relationship Id="rId1423" Type="http://schemas.openxmlformats.org/officeDocument/2006/relationships/hyperlink" Target="https://web.facebook.com/share/v/14RQRjznAj5/" TargetMode="External"/><Relationship Id="rId2754" Type="http://schemas.openxmlformats.org/officeDocument/2006/relationships/hyperlink" Target="https://www.facebook.com/reel/897847916108432" TargetMode="External"/><Relationship Id="rId1424" Type="http://schemas.openxmlformats.org/officeDocument/2006/relationships/hyperlink" Target="https://www.tiktok.com/@baronsupagi/video/7578083050819456274" TargetMode="External"/><Relationship Id="rId2755" Type="http://schemas.openxmlformats.org/officeDocument/2006/relationships/hyperlink" Target="https://www.tiktok.com/@gerbangaceh/video/7589325511600377108?_r=1&amp;_t=ZS-92ftl3rcgYi" TargetMode="External"/><Relationship Id="rId1425" Type="http://schemas.openxmlformats.org/officeDocument/2006/relationships/hyperlink" Target="https://www.tiktok.com/@garehindatu/video/7578149918586440968" TargetMode="External"/><Relationship Id="rId2756" Type="http://schemas.openxmlformats.org/officeDocument/2006/relationships/hyperlink" Target="https://www.tiktok.com/@aneukacehsumatra/video/7589409945309826322?_r=1&amp;_t=ZS-92ftg3Ugyaf" TargetMode="External"/><Relationship Id="rId1426" Type="http://schemas.openxmlformats.org/officeDocument/2006/relationships/hyperlink" Target="https://www.tiktok.com/@gerakansumateramerdeka/video/7512930899860770055" TargetMode="External"/><Relationship Id="rId2757" Type="http://schemas.openxmlformats.org/officeDocument/2006/relationships/hyperlink" Target="https://www.tiktok.com/@aneukacehsumatra/video/7588670523106708744?_r=1&amp;_t=ZS-92ftZGV04O1" TargetMode="External"/><Relationship Id="rId1427" Type="http://schemas.openxmlformats.org/officeDocument/2006/relationships/hyperlink" Target="https://www.tiktok.com/@garehindatu/video/7578149918586440968" TargetMode="External"/><Relationship Id="rId2758" Type="http://schemas.openxmlformats.org/officeDocument/2006/relationships/hyperlink" Target="https://www.tiktok.com/@mediterania6/video/7589267351057599765?_r=1&amp;_t=ZS-92ft9VcGlIu" TargetMode="External"/><Relationship Id="rId1428" Type="http://schemas.openxmlformats.org/officeDocument/2006/relationships/hyperlink" Target="https://x.com/indepenSumatera/status/1900606902729667043" TargetMode="External"/><Relationship Id="rId2759" Type="http://schemas.openxmlformats.org/officeDocument/2006/relationships/hyperlink" Target="https://www.tiktok.com/@welcomeback670/photo/7589630526747643143?_r=1&amp;_t=ZS-92fjyiqFfqD" TargetMode="External"/><Relationship Id="rId1429" Type="http://schemas.openxmlformats.org/officeDocument/2006/relationships/hyperlink" Target="https://x.com/JTsanada/status/1995680417157185951" TargetMode="External"/><Relationship Id="rId2750" Type="http://schemas.openxmlformats.org/officeDocument/2006/relationships/hyperlink" Target="https://www.facebook.com/share/v/1E9Tx8BqHV/" TargetMode="External"/><Relationship Id="rId1420" Type="http://schemas.openxmlformats.org/officeDocument/2006/relationships/hyperlink" Target="https://web.facebook.com/share/p/1JPZeDyPZ3/" TargetMode="External"/><Relationship Id="rId2751" Type="http://schemas.openxmlformats.org/officeDocument/2006/relationships/hyperlink" Target="https://www.facebook.com/share/p/1BJeHzvaAF/" TargetMode="External"/><Relationship Id="rId1421" Type="http://schemas.openxmlformats.org/officeDocument/2006/relationships/hyperlink" Target="https://web.facebook.com/share/p/17ipdYdEEZ/" TargetMode="External"/><Relationship Id="rId2752" Type="http://schemas.openxmlformats.org/officeDocument/2006/relationships/hyperlink" Target="https://www.facebook.com/reel/798407069311932/" TargetMode="External"/><Relationship Id="rId3238" Type="http://schemas.openxmlformats.org/officeDocument/2006/relationships/hyperlink" Target="https://www.facebook.com/share/v/1D2qYHvAFd/" TargetMode="External"/><Relationship Id="rId3237" Type="http://schemas.openxmlformats.org/officeDocument/2006/relationships/hyperlink" Target="https://www.facebook.com/share/r/1AY6FsKdkB/" TargetMode="External"/><Relationship Id="rId3239" Type="http://schemas.openxmlformats.org/officeDocument/2006/relationships/hyperlink" Target="https://www.facebook.com/share/r/1bKSPzT9u2/" TargetMode="External"/><Relationship Id="rId3230" Type="http://schemas.openxmlformats.org/officeDocument/2006/relationships/hyperlink" Target="https://vt.tiktok.com/ZSPqFYSjG/" TargetMode="External"/><Relationship Id="rId3232" Type="http://schemas.openxmlformats.org/officeDocument/2006/relationships/hyperlink" Target="https://www.facebook.com/share/p/183c3weR6f/" TargetMode="External"/><Relationship Id="rId3231" Type="http://schemas.openxmlformats.org/officeDocument/2006/relationships/hyperlink" Target="https://www.facebook.com/share/p/1ZVcEqoVXJ/" TargetMode="External"/><Relationship Id="rId3234" Type="http://schemas.openxmlformats.org/officeDocument/2006/relationships/hyperlink" Target="https://www.facebook.com/share/r/17GCFKkCda/" TargetMode="External"/><Relationship Id="rId3233" Type="http://schemas.openxmlformats.org/officeDocument/2006/relationships/hyperlink" Target="https://www.facebook.com/reel/1593989181595735" TargetMode="External"/><Relationship Id="rId3236" Type="http://schemas.openxmlformats.org/officeDocument/2006/relationships/hyperlink" Target="https://www.facebook.com/share/v/1LK93LRfUY/" TargetMode="External"/><Relationship Id="rId3235" Type="http://schemas.openxmlformats.org/officeDocument/2006/relationships/hyperlink" Target="https://x.com/indepenSumatera/status/2002250880415117417?s=20" TargetMode="External"/><Relationship Id="rId3227" Type="http://schemas.openxmlformats.org/officeDocument/2006/relationships/hyperlink" Target="https://www.facebook.com/share/p/1A2D2rBGxm/" TargetMode="External"/><Relationship Id="rId3226" Type="http://schemas.openxmlformats.org/officeDocument/2006/relationships/hyperlink" Target="https://www.facebook.com/profile.php?id=61576717288872" TargetMode="External"/><Relationship Id="rId3229" Type="http://schemas.openxmlformats.org/officeDocument/2006/relationships/hyperlink" Target="https://vt.tiktok.com/ZSPqFF36r/" TargetMode="External"/><Relationship Id="rId3228" Type="http://schemas.openxmlformats.org/officeDocument/2006/relationships/hyperlink" Target="https://vt.tiktok.com/ZSPqNwueH/" TargetMode="External"/><Relationship Id="rId699" Type="http://schemas.openxmlformats.org/officeDocument/2006/relationships/hyperlink" Target="https://www.tiktok.com/@tiaramika38/video/7507695718845533447" TargetMode="External"/><Relationship Id="rId698" Type="http://schemas.openxmlformats.org/officeDocument/2006/relationships/hyperlink" Target="https://www.tiktok.com/@tiaramika38" TargetMode="External"/><Relationship Id="rId693" Type="http://schemas.openxmlformats.org/officeDocument/2006/relationships/hyperlink" Target="https://www.facebook.com/profile.php?id=61580971751796" TargetMode="External"/><Relationship Id="rId692" Type="http://schemas.openxmlformats.org/officeDocument/2006/relationships/hyperlink" Target="https://www.facebook.com/groups/221580229175240/posts/1488275895838994/" TargetMode="External"/><Relationship Id="rId691" Type="http://schemas.openxmlformats.org/officeDocument/2006/relationships/hyperlink" Target="https://www.facebook.com/groups/221580229175240/posts/1489132429086674/" TargetMode="External"/><Relationship Id="rId3221" Type="http://schemas.openxmlformats.org/officeDocument/2006/relationships/hyperlink" Target="https://www.facebook.com/share/p/17jGP94StW/" TargetMode="External"/><Relationship Id="rId690" Type="http://schemas.openxmlformats.org/officeDocument/2006/relationships/hyperlink" Target="https://www.facebook.com/groups/221580229175240/posts/1490787868921130/" TargetMode="External"/><Relationship Id="rId3220" Type="http://schemas.openxmlformats.org/officeDocument/2006/relationships/hyperlink" Target="https://www.facebook.com/share/p/1A7snBh8EY/" TargetMode="External"/><Relationship Id="rId697" Type="http://schemas.openxmlformats.org/officeDocument/2006/relationships/hyperlink" Target="https://www.tiktok.com/@tiaramika38/video/7505437865766096135" TargetMode="External"/><Relationship Id="rId3223" Type="http://schemas.openxmlformats.org/officeDocument/2006/relationships/hyperlink" Target="https://www.tiktok.com/@ifulborneo27bjm/video/7583672283554729236?_r=1&amp;_t=ZS-92MBurKTgPY" TargetMode="External"/><Relationship Id="rId696" Type="http://schemas.openxmlformats.org/officeDocument/2006/relationships/hyperlink" Target="https://www.tiktok.com/@tiaramika38/video/7509138866427710728" TargetMode="External"/><Relationship Id="rId3222" Type="http://schemas.openxmlformats.org/officeDocument/2006/relationships/hyperlink" Target="https://www.tiktok.com/@ifulborneo27bjm/video/7583672283554729236?_r=1&amp;_t=ZS-92MBurKTgPY" TargetMode="External"/><Relationship Id="rId695" Type="http://schemas.openxmlformats.org/officeDocument/2006/relationships/hyperlink" Target="https://www.tiktok.com/@tiaramika38/video/7509141191133236487" TargetMode="External"/><Relationship Id="rId3225" Type="http://schemas.openxmlformats.org/officeDocument/2006/relationships/hyperlink" Target="https://www.facebook.com/photo?fbid=122165850110942424&amp;set=a.122105921006942424" TargetMode="External"/><Relationship Id="rId694" Type="http://schemas.openxmlformats.org/officeDocument/2006/relationships/hyperlink" Target="https://www.tiktok.com/@tiaramika38/video/7482443545945656584?q=ISLAM%20ANJING%20SESAT&amp;t=1758784414700" TargetMode="External"/><Relationship Id="rId3224" Type="http://schemas.openxmlformats.org/officeDocument/2006/relationships/hyperlink" Target="https://www.tiktok.com/@putramahkota_85/video/7585192229854104840?_r=1&amp;_t=ZS-92MByo1nS3V" TargetMode="External"/><Relationship Id="rId3259" Type="http://schemas.openxmlformats.org/officeDocument/2006/relationships/hyperlink" Target="https://x.com/gorengannbeku_/status/2001909888809943150" TargetMode="External"/><Relationship Id="rId3250" Type="http://schemas.openxmlformats.org/officeDocument/2006/relationships/hyperlink" Target="https://x.com/sektorpangan/status/2002228352380514675" TargetMode="External"/><Relationship Id="rId3252" Type="http://schemas.openxmlformats.org/officeDocument/2006/relationships/hyperlink" Target="https://x.com/sei_hanagata/status/2001922350326141358" TargetMode="External"/><Relationship Id="rId3251" Type="http://schemas.openxmlformats.org/officeDocument/2006/relationships/hyperlink" Target="https://x.com/BpkBcw/status/2002204172914196965" TargetMode="External"/><Relationship Id="rId3254" Type="http://schemas.openxmlformats.org/officeDocument/2006/relationships/hyperlink" Target="https://x.com/opekbakuliwak/status/2001981506349301804" TargetMode="External"/><Relationship Id="rId3253" Type="http://schemas.openxmlformats.org/officeDocument/2006/relationships/hyperlink" Target="https://x.com/blu3blu3blu/status/2001923304039551363" TargetMode="External"/><Relationship Id="rId3256" Type="http://schemas.openxmlformats.org/officeDocument/2006/relationships/hyperlink" Target="https://x.com/6_Nuggets/status/2001997475302015399" TargetMode="External"/><Relationship Id="rId3255" Type="http://schemas.openxmlformats.org/officeDocument/2006/relationships/hyperlink" Target="https://x.com/Ncutt20ll/status/2001986958541881736" TargetMode="External"/><Relationship Id="rId3258" Type="http://schemas.openxmlformats.org/officeDocument/2006/relationships/hyperlink" Target="https://x.com/nebublue/status/2001905001103573027" TargetMode="External"/><Relationship Id="rId3257" Type="http://schemas.openxmlformats.org/officeDocument/2006/relationships/hyperlink" Target="https://x.com/sabitarius/status/2001836368901869612" TargetMode="External"/><Relationship Id="rId3249" Type="http://schemas.openxmlformats.org/officeDocument/2006/relationships/hyperlink" Target="https://x.com/evanharahap007/status/2002104804638929110" TargetMode="External"/><Relationship Id="rId3248" Type="http://schemas.openxmlformats.org/officeDocument/2006/relationships/hyperlink" Target="https://x.com/R_haedictator/status/2002094406732779571" TargetMode="External"/><Relationship Id="rId3241" Type="http://schemas.openxmlformats.org/officeDocument/2006/relationships/hyperlink" Target="https://www.tiktok.com/@adhar541/video/7585528223656725781?_r=1&amp;_t=ZS-92Nx1Vdcvjd" TargetMode="External"/><Relationship Id="rId3240" Type="http://schemas.openxmlformats.org/officeDocument/2006/relationships/hyperlink" Target="https://www.tiktok.com/@farhanampelcity/video/7585529461391576341?_r=1&amp;_t=ZS-92NwzQDfWzp" TargetMode="External"/><Relationship Id="rId3243" Type="http://schemas.openxmlformats.org/officeDocument/2006/relationships/hyperlink" Target="https://x.com/oitapecuy/status/2002314661014995276" TargetMode="External"/><Relationship Id="rId3242" Type="http://schemas.openxmlformats.org/officeDocument/2006/relationships/hyperlink" Target="https://www.tiktok.com/@daskopi/video/7584703208254213397?_r=1&amp;_t=ZS-92Nx3hXDhaa" TargetMode="External"/><Relationship Id="rId3245" Type="http://schemas.openxmlformats.org/officeDocument/2006/relationships/hyperlink" Target="https://x.com/dikaizm/status/2002287322541535727" TargetMode="External"/><Relationship Id="rId3244" Type="http://schemas.openxmlformats.org/officeDocument/2006/relationships/hyperlink" Target="https://x.com/weskulinoo/status/2002313202541990162" TargetMode="External"/><Relationship Id="rId3247" Type="http://schemas.openxmlformats.org/officeDocument/2006/relationships/hyperlink" Target="https://x.com/hdusjhdks/status/2002049444188151987" TargetMode="External"/><Relationship Id="rId3246" Type="http://schemas.openxmlformats.org/officeDocument/2006/relationships/hyperlink" Target="https://x.com/chherub_rock/status/2002035889078485299" TargetMode="External"/><Relationship Id="rId1499" Type="http://schemas.openxmlformats.org/officeDocument/2006/relationships/hyperlink" Target="https://www.facebook.com/share/v/17ecuWbnFS/" TargetMode="External"/><Relationship Id="rId668" Type="http://schemas.openxmlformats.org/officeDocument/2006/relationships/hyperlink" Target="https://www.instagram.com/p/DN6Gd2fkn5u/" TargetMode="External"/><Relationship Id="rId667" Type="http://schemas.openxmlformats.org/officeDocument/2006/relationships/hyperlink" Target="https://www.instagram.com/p/DN7C_qbiewh/" TargetMode="External"/><Relationship Id="rId666" Type="http://schemas.openxmlformats.org/officeDocument/2006/relationships/hyperlink" Target="https://www.instagram.com/p/DN7aZZsE5aq/" TargetMode="External"/><Relationship Id="rId665" Type="http://schemas.openxmlformats.org/officeDocument/2006/relationships/hyperlink" Target="https://www.instagram.com/p/DNyPrScZpmm/" TargetMode="External"/><Relationship Id="rId669" Type="http://schemas.openxmlformats.org/officeDocument/2006/relationships/hyperlink" Target="https://www.instagram.com/p/DN5-_Rnk_Zm/" TargetMode="External"/><Relationship Id="rId1490" Type="http://schemas.openxmlformats.org/officeDocument/2006/relationships/hyperlink" Target="https://www.facebook.com/DediMulyadi1971" TargetMode="External"/><Relationship Id="rId660" Type="http://schemas.openxmlformats.org/officeDocument/2006/relationships/hyperlink" Target="https://www.facebook.com/groups/701407136043059/posts/767301482786957/" TargetMode="External"/><Relationship Id="rId1491" Type="http://schemas.openxmlformats.org/officeDocument/2006/relationships/hyperlink" Target="https://www.facebook.com/reel/1332583735323409" TargetMode="External"/><Relationship Id="rId1492" Type="http://schemas.openxmlformats.org/officeDocument/2006/relationships/hyperlink" Target="https://www.facebook.com/61581043731757/videos/1195612639042942/" TargetMode="External"/><Relationship Id="rId1493" Type="http://schemas.openxmlformats.org/officeDocument/2006/relationships/hyperlink" Target="https://x.com/achehsultanate/status/1996499035553927293?s=46" TargetMode="External"/><Relationship Id="rId1494" Type="http://schemas.openxmlformats.org/officeDocument/2006/relationships/hyperlink" Target="https://x.com/indepensumatera/status/1996541265484353759?s=46" TargetMode="External"/><Relationship Id="rId664" Type="http://schemas.openxmlformats.org/officeDocument/2006/relationships/hyperlink" Target="https://www.instagram.com/p/DOAi7gYktdI/" TargetMode="External"/><Relationship Id="rId1495" Type="http://schemas.openxmlformats.org/officeDocument/2006/relationships/hyperlink" Target="https://x.com/ruben_5679/status/1996949255081083241?s=20" TargetMode="External"/><Relationship Id="rId663" Type="http://schemas.openxmlformats.org/officeDocument/2006/relationships/hyperlink" Target="https://www.tiktok.com/@jeme.kite858/video/7541719328597527815" TargetMode="External"/><Relationship Id="rId1496" Type="http://schemas.openxmlformats.org/officeDocument/2006/relationships/hyperlink" Target="https://www.instagram.com/reel/DR1pTLmETHz/?igsh=MXUxcWM5bDNva2JsbA==" TargetMode="External"/><Relationship Id="rId662" Type="http://schemas.openxmlformats.org/officeDocument/2006/relationships/hyperlink" Target="https://www.tiktok.com/@rom91681/video/7541029093970595078" TargetMode="External"/><Relationship Id="rId1497" Type="http://schemas.openxmlformats.org/officeDocument/2006/relationships/hyperlink" Target="https://www.facebook.com/share/p/1Gup2cKTTX/" TargetMode="External"/><Relationship Id="rId661" Type="http://schemas.openxmlformats.org/officeDocument/2006/relationships/hyperlink" Target="https://www.facebook.com/groups/701407136043059/posts/766268989556873/" TargetMode="External"/><Relationship Id="rId1498" Type="http://schemas.openxmlformats.org/officeDocument/2006/relationships/hyperlink" Target="https://www.facebook.com/share/r/1NAiqt2sVS/" TargetMode="External"/><Relationship Id="rId1488" Type="http://schemas.openxmlformats.org/officeDocument/2006/relationships/hyperlink" Target="https://www.tiktok.com/@cek_da2/video/7579978832933883154?q=aceh%20merdeka&amp;t=1764867526594" TargetMode="External"/><Relationship Id="rId1489" Type="http://schemas.openxmlformats.org/officeDocument/2006/relationships/hyperlink" Target="https://www.facebook.com/reel/1136791088601504" TargetMode="External"/><Relationship Id="rId657" Type="http://schemas.openxmlformats.org/officeDocument/2006/relationships/hyperlink" Target="https://www.facebook.com/groups/221580229175240/posts/1488936862439564/" TargetMode="External"/><Relationship Id="rId656" Type="http://schemas.openxmlformats.org/officeDocument/2006/relationships/hyperlink" Target="https://www.facebook.com/groups/221580229175240/posts/1488938185772765/" TargetMode="External"/><Relationship Id="rId655" Type="http://schemas.openxmlformats.org/officeDocument/2006/relationships/hyperlink" Target="https://www.facebook.com/groups/221580229175240/posts/1489679635698620/" TargetMode="External"/><Relationship Id="rId654" Type="http://schemas.openxmlformats.org/officeDocument/2006/relationships/hyperlink" Target="https://www.facebook.com/groups/221580229175240/posts/1489753542357896/" TargetMode="External"/><Relationship Id="rId659" Type="http://schemas.openxmlformats.org/officeDocument/2006/relationships/hyperlink" Target="https://www.facebook.com/groups/701407136043059/posts/767242186126220/" TargetMode="External"/><Relationship Id="rId658" Type="http://schemas.openxmlformats.org/officeDocument/2006/relationships/hyperlink" Target="https://www.facebook.com/profile.php?id=61576709524382" TargetMode="External"/><Relationship Id="rId1480" Type="http://schemas.openxmlformats.org/officeDocument/2006/relationships/hyperlink" Target="https://www.facebook.com/share/p/1Cy5sR98ZG/" TargetMode="External"/><Relationship Id="rId1481" Type="http://schemas.openxmlformats.org/officeDocument/2006/relationships/hyperlink" Target="https://x.com/OjolNyambi/status/1996444863412498813" TargetMode="External"/><Relationship Id="rId1482" Type="http://schemas.openxmlformats.org/officeDocument/2006/relationships/hyperlink" Target="https://x.com/GunGuna0446496/status/1996468444649374010" TargetMode="External"/><Relationship Id="rId1483" Type="http://schemas.openxmlformats.org/officeDocument/2006/relationships/hyperlink" Target="https://www.facebook.com/share/v/17V3mw8ruX/" TargetMode="External"/><Relationship Id="rId653" Type="http://schemas.openxmlformats.org/officeDocument/2006/relationships/hyperlink" Target="https://www.facebook.com/groups/221580229175240/posts/1489757765690807/" TargetMode="External"/><Relationship Id="rId1484" Type="http://schemas.openxmlformats.org/officeDocument/2006/relationships/hyperlink" Target="https://www.facebook.com/share/p/14SPtYkCEgt/" TargetMode="External"/><Relationship Id="rId652" Type="http://schemas.openxmlformats.org/officeDocument/2006/relationships/hyperlink" Target="https://www.facebook.com/groups/882222322392995/posts/1830169294264955/" TargetMode="External"/><Relationship Id="rId1485" Type="http://schemas.openxmlformats.org/officeDocument/2006/relationships/hyperlink" Target="https://www.facebook.com/share/p/1F7tasAWgg/" TargetMode="External"/><Relationship Id="rId651" Type="http://schemas.openxmlformats.org/officeDocument/2006/relationships/hyperlink" Target="https://www.facebook.com/groups/882222322392995/posts/1832093257405892/" TargetMode="External"/><Relationship Id="rId1486" Type="http://schemas.openxmlformats.org/officeDocument/2006/relationships/hyperlink" Target="https://www.tiktok.com/@shooshan4/video/7579838781042216199?q=merdeka%20dari%20indonesia&amp;t=1764867429374" TargetMode="External"/><Relationship Id="rId650" Type="http://schemas.openxmlformats.org/officeDocument/2006/relationships/hyperlink" Target="https://www.facebook.com/groups/882222322392995/posts/1833811877234030/" TargetMode="External"/><Relationship Id="rId1487" Type="http://schemas.openxmlformats.org/officeDocument/2006/relationships/hyperlink" Target="https://www.tiktok.com/@kapalo090/video/7579945057273351445?q=aceh%20merdeka&amp;t=1764867526594" TargetMode="External"/><Relationship Id="rId3216" Type="http://schemas.openxmlformats.org/officeDocument/2006/relationships/hyperlink" Target="https://www.tiktok.com/@ada.diberanda/video/7584751611382074632?q=bantuan%20pemerintah&amp;t=1766118220071" TargetMode="External"/><Relationship Id="rId3215" Type="http://schemas.openxmlformats.org/officeDocument/2006/relationships/hyperlink" Target="https://vt.tiktok.com/ZSPXJros5/" TargetMode="External"/><Relationship Id="rId3218" Type="http://schemas.openxmlformats.org/officeDocument/2006/relationships/hyperlink" Target="https://www.facebook.com/share/r/1Bgvp1npkk/" TargetMode="External"/><Relationship Id="rId3217" Type="http://schemas.openxmlformats.org/officeDocument/2006/relationships/hyperlink" Target="https://youtube.com/shorts/CI6uVXUTTpA?si=DPkaxJ8_PQqrfFpu" TargetMode="External"/><Relationship Id="rId3219" Type="http://schemas.openxmlformats.org/officeDocument/2006/relationships/hyperlink" Target="https://www.facebook.com/nasirusman.usman.31" TargetMode="External"/><Relationship Id="rId689" Type="http://schemas.openxmlformats.org/officeDocument/2006/relationships/hyperlink" Target="https://www.instagram.com/islam.kontol/" TargetMode="External"/><Relationship Id="rId688" Type="http://schemas.openxmlformats.org/officeDocument/2006/relationships/hyperlink" Target="https://www.instagram.com/islamfuck/" TargetMode="External"/><Relationship Id="rId687" Type="http://schemas.openxmlformats.org/officeDocument/2006/relationships/hyperlink" Target="https://www.instagram.com/fjratupersiaaa/" TargetMode="External"/><Relationship Id="rId682" Type="http://schemas.openxmlformats.org/officeDocument/2006/relationships/hyperlink" Target="https://www.facebook.com/groups/221580229175240/posts/1489764309023486/" TargetMode="External"/><Relationship Id="rId681" Type="http://schemas.openxmlformats.org/officeDocument/2006/relationships/hyperlink" Target="https://www.facebook.com/groups/221580229175240/posts/1489772715689312/" TargetMode="External"/><Relationship Id="rId680" Type="http://schemas.openxmlformats.org/officeDocument/2006/relationships/hyperlink" Target="https://www.facebook.com/groups/221580229175240/posts/1489807105685873/" TargetMode="External"/><Relationship Id="rId3210" Type="http://schemas.openxmlformats.org/officeDocument/2006/relationships/hyperlink" Target="https://www.facebook.com/share/p/18a2qgxyGE/" TargetMode="External"/><Relationship Id="rId686" Type="http://schemas.openxmlformats.org/officeDocument/2006/relationships/hyperlink" Target="https://www.instagram.com/reel/DOhjOLjjeol/" TargetMode="External"/><Relationship Id="rId3212" Type="http://schemas.openxmlformats.org/officeDocument/2006/relationships/hyperlink" Target="https://vt.tiktok.com/ZSP4RUAGF/" TargetMode="External"/><Relationship Id="rId685" Type="http://schemas.openxmlformats.org/officeDocument/2006/relationships/hyperlink" Target="https://www.facebook.com/profile.php?id=61580541977378" TargetMode="External"/><Relationship Id="rId3211" Type="http://schemas.openxmlformats.org/officeDocument/2006/relationships/hyperlink" Target="https://www.threads.com/@nanangdjamaludin/post/DSZ7njbEt5a?xmt=AQF0kP9FCZd6nFNdcIuCQOCJWsppipphboLEPvOIiRpLiA" TargetMode="External"/><Relationship Id="rId684" Type="http://schemas.openxmlformats.org/officeDocument/2006/relationships/hyperlink" Target="https://www.facebook.com/groups/221580229175240/posts/1488615655805018/" TargetMode="External"/><Relationship Id="rId3214" Type="http://schemas.openxmlformats.org/officeDocument/2006/relationships/hyperlink" Target="https://vt.tiktok.com/ZSPCE8KW9/" TargetMode="External"/><Relationship Id="rId683" Type="http://schemas.openxmlformats.org/officeDocument/2006/relationships/hyperlink" Target="https://www.facebook.com/groups/221580229175240/posts/1489747709025146/" TargetMode="External"/><Relationship Id="rId3213" Type="http://schemas.openxmlformats.org/officeDocument/2006/relationships/hyperlink" Target="https://vt.tiktok.com/ZSPCwtgE2/" TargetMode="External"/><Relationship Id="rId3205" Type="http://schemas.openxmlformats.org/officeDocument/2006/relationships/hyperlink" Target="https://www.facebook.com/groups/523183267134157/posts/849368961182251/" TargetMode="External"/><Relationship Id="rId3204" Type="http://schemas.openxmlformats.org/officeDocument/2006/relationships/hyperlink" Target="https://www.facebook.com/groups/523183267134157/posts/849440824508398/" TargetMode="External"/><Relationship Id="rId3207" Type="http://schemas.openxmlformats.org/officeDocument/2006/relationships/hyperlink" Target="https://www.facebook.com/groups/1914419445514497/permalink/4285158541773897/?rdid=VHqFHDuhkSmN885B" TargetMode="External"/><Relationship Id="rId3206" Type="http://schemas.openxmlformats.org/officeDocument/2006/relationships/hyperlink" Target="https://www.facebook.com/groups/523183267134157/posts/847392191379928/" TargetMode="External"/><Relationship Id="rId3209" Type="http://schemas.openxmlformats.org/officeDocument/2006/relationships/hyperlink" Target="https://www.facebook.com/share/r/1GcQfPnvFy/" TargetMode="External"/><Relationship Id="rId3208" Type="http://schemas.openxmlformats.org/officeDocument/2006/relationships/hyperlink" Target="https://www.facebook.com/share/p/14RHgvVekfK/" TargetMode="External"/><Relationship Id="rId679" Type="http://schemas.openxmlformats.org/officeDocument/2006/relationships/hyperlink" Target="https://www.instagram.com/p/CLCAOLIA4l9/" TargetMode="External"/><Relationship Id="rId678" Type="http://schemas.openxmlformats.org/officeDocument/2006/relationships/hyperlink" Target="https://www.instagram.com/p/DOA0E99jOnz/" TargetMode="External"/><Relationship Id="rId677" Type="http://schemas.openxmlformats.org/officeDocument/2006/relationships/hyperlink" Target="https://www.facebook.com/rahmankurnia.illahi/posts/pfbid02mdv4JTNAjmU2BGTGX1dPNvWKpU3jUKtYGpM48ZV6xETsMx4UBZQ9oDyarJK1kofnl" TargetMode="External"/><Relationship Id="rId676" Type="http://schemas.openxmlformats.org/officeDocument/2006/relationships/hyperlink" Target="https://www.facebook.com/permalink.php?story_fbid=pfbid033NBQAHpSBDmXbpjLpNxJGZdR4pN3dHa37GRLRd6dVxi11yeET3Eq8LskwUQ6EtAl&amp;id=61559511756401" TargetMode="External"/><Relationship Id="rId671" Type="http://schemas.openxmlformats.org/officeDocument/2006/relationships/hyperlink" Target="https://www.instagram.com/p/DNsNiVpZEHV/?img_index=2" TargetMode="External"/><Relationship Id="rId670" Type="http://schemas.openxmlformats.org/officeDocument/2006/relationships/hyperlink" Target="https://www.instagram.com/p/DOFrXOBAT94/" TargetMode="External"/><Relationship Id="rId675" Type="http://schemas.openxmlformats.org/officeDocument/2006/relationships/hyperlink" Target="https://twitter.com/Gus_Haddock/status/1962215349912523172" TargetMode="External"/><Relationship Id="rId3201" Type="http://schemas.openxmlformats.org/officeDocument/2006/relationships/hyperlink" Target="https://x.com/geeamalia5/status/2000276685178974314" TargetMode="External"/><Relationship Id="rId674" Type="http://schemas.openxmlformats.org/officeDocument/2006/relationships/hyperlink" Target="https://twitter.com/tulisanqila/status/1962334978798444877" TargetMode="External"/><Relationship Id="rId3200" Type="http://schemas.openxmlformats.org/officeDocument/2006/relationships/hyperlink" Target="https://x.com/i/status/2000323199834398921" TargetMode="External"/><Relationship Id="rId673" Type="http://schemas.openxmlformats.org/officeDocument/2006/relationships/hyperlink" Target="https://www.facebook.com/cahaya.permata.dwi/posts/pfbid023R6bg2whuVfH4ZN5owReYD1fYq3Apof2V4AEtZwqBAnTRCMcotmfveTYcJu9vNUUl?rdid=6SoiYOFdtyOGLEbL" TargetMode="External"/><Relationship Id="rId3203" Type="http://schemas.openxmlformats.org/officeDocument/2006/relationships/hyperlink" Target="https://www.instagram.com/serikatpekerjabumn/" TargetMode="External"/><Relationship Id="rId672" Type="http://schemas.openxmlformats.org/officeDocument/2006/relationships/hyperlink" Target="https://www.facebook.com/groups/458566932000779/permalink/1512973433226785/?rdid=OwSJxjJjcJpcwoUS" TargetMode="External"/><Relationship Id="rId3202" Type="http://schemas.openxmlformats.org/officeDocument/2006/relationships/hyperlink" Target="https://x.com/i/status/1997590959983579482" TargetMode="External"/><Relationship Id="rId190" Type="http://schemas.openxmlformats.org/officeDocument/2006/relationships/hyperlink" Target="https://www.facebook.com/Baju3Dimensi/posts/pfbid028p5t6BDmpfbhXiGq5o7yWjwfzD2HobktbX2ZhTQS1nRj2DyRsVJbygEpmU1DBT3El" TargetMode="External"/><Relationship Id="rId194" Type="http://schemas.openxmlformats.org/officeDocument/2006/relationships/hyperlink" Target="https://www.facebook.com/rusli.rusli.452462/posts/pfbid028SF3XeGr9f4GNFRRWxLwPiZqESaaeLFwNHbjvsXfWkXVsdXDBFkKGU8jh6A22VfHl" TargetMode="External"/><Relationship Id="rId193" Type="http://schemas.openxmlformats.org/officeDocument/2006/relationships/hyperlink" Target="https://www.facebook.com/reel/3269154366584018" TargetMode="External"/><Relationship Id="rId192" Type="http://schemas.openxmlformats.org/officeDocument/2006/relationships/hyperlink" Target="https://www.facebook.com/dae.atu.9/posts/pfbid04mPmusCGBtfpGYFfiKf9STGHJj7KSxzdx88ZRWuSG3HweFHJE7jYYW4isrtf3fY6l" TargetMode="External"/><Relationship Id="rId191" Type="http://schemas.openxmlformats.org/officeDocument/2006/relationships/hyperlink" Target="https://www.facebook.com/reel/793804386523007" TargetMode="External"/><Relationship Id="rId187" Type="http://schemas.openxmlformats.org/officeDocument/2006/relationships/hyperlink" Target="https://www.tiktok.com/@bercanda218/photo/7548054580765052166?lang=en" TargetMode="External"/><Relationship Id="rId186" Type="http://schemas.openxmlformats.org/officeDocument/2006/relationships/hyperlink" Target="https://www.tiktok.com/@jeme.kite858/video/7547942344985726215?lang=en" TargetMode="External"/><Relationship Id="rId185" Type="http://schemas.openxmlformats.org/officeDocument/2006/relationships/hyperlink" Target="https://www.tiktok.com/@icalical1188/video/7544923713318161671" TargetMode="External"/><Relationship Id="rId184" Type="http://schemas.openxmlformats.org/officeDocument/2006/relationships/hyperlink" Target="https://www.tiktok.com/@_darkside_tr4p/video/7545907042658127160" TargetMode="External"/><Relationship Id="rId189" Type="http://schemas.openxmlformats.org/officeDocument/2006/relationships/hyperlink" Target="https://www.facebook.com/nano.bleng.1/posts/pfbid0AEDFRogTPc4m7CJVCQQEuCShNFjSN5dQfV8HDiWRZDLCybA1J2GN4RTvDByDGQPBl?rdid=uFF8y1ZomdVaPWzQ" TargetMode="External"/><Relationship Id="rId188" Type="http://schemas.openxmlformats.org/officeDocument/2006/relationships/hyperlink" Target="https://www.facebook.com/reel/793757659755495" TargetMode="External"/><Relationship Id="rId183" Type="http://schemas.openxmlformats.org/officeDocument/2006/relationships/hyperlink" Target="https://www.tiktok.com/@konfederasikasbi_/photo/7545542675605261624?_r=1&amp;_t=ZS-8zQz2w4hQSm" TargetMode="External"/><Relationship Id="rId182" Type="http://schemas.openxmlformats.org/officeDocument/2006/relationships/hyperlink" Target="https://www.facebook.com/reel/773365482294715" TargetMode="External"/><Relationship Id="rId181" Type="http://schemas.openxmlformats.org/officeDocument/2006/relationships/hyperlink" Target="https://www.facebook.com/reel/948149287497626" TargetMode="External"/><Relationship Id="rId180" Type="http://schemas.openxmlformats.org/officeDocument/2006/relationships/hyperlink" Target="https://www.facebook.com/reel/1126692502685554" TargetMode="External"/><Relationship Id="rId176" Type="http://schemas.openxmlformats.org/officeDocument/2006/relationships/hyperlink" Target="https://www.instagram.com/p/DN7VvtUEo53/" TargetMode="External"/><Relationship Id="rId175" Type="http://schemas.openxmlformats.org/officeDocument/2006/relationships/hyperlink" Target="https://www.instagram.com/p/DN6DIjJEpl3/" TargetMode="External"/><Relationship Id="rId174" Type="http://schemas.openxmlformats.org/officeDocument/2006/relationships/hyperlink" Target="https://www.instagram.com/p/DN6Cba9kpos/" TargetMode="External"/><Relationship Id="rId173" Type="http://schemas.openxmlformats.org/officeDocument/2006/relationships/hyperlink" Target="https://www.instagram.com/p/DOFo7TuE1Jj/" TargetMode="External"/><Relationship Id="rId179" Type="http://schemas.openxmlformats.org/officeDocument/2006/relationships/hyperlink" Target="https://www.facebook.com/reel/1808295983422421" TargetMode="External"/><Relationship Id="rId178" Type="http://schemas.openxmlformats.org/officeDocument/2006/relationships/hyperlink" Target="https://www.facebook.com/reel/1329960748498642" TargetMode="External"/><Relationship Id="rId177" Type="http://schemas.openxmlformats.org/officeDocument/2006/relationships/hyperlink" Target="https://www.instagram.com/p/DN6F0cokh5O/" TargetMode="External"/><Relationship Id="rId198" Type="http://schemas.openxmlformats.org/officeDocument/2006/relationships/hyperlink" Target="https://www.instagram.com/p/DN_T2YQEuFW/" TargetMode="External"/><Relationship Id="rId197" Type="http://schemas.openxmlformats.org/officeDocument/2006/relationships/hyperlink" Target="https://www.instagram.com/p/DN-dTKBExPO/" TargetMode="External"/><Relationship Id="rId196" Type="http://schemas.openxmlformats.org/officeDocument/2006/relationships/hyperlink" Target="https://www.instagram.com/p/DN7tkuDEeL7/" TargetMode="External"/><Relationship Id="rId195" Type="http://schemas.openxmlformats.org/officeDocument/2006/relationships/hyperlink" Target="https://www.instagram.com/p/DOCp904Ekq0/" TargetMode="External"/><Relationship Id="rId199" Type="http://schemas.openxmlformats.org/officeDocument/2006/relationships/hyperlink" Target="https://www.threads.com/@yulianawgp15/post/DOXVkOVDy5U" TargetMode="External"/><Relationship Id="rId150" Type="http://schemas.openxmlformats.org/officeDocument/2006/relationships/hyperlink" Target="https://www.facebook.com/share/p/1BwznMfJPk/" TargetMode="External"/><Relationship Id="rId149" Type="http://schemas.openxmlformats.org/officeDocument/2006/relationships/hyperlink" Target="https://www.facebook.com/watch/?v=1444468126847092&amp;rdid=V1I7ia2IEfchMiqa" TargetMode="External"/><Relationship Id="rId148" Type="http://schemas.openxmlformats.org/officeDocument/2006/relationships/hyperlink" Target="https://www.facebook.com/share/p/1BwznMfJPk/" TargetMode="External"/><Relationship Id="rId143" Type="http://schemas.openxmlformats.org/officeDocument/2006/relationships/hyperlink" Target="https://x.com/albinousie/status/1964202367517131191" TargetMode="External"/><Relationship Id="rId142" Type="http://schemas.openxmlformats.org/officeDocument/2006/relationships/hyperlink" Target="https://x.com/albinousie/status/1964191933573575079" TargetMode="External"/><Relationship Id="rId141" Type="http://schemas.openxmlformats.org/officeDocument/2006/relationships/hyperlink" Target="https://www.tiktok.com/@bubarkandpr02/video/7548264436646071557" TargetMode="External"/><Relationship Id="rId140" Type="http://schemas.openxmlformats.org/officeDocument/2006/relationships/hyperlink" Target="https://www.youtube.com/shorts/DC7iUNbc4HA" TargetMode="External"/><Relationship Id="rId147" Type="http://schemas.openxmlformats.org/officeDocument/2006/relationships/hyperlink" Target="https://x.com/ika_bhinne14288/status/1965697140224839714" TargetMode="External"/><Relationship Id="rId146" Type="http://schemas.openxmlformats.org/officeDocument/2006/relationships/hyperlink" Target="https://www.tiktok.com/@civivox.id/video/7548005959130434821" TargetMode="External"/><Relationship Id="rId145" Type="http://schemas.openxmlformats.org/officeDocument/2006/relationships/hyperlink" Target="https://x.com/nattawat_ti/status/1965471465958261047?s=46&amp;t=6L9t7sM_LWsJSPiEr1yCYw" TargetMode="External"/><Relationship Id="rId144" Type="http://schemas.openxmlformats.org/officeDocument/2006/relationships/hyperlink" Target="https://x.com/M17522147/status/19643110564082524944" TargetMode="External"/><Relationship Id="rId139" Type="http://schemas.openxmlformats.org/officeDocument/2006/relationships/hyperlink" Target="https://www.threads.com/@yulianawgp15/post/DOXVkOVDy5U" TargetMode="External"/><Relationship Id="rId138" Type="http://schemas.openxmlformats.org/officeDocument/2006/relationships/hyperlink" Target="https://x.com/prastha_winadi/status/1961736392373092494" TargetMode="External"/><Relationship Id="rId137" Type="http://schemas.openxmlformats.org/officeDocument/2006/relationships/hyperlink" Target="https://www.instagram.com/p/DN-vXOWEd-Y/" TargetMode="External"/><Relationship Id="rId3261" Type="http://schemas.openxmlformats.org/officeDocument/2006/relationships/drawing" Target="../drawings/drawing2.xml"/><Relationship Id="rId3260" Type="http://schemas.openxmlformats.org/officeDocument/2006/relationships/hyperlink" Target="https://www.facebook.com/haba.asanews/videos/1292893359502298/" TargetMode="External"/><Relationship Id="rId132" Type="http://schemas.openxmlformats.org/officeDocument/2006/relationships/hyperlink" Target="https://twitter.com/SuhardiSuh66239/status/1964873322422005778" TargetMode="External"/><Relationship Id="rId131" Type="http://schemas.openxmlformats.org/officeDocument/2006/relationships/hyperlink" Target="https://twitter.com/ritsu_artt/status/1961603342041567555" TargetMode="External"/><Relationship Id="rId130" Type="http://schemas.openxmlformats.org/officeDocument/2006/relationships/hyperlink" Target="https://twitter.com/bukanomar_/status/1961565240942117212" TargetMode="External"/><Relationship Id="rId136" Type="http://schemas.openxmlformats.org/officeDocument/2006/relationships/hyperlink" Target="https://www.instagram.com/p/DN22XT74q0c/" TargetMode="External"/><Relationship Id="rId135" Type="http://schemas.openxmlformats.org/officeDocument/2006/relationships/hyperlink" Target="https://www.instagram.com/p/DN5RQqaj8Tk/" TargetMode="External"/><Relationship Id="rId134" Type="http://schemas.openxmlformats.org/officeDocument/2006/relationships/hyperlink" Target="https://www.tiktok.com/@burhaku/video/7542401708429823238" TargetMode="External"/><Relationship Id="rId133" Type="http://schemas.openxmlformats.org/officeDocument/2006/relationships/hyperlink" Target="https://www.tiktok.com/@warga432/video/7540432084758727941" TargetMode="External"/><Relationship Id="rId172" Type="http://schemas.openxmlformats.org/officeDocument/2006/relationships/hyperlink" Target="https://x.com/waduhx/status/1962015840628580641" TargetMode="External"/><Relationship Id="rId171" Type="http://schemas.openxmlformats.org/officeDocument/2006/relationships/hyperlink" Target="https://x.com/chochoball77/status/1962012108432060660" TargetMode="External"/><Relationship Id="rId170" Type="http://schemas.openxmlformats.org/officeDocument/2006/relationships/hyperlink" Target="https://x.com/OnlyInIDR/status/1962011190579896770" TargetMode="External"/><Relationship Id="rId165" Type="http://schemas.openxmlformats.org/officeDocument/2006/relationships/hyperlink" Target="https://x.com/ridetothe/status/1961744020545339730" TargetMode="External"/><Relationship Id="rId164" Type="http://schemas.openxmlformats.org/officeDocument/2006/relationships/hyperlink" Target="https://x.com/dementourr/status/1961754721603272933" TargetMode="External"/><Relationship Id="rId163" Type="http://schemas.openxmlformats.org/officeDocument/2006/relationships/hyperlink" Target="https://x.com/moviemnfs/status/1961734579879907459" TargetMode="External"/><Relationship Id="rId162" Type="http://schemas.openxmlformats.org/officeDocument/2006/relationships/hyperlink" Target="https://www.tiktok.com/@revolutionarmy98/photo/7547739209193245959" TargetMode="External"/><Relationship Id="rId169" Type="http://schemas.openxmlformats.org/officeDocument/2006/relationships/hyperlink" Target="https://x.com/ranginku/status/1962007659886108915" TargetMode="External"/><Relationship Id="rId168" Type="http://schemas.openxmlformats.org/officeDocument/2006/relationships/hyperlink" Target="https://x.com/headachead/status/1962006030440866215" TargetMode="External"/><Relationship Id="rId167" Type="http://schemas.openxmlformats.org/officeDocument/2006/relationships/hyperlink" Target="https://x.com/AswinMunandar5/status/1962019526981328947" TargetMode="External"/><Relationship Id="rId166" Type="http://schemas.openxmlformats.org/officeDocument/2006/relationships/hyperlink" Target="https://x.com/szelangkah/status/1961748043621159242" TargetMode="External"/><Relationship Id="rId161" Type="http://schemas.openxmlformats.org/officeDocument/2006/relationships/hyperlink" Target="https://www.tiktok.com/@revolutionarmy98/photo/7547739888246967560" TargetMode="External"/><Relationship Id="rId160" Type="http://schemas.openxmlformats.org/officeDocument/2006/relationships/hyperlink" Target="https://www.tiktok.com/@revolutionarmy98/video/7547749328488811784" TargetMode="External"/><Relationship Id="rId159" Type="http://schemas.openxmlformats.org/officeDocument/2006/relationships/hyperlink" Target="https://www.tiktok.com/@revolutionarmy98/photo/7547751299136113938" TargetMode="External"/><Relationship Id="rId154" Type="http://schemas.openxmlformats.org/officeDocument/2006/relationships/hyperlink" Target="https://www.facebook.com/groups/456481828956436?multi_permalinks=1440732880531321&amp;hoisted_section_header_type=recently_seen" TargetMode="External"/><Relationship Id="rId153" Type="http://schemas.openxmlformats.org/officeDocument/2006/relationships/hyperlink" Target="https://www.facebook.com/groups/1555893255066486/posts/1713923905930086" TargetMode="External"/><Relationship Id="rId152" Type="http://schemas.openxmlformats.org/officeDocument/2006/relationships/hyperlink" Target="https://www.facebook.com/groups/1392429151628587/posts/1863169317887899" TargetMode="External"/><Relationship Id="rId151" Type="http://schemas.openxmlformats.org/officeDocument/2006/relationships/hyperlink" Target="https://www.facebook.com/reel/1971977843624029" TargetMode="External"/><Relationship Id="rId158" Type="http://schemas.openxmlformats.org/officeDocument/2006/relationships/hyperlink" Target="https://www.facebook.com/groups/1499992370958626/?multi_permalinks=1601685107456018" TargetMode="External"/><Relationship Id="rId157" Type="http://schemas.openxmlformats.org/officeDocument/2006/relationships/hyperlink" Target="https://www.facebook.com/groups/225157887497430/posts/24964835836436292/" TargetMode="External"/><Relationship Id="rId156" Type="http://schemas.openxmlformats.org/officeDocument/2006/relationships/hyperlink" Target="https://www.facebook.com/groups/225157887497430/posts/24973991882187354/" TargetMode="External"/><Relationship Id="rId155" Type="http://schemas.openxmlformats.org/officeDocument/2006/relationships/hyperlink" Target="https://www.facebook.com/groups/225157887497430/posts/24974022098850999/" TargetMode="External"/><Relationship Id="rId2820" Type="http://schemas.openxmlformats.org/officeDocument/2006/relationships/hyperlink" Target="https://www.facebook.com/share/p/17Dnau2ovB/" TargetMode="External"/><Relationship Id="rId2821" Type="http://schemas.openxmlformats.org/officeDocument/2006/relationships/hyperlink" Target="https://www.facebook.com/share/v/1AbArdjG3E/" TargetMode="External"/><Relationship Id="rId2822" Type="http://schemas.openxmlformats.org/officeDocument/2006/relationships/hyperlink" Target="https://www.facebook.com/share/r/1Ni7arUtmT/" TargetMode="External"/><Relationship Id="rId2823" Type="http://schemas.openxmlformats.org/officeDocument/2006/relationships/hyperlink" Target="https://www.facebook.com/share/r/14SNuPm3Xhb/" TargetMode="External"/><Relationship Id="rId2824" Type="http://schemas.openxmlformats.org/officeDocument/2006/relationships/hyperlink" Target="https://www.facebook.com/share/r/1A85mqs4Co/" TargetMode="External"/><Relationship Id="rId2825" Type="http://schemas.openxmlformats.org/officeDocument/2006/relationships/hyperlink" Target="https://www.facebook.com/reel/1673714476549740" TargetMode="External"/><Relationship Id="rId2826" Type="http://schemas.openxmlformats.org/officeDocument/2006/relationships/hyperlink" Target="https://www.facebook.com/watch/?v=4139695809510268" TargetMode="External"/><Relationship Id="rId2827" Type="http://schemas.openxmlformats.org/officeDocument/2006/relationships/hyperlink" Target="https://www.facebook.com/share/p/17pF3YvLAb/" TargetMode="External"/><Relationship Id="rId2828" Type="http://schemas.openxmlformats.org/officeDocument/2006/relationships/hyperlink" Target="https://www.facebook.com/share/p/17TwZkV8TA/" TargetMode="External"/><Relationship Id="rId2829" Type="http://schemas.openxmlformats.org/officeDocument/2006/relationships/hyperlink" Target="https://www.facebook.com/share/p/1GZ2H4RMLV/" TargetMode="External"/><Relationship Id="rId2810" Type="http://schemas.openxmlformats.org/officeDocument/2006/relationships/hyperlink" Target="https://www.facebook.com/groups/9767428643312271/posts/25181560201472532" TargetMode="External"/><Relationship Id="rId2811" Type="http://schemas.openxmlformats.org/officeDocument/2006/relationships/hyperlink" Target="https://www.facebook.com/share/p/1RgfU5GnBP/" TargetMode="External"/><Relationship Id="rId2812" Type="http://schemas.openxmlformats.org/officeDocument/2006/relationships/hyperlink" Target="https://www.facebook.com/share/r/19ztWpYwWe/" TargetMode="External"/><Relationship Id="rId2813" Type="http://schemas.openxmlformats.org/officeDocument/2006/relationships/hyperlink" Target="https://www.facebook.com/share/r/19sAknDNRY/" TargetMode="External"/><Relationship Id="rId2814" Type="http://schemas.openxmlformats.org/officeDocument/2006/relationships/hyperlink" Target="https://www.facebook.com/share/r/1KW1sfe2RA/" TargetMode="External"/><Relationship Id="rId2815" Type="http://schemas.openxmlformats.org/officeDocument/2006/relationships/hyperlink" Target="https://www.facebook.com/share/p/1CFkuWztiE/" TargetMode="External"/><Relationship Id="rId2816" Type="http://schemas.openxmlformats.org/officeDocument/2006/relationships/hyperlink" Target="https://www.facebook.com/share/v/1c6QVvngN3/" TargetMode="External"/><Relationship Id="rId2817" Type="http://schemas.openxmlformats.org/officeDocument/2006/relationships/hyperlink" Target="https://www.facebook.com/share/p/1AMQSKyxj1/" TargetMode="External"/><Relationship Id="rId2818" Type="http://schemas.openxmlformats.org/officeDocument/2006/relationships/hyperlink" Target="https://www.facebook.com/share/p/1AScjdGfCx/" TargetMode="External"/><Relationship Id="rId2819" Type="http://schemas.openxmlformats.org/officeDocument/2006/relationships/hyperlink" Target="https://www.facebook.com/share/p/16xNNUxMSw/" TargetMode="External"/><Relationship Id="rId1510" Type="http://schemas.openxmlformats.org/officeDocument/2006/relationships/hyperlink" Target="https://www.facebook.com/reel/1379757763553897" TargetMode="External"/><Relationship Id="rId2841" Type="http://schemas.openxmlformats.org/officeDocument/2006/relationships/hyperlink" Target="https://x.com/Johnzizzy" TargetMode="External"/><Relationship Id="rId1511" Type="http://schemas.openxmlformats.org/officeDocument/2006/relationships/hyperlink" Target="https://www.facebook.com/reel/1582431776523643" TargetMode="External"/><Relationship Id="rId2842" Type="http://schemas.openxmlformats.org/officeDocument/2006/relationships/hyperlink" Target="https://x.com/AnshariJasmine" TargetMode="External"/><Relationship Id="rId1512" Type="http://schemas.openxmlformats.org/officeDocument/2006/relationships/hyperlink" Target="https://www.facebook.com/groups/103999743103665/permalink/2722970041206609/?rdid=szW8X3OvQEmBmFR2" TargetMode="External"/><Relationship Id="rId2843" Type="http://schemas.openxmlformats.org/officeDocument/2006/relationships/hyperlink" Target="https://www.tiktok.com/@emizumaidar98/video/7588238153085881607?_r=1&amp;_t=ZS-92ba7fvXjkH" TargetMode="External"/><Relationship Id="rId1513" Type="http://schemas.openxmlformats.org/officeDocument/2006/relationships/hyperlink" Target="https://www.facebook.com/permalink.php?story_fbid=pfbid0HUPggbvgjobdT2ocNyEEuTikz4AEXdRCi4CBYrPeG5ok2FBW4m7E1d95byFMHKRHl&amp;id=61558765793954&amp;rdid=IUOp0M0fFH6jGPuF" TargetMode="External"/><Relationship Id="rId2844" Type="http://schemas.openxmlformats.org/officeDocument/2006/relationships/hyperlink" Target="https://www.tiktok.com/@otto.vianus61?_r=1&amp;_t=ZS-92baEMcMNU1" TargetMode="External"/><Relationship Id="rId1514" Type="http://schemas.openxmlformats.org/officeDocument/2006/relationships/hyperlink" Target="https://www.facebook.com/JemsAsier/posts/pfbid02dy2w6TCfXFdZudmccRHTG4CWgVZsvkZGxJFKJh8XwgpZkgiQgWz8RXbYxU2qW1crl?rdid=d5TFOWyyjdEB5XJl" TargetMode="External"/><Relationship Id="rId2845" Type="http://schemas.openxmlformats.org/officeDocument/2006/relationships/hyperlink" Target="https://www.tiktok.com/@zakir.nis?_r=1&amp;_t=ZS-92baH8tiyS9" TargetMode="External"/><Relationship Id="rId1515" Type="http://schemas.openxmlformats.org/officeDocument/2006/relationships/hyperlink" Target="https://www.facebook.com/reel/895171989505258" TargetMode="External"/><Relationship Id="rId2846" Type="http://schemas.openxmlformats.org/officeDocument/2006/relationships/hyperlink" Target="http://tiktok.com/@timsirege/video/7587522752165317908?_t=ZS-92baL0IfK2j&amp;_r=1" TargetMode="External"/><Relationship Id="rId1516" Type="http://schemas.openxmlformats.org/officeDocument/2006/relationships/hyperlink" Target="https://www.tiktok.com/@www.komtudubai.69/video/7578599538223598866?lang=en" TargetMode="External"/><Relationship Id="rId2847" Type="http://schemas.openxmlformats.org/officeDocument/2006/relationships/hyperlink" Target="https://vt.tiktok.com/ZS51rgpR5/" TargetMode="External"/><Relationship Id="rId1517" Type="http://schemas.openxmlformats.org/officeDocument/2006/relationships/hyperlink" Target="https://www.tiktok.com/@teuku_yusri07/video/7543957037206605061?lang=en" TargetMode="External"/><Relationship Id="rId2848" Type="http://schemas.openxmlformats.org/officeDocument/2006/relationships/hyperlink" Target="https://www.facebook.com/share/p/1DVF9RrN2b/" TargetMode="External"/><Relationship Id="rId1518" Type="http://schemas.openxmlformats.org/officeDocument/2006/relationships/hyperlink" Target="https://www.tiktok.com/@rijalalpaseeofficial05/video/7579899205037198610?lang=en" TargetMode="External"/><Relationship Id="rId2849" Type="http://schemas.openxmlformats.org/officeDocument/2006/relationships/hyperlink" Target="https://vt.tiktok.com/ZS51rktRA/" TargetMode="External"/><Relationship Id="rId1519" Type="http://schemas.openxmlformats.org/officeDocument/2006/relationships/hyperlink" Target="https://www.tiktok.com/@nyak.aceh.hunter/video/7580042390396849416?lang=en" TargetMode="External"/><Relationship Id="rId2840" Type="http://schemas.openxmlformats.org/officeDocument/2006/relationships/hyperlink" Target="https://x.com/tgk_skandinavia/status/1967247981738168727?s=20" TargetMode="External"/><Relationship Id="rId2830" Type="http://schemas.openxmlformats.org/officeDocument/2006/relationships/hyperlink" Target="https://www.facebook.com/share/p/17qDWaXLva/" TargetMode="External"/><Relationship Id="rId1500" Type="http://schemas.openxmlformats.org/officeDocument/2006/relationships/hyperlink" Target="https://www.facebook.com/share/p/1FxuYoYmvp/" TargetMode="External"/><Relationship Id="rId2831" Type="http://schemas.openxmlformats.org/officeDocument/2006/relationships/hyperlink" Target="https://www.youtube.com/shorts/ptyz6ymshE0" TargetMode="External"/><Relationship Id="rId1501" Type="http://schemas.openxmlformats.org/officeDocument/2006/relationships/hyperlink" Target="https://www.facebook.com/share/p/1D4XuGpvMz/" TargetMode="External"/><Relationship Id="rId2832" Type="http://schemas.openxmlformats.org/officeDocument/2006/relationships/hyperlink" Target="https://www.facebook.com/share/p/17WhJjeyHF/" TargetMode="External"/><Relationship Id="rId1502" Type="http://schemas.openxmlformats.org/officeDocument/2006/relationships/hyperlink" Target="https://www.facebook.com/share/p/16eXmHHF7F/" TargetMode="External"/><Relationship Id="rId2833" Type="http://schemas.openxmlformats.org/officeDocument/2006/relationships/hyperlink" Target="https://vt.tiktok.com/ZS5d19MxN/" TargetMode="External"/><Relationship Id="rId1503" Type="http://schemas.openxmlformats.org/officeDocument/2006/relationships/hyperlink" Target="https://www.facebook.com/share/r/1FzmDWd1u1/" TargetMode="External"/><Relationship Id="rId2834" Type="http://schemas.openxmlformats.org/officeDocument/2006/relationships/hyperlink" Target="https://themerdekatimes.com/news/2025/08/kiblat-ekonomi-baharu-aceh-kini-ke-kuala-lumpur-bukan-lagi-jakarta/" TargetMode="External"/><Relationship Id="rId1504" Type="http://schemas.openxmlformats.org/officeDocument/2006/relationships/hyperlink" Target="https://www.facebook.com/share/r/1DD1bWbQBj/" TargetMode="External"/><Relationship Id="rId2835" Type="http://schemas.openxmlformats.org/officeDocument/2006/relationships/hyperlink" Target="https://www.facebook.com/share/p/14NwCMrsNRC/" TargetMode="External"/><Relationship Id="rId1505" Type="http://schemas.openxmlformats.org/officeDocument/2006/relationships/hyperlink" Target="https://www.facebook.com/share/r/1A59FwwFVS/" TargetMode="External"/><Relationship Id="rId2836" Type="http://schemas.openxmlformats.org/officeDocument/2006/relationships/hyperlink" Target="https://www.facebook.com/share/p/17igfZYcA2/" TargetMode="External"/><Relationship Id="rId1506" Type="http://schemas.openxmlformats.org/officeDocument/2006/relationships/hyperlink" Target="https://www.facebook.com/groups/2378433292339269/posts/3091002497749008" TargetMode="External"/><Relationship Id="rId2837" Type="http://schemas.openxmlformats.org/officeDocument/2006/relationships/hyperlink" Target="https://www.facebook.com/share/p/17xZTdZDTk/" TargetMode="External"/><Relationship Id="rId1507" Type="http://schemas.openxmlformats.org/officeDocument/2006/relationships/hyperlink" Target="https://www.facebook.com/groups/2378433292339269/posts/3090919771090614" TargetMode="External"/><Relationship Id="rId2838" Type="http://schemas.openxmlformats.org/officeDocument/2006/relationships/hyperlink" Target="https://x.com/myshawti/status/2005202104923865294?s=20" TargetMode="External"/><Relationship Id="rId1508" Type="http://schemas.openxmlformats.org/officeDocument/2006/relationships/hyperlink" Target="https://www.facebook.com/groups/2378433292339269/posts/3089436807905577" TargetMode="External"/><Relationship Id="rId2839" Type="http://schemas.openxmlformats.org/officeDocument/2006/relationships/hyperlink" Target="https://x.com/tgk_skandinavia/status/2005269527441887258?s=20" TargetMode="External"/><Relationship Id="rId1509" Type="http://schemas.openxmlformats.org/officeDocument/2006/relationships/hyperlink" Target="https://www.facebook.com/groups/2378433292339269/posts/3089215007927757" TargetMode="External"/><Relationship Id="rId2800" Type="http://schemas.openxmlformats.org/officeDocument/2006/relationships/hyperlink" Target="https://x.com/LazuardiOsado/status/2004511466855292965" TargetMode="External"/><Relationship Id="rId2801" Type="http://schemas.openxmlformats.org/officeDocument/2006/relationships/hyperlink" Target="https://x.com/LazuardiOsado/status/2004508949568200833" TargetMode="External"/><Relationship Id="rId2802" Type="http://schemas.openxmlformats.org/officeDocument/2006/relationships/hyperlink" Target="https://x.com/BiskuitReg42464/status/2003128496697344301" TargetMode="External"/><Relationship Id="rId2803" Type="http://schemas.openxmlformats.org/officeDocument/2006/relationships/hyperlink" Target="https://x.com/08Tukijan/status/2002389877300613584" TargetMode="External"/><Relationship Id="rId2804" Type="http://schemas.openxmlformats.org/officeDocument/2006/relationships/hyperlink" Target="https://x.com/RSuntya44707/status/2001648712377061735" TargetMode="External"/><Relationship Id="rId2805" Type="http://schemas.openxmlformats.org/officeDocument/2006/relationships/hyperlink" Target="https://x.com/Fernaly06/status/1996420942822854865" TargetMode="External"/><Relationship Id="rId2806" Type="http://schemas.openxmlformats.org/officeDocument/2006/relationships/hyperlink" Target="https://www.facebook.com/groups/9767428643312271/posts/25186309570997595" TargetMode="External"/><Relationship Id="rId2807" Type="http://schemas.openxmlformats.org/officeDocument/2006/relationships/hyperlink" Target="https://www.facebook.com/groups/9767428643312271/posts/25186260451002507" TargetMode="External"/><Relationship Id="rId2808" Type="http://schemas.openxmlformats.org/officeDocument/2006/relationships/hyperlink" Target="https://www.facebook.com/groups/9767428643312271/posts/25182989971329555" TargetMode="External"/><Relationship Id="rId2809" Type="http://schemas.openxmlformats.org/officeDocument/2006/relationships/hyperlink" Target="https://www.facebook.com/groups/9767428643312271/posts/25181943864767499" TargetMode="External"/><Relationship Id="rId1576" Type="http://schemas.openxmlformats.org/officeDocument/2006/relationships/hyperlink" Target="https://x.com/indepenSumatera/status/1997916494592868450?s=20" TargetMode="External"/><Relationship Id="rId1577" Type="http://schemas.openxmlformats.org/officeDocument/2006/relationships/hyperlink" Target="https://x.com/indepenSumatera/status/1996823318117441536?s=20" TargetMode="External"/><Relationship Id="rId1578" Type="http://schemas.openxmlformats.org/officeDocument/2006/relationships/hyperlink" Target="https://www.youtube.com/watch?v=RriTUuyLOyI" TargetMode="External"/><Relationship Id="rId1579" Type="http://schemas.openxmlformats.org/officeDocument/2006/relationships/hyperlink" Target="https://www.youtube.com/watch?v=vz8SjQraMn0" TargetMode="External"/><Relationship Id="rId987" Type="http://schemas.openxmlformats.org/officeDocument/2006/relationships/hyperlink" Target="https://vt.tiktok.com/ZSyHqaTaM/" TargetMode="External"/><Relationship Id="rId986" Type="http://schemas.openxmlformats.org/officeDocument/2006/relationships/hyperlink" Target="https://vt.tiktok.com/ZSyHqgtBM/" TargetMode="External"/><Relationship Id="rId985" Type="http://schemas.openxmlformats.org/officeDocument/2006/relationships/hyperlink" Target="https://vt.tiktok.com/ZSyHqqmP7/" TargetMode="External"/><Relationship Id="rId984" Type="http://schemas.openxmlformats.org/officeDocument/2006/relationships/hyperlink" Target="https://vt.tiktok.com/ZSyHqCv2k/" TargetMode="External"/><Relationship Id="rId989" Type="http://schemas.openxmlformats.org/officeDocument/2006/relationships/hyperlink" Target="https://www.facebook.com/share/r/1FivoRq8UP/" TargetMode="External"/><Relationship Id="rId988" Type="http://schemas.openxmlformats.org/officeDocument/2006/relationships/hyperlink" Target="https://www.facebook.com/share/p/1G6yLb8x7N/" TargetMode="External"/><Relationship Id="rId1570" Type="http://schemas.openxmlformats.org/officeDocument/2006/relationships/hyperlink" Target="https://www.facebook.com/share/p/1CwmfSwxis/" TargetMode="External"/><Relationship Id="rId1571" Type="http://schemas.openxmlformats.org/officeDocument/2006/relationships/hyperlink" Target="https://www.facebook.com/share/p/1N9boNzJ7d/" TargetMode="External"/><Relationship Id="rId983" Type="http://schemas.openxmlformats.org/officeDocument/2006/relationships/hyperlink" Target="https://vt.tiktok.com/ZSyHqQKyF/" TargetMode="External"/><Relationship Id="rId1572" Type="http://schemas.openxmlformats.org/officeDocument/2006/relationships/hyperlink" Target="https://www.facebook.com/share/p/1CtDtHQZ5B/" TargetMode="External"/><Relationship Id="rId982" Type="http://schemas.openxmlformats.org/officeDocument/2006/relationships/hyperlink" Target="https://vt.tiktok.com/ZSyHqsJWw/" TargetMode="External"/><Relationship Id="rId1573" Type="http://schemas.openxmlformats.org/officeDocument/2006/relationships/hyperlink" Target="https://www.facebook.com/share/p/1DRFW2wBAa/" TargetMode="External"/><Relationship Id="rId981" Type="http://schemas.openxmlformats.org/officeDocument/2006/relationships/hyperlink" Target="https://vt.tiktok.com/ZSyHqGbuX/" TargetMode="External"/><Relationship Id="rId1574" Type="http://schemas.openxmlformats.org/officeDocument/2006/relationships/hyperlink" Target="https://www.facebook.com/share/p/16QpJzfrKd/" TargetMode="External"/><Relationship Id="rId980" Type="http://schemas.openxmlformats.org/officeDocument/2006/relationships/hyperlink" Target="https://x.com/Bi_ma_bima/status/1985906453157462034" TargetMode="External"/><Relationship Id="rId1575" Type="http://schemas.openxmlformats.org/officeDocument/2006/relationships/hyperlink" Target="https://www.facebook.com/share/p/1DYNjPVmYA/" TargetMode="External"/><Relationship Id="rId1565" Type="http://schemas.openxmlformats.org/officeDocument/2006/relationships/hyperlink" Target="https://tangerang.tribunnews.com/news/53916/jadwal-demo-hari-ini-kamis-4-desember-2025-cek-lokasi-dan-waktunya" TargetMode="External"/><Relationship Id="rId2896" Type="http://schemas.openxmlformats.org/officeDocument/2006/relationships/hyperlink" Target="https://x.com/Anfieldbreath/status/2002968115572015387" TargetMode="External"/><Relationship Id="rId1566" Type="http://schemas.openxmlformats.org/officeDocument/2006/relationships/hyperlink" Target="https://www.facebook.com/share/r/17rdgGYUMC/" TargetMode="External"/><Relationship Id="rId2897" Type="http://schemas.openxmlformats.org/officeDocument/2006/relationships/hyperlink" Target="https://www.facebook.com/masayu.devina.salsabila.putri/posts/pfbid0c2LdeTeXWPyFPSAb7JSsZdjuzV7Cg316PoGYuSE7syLWLM8FPUU8mzBLYrLhaZgkl" TargetMode="External"/><Relationship Id="rId1567" Type="http://schemas.openxmlformats.org/officeDocument/2006/relationships/hyperlink" Target="https://www.facebook.com/share/p/16ThHB1eCQ/" TargetMode="External"/><Relationship Id="rId2898" Type="http://schemas.openxmlformats.org/officeDocument/2006/relationships/hyperlink" Target="https://www.facebook.com/groups/1417103738524228/?multi_permalinks=4513372142230690" TargetMode="External"/><Relationship Id="rId1568" Type="http://schemas.openxmlformats.org/officeDocument/2006/relationships/hyperlink" Target="https://www.facebook.com/share/p/17i7kk2qW8/" TargetMode="External"/><Relationship Id="rId2899" Type="http://schemas.openxmlformats.org/officeDocument/2006/relationships/hyperlink" Target="https://www.facebook.com/share/p/17qBgdW2wg/" TargetMode="External"/><Relationship Id="rId1569" Type="http://schemas.openxmlformats.org/officeDocument/2006/relationships/hyperlink" Target="https://www.facebook.com/share/v/1Bw1jVn6Gv/" TargetMode="External"/><Relationship Id="rId976" Type="http://schemas.openxmlformats.org/officeDocument/2006/relationships/hyperlink" Target="https://x.com/ArtaN7707/status/1986615371445756409" TargetMode="External"/><Relationship Id="rId975" Type="http://schemas.openxmlformats.org/officeDocument/2006/relationships/hyperlink" Target="https://x.com/didiek_murdock/status/1984513707960123768" TargetMode="External"/><Relationship Id="rId974" Type="http://schemas.openxmlformats.org/officeDocument/2006/relationships/hyperlink" Target="https://web.facebook.com/share/r/1HHatZ7n8U/" TargetMode="External"/><Relationship Id="rId973" Type="http://schemas.openxmlformats.org/officeDocument/2006/relationships/hyperlink" Target="https://web.facebook.com/share/p/16JPPZW9sz/" TargetMode="External"/><Relationship Id="rId979" Type="http://schemas.openxmlformats.org/officeDocument/2006/relationships/hyperlink" Target="https://x.com/OjolNyambi/status/1986298229181587723" TargetMode="External"/><Relationship Id="rId978" Type="http://schemas.openxmlformats.org/officeDocument/2006/relationships/hyperlink" Target="https://www.facebook.com/reel/751150587938276" TargetMode="External"/><Relationship Id="rId977" Type="http://schemas.openxmlformats.org/officeDocument/2006/relationships/hyperlink" Target="https://www.facebook.com/syaeful.ibrahim.3/posts/pfbid0kKpbm9Xv9tTkvUaAvHr7ur5MQ7J7RFD1tRrTqtwNTHXeWhC5oRaYS8uX7sWFgDgql" TargetMode="External"/><Relationship Id="rId2890" Type="http://schemas.openxmlformats.org/officeDocument/2006/relationships/hyperlink" Target="https://www.facebook.com/permalink.php?story_fbid=pfbid031m9fCGh62eMj3qh3DKZfhpQAtymw1dPv88pkgSEj2ynxQt9vpNSDrmNRPAFzToYEl&amp;id=100080149846423" TargetMode="External"/><Relationship Id="rId1560" Type="http://schemas.openxmlformats.org/officeDocument/2006/relationships/hyperlink" Target="https://www.facebook.com/share/p/1CcPgUG8i4/" TargetMode="External"/><Relationship Id="rId2891" Type="http://schemas.openxmlformats.org/officeDocument/2006/relationships/hyperlink" Target="https://www.facebook.com/share/r/1Bw1U8m1nr/" TargetMode="External"/><Relationship Id="rId972" Type="http://schemas.openxmlformats.org/officeDocument/2006/relationships/hyperlink" Target="https://x.com/JoppieMagai" TargetMode="External"/><Relationship Id="rId1561" Type="http://schemas.openxmlformats.org/officeDocument/2006/relationships/hyperlink" Target="https://x.com/AawBerkah/status/1997638057386725484" TargetMode="External"/><Relationship Id="rId2892" Type="http://schemas.openxmlformats.org/officeDocument/2006/relationships/hyperlink" Target="https://www.facebook.com/share/p/1C28D5Bqxs/" TargetMode="External"/><Relationship Id="rId971" Type="http://schemas.openxmlformats.org/officeDocument/2006/relationships/hyperlink" Target="https://www.facebook.com/r.neno.2025/posts/pfbid02s6ycPXgQrWUcd8v4XbsBGCepKajYaXNEhNtbUMj9mAWfwe7W22EK9Th8R6Yecczdl" TargetMode="External"/><Relationship Id="rId1562" Type="http://schemas.openxmlformats.org/officeDocument/2006/relationships/hyperlink" Target="https://tirto.id/kenapa-status-bencana-nasional-banjir-sumatra-belum-ditetapkan-hnaa" TargetMode="External"/><Relationship Id="rId2893" Type="http://schemas.openxmlformats.org/officeDocument/2006/relationships/hyperlink" Target="https://www.facebook.com/share/p/1agQb8gpUJ/" TargetMode="External"/><Relationship Id="rId970" Type="http://schemas.openxmlformats.org/officeDocument/2006/relationships/hyperlink" Target="https://www.tiktok.com/@joys1233/video/7539600654441008389" TargetMode="External"/><Relationship Id="rId1563" Type="http://schemas.openxmlformats.org/officeDocument/2006/relationships/hyperlink" Target="https://www.facebook.com/share/r/1CdiR4cUsu/" TargetMode="External"/><Relationship Id="rId2894" Type="http://schemas.openxmlformats.org/officeDocument/2006/relationships/hyperlink" Target="https://www.facebook.com/share/r/1AY9UYaWbD/" TargetMode="External"/><Relationship Id="rId1564" Type="http://schemas.openxmlformats.org/officeDocument/2006/relationships/hyperlink" Target="https://www.facebook.com/share/r/17tUYTmSbq/" TargetMode="External"/><Relationship Id="rId2895" Type="http://schemas.openxmlformats.org/officeDocument/2006/relationships/hyperlink" Target="https://www.facebook.com/reel/1227201412668275" TargetMode="External"/><Relationship Id="rId1598" Type="http://schemas.openxmlformats.org/officeDocument/2006/relationships/hyperlink" Target="https://www.facebook.com/groups/1613421496004593/posts/1803099270370147" TargetMode="External"/><Relationship Id="rId1599" Type="http://schemas.openxmlformats.org/officeDocument/2006/relationships/hyperlink" Target="https://www.facebook.com/groups/1613421496004593/posts/1803046477042093" TargetMode="External"/><Relationship Id="rId1590" Type="http://schemas.openxmlformats.org/officeDocument/2006/relationships/hyperlink" Target="https://www.youtube.com/shorts/WDakbun5l1U" TargetMode="External"/><Relationship Id="rId1591" Type="http://schemas.openxmlformats.org/officeDocument/2006/relationships/hyperlink" Target="https://www.facebook.com/share/p/1Ch2jrnudo/" TargetMode="External"/><Relationship Id="rId1592" Type="http://schemas.openxmlformats.org/officeDocument/2006/relationships/hyperlink" Target="https://www.facebook.com/share/p/1aH2qQaxhk/" TargetMode="External"/><Relationship Id="rId1593" Type="http://schemas.openxmlformats.org/officeDocument/2006/relationships/hyperlink" Target="https://www.facebook.com/share/r/1ALqBG13P2/" TargetMode="External"/><Relationship Id="rId1594" Type="http://schemas.openxmlformats.org/officeDocument/2006/relationships/hyperlink" Target="https://www.tempo.co/cekfakta/keliru-video-harimau-muncul-di-tengah-banjir-sumatera-2095135" TargetMode="External"/><Relationship Id="rId1595" Type="http://schemas.openxmlformats.org/officeDocument/2006/relationships/hyperlink" Target="https://www.facebook.com/groups/1073927260480024/posts/1550322026173876/" TargetMode="External"/><Relationship Id="rId1596" Type="http://schemas.openxmlformats.org/officeDocument/2006/relationships/hyperlink" Target="https://www.facebook.com/groups/1073927260480024/posts/1299191131286968/" TargetMode="External"/><Relationship Id="rId1597" Type="http://schemas.openxmlformats.org/officeDocument/2006/relationships/hyperlink" Target="https://www.facebook.com/groups/1073927260480024/posts/1292089061997175/" TargetMode="External"/><Relationship Id="rId1587" Type="http://schemas.openxmlformats.org/officeDocument/2006/relationships/hyperlink" Target="https://www.facebook.com/share/p/1KcpspceUS/" TargetMode="External"/><Relationship Id="rId1588" Type="http://schemas.openxmlformats.org/officeDocument/2006/relationships/hyperlink" Target="https://x.com/didiek_murdock/status/1997960309114634284" TargetMode="External"/><Relationship Id="rId1589" Type="http://schemas.openxmlformats.org/officeDocument/2006/relationships/hyperlink" Target="https://www.youtube.com/shorts/Bwu7AWI02Mk" TargetMode="External"/><Relationship Id="rId998" Type="http://schemas.openxmlformats.org/officeDocument/2006/relationships/hyperlink" Target="https://vt.tiktok.com/ZSyQSN65g/" TargetMode="External"/><Relationship Id="rId997" Type="http://schemas.openxmlformats.org/officeDocument/2006/relationships/hyperlink" Target="https://vt.tiktok.com/ZSyQSkST3/" TargetMode="External"/><Relationship Id="rId996" Type="http://schemas.openxmlformats.org/officeDocument/2006/relationships/hyperlink" Target="https://vt.tiktok.com/ZSyQSmc2C/" TargetMode="External"/><Relationship Id="rId995" Type="http://schemas.openxmlformats.org/officeDocument/2006/relationships/hyperlink" Target="https://vt.tiktok.com/ZSyQS5Upc/" TargetMode="External"/><Relationship Id="rId999" Type="http://schemas.openxmlformats.org/officeDocument/2006/relationships/hyperlink" Target="https://vt.tiktok.com/ZSyQSBrXk/" TargetMode="External"/><Relationship Id="rId990" Type="http://schemas.openxmlformats.org/officeDocument/2006/relationships/hyperlink" Target="https://www.facebook.com/share/r/1KSTKtSZbv/" TargetMode="External"/><Relationship Id="rId1580" Type="http://schemas.openxmlformats.org/officeDocument/2006/relationships/hyperlink" Target="https://www.facebook.com/share/p/1BeiP1QD6b/" TargetMode="External"/><Relationship Id="rId1581" Type="http://schemas.openxmlformats.org/officeDocument/2006/relationships/hyperlink" Target="https://www.facebook.com/share/p/1C2jP6X1Gp/" TargetMode="External"/><Relationship Id="rId1582" Type="http://schemas.openxmlformats.org/officeDocument/2006/relationships/hyperlink" Target="https://www.facebook.com/share/p/1DjtPRy53S/" TargetMode="External"/><Relationship Id="rId994" Type="http://schemas.openxmlformats.org/officeDocument/2006/relationships/hyperlink" Target="https://www.facebook.com/share/p/1XyhxG98Zj/" TargetMode="External"/><Relationship Id="rId1583" Type="http://schemas.openxmlformats.org/officeDocument/2006/relationships/hyperlink" Target="https://nasional.sindonews.com/read/1652835/14/bantu-bencana-aceh-hingga-sumatera-tni-sudah-kirim-1559-ton-logistik-1765105962/5" TargetMode="External"/><Relationship Id="rId993" Type="http://schemas.openxmlformats.org/officeDocument/2006/relationships/hyperlink" Target="https://www.facebook.com/share/v/19vcrRYBzm/" TargetMode="External"/><Relationship Id="rId1584" Type="http://schemas.openxmlformats.org/officeDocument/2006/relationships/hyperlink" Target="https://www.facebook.com/share/r/1AXou1WM9g/" TargetMode="External"/><Relationship Id="rId992" Type="http://schemas.openxmlformats.org/officeDocument/2006/relationships/hyperlink" Target="https://www.facebook.com/share/r/1MVhtmv3FX/" TargetMode="External"/><Relationship Id="rId1585" Type="http://schemas.openxmlformats.org/officeDocument/2006/relationships/hyperlink" Target="https://www.facebook.com/share/p/19YH8jxzFE/" TargetMode="External"/><Relationship Id="rId991" Type="http://schemas.openxmlformats.org/officeDocument/2006/relationships/hyperlink" Target="https://www.facebook.com/share/r/17Rbu14rQW/" TargetMode="External"/><Relationship Id="rId1586" Type="http://schemas.openxmlformats.org/officeDocument/2006/relationships/hyperlink" Target="https://www.facebook.com/share/r/1BsMkVEkPV/" TargetMode="External"/><Relationship Id="rId1532" Type="http://schemas.openxmlformats.org/officeDocument/2006/relationships/hyperlink" Target="https://x.com/didiek_murdock/status/1988320785749213322" TargetMode="External"/><Relationship Id="rId2863" Type="http://schemas.openxmlformats.org/officeDocument/2006/relationships/hyperlink" Target="https://www.facebook.com/reel/756607640135305" TargetMode="External"/><Relationship Id="rId1533" Type="http://schemas.openxmlformats.org/officeDocument/2006/relationships/hyperlink" Target="https://x.com/djokokris/status/1997200519354614017" TargetMode="External"/><Relationship Id="rId2864" Type="http://schemas.openxmlformats.org/officeDocument/2006/relationships/hyperlink" Target="https://twitter.com/indepenSumatera/status/2004219388803915845" TargetMode="External"/><Relationship Id="rId1534" Type="http://schemas.openxmlformats.org/officeDocument/2006/relationships/hyperlink" Target="https://www.facebook.com/share/p/1R3NXvZqBo/" TargetMode="External"/><Relationship Id="rId2865" Type="http://schemas.openxmlformats.org/officeDocument/2006/relationships/hyperlink" Target="https://www.instagram.com/reels/DSsGaxTEhFE/" TargetMode="External"/><Relationship Id="rId1535" Type="http://schemas.openxmlformats.org/officeDocument/2006/relationships/hyperlink" Target="https://www.facebook.com/share/r/14GBdfm8ZGZ/" TargetMode="External"/><Relationship Id="rId2866" Type="http://schemas.openxmlformats.org/officeDocument/2006/relationships/hyperlink" Target="https://www.instagram.com/reels/DSsUE-iEvNF/" TargetMode="External"/><Relationship Id="rId1536" Type="http://schemas.openxmlformats.org/officeDocument/2006/relationships/hyperlink" Target="https://www.facebook.com/share/r/1BgvPeDAK4/" TargetMode="External"/><Relationship Id="rId2867" Type="http://schemas.openxmlformats.org/officeDocument/2006/relationships/hyperlink" Target="https://www.instagram.com/reels/DSsToJ9gSVu/" TargetMode="External"/><Relationship Id="rId1537" Type="http://schemas.openxmlformats.org/officeDocument/2006/relationships/hyperlink" Target="https://www.facebook.com/share/p/1LgiAmSJnT/" TargetMode="External"/><Relationship Id="rId2868" Type="http://schemas.openxmlformats.org/officeDocument/2006/relationships/hyperlink" Target="https://x.com/blue_berets7/status/2004325572990865709" TargetMode="External"/><Relationship Id="rId1538" Type="http://schemas.openxmlformats.org/officeDocument/2006/relationships/hyperlink" Target="https://www.facebook.com/share/r/16nwKBAVRt/" TargetMode="External"/><Relationship Id="rId2869" Type="http://schemas.openxmlformats.org/officeDocument/2006/relationships/hyperlink" Target="https://www.facebook.com/share/p/1DHwfxrB6j/" TargetMode="External"/><Relationship Id="rId1539" Type="http://schemas.openxmlformats.org/officeDocument/2006/relationships/hyperlink" Target="https://www.facebook.com/share/p/17qrpUfLLH/" TargetMode="External"/><Relationship Id="rId949" Type="http://schemas.openxmlformats.org/officeDocument/2006/relationships/hyperlink" Target="https://www.facebook.com/share/r/1FweHjkiGm/" TargetMode="External"/><Relationship Id="rId948" Type="http://schemas.openxmlformats.org/officeDocument/2006/relationships/hyperlink" Target="https://www.facebook.com/share/r/1PyHke33cB/" TargetMode="External"/><Relationship Id="rId943" Type="http://schemas.openxmlformats.org/officeDocument/2006/relationships/hyperlink" Target="https://www.instagram.com/p/DN0KiVk5Gz8/" TargetMode="External"/><Relationship Id="rId942" Type="http://schemas.openxmlformats.org/officeDocument/2006/relationships/hyperlink" Target="https://www.facebook.com/groups/3788219251217098/posts/25047969671482081/" TargetMode="External"/><Relationship Id="rId941" Type="http://schemas.openxmlformats.org/officeDocument/2006/relationships/hyperlink" Target="https://www.facebook.com/groups/3788219251217098/posts/25246821201596926/" TargetMode="External"/><Relationship Id="rId940" Type="http://schemas.openxmlformats.org/officeDocument/2006/relationships/hyperlink" Target="https://www.facebook.com/groups/3788219251217098/posts/25256582940620752/" TargetMode="External"/><Relationship Id="rId947" Type="http://schemas.openxmlformats.org/officeDocument/2006/relationships/hyperlink" Target="https://www.facebook.com/share/r/1D2sGw8D2d/" TargetMode="External"/><Relationship Id="rId946" Type="http://schemas.openxmlformats.org/officeDocument/2006/relationships/hyperlink" Target="https://www.facebook.com/share/r/1Eu545Q8ji/" TargetMode="External"/><Relationship Id="rId945" Type="http://schemas.openxmlformats.org/officeDocument/2006/relationships/hyperlink" Target="https://www.facebook.com/share/r/1D7aNMMXAX/" TargetMode="External"/><Relationship Id="rId944" Type="http://schemas.openxmlformats.org/officeDocument/2006/relationships/hyperlink" Target="https://www.instagram.com/p/DN7NbgmASQQ/" TargetMode="External"/><Relationship Id="rId2860" Type="http://schemas.openxmlformats.org/officeDocument/2006/relationships/hyperlink" Target="https://www.tiktok.com/@profesorbahlul/video/7586635277695733013?_r=1&amp;_t=ZS-92Zcv38o4LQ" TargetMode="External"/><Relationship Id="rId1530" Type="http://schemas.openxmlformats.org/officeDocument/2006/relationships/hyperlink" Target="https://www.facebook.com/groups/263653494336157/?multi_permalinks=1789033285131496" TargetMode="External"/><Relationship Id="rId2861" Type="http://schemas.openxmlformats.org/officeDocument/2006/relationships/hyperlink" Target="https://x.com/myshawti/status/2004832288144851103?s=20" TargetMode="External"/><Relationship Id="rId1531" Type="http://schemas.openxmlformats.org/officeDocument/2006/relationships/hyperlink" Target="https://x.com/Boredlonelyy/status/1996485493761208719" TargetMode="External"/><Relationship Id="rId2862" Type="http://schemas.openxmlformats.org/officeDocument/2006/relationships/hyperlink" Target="https://www.facebook.com/reel/1616700239515916" TargetMode="External"/><Relationship Id="rId1521" Type="http://schemas.openxmlformats.org/officeDocument/2006/relationships/hyperlink" Target="https://www.tiktok.com/@www.komtudubai.69/photo/7548070126386482488?lang=en" TargetMode="External"/><Relationship Id="rId2852" Type="http://schemas.openxmlformats.org/officeDocument/2006/relationships/hyperlink" Target="https://www.facebook.com/share/p/1AN89AT9At/" TargetMode="External"/><Relationship Id="rId1522" Type="http://schemas.openxmlformats.org/officeDocument/2006/relationships/hyperlink" Target="https://www.tiktok.com/@sky_deck69/video/7579901878805318920?lang=en" TargetMode="External"/><Relationship Id="rId2853" Type="http://schemas.openxmlformats.org/officeDocument/2006/relationships/hyperlink" Target="https://www.facebook.com/share/p/1G5MW4HYng/" TargetMode="External"/><Relationship Id="rId1523" Type="http://schemas.openxmlformats.org/officeDocument/2006/relationships/hyperlink" Target="https://www.tiktok.com/@nangroeaceh09/video/7578954070258404626?lang=en&amp;q=tidak%20ada%20bantuan%20buat%20aceh&amp;t=1764902646958" TargetMode="External"/><Relationship Id="rId2854" Type="http://schemas.openxmlformats.org/officeDocument/2006/relationships/hyperlink" Target="https://vt.tiktok.com/ZS51X1Wja/" TargetMode="External"/><Relationship Id="rId1524" Type="http://schemas.openxmlformats.org/officeDocument/2006/relationships/hyperlink" Target="https://www.tiktok.com/@ady_alpan/video/7537652943084965138?lang=en&amp;q=tidak%20ada%20bantuan%20buat%20aceh&amp;t=1764902646958" TargetMode="External"/><Relationship Id="rId2855" Type="http://schemas.openxmlformats.org/officeDocument/2006/relationships/hyperlink" Target="https://www.facebook.com/share/p/16dqVYXinw/" TargetMode="External"/><Relationship Id="rId1525" Type="http://schemas.openxmlformats.org/officeDocument/2006/relationships/hyperlink" Target="https://www.tiktok.com/@mzabdl.kata/video/7497543174366186770" TargetMode="External"/><Relationship Id="rId2856" Type="http://schemas.openxmlformats.org/officeDocument/2006/relationships/hyperlink" Target="https://www.facebook.com/share/p/1BdKjc9zrD/" TargetMode="External"/><Relationship Id="rId1526" Type="http://schemas.openxmlformats.org/officeDocument/2006/relationships/hyperlink" Target="https://www.tiktok.com/@ebiet___/video/7580617689882709255" TargetMode="External"/><Relationship Id="rId2857" Type="http://schemas.openxmlformats.org/officeDocument/2006/relationships/hyperlink" Target="https://www.facebook.com/profile.php?id=61581381061033" TargetMode="External"/><Relationship Id="rId1527" Type="http://schemas.openxmlformats.org/officeDocument/2006/relationships/hyperlink" Target="https://www.tiktok.com/@mr.bejo.wage/video/7580319681311984914" TargetMode="External"/><Relationship Id="rId2858" Type="http://schemas.openxmlformats.org/officeDocument/2006/relationships/hyperlink" Target="https://www.facebook.com/share/r/1YuEqngLFF/" TargetMode="External"/><Relationship Id="rId1528" Type="http://schemas.openxmlformats.org/officeDocument/2006/relationships/hyperlink" Target="https://www.tiktok.com/@muhammadsyahrir._/video/7578738531586166036" TargetMode="External"/><Relationship Id="rId2859" Type="http://schemas.openxmlformats.org/officeDocument/2006/relationships/hyperlink" Target="https://www.tiktok.com/@thesiliters/video/7588147155202886930?_r=1&amp;_t=ZS-92Zcr6rYALI" TargetMode="External"/><Relationship Id="rId1529" Type="http://schemas.openxmlformats.org/officeDocument/2006/relationships/hyperlink" Target="https://www.facebook.com/selamiisi.hatidhimas/posts/pfbid0Jym5oCzb7fpoNZ215GkvGVCy7QYkZJs4UPesr8bio7mQpSuQDBUFHmUqp5THUEb6l" TargetMode="External"/><Relationship Id="rId939" Type="http://schemas.openxmlformats.org/officeDocument/2006/relationships/hyperlink" Target="https://x.com/Molekul_Ceria/status/1982783545908040103" TargetMode="External"/><Relationship Id="rId938" Type="http://schemas.openxmlformats.org/officeDocument/2006/relationships/hyperlink" Target="https://www.facebook.com/ashabul.ashabul.16144/videos/24598249439871472" TargetMode="External"/><Relationship Id="rId937" Type="http://schemas.openxmlformats.org/officeDocument/2006/relationships/hyperlink" Target="https://www.facebook.com/reel/809280585149687" TargetMode="External"/><Relationship Id="rId932" Type="http://schemas.openxmlformats.org/officeDocument/2006/relationships/hyperlink" Target="https://vt.tiktok.com/ZSyDGcwV7/" TargetMode="External"/><Relationship Id="rId931" Type="http://schemas.openxmlformats.org/officeDocument/2006/relationships/hyperlink" Target="https://vt.tiktok.com/ZSyDGWKNa/" TargetMode="External"/><Relationship Id="rId930" Type="http://schemas.openxmlformats.org/officeDocument/2006/relationships/hyperlink" Target="https://vt.tiktok.com/ZSyDGvAen/" TargetMode="External"/><Relationship Id="rId936" Type="http://schemas.openxmlformats.org/officeDocument/2006/relationships/hyperlink" Target="https://www.facebook.com/groups/369201070241516/?multi_permalinks=2243368502824754" TargetMode="External"/><Relationship Id="rId935" Type="http://schemas.openxmlformats.org/officeDocument/2006/relationships/hyperlink" Target="https://x.com/AlinaliViral/status/1985710042432319831" TargetMode="External"/><Relationship Id="rId934" Type="http://schemas.openxmlformats.org/officeDocument/2006/relationships/hyperlink" Target="https://x.com/secr3thm4nz56/status/1985559168649216445" TargetMode="External"/><Relationship Id="rId933" Type="http://schemas.openxmlformats.org/officeDocument/2006/relationships/hyperlink" Target="https://www.tiktok.com/@gajadompak7/video/7568634320185855240" TargetMode="External"/><Relationship Id="rId2850" Type="http://schemas.openxmlformats.org/officeDocument/2006/relationships/hyperlink" Target="https://www.facebook.com/reel/1360125352090539" TargetMode="External"/><Relationship Id="rId1520" Type="http://schemas.openxmlformats.org/officeDocument/2006/relationships/hyperlink" Target="https://www.tiktok.com/@kuli_kelapa57/video/7578592750870826248?lang=en" TargetMode="External"/><Relationship Id="rId2851" Type="http://schemas.openxmlformats.org/officeDocument/2006/relationships/hyperlink" Target="https://www.tiktok.com/@yosepriadi1238ria" TargetMode="External"/><Relationship Id="rId1554" Type="http://schemas.openxmlformats.org/officeDocument/2006/relationships/hyperlink" Target="https://www.facebook.com/share/r/1AJStcp74t/" TargetMode="External"/><Relationship Id="rId2885" Type="http://schemas.openxmlformats.org/officeDocument/2006/relationships/hyperlink" Target="https://x.com/indonesiaeffort/status/2002433725091734000" TargetMode="External"/><Relationship Id="rId1555" Type="http://schemas.openxmlformats.org/officeDocument/2006/relationships/hyperlink" Target="https://www.facebook.com/share/v/17nciNUWqx/" TargetMode="External"/><Relationship Id="rId2886" Type="http://schemas.openxmlformats.org/officeDocument/2006/relationships/hyperlink" Target="https://x.com/indonesiaeffort/status/2002425932968333573" TargetMode="External"/><Relationship Id="rId1556" Type="http://schemas.openxmlformats.org/officeDocument/2006/relationships/hyperlink" Target="https://www.facebook.com/share/r/1DPRzXazwd/" TargetMode="External"/><Relationship Id="rId2887" Type="http://schemas.openxmlformats.org/officeDocument/2006/relationships/hyperlink" Target="https://www.tiktok.com/@vidio_ia/video/7580631157780417799?_r=1&amp;_t=ZS-92OkLcMeSfM" TargetMode="External"/><Relationship Id="rId1557" Type="http://schemas.openxmlformats.org/officeDocument/2006/relationships/hyperlink" Target="https://www.tiktok.com/@4n4kabah7/video/7580716579000831240?_r=1&amp;_t=ZS-921EUup8YGy" TargetMode="External"/><Relationship Id="rId2888" Type="http://schemas.openxmlformats.org/officeDocument/2006/relationships/hyperlink" Target="https://x.com/aldadbcfgc/status/2002691623738917074" TargetMode="External"/><Relationship Id="rId1558" Type="http://schemas.openxmlformats.org/officeDocument/2006/relationships/hyperlink" Target="https://vt.tiktok.com/ZSP1kXBSQ/" TargetMode="External"/><Relationship Id="rId2889" Type="http://schemas.openxmlformats.org/officeDocument/2006/relationships/hyperlink" Target="https://www.threads.com/@rasokisir11?xmt=AQF06yHz4RJgjzs5e3270jMqsq_QbnGXYYBRtrbT7kxrf0IkQs0HVGpszqvAKl8Ls3IDkXg" TargetMode="External"/><Relationship Id="rId1559" Type="http://schemas.openxmlformats.org/officeDocument/2006/relationships/hyperlink" Target="https://www.facebook.com/share/v/1PoeSqSCSr/" TargetMode="External"/><Relationship Id="rId965" Type="http://schemas.openxmlformats.org/officeDocument/2006/relationships/hyperlink" Target="https://www.facebook.com/permalink.php?story_fbid=pfbid02KjkjdVJg57WQnUyBzHPKGreoXPPVLVEaQyoPCTHwZEPydPauXh4eiJYw67vYg114l&amp;id=100082486474090" TargetMode="External"/><Relationship Id="rId964" Type="http://schemas.openxmlformats.org/officeDocument/2006/relationships/hyperlink" Target="https://www.facebook.com/groups/1170692676668615/posts/2048315212239686/" TargetMode="External"/><Relationship Id="rId963" Type="http://schemas.openxmlformats.org/officeDocument/2006/relationships/hyperlink" Target="https://www.facebook.com/groups/1170692676668615/posts/2050032085401332/" TargetMode="External"/><Relationship Id="rId962" Type="http://schemas.openxmlformats.org/officeDocument/2006/relationships/hyperlink" Target="https://www.facebook.com/groups/1170692676668615/posts/2050033238734550/" TargetMode="External"/><Relationship Id="rId969" Type="http://schemas.openxmlformats.org/officeDocument/2006/relationships/hyperlink" Target="https://www.tiktok.com/@bolank_905/video/7568034225153117447" TargetMode="External"/><Relationship Id="rId968" Type="http://schemas.openxmlformats.org/officeDocument/2006/relationships/hyperlink" Target="https://x.com/Bacoleng/status/1981204553984070044" TargetMode="External"/><Relationship Id="rId967" Type="http://schemas.openxmlformats.org/officeDocument/2006/relationships/hyperlink" Target="https://www.facebook.com/reel/693028646799440" TargetMode="External"/><Relationship Id="rId966" Type="http://schemas.openxmlformats.org/officeDocument/2006/relationships/hyperlink" Target="https://www.youtube.com/shorts/oOFP9W8HqVE" TargetMode="External"/><Relationship Id="rId2880" Type="http://schemas.openxmlformats.org/officeDocument/2006/relationships/hyperlink" Target="https://x.com/OjolNyambi/status/2003681607828578782" TargetMode="External"/><Relationship Id="rId961" Type="http://schemas.openxmlformats.org/officeDocument/2006/relationships/hyperlink" Target="https://www.facebook.com/groups/1170692676668615/posts/2050046048733269/" TargetMode="External"/><Relationship Id="rId1550" Type="http://schemas.openxmlformats.org/officeDocument/2006/relationships/hyperlink" Target="https://www.instagram.com/p/DPK38IGkrQw/?utm_source=ig_web_copy_link&amp;igsh=MzRlODBiNWFlZA==" TargetMode="External"/><Relationship Id="rId2881" Type="http://schemas.openxmlformats.org/officeDocument/2006/relationships/hyperlink" Target="https://www.facebook.com/reel/862997379761096" TargetMode="External"/><Relationship Id="rId960" Type="http://schemas.openxmlformats.org/officeDocument/2006/relationships/hyperlink" Target="https://www.facebook.com/groups/1170692676668615/posts/2054304001640807/" TargetMode="External"/><Relationship Id="rId1551" Type="http://schemas.openxmlformats.org/officeDocument/2006/relationships/hyperlink" Target="https://www.instagram.com/reel/DR1fT7JkhYx/?igsh=dnduaXFnMjZ3aDhx" TargetMode="External"/><Relationship Id="rId2882" Type="http://schemas.openxmlformats.org/officeDocument/2006/relationships/hyperlink" Target="https://x.com/ihugkd/status/2004508175337456027" TargetMode="External"/><Relationship Id="rId1552" Type="http://schemas.openxmlformats.org/officeDocument/2006/relationships/hyperlink" Target="https://www.instagram.com/reel/DR1dWg1Et3Y/?igsh=ZTd4eXBuaWdicGV5" TargetMode="External"/><Relationship Id="rId2883" Type="http://schemas.openxmlformats.org/officeDocument/2006/relationships/hyperlink" Target="https://www.facebook.com/share/p/14TfjXAKGPi/" TargetMode="External"/><Relationship Id="rId1553" Type="http://schemas.openxmlformats.org/officeDocument/2006/relationships/hyperlink" Target="https://www.facebook.com/share/p/1WYWEix537/" TargetMode="External"/><Relationship Id="rId2884" Type="http://schemas.openxmlformats.org/officeDocument/2006/relationships/hyperlink" Target="https://www.facebook.com/share/p/17wL9SpTm1/" TargetMode="External"/><Relationship Id="rId1543" Type="http://schemas.openxmlformats.org/officeDocument/2006/relationships/hyperlink" Target="https://web.facebook.com/groups/1271958309871151/posts/2603376800062622/" TargetMode="External"/><Relationship Id="rId2874" Type="http://schemas.openxmlformats.org/officeDocument/2006/relationships/hyperlink" Target="https://www.tiktok.com/@pidie5177/video/7587713524051299605" TargetMode="External"/><Relationship Id="rId1544" Type="http://schemas.openxmlformats.org/officeDocument/2006/relationships/hyperlink" Target="https://web.facebook.com/groups/1271958309871151/posts/2603356876731281/" TargetMode="External"/><Relationship Id="rId2875" Type="http://schemas.openxmlformats.org/officeDocument/2006/relationships/hyperlink" Target="https://x.com/mukidioon3/status/2004332042251878486" TargetMode="External"/><Relationship Id="rId1545" Type="http://schemas.openxmlformats.org/officeDocument/2006/relationships/hyperlink" Target="https://web.facebook.com/groups/1271958309871151/posts/2587655498301419/" TargetMode="External"/><Relationship Id="rId2876" Type="http://schemas.openxmlformats.org/officeDocument/2006/relationships/hyperlink" Target="https://www.tiktok.com/@nangroh.sumatra.i/video/7587719122897603861" TargetMode="External"/><Relationship Id="rId1546" Type="http://schemas.openxmlformats.org/officeDocument/2006/relationships/hyperlink" Target="https://web.facebook.com/groups/1271958309871151/posts/2586670001733302/" TargetMode="External"/><Relationship Id="rId2877" Type="http://schemas.openxmlformats.org/officeDocument/2006/relationships/hyperlink" Target="https://www.facebook.com/permalink.php?story_fbid=pfbid0QdBeC9xe33m3SePp1YoxmuusPNCUELrtc3fystAezaN4XQ6GAhXPJMGVrEbhbFH7l&amp;id=61565492452343&amp;rdid=qXlIBLwmZ81DhVm0" TargetMode="External"/><Relationship Id="rId1547" Type="http://schemas.openxmlformats.org/officeDocument/2006/relationships/hyperlink" Target="https://www.facebook.com/groups/3722164358033551/posts/4173502392899743/" TargetMode="External"/><Relationship Id="rId2878" Type="http://schemas.openxmlformats.org/officeDocument/2006/relationships/hyperlink" Target="https://www.facebook.com/reel/1324583045334050" TargetMode="External"/><Relationship Id="rId1548" Type="http://schemas.openxmlformats.org/officeDocument/2006/relationships/hyperlink" Target="https://www.facebook.com/groups/3722164358033551/posts/4172499296333386/" TargetMode="External"/><Relationship Id="rId2879" Type="http://schemas.openxmlformats.org/officeDocument/2006/relationships/hyperlink" Target="https://www.facebook.com/reel/1435746247882896" TargetMode="External"/><Relationship Id="rId1549" Type="http://schemas.openxmlformats.org/officeDocument/2006/relationships/hyperlink" Target="https://www.facebook.com/groups/3722164358033551/posts/4171028979813751/" TargetMode="External"/><Relationship Id="rId959" Type="http://schemas.openxmlformats.org/officeDocument/2006/relationships/hyperlink" Target="https://www.facebook.com/photo/?fbid=122152821632467281&amp;set=gm.1385383282595161&amp;idorvanity=436927017440797" TargetMode="External"/><Relationship Id="rId954" Type="http://schemas.openxmlformats.org/officeDocument/2006/relationships/hyperlink" Target="https://www.facebook.com/photo/?fbid=1374305630984512&amp;set=g.436927017440797" TargetMode="External"/><Relationship Id="rId953" Type="http://schemas.openxmlformats.org/officeDocument/2006/relationships/hyperlink" Target="https://www.idntimes.com/news/indonesia/cek-fakta-bgn-pernah-akui-ompreng-mbg-mengandung-minyak-babi-00-bbwlv-0bbyx5" TargetMode="External"/><Relationship Id="rId952" Type="http://schemas.openxmlformats.org/officeDocument/2006/relationships/hyperlink" Target="https://www.facebook.com/kata2kotakita/posts/1210896637750835/" TargetMode="External"/><Relationship Id="rId951" Type="http://schemas.openxmlformats.org/officeDocument/2006/relationships/hyperlink" Target="https://www.facebook.com/100069334488513/posts/1129991065988699" TargetMode="External"/><Relationship Id="rId958" Type="http://schemas.openxmlformats.org/officeDocument/2006/relationships/hyperlink" Target="https://www.facebook.com/photo/?fbid=122173915112467281&amp;set=gm.1491228588677296&amp;idorvanity=436927017440797" TargetMode="External"/><Relationship Id="rId957" Type="http://schemas.openxmlformats.org/officeDocument/2006/relationships/hyperlink" Target="https://www.facebook.com/photo/?fbid=122185112588467281&amp;set=g.436927017440797" TargetMode="External"/><Relationship Id="rId956" Type="http://schemas.openxmlformats.org/officeDocument/2006/relationships/hyperlink" Target="https://www.facebook.com/photo/?fbid=1379299137151828&amp;set=gm.1574031070397047&amp;idorvanity=436927017440797" TargetMode="External"/><Relationship Id="rId955" Type="http://schemas.openxmlformats.org/officeDocument/2006/relationships/hyperlink" Target="https://www.facebook.com/photo/?fbid=1374963670918708&amp;set=gm.1569572657509555&amp;idorvanity=436927017440797" TargetMode="External"/><Relationship Id="rId950" Type="http://schemas.openxmlformats.org/officeDocument/2006/relationships/hyperlink" Target="https://www.facebook.com/share/r/1Cfx21bf3g/" TargetMode="External"/><Relationship Id="rId2870" Type="http://schemas.openxmlformats.org/officeDocument/2006/relationships/hyperlink" Target="https://www.facebook.com/share/v/1AKr4UhRtU/" TargetMode="External"/><Relationship Id="rId1540" Type="http://schemas.openxmlformats.org/officeDocument/2006/relationships/hyperlink" Target="https://www.facebook.com/share/r/1U3sAvx2Bn/" TargetMode="External"/><Relationship Id="rId2871" Type="http://schemas.openxmlformats.org/officeDocument/2006/relationships/hyperlink" Target="https://www.facebook.com/share/p/17xqQJhpGq/" TargetMode="External"/><Relationship Id="rId1541" Type="http://schemas.openxmlformats.org/officeDocument/2006/relationships/hyperlink" Target="https://www.facebook.com/share/p/163cHGX7ew/" TargetMode="External"/><Relationship Id="rId2872" Type="http://schemas.openxmlformats.org/officeDocument/2006/relationships/hyperlink" Target="https://www.facebook.com/share/p/17xYDxoTY1/" TargetMode="External"/><Relationship Id="rId1542" Type="http://schemas.openxmlformats.org/officeDocument/2006/relationships/hyperlink" Target="https://web.facebook.com/groups/1271958309871151/posts/2603383450061957/" TargetMode="External"/><Relationship Id="rId2873" Type="http://schemas.openxmlformats.org/officeDocument/2006/relationships/hyperlink" Target="https://www.tiktok.com/@acehmelawan/video/7584423835533937941" TargetMode="External"/><Relationship Id="rId2027" Type="http://schemas.openxmlformats.org/officeDocument/2006/relationships/hyperlink" Target="https://www.facebook.com/share/p/1DSuXQ4U9q/" TargetMode="External"/><Relationship Id="rId2028" Type="http://schemas.openxmlformats.org/officeDocument/2006/relationships/hyperlink" Target="https://www.idntimes.com/business/economy/ojol-wajib-beli-motor-listrik-buat-kurangi-beban-subsidi-ini-faktanya-00-bvq5c-pvtsvq" TargetMode="External"/><Relationship Id="rId2029" Type="http://schemas.openxmlformats.org/officeDocument/2006/relationships/hyperlink" Target="https://www.facebook.com/share/p/1CJ3ASsad2/" TargetMode="External"/><Relationship Id="rId107" Type="http://schemas.openxmlformats.org/officeDocument/2006/relationships/hyperlink" Target="https://www.tiktok.com/@galaksyplayerroblox/video/7545406116734307601" TargetMode="External"/><Relationship Id="rId106" Type="http://schemas.openxmlformats.org/officeDocument/2006/relationships/hyperlink" Target="https://www.youtube.com/watch?v=6JwoC1sQK2g" TargetMode="External"/><Relationship Id="rId105" Type="http://schemas.openxmlformats.org/officeDocument/2006/relationships/hyperlink" Target="https://www.youtube.com/shorts/c8d3HcCMrLI" TargetMode="External"/><Relationship Id="rId104" Type="http://schemas.openxmlformats.org/officeDocument/2006/relationships/hyperlink" Target="https://www.youtube.com/shorts/ButXpgtFJ1U" TargetMode="External"/><Relationship Id="rId109" Type="http://schemas.openxmlformats.org/officeDocument/2006/relationships/hyperlink" Target="https://www.tiktok.com/@mulutnetizzen/video/7544719125747191046" TargetMode="External"/><Relationship Id="rId108" Type="http://schemas.openxmlformats.org/officeDocument/2006/relationships/hyperlink" Target="https://www.tiktok.com/@tommymadarin/photo/7542312060483374344" TargetMode="External"/><Relationship Id="rId2020" Type="http://schemas.openxmlformats.org/officeDocument/2006/relationships/hyperlink" Target="https://turnbackhoax.id/articles/31228" TargetMode="External"/><Relationship Id="rId2021" Type="http://schemas.openxmlformats.org/officeDocument/2006/relationships/hyperlink" Target="https://www.facebook.com/reel/330444712970938" TargetMode="External"/><Relationship Id="rId2022" Type="http://schemas.openxmlformats.org/officeDocument/2006/relationships/hyperlink" Target="https://turnbackhoax.id/articles/32022" TargetMode="External"/><Relationship Id="rId103" Type="http://schemas.openxmlformats.org/officeDocument/2006/relationships/hyperlink" Target="https://www.youtube.com/watch?v=ceiQIVb6xd0" TargetMode="External"/><Relationship Id="rId2023" Type="http://schemas.openxmlformats.org/officeDocument/2006/relationships/hyperlink" Target="https://www.facebook.com/reel/1983410942447387" TargetMode="External"/><Relationship Id="rId102" Type="http://schemas.openxmlformats.org/officeDocument/2006/relationships/hyperlink" Target="https://www.instagram.com/p/DON40WUAa04/" TargetMode="External"/><Relationship Id="rId2024" Type="http://schemas.openxmlformats.org/officeDocument/2006/relationships/hyperlink" Target="https://turnbackhoax.id/articles/32022" TargetMode="External"/><Relationship Id="rId101" Type="http://schemas.openxmlformats.org/officeDocument/2006/relationships/hyperlink" Target="https://www.instagram.com/p/DOLpaffkgIp/" TargetMode="External"/><Relationship Id="rId2025" Type="http://schemas.openxmlformats.org/officeDocument/2006/relationships/hyperlink" Target="https://vt.tiktok.com/ZSauqfNXy/" TargetMode="External"/><Relationship Id="rId100" Type="http://schemas.openxmlformats.org/officeDocument/2006/relationships/hyperlink" Target="https://www.facebook.com/smartdrivingschool.balikpapan/posts/pfbid0ow2vQKaHYYCusp5tCRwS7WxbECDg59vMLp2ba1cRoDnsg4SfcfYkfxnkd4tj1xfYl" TargetMode="External"/><Relationship Id="rId2026" Type="http://schemas.openxmlformats.org/officeDocument/2006/relationships/hyperlink" Target="https://vt.tiktok.com/ZSaubQ6VW/" TargetMode="External"/><Relationship Id="rId2016" Type="http://schemas.openxmlformats.org/officeDocument/2006/relationships/hyperlink" Target="https://www.facebook.com/groups/2479676585560598/posts/3043065679221683/" TargetMode="External"/><Relationship Id="rId2017" Type="http://schemas.openxmlformats.org/officeDocument/2006/relationships/hyperlink" Target="https://www.facebook.com/groups/2479676585560598/posts/3042110395983878/" TargetMode="External"/><Relationship Id="rId2018" Type="http://schemas.openxmlformats.org/officeDocument/2006/relationships/hyperlink" Target="https://www.facebook.com/groups/2479676585560598/posts/3040943796100538/" TargetMode="External"/><Relationship Id="rId2019" Type="http://schemas.openxmlformats.org/officeDocument/2006/relationships/hyperlink" Target="https://www.facebook.com/reel/1179470704292964" TargetMode="External"/><Relationship Id="rId2010" Type="http://schemas.openxmlformats.org/officeDocument/2006/relationships/hyperlink" Target="https://x.com/yaterserahkao/status/2016496012584784337" TargetMode="External"/><Relationship Id="rId2011" Type="http://schemas.openxmlformats.org/officeDocument/2006/relationships/hyperlink" Target="https://x.com/PngAdilnR4kyt/status/2015979642411483262" TargetMode="External"/><Relationship Id="rId2012" Type="http://schemas.openxmlformats.org/officeDocument/2006/relationships/hyperlink" Target="https://x.com/Srik4ndiMuslim2/status/2015967423321800978" TargetMode="External"/><Relationship Id="rId2013" Type="http://schemas.openxmlformats.org/officeDocument/2006/relationships/hyperlink" Target="https://x.com/abdullll85/status/2016483888512794789" TargetMode="External"/><Relationship Id="rId2014" Type="http://schemas.openxmlformats.org/officeDocument/2006/relationships/hyperlink" Target="https://www.facebook.com/groups/2479676585560598/posts/3045736208954630/" TargetMode="External"/><Relationship Id="rId2015" Type="http://schemas.openxmlformats.org/officeDocument/2006/relationships/hyperlink" Target="https://www.facebook.com/groups/2479676585560598/posts/3045731238955127/" TargetMode="External"/><Relationship Id="rId2049" Type="http://schemas.openxmlformats.org/officeDocument/2006/relationships/hyperlink" Target="https://x.com/irularr_/status/2016128642062155856" TargetMode="External"/><Relationship Id="rId129" Type="http://schemas.openxmlformats.org/officeDocument/2006/relationships/hyperlink" Target="https://www.tiktok.com/@revolutionarmy98" TargetMode="External"/><Relationship Id="rId128" Type="http://schemas.openxmlformats.org/officeDocument/2006/relationships/hyperlink" Target="https://www.facebook.com/groups/1499992370958626/posts/1614050489552813/" TargetMode="External"/><Relationship Id="rId127" Type="http://schemas.openxmlformats.org/officeDocument/2006/relationships/hyperlink" Target="https://www.threads.com/@lukmanarifrachman19/post/DOTIxsMEaSN?xmt=AQF0EZ9ciwRtFzi9xUUsrnqAlrL9qKqJCohOQWzWuwyETA&amp;slof=1" TargetMode="External"/><Relationship Id="rId126" Type="http://schemas.openxmlformats.org/officeDocument/2006/relationships/hyperlink" Target="https://www.tiktok.com/@puji283/video/7543905182573399314" TargetMode="External"/><Relationship Id="rId2040" Type="http://schemas.openxmlformats.org/officeDocument/2006/relationships/hyperlink" Target="https://www.facebook.com/groups/948396228550787/?multi_permalinks=25888887280741670&amp;hoisted_section_header_type=recently_seen" TargetMode="External"/><Relationship Id="rId121" Type="http://schemas.openxmlformats.org/officeDocument/2006/relationships/hyperlink" Target="https://www.tiktok.com/@dsnxz6285/photo/7545096227851914502" TargetMode="External"/><Relationship Id="rId2041" Type="http://schemas.openxmlformats.org/officeDocument/2006/relationships/hyperlink" Target="https://www.facebook.com/groups/948396228550787/?multi_permalinks=25671592689137798&amp;hoisted_section_header_type=recently_seen" TargetMode="External"/><Relationship Id="rId120" Type="http://schemas.openxmlformats.org/officeDocument/2006/relationships/hyperlink" Target="https://www.facebook.com/watch/?v=794839416392437&amp;rdid=9Oztl3lqcPz7vbxL" TargetMode="External"/><Relationship Id="rId2042" Type="http://schemas.openxmlformats.org/officeDocument/2006/relationships/hyperlink" Target="https://www.facebook.com/groups/858134248869588/?multi_permalinks=1358252478857760&amp;hoisted_section_header_type=recently_seen" TargetMode="External"/><Relationship Id="rId2043" Type="http://schemas.openxmlformats.org/officeDocument/2006/relationships/hyperlink" Target="https://www.facebook.com/groups/948396228550787/?multi_permalinks=25802012762762456&amp;hoisted_section_header_type=recently_seen" TargetMode="External"/><Relationship Id="rId2044" Type="http://schemas.openxmlformats.org/officeDocument/2006/relationships/hyperlink" Target="https://www.facebook.com/groups/272300885661988/?multi_permalinks=877596628465741&amp;hoisted_section_header_type=recently_seen" TargetMode="External"/><Relationship Id="rId125" Type="http://schemas.openxmlformats.org/officeDocument/2006/relationships/hyperlink" Target="https://www.facebook.com/permalink.php?story_fbid=669659526145185&amp;id=100093034304145&amp;rdid=jT7rif1fIZ5CJDYN" TargetMode="External"/><Relationship Id="rId2045" Type="http://schemas.openxmlformats.org/officeDocument/2006/relationships/hyperlink" Target="https://www.facebook.com/groups/272300885661988/posts/878109358414468/" TargetMode="External"/><Relationship Id="rId124" Type="http://schemas.openxmlformats.org/officeDocument/2006/relationships/hyperlink" Target="https://www.facebook.com/groups/147231742886369/permalink/1861518368124356/?rdid=iwwTUxJ6XevQeWC9" TargetMode="External"/><Relationship Id="rId2046" Type="http://schemas.openxmlformats.org/officeDocument/2006/relationships/hyperlink" Target="https://www.facebook.com/antojidhan.yumnafariah/posts/pfbid0VEsmimgUjBtXN12QtjTH4xjvQ9Pds8BfQ9HfMpPh8wayR3wHGukYxjuktkQ2GHqEl" TargetMode="External"/><Relationship Id="rId123" Type="http://schemas.openxmlformats.org/officeDocument/2006/relationships/hyperlink" Target="https://www.tiktok.com/@al_fath6/video/7547734958165478672" TargetMode="External"/><Relationship Id="rId2047" Type="http://schemas.openxmlformats.org/officeDocument/2006/relationships/hyperlink" Target="https://x.com/asulaut01/status/2016342185332122018" TargetMode="External"/><Relationship Id="rId122" Type="http://schemas.openxmlformats.org/officeDocument/2006/relationships/hyperlink" Target="https://www.tiktok.com/@saeproduct_shop8/video/7547924634130337030" TargetMode="External"/><Relationship Id="rId2048" Type="http://schemas.openxmlformats.org/officeDocument/2006/relationships/hyperlink" Target="https://x.com/sophiehowls_001/status/2016220624201584945" TargetMode="External"/><Relationship Id="rId2038" Type="http://schemas.openxmlformats.org/officeDocument/2006/relationships/hyperlink" Target="https://www.facebook.com/share/v/1K5qsfFeya/" TargetMode="External"/><Relationship Id="rId2039" Type="http://schemas.openxmlformats.org/officeDocument/2006/relationships/hyperlink" Target="https://www.facebook.com/share/r/1AcGeqnbvi/" TargetMode="External"/><Relationship Id="rId118" Type="http://schemas.openxmlformats.org/officeDocument/2006/relationships/hyperlink" Target="https://www.youtube.com/shorts/pla9hQ01KZk" TargetMode="External"/><Relationship Id="rId117" Type="http://schemas.openxmlformats.org/officeDocument/2006/relationships/hyperlink" Target="https://www.tiktok.com/@alifangga76" TargetMode="External"/><Relationship Id="rId116" Type="http://schemas.openxmlformats.org/officeDocument/2006/relationships/hyperlink" Target="https://www.instagram.com/p/DOUi1mLE5OI/" TargetMode="External"/><Relationship Id="rId115" Type="http://schemas.openxmlformats.org/officeDocument/2006/relationships/hyperlink" Target="https://www.facebook.com/reel/1323244695804423" TargetMode="External"/><Relationship Id="rId119" Type="http://schemas.openxmlformats.org/officeDocument/2006/relationships/hyperlink" Target="https://www.tiktok.com/@biskut.coklat4/" TargetMode="External"/><Relationship Id="rId110" Type="http://schemas.openxmlformats.org/officeDocument/2006/relationships/hyperlink" Target="https://www.tiktok.com/@akademibitorex/video/7541756841651408144" TargetMode="External"/><Relationship Id="rId2030" Type="http://schemas.openxmlformats.org/officeDocument/2006/relationships/hyperlink" Target="https://www.facebook.com/share/v/1KPfzyEdWR/" TargetMode="External"/><Relationship Id="rId2031" Type="http://schemas.openxmlformats.org/officeDocument/2006/relationships/hyperlink" Target="https://www.facebook.com/share/p/1AYhNaJ4ZC/" TargetMode="External"/><Relationship Id="rId2032" Type="http://schemas.openxmlformats.org/officeDocument/2006/relationships/hyperlink" Target="https://www.facebook.com/share/p/1TdV7UwoLP/" TargetMode="External"/><Relationship Id="rId2033" Type="http://schemas.openxmlformats.org/officeDocument/2006/relationships/hyperlink" Target="https://www.facebook.com/share/p/1CxyKBUXw2/" TargetMode="External"/><Relationship Id="rId114" Type="http://schemas.openxmlformats.org/officeDocument/2006/relationships/hyperlink" Target="https://www.facebook.com/rafael.lya.sari/posts/pfbid03H7k4XKCwFUFTxzmYhAj7KnKexLjWmhABufNhRib1kEKUsMYUyHQEMzB6qD18TPxl" TargetMode="External"/><Relationship Id="rId2034" Type="http://schemas.openxmlformats.org/officeDocument/2006/relationships/hyperlink" Target="https://www.facebook.com/share/v/1DPC9CFaWb/" TargetMode="External"/><Relationship Id="rId113" Type="http://schemas.openxmlformats.org/officeDocument/2006/relationships/hyperlink" Target="https://www.facebook.com/reel/787470977372794" TargetMode="External"/><Relationship Id="rId2035" Type="http://schemas.openxmlformats.org/officeDocument/2006/relationships/hyperlink" Target="https://www.facebook.com/share/p/17XBqGWX7j/" TargetMode="External"/><Relationship Id="rId112" Type="http://schemas.openxmlformats.org/officeDocument/2006/relationships/hyperlink" Target="https://www.tiktok.com/@orangmiskin897" TargetMode="External"/><Relationship Id="rId2036" Type="http://schemas.openxmlformats.org/officeDocument/2006/relationships/hyperlink" Target="https://www.facebook.com/share/p/1HWTdpgJzU/" TargetMode="External"/><Relationship Id="rId111" Type="http://schemas.openxmlformats.org/officeDocument/2006/relationships/hyperlink" Target="https://x.com/faeprie" TargetMode="External"/><Relationship Id="rId2037" Type="http://schemas.openxmlformats.org/officeDocument/2006/relationships/hyperlink" Target="https://www.facebook.com/share/r/1C8riywcWk/" TargetMode="External"/><Relationship Id="rId2005" Type="http://schemas.openxmlformats.org/officeDocument/2006/relationships/hyperlink" Target="https://x.com/malesjawab/status/2016625661105099217" TargetMode="External"/><Relationship Id="rId2006" Type="http://schemas.openxmlformats.org/officeDocument/2006/relationships/hyperlink" Target="https://x.com/tobelrei/status/2016623487646126431" TargetMode="External"/><Relationship Id="rId2007" Type="http://schemas.openxmlformats.org/officeDocument/2006/relationships/hyperlink" Target="https://x.com/dalledarrel/status/2016588864702542279" TargetMode="External"/><Relationship Id="rId2008" Type="http://schemas.openxmlformats.org/officeDocument/2006/relationships/hyperlink" Target="https://x.com/arkr0me/status/2016579486809280820" TargetMode="External"/><Relationship Id="rId2009" Type="http://schemas.openxmlformats.org/officeDocument/2006/relationships/hyperlink" Target="https://x.com/rincimolll/status/2016562717386297553" TargetMode="External"/><Relationship Id="rId2000" Type="http://schemas.openxmlformats.org/officeDocument/2006/relationships/hyperlink" Target="https://x.com/lunox__86/status/2016717752262967645" TargetMode="External"/><Relationship Id="rId2001" Type="http://schemas.openxmlformats.org/officeDocument/2006/relationships/hyperlink" Target="https://x.com/asulaut01/status/2016717663968645487" TargetMode="External"/><Relationship Id="rId2002" Type="http://schemas.openxmlformats.org/officeDocument/2006/relationships/hyperlink" Target="https://x.com/hellahammer_/status/2016699683637456916" TargetMode="External"/><Relationship Id="rId2003" Type="http://schemas.openxmlformats.org/officeDocument/2006/relationships/hyperlink" Target="https://x.com/ikudlmt/status/2016657752790356140" TargetMode="External"/><Relationship Id="rId2004" Type="http://schemas.openxmlformats.org/officeDocument/2006/relationships/hyperlink" Target="https://x.com/yonktainment/status/2016641811427815587" TargetMode="External"/><Relationship Id="rId2090" Type="http://schemas.openxmlformats.org/officeDocument/2006/relationships/hyperlink" Target="https://www.facebook.com/share/p/1Dhm5RAaHr/" TargetMode="External"/><Relationship Id="rId2091" Type="http://schemas.openxmlformats.org/officeDocument/2006/relationships/hyperlink" Target="https://www.facebook.com/groups/1271958309871151/?multi_permalinks=2632724560461179&amp;hoisted_section_header_type=recently_seen" TargetMode="External"/><Relationship Id="rId2092" Type="http://schemas.openxmlformats.org/officeDocument/2006/relationships/hyperlink" Target="https://www.facebook.com/permalink.php?story_fbid=pfbid037nKEuVHQKw6D6xYnjArAsQj5xEeRg6YFGk2yFHJ3KjGZJG2U9kjnJbEaTmGDEGUJl&amp;id=61584015115982" TargetMode="External"/><Relationship Id="rId2093" Type="http://schemas.openxmlformats.org/officeDocument/2006/relationships/hyperlink" Target="https://www.facebook.com/watch/?v=1238742024955446" TargetMode="External"/><Relationship Id="rId2094" Type="http://schemas.openxmlformats.org/officeDocument/2006/relationships/hyperlink" Target="https://www.facebook.com/permalink.php?story_fbid=pfbid0VhrHqbTiCLQnJT8QkD6zaNyTj2rasdM35Q5w4yncQNVChKFkdqdFm7eahWyCpSfvl&amp;id=61584015115982" TargetMode="External"/><Relationship Id="rId2095" Type="http://schemas.openxmlformats.org/officeDocument/2006/relationships/hyperlink" Target="https://www.facebook.com/sofhianbinumar/posts/pfbid02nzqQ3g3iumdBC21QtTsUfEinn1JC4sptWqgvRrg2Wx2fYFnKfQAxuQnoGVsoSS4Vl" TargetMode="External"/><Relationship Id="rId2096" Type="http://schemas.openxmlformats.org/officeDocument/2006/relationships/hyperlink" Target="https://www.facebook.com/sofhianbinumar/posts/pfbid02arku75GhiJxfrhTpJeWmGhyzWdHUNBmYYbAGycrSR49KN9Q3bpppnTTDofUsVjTVl" TargetMode="External"/><Relationship Id="rId2097" Type="http://schemas.openxmlformats.org/officeDocument/2006/relationships/hyperlink" Target="https://www.instagram.com/unexpcted__" TargetMode="External"/><Relationship Id="rId2098" Type="http://schemas.openxmlformats.org/officeDocument/2006/relationships/hyperlink" Target="https://www.instagram.com/p/DSZJyjZEtU0/" TargetMode="External"/><Relationship Id="rId2099" Type="http://schemas.openxmlformats.org/officeDocument/2006/relationships/hyperlink" Target="https://x.com/g4mless/status/2016000992433815864" TargetMode="External"/><Relationship Id="rId2060" Type="http://schemas.openxmlformats.org/officeDocument/2006/relationships/hyperlink" Target="https://turnbackhoax.id/articles/30969" TargetMode="External"/><Relationship Id="rId2061" Type="http://schemas.openxmlformats.org/officeDocument/2006/relationships/hyperlink" Target="https://www.instagram.com/reels/DSU4qhcD9_j/" TargetMode="External"/><Relationship Id="rId2062" Type="http://schemas.openxmlformats.org/officeDocument/2006/relationships/hyperlink" Target="https://turnbackhoax.id/articles/30969" TargetMode="External"/><Relationship Id="rId2063" Type="http://schemas.openxmlformats.org/officeDocument/2006/relationships/hyperlink" Target="https://www.instagram.com/p/DSUpY2UAcmE/" TargetMode="External"/><Relationship Id="rId2064" Type="http://schemas.openxmlformats.org/officeDocument/2006/relationships/hyperlink" Target="https://turnbackhoax.id/articles/30969" TargetMode="External"/><Relationship Id="rId2065" Type="http://schemas.openxmlformats.org/officeDocument/2006/relationships/hyperlink" Target="https://www.instagram.com/p/DSUrP_pkhOy/" TargetMode="External"/><Relationship Id="rId2066" Type="http://schemas.openxmlformats.org/officeDocument/2006/relationships/hyperlink" Target="https://turnbackhoax.id/articles/30969" TargetMode="External"/><Relationship Id="rId2067" Type="http://schemas.openxmlformats.org/officeDocument/2006/relationships/hyperlink" Target="https://www.instagram.com/reels/DSWHUNEAYsa/" TargetMode="External"/><Relationship Id="rId2068" Type="http://schemas.openxmlformats.org/officeDocument/2006/relationships/hyperlink" Target="https://turnbackhoax.id/articles/30969" TargetMode="External"/><Relationship Id="rId2069" Type="http://schemas.openxmlformats.org/officeDocument/2006/relationships/hyperlink" Target="https://www.instagram.com/p/DSWPZQzjpc0/" TargetMode="External"/><Relationship Id="rId2050" Type="http://schemas.openxmlformats.org/officeDocument/2006/relationships/hyperlink" Target="https://x.com/ephemcre/status/2016088298729701626" TargetMode="External"/><Relationship Id="rId2051" Type="http://schemas.openxmlformats.org/officeDocument/2006/relationships/hyperlink" Target="https://x.com/berrynblush/status/2016076742801457394" TargetMode="External"/><Relationship Id="rId2052" Type="http://schemas.openxmlformats.org/officeDocument/2006/relationships/hyperlink" Target="https://x.com/ArtaN7707/status/2016202788251041916" TargetMode="External"/><Relationship Id="rId2053" Type="http://schemas.openxmlformats.org/officeDocument/2006/relationships/hyperlink" Target="https://x.com/FaGtng/status/2016399974364557672" TargetMode="External"/><Relationship Id="rId2054" Type="http://schemas.openxmlformats.org/officeDocument/2006/relationships/hyperlink" Target="https://x.com/gulaciamis/status/2016399076171132979" TargetMode="External"/><Relationship Id="rId2055" Type="http://schemas.openxmlformats.org/officeDocument/2006/relationships/hyperlink" Target="https://www.facebook.com/reel/1383781369909285" TargetMode="External"/><Relationship Id="rId2056" Type="http://schemas.openxmlformats.org/officeDocument/2006/relationships/hyperlink" Target="https://www.kompas.com/cekfakta/read/2026/01/26/175100382/-hoaks-purbaya-umumkan-dana-pensiun-naik-dirapel-30-januari-2026" TargetMode="External"/><Relationship Id="rId2057" Type="http://schemas.openxmlformats.org/officeDocument/2006/relationships/hyperlink" Target="https://www.instagram.com/reels/DSWv25dkQ94/" TargetMode="External"/><Relationship Id="rId2058" Type="http://schemas.openxmlformats.org/officeDocument/2006/relationships/hyperlink" Target="https://turnbackhoax.id/articles/30969" TargetMode="External"/><Relationship Id="rId2059" Type="http://schemas.openxmlformats.org/officeDocument/2006/relationships/hyperlink" Target="https://www.instagram.com/reels/DSWSTR3kx9C/" TargetMode="External"/><Relationship Id="rId2080" Type="http://schemas.openxmlformats.org/officeDocument/2006/relationships/hyperlink" Target="https://vt.tiktok.com/ZSa5nGjLa/" TargetMode="External"/><Relationship Id="rId2081" Type="http://schemas.openxmlformats.org/officeDocument/2006/relationships/hyperlink" Target="https://www.facebook.com/reel/1603815794374722" TargetMode="External"/><Relationship Id="rId2082" Type="http://schemas.openxmlformats.org/officeDocument/2006/relationships/hyperlink" Target="https://www.tiktok.com/@internetmasyrakat" TargetMode="External"/><Relationship Id="rId2083" Type="http://schemas.openxmlformats.org/officeDocument/2006/relationships/hyperlink" Target="https://x.com/RebutKedaulat4n/status/2016023651146211510" TargetMode="External"/><Relationship Id="rId2084" Type="http://schemas.openxmlformats.org/officeDocument/2006/relationships/hyperlink" Target="https://x.com/secr3thm4nz56/status/2015977111056720156" TargetMode="External"/><Relationship Id="rId2085" Type="http://schemas.openxmlformats.org/officeDocument/2006/relationships/hyperlink" Target="https://x.com/KiYang4343/status/2016084534081814974" TargetMode="External"/><Relationship Id="rId2086" Type="http://schemas.openxmlformats.org/officeDocument/2006/relationships/hyperlink" Target="https://x.com/Pandawa5321/status/2016061571274051826" TargetMode="External"/><Relationship Id="rId2087" Type="http://schemas.openxmlformats.org/officeDocument/2006/relationships/hyperlink" Target="https://x.com/OjolNyambi/status/2015442569665413399" TargetMode="External"/><Relationship Id="rId2088" Type="http://schemas.openxmlformats.org/officeDocument/2006/relationships/hyperlink" Target="https://www.facebook.com/share/p/1JtbKkZi6x/" TargetMode="External"/><Relationship Id="rId2089" Type="http://schemas.openxmlformats.org/officeDocument/2006/relationships/hyperlink" Target="https://www.facebook.com/share/p/16Yv2US9yJ/" TargetMode="External"/><Relationship Id="rId2070" Type="http://schemas.openxmlformats.org/officeDocument/2006/relationships/hyperlink" Target="https://turnbackhoax.id/articles/30969" TargetMode="External"/><Relationship Id="rId2071" Type="http://schemas.openxmlformats.org/officeDocument/2006/relationships/hyperlink" Target="https://www.instagram.com/reels/DSVpLfFE_uS/" TargetMode="External"/><Relationship Id="rId2072" Type="http://schemas.openxmlformats.org/officeDocument/2006/relationships/hyperlink" Target="https://turnbackhoax.id/articles/30969" TargetMode="External"/><Relationship Id="rId2073" Type="http://schemas.openxmlformats.org/officeDocument/2006/relationships/hyperlink" Target="https://www.facebook.com/share/r/1GSabPQJ1L/" TargetMode="External"/><Relationship Id="rId2074" Type="http://schemas.openxmlformats.org/officeDocument/2006/relationships/hyperlink" Target="https://vt.tiktok.com/ZSa5TkvR3/" TargetMode="External"/><Relationship Id="rId2075" Type="http://schemas.openxmlformats.org/officeDocument/2006/relationships/hyperlink" Target="https://vt.tiktok.com/ZSa5EvtbX" TargetMode="External"/><Relationship Id="rId2076" Type="http://schemas.openxmlformats.org/officeDocument/2006/relationships/hyperlink" Target="https://beta.turnbackhoax.id/articles/31971-salah-trump-mau-pindahkan-jutaan-warga-israel-ke-papua" TargetMode="External"/><Relationship Id="rId2077" Type="http://schemas.openxmlformats.org/officeDocument/2006/relationships/hyperlink" Target="https://vt.tiktok.com/ZSa5oSb4B/" TargetMode="External"/><Relationship Id="rId2078" Type="http://schemas.openxmlformats.org/officeDocument/2006/relationships/hyperlink" Target="https://www.facebook.com/share/p/1ATNPsm4pZ/" TargetMode="External"/><Relationship Id="rId2079" Type="http://schemas.openxmlformats.org/officeDocument/2006/relationships/hyperlink" Target="https://www.facebook.com/share/r/1BmVsL53Ms/" TargetMode="External"/><Relationship Id="rId2940" Type="http://schemas.openxmlformats.org/officeDocument/2006/relationships/hyperlink" Target="https://www.facebook.com/share/p/1DKZXMX5Uh/" TargetMode="External"/><Relationship Id="rId1610" Type="http://schemas.openxmlformats.org/officeDocument/2006/relationships/hyperlink" Target="https://www.facebook.com/groups/2479676585560598/posts/2981100665418185/" TargetMode="External"/><Relationship Id="rId2941" Type="http://schemas.openxmlformats.org/officeDocument/2006/relationships/hyperlink" Target="https://x.com/AntoniusCDN/status/2003333521373561078" TargetMode="External"/><Relationship Id="rId1611" Type="http://schemas.openxmlformats.org/officeDocument/2006/relationships/hyperlink" Target="https://www.instagram.com/p/DRm6V02jKbS/" TargetMode="External"/><Relationship Id="rId2942" Type="http://schemas.openxmlformats.org/officeDocument/2006/relationships/hyperlink" Target="https://www.tiktok.com/@jong.kay.100/video/7586699111550979335?_r=1&amp;_t=ZS-92TvwVC8AgS" TargetMode="External"/><Relationship Id="rId1612" Type="http://schemas.openxmlformats.org/officeDocument/2006/relationships/hyperlink" Target="https://www.facebook.com/share/p/1DoczbJCp3/" TargetMode="External"/><Relationship Id="rId2943" Type="http://schemas.openxmlformats.org/officeDocument/2006/relationships/hyperlink" Target="https://www.tiktok.com/@mediterania6/video/7586751968656330004?_r=1&amp;_t=ZS-92UE75M4kGP" TargetMode="External"/><Relationship Id="rId1613" Type="http://schemas.openxmlformats.org/officeDocument/2006/relationships/hyperlink" Target="https://www.facebook.com/share/p/1EmaXeDDRB/" TargetMode="External"/><Relationship Id="rId2944" Type="http://schemas.openxmlformats.org/officeDocument/2006/relationships/hyperlink" Target="https://www.tiktok.com/@sekedar.berita0/video/7585875770539560213?_r=1&amp;_t=ZS-92UE7rw4IoD" TargetMode="External"/><Relationship Id="rId1614" Type="http://schemas.openxmlformats.org/officeDocument/2006/relationships/hyperlink" Target="https://www.facebook.com/share/p/1BnuMrjSYp/" TargetMode="External"/><Relationship Id="rId2945" Type="http://schemas.openxmlformats.org/officeDocument/2006/relationships/hyperlink" Target="https://www.tiktok.com/@genakalsehat/video/7582051572452969735?_r=1&amp;_t=ZS-92UEECdX9EX" TargetMode="External"/><Relationship Id="rId1615" Type="http://schemas.openxmlformats.org/officeDocument/2006/relationships/hyperlink" Target="https://www.facebook.com/share/p/1EhMxEo7Sy/" TargetMode="External"/><Relationship Id="rId2946" Type="http://schemas.openxmlformats.org/officeDocument/2006/relationships/hyperlink" Target="https://www.facebook.com/groups/1164382084406134/permalink/2068842970626703/?rdid=LTFADpB1q0IJjwdM" TargetMode="External"/><Relationship Id="rId1616" Type="http://schemas.openxmlformats.org/officeDocument/2006/relationships/hyperlink" Target="https://www.facebook.com/share/p/17UC29zrTc/" TargetMode="External"/><Relationship Id="rId2947" Type="http://schemas.openxmlformats.org/officeDocument/2006/relationships/hyperlink" Target="https://www.facebook.com/share/p/1CmztDYDJ9/" TargetMode="External"/><Relationship Id="rId907" Type="http://schemas.openxmlformats.org/officeDocument/2006/relationships/hyperlink" Target="https://www.instagram.com/p/DN0KiVk5Gz8/" TargetMode="External"/><Relationship Id="rId1617" Type="http://schemas.openxmlformats.org/officeDocument/2006/relationships/hyperlink" Target="https://www.facebook.com/share/p/1HQfQYZ9Zz/" TargetMode="External"/><Relationship Id="rId2948" Type="http://schemas.openxmlformats.org/officeDocument/2006/relationships/hyperlink" Target="https://www.facebook.com/share/p/1FokYjDctU/" TargetMode="External"/><Relationship Id="rId906" Type="http://schemas.openxmlformats.org/officeDocument/2006/relationships/hyperlink" Target="https://www.facebook.com/reel/779122588460079" TargetMode="External"/><Relationship Id="rId1618" Type="http://schemas.openxmlformats.org/officeDocument/2006/relationships/hyperlink" Target="https://vt.tiktok.com/ZSP8DxSVb/" TargetMode="External"/><Relationship Id="rId2949" Type="http://schemas.openxmlformats.org/officeDocument/2006/relationships/hyperlink" Target="https://www.facebook.com/share/p/14THt1Q4pQk/" TargetMode="External"/><Relationship Id="rId905" Type="http://schemas.openxmlformats.org/officeDocument/2006/relationships/hyperlink" Target="https://www.facebook.com/reel/1333572581800104" TargetMode="External"/><Relationship Id="rId1619" Type="http://schemas.openxmlformats.org/officeDocument/2006/relationships/hyperlink" Target="https://vt.tiktok.com/ZSP8Dqo14/" TargetMode="External"/><Relationship Id="rId904" Type="http://schemas.openxmlformats.org/officeDocument/2006/relationships/hyperlink" Target="https://www.facebook.com/reel/1122895423348875" TargetMode="External"/><Relationship Id="rId909" Type="http://schemas.openxmlformats.org/officeDocument/2006/relationships/hyperlink" Target="https://www.facebook.com/groups/3788219251217098/posts/25246821201596926/" TargetMode="External"/><Relationship Id="rId908" Type="http://schemas.openxmlformats.org/officeDocument/2006/relationships/hyperlink" Target="https://www.facebook.com/groups/3788219251217098/posts/25256582940620752/" TargetMode="External"/><Relationship Id="rId903" Type="http://schemas.openxmlformats.org/officeDocument/2006/relationships/hyperlink" Target="https://www.facebook.com/permalink.php?story_fbid=pfbid0n6hHBtJ7UoYYmZpjSvxd22DMThFhXA4Sp6ipLQ5omPf5iXtJ5g2uhUvZmkzaUApFl&amp;id=61582344170839" TargetMode="External"/><Relationship Id="rId902" Type="http://schemas.openxmlformats.org/officeDocument/2006/relationships/hyperlink" Target="https://www.facebook.com/permalink.php?story_fbid=pfbid0rpGR7ZuZ3ZrmPW7p8qd67ND9v43q6yU3WkHruz26gvYSzg6Nr27jYncjaVxF1HNEl&amp;id=61582344170839" TargetMode="External"/><Relationship Id="rId901" Type="http://schemas.openxmlformats.org/officeDocument/2006/relationships/hyperlink" Target="https://www.facebook.com/permalink.php?story_fbid=pfbid034opnj8uzQ87gsocyGGgzyLJUtirvin9YPC8VfuezaEUR3jz6djvaR8qJY84ZSvwbl&amp;id=61582344170839" TargetMode="External"/><Relationship Id="rId900" Type="http://schemas.openxmlformats.org/officeDocument/2006/relationships/hyperlink" Target="https://www.facebook.com/permalink.php?story_fbid=pfbid02cZ7EHLeN9NRhEHGZcM3JMChT29nKqDa6fDLDRCAsvz2gKbHiog6JmdtdeeoreWHnl&amp;id=61582344170839" TargetMode="External"/><Relationship Id="rId2930" Type="http://schemas.openxmlformats.org/officeDocument/2006/relationships/hyperlink" Target="https://www.facebook.com/reel/1215615503866388" TargetMode="External"/><Relationship Id="rId1600" Type="http://schemas.openxmlformats.org/officeDocument/2006/relationships/hyperlink" Target="https://www.facebook.com/raden.saleh.solahuddin/posts/pfbid028hukchYGBFSZtr69DYyuM83xHejsvYYWm5JkR2TW6M2XLtpVEkUcTMTQote1H2T9l" TargetMode="External"/><Relationship Id="rId2931" Type="http://schemas.openxmlformats.org/officeDocument/2006/relationships/hyperlink" Target="https://www.tiktok.com/@martengondrong/video/7584769772601150740?q=marten%20gondrong&amp;t=1766529901603" TargetMode="External"/><Relationship Id="rId1601" Type="http://schemas.openxmlformats.org/officeDocument/2006/relationships/hyperlink" Target="https://www.facebook.com/groups/2378433292339269/posts/3092876754228249/" TargetMode="External"/><Relationship Id="rId2932" Type="http://schemas.openxmlformats.org/officeDocument/2006/relationships/hyperlink" Target="https://www.facebook.com/share/1DA96b7eTg/" TargetMode="External"/><Relationship Id="rId1602" Type="http://schemas.openxmlformats.org/officeDocument/2006/relationships/hyperlink" Target="https://www.facebook.com/groups/2378433292339269/posts/3092863364229588/" TargetMode="External"/><Relationship Id="rId2933" Type="http://schemas.openxmlformats.org/officeDocument/2006/relationships/hyperlink" Target="https://www.facebook.com/share/p/1DMQPPdvLt/" TargetMode="External"/><Relationship Id="rId1603" Type="http://schemas.openxmlformats.org/officeDocument/2006/relationships/hyperlink" Target="https://www.facebook.com/groups/2378433292339269/posts/3092751354240789/" TargetMode="External"/><Relationship Id="rId2934" Type="http://schemas.openxmlformats.org/officeDocument/2006/relationships/hyperlink" Target="https://www.threads.com/@adinwndi/post/DSltovQCUTL" TargetMode="External"/><Relationship Id="rId1604" Type="http://schemas.openxmlformats.org/officeDocument/2006/relationships/hyperlink" Target="https://www.facebook.com/groups/2378433292339269/posts/3092221484293776/" TargetMode="External"/><Relationship Id="rId2935" Type="http://schemas.openxmlformats.org/officeDocument/2006/relationships/hyperlink" Target="https://www.facebook.com/reel/25510557885238084" TargetMode="External"/><Relationship Id="rId1605" Type="http://schemas.openxmlformats.org/officeDocument/2006/relationships/hyperlink" Target="https://www.facebook.com/photo/?fbid=3780689755566402&amp;set=g.2479676585560598" TargetMode="External"/><Relationship Id="rId2936" Type="http://schemas.openxmlformats.org/officeDocument/2006/relationships/hyperlink" Target="https://x.com/sjfi_twider/status/2003087846446674271" TargetMode="External"/><Relationship Id="rId1606" Type="http://schemas.openxmlformats.org/officeDocument/2006/relationships/hyperlink" Target="https://www.facebook.com/photo/?fbid=3780637342238310&amp;set=gm.2997809967080588&amp;idorvanity=2479676585560598" TargetMode="External"/><Relationship Id="rId2937" Type="http://schemas.openxmlformats.org/officeDocument/2006/relationships/hyperlink" Target="https://www.tiktok.com/@freedomforaceh2/video/7587288360142785812?is_from_webapp=1" TargetMode="External"/><Relationship Id="rId1607" Type="http://schemas.openxmlformats.org/officeDocument/2006/relationships/hyperlink" Target="https://www.facebook.com/photo/?fbid=3779480785687299&amp;set=gm.2996468810548037&amp;idorvanity=2479676585560598" TargetMode="External"/><Relationship Id="rId2938" Type="http://schemas.openxmlformats.org/officeDocument/2006/relationships/hyperlink" Target="https://www.tiktok.com/@aneukagam_76?_r=1&amp;_t=ZS-92U0Z0LNhOy" TargetMode="External"/><Relationship Id="rId1608" Type="http://schemas.openxmlformats.org/officeDocument/2006/relationships/hyperlink" Target="https://www.facebook.com/photo/?fbid=845415968459320&amp;set=g.2479676585560598" TargetMode="External"/><Relationship Id="rId2939" Type="http://schemas.openxmlformats.org/officeDocument/2006/relationships/hyperlink" Target="https://www.facebook.com/kallyarronggo" TargetMode="External"/><Relationship Id="rId1609" Type="http://schemas.openxmlformats.org/officeDocument/2006/relationships/hyperlink" Target="https://www.facebook.com/groups/2479676585560598/posts/2997288233799428/" TargetMode="External"/><Relationship Id="rId1631" Type="http://schemas.openxmlformats.org/officeDocument/2006/relationships/hyperlink" Target="https://www.facebook.com/groups/647302417514795/posts/1164100915834940" TargetMode="External"/><Relationship Id="rId2962" Type="http://schemas.openxmlformats.org/officeDocument/2006/relationships/hyperlink" Target="https://www.facebook.com/groups/2144232016009025/permalink/2380838745681683/" TargetMode="External"/><Relationship Id="rId1632" Type="http://schemas.openxmlformats.org/officeDocument/2006/relationships/hyperlink" Target="https://www.facebook.com/groups/647302417514795/posts/1164080652503633" TargetMode="External"/><Relationship Id="rId2963" Type="http://schemas.openxmlformats.org/officeDocument/2006/relationships/hyperlink" Target="https://www.facebook.com/groups/968437451106914/permalink/1538928234057830/" TargetMode="External"/><Relationship Id="rId1633" Type="http://schemas.openxmlformats.org/officeDocument/2006/relationships/hyperlink" Target="https://www.facebook.com/groups/647302417514795/posts/1164024412509257" TargetMode="External"/><Relationship Id="rId2964" Type="http://schemas.openxmlformats.org/officeDocument/2006/relationships/hyperlink" Target="https://www.facebook.com/groups/892820442888570/permalink/1311539314350012/" TargetMode="External"/><Relationship Id="rId1634" Type="http://schemas.openxmlformats.org/officeDocument/2006/relationships/hyperlink" Target="https://www.facebook.com/groups/647302417514795/posts/1163991669179198" TargetMode="External"/><Relationship Id="rId2965" Type="http://schemas.openxmlformats.org/officeDocument/2006/relationships/hyperlink" Target="https://www.facebook.com/groups/9767428643312271/permalink/25145416281753591/" TargetMode="External"/><Relationship Id="rId1635" Type="http://schemas.openxmlformats.org/officeDocument/2006/relationships/hyperlink" Target="https://www.facebook.com/groups/647302417514795/posts/1163730712538627" TargetMode="External"/><Relationship Id="rId2966" Type="http://schemas.openxmlformats.org/officeDocument/2006/relationships/hyperlink" Target="https://www.facebook.com/groups/9767428643312271/permalink/25144819845146568/" TargetMode="External"/><Relationship Id="rId1636" Type="http://schemas.openxmlformats.org/officeDocument/2006/relationships/hyperlink" Target="https://www.tiktok.com/@user3133082628320/video/7580174028015488274" TargetMode="External"/><Relationship Id="rId2967" Type="http://schemas.openxmlformats.org/officeDocument/2006/relationships/hyperlink" Target="https://www.facebook.com/groups/701407136043059/permalink/832064459643992/" TargetMode="External"/><Relationship Id="rId1637" Type="http://schemas.openxmlformats.org/officeDocument/2006/relationships/hyperlink" Target="https://www.facebook.com/share/r/1B7drA3zoj/" TargetMode="External"/><Relationship Id="rId2968" Type="http://schemas.openxmlformats.org/officeDocument/2006/relationships/hyperlink" Target="http://facebook.com/reel/1388835416124827/" TargetMode="External"/><Relationship Id="rId1638" Type="http://schemas.openxmlformats.org/officeDocument/2006/relationships/hyperlink" Target="https://www.facebook.com/share/p/1GDdfUHMqu/" TargetMode="External"/><Relationship Id="rId2969" Type="http://schemas.openxmlformats.org/officeDocument/2006/relationships/hyperlink" Target="https://www.tiktok.com/@abenk.cot.bili/video/7564099871460920583" TargetMode="External"/><Relationship Id="rId929" Type="http://schemas.openxmlformats.org/officeDocument/2006/relationships/hyperlink" Target="https://vt.tiktok.com/ZSyDth2fA/" TargetMode="External"/><Relationship Id="rId1639" Type="http://schemas.openxmlformats.org/officeDocument/2006/relationships/hyperlink" Target="https://www.facebook.com/share/p/1BnuMrjSYp/" TargetMode="External"/><Relationship Id="rId928" Type="http://schemas.openxmlformats.org/officeDocument/2006/relationships/hyperlink" Target="https://vt.tiktok.com/ZSyDGUmgV/" TargetMode="External"/><Relationship Id="rId927" Type="http://schemas.openxmlformats.org/officeDocument/2006/relationships/hyperlink" Target="https://www.facebook.com/reel/779122588460079" TargetMode="External"/><Relationship Id="rId926" Type="http://schemas.openxmlformats.org/officeDocument/2006/relationships/hyperlink" Target="https://www.facebook.com/reel/1333572581800104" TargetMode="External"/><Relationship Id="rId921" Type="http://schemas.openxmlformats.org/officeDocument/2006/relationships/hyperlink" Target="https://www.facebook.com/permalink.php?story_fbid=pfbid02cZ7EHLeN9NRhEHGZcM3JMChT29nKqDa6fDLDRCAsvz2gKbHiog6JmdtdeeoreWHnl&amp;id=61582344170839" TargetMode="External"/><Relationship Id="rId920" Type="http://schemas.openxmlformats.org/officeDocument/2006/relationships/hyperlink" Target="https://www.facebook.com/permalink.php?story_fbid=pfbid0hvU48NHzMapVAXMDzNQFbhCKqikMLWtXsozd68TiRT1Kboknq1dGmN7UAc71ULJzl&amp;id=61582344170839" TargetMode="External"/><Relationship Id="rId925" Type="http://schemas.openxmlformats.org/officeDocument/2006/relationships/hyperlink" Target="https://www.facebook.com/reel/1122895423348875" TargetMode="External"/><Relationship Id="rId924" Type="http://schemas.openxmlformats.org/officeDocument/2006/relationships/hyperlink" Target="https://www.facebook.com/permalink.php?story_fbid=pfbid0n6hHBtJ7UoYYmZpjSvxd22DMThFhXA4Sp6ipLQ5omPf5iXtJ5g2uhUvZmkzaUApFl&amp;id=61582344170839" TargetMode="External"/><Relationship Id="rId923" Type="http://schemas.openxmlformats.org/officeDocument/2006/relationships/hyperlink" Target="https://www.facebook.com/permalink.php?story_fbid=pfbid0rpGR7ZuZ3ZrmPW7p8qd67ND9v43q6yU3WkHruz26gvYSzg6Nr27jYncjaVxF1HNEl&amp;id=61582344170839" TargetMode="External"/><Relationship Id="rId922" Type="http://schemas.openxmlformats.org/officeDocument/2006/relationships/hyperlink" Target="https://www.facebook.com/permalink.php?story_fbid=pfbid034opnj8uzQ87gsocyGGgzyLJUtirvin9YPC8VfuezaEUR3jz6djvaR8qJY84ZSvwbl&amp;id=61582344170839" TargetMode="External"/><Relationship Id="rId2960" Type="http://schemas.openxmlformats.org/officeDocument/2006/relationships/hyperlink" Target="https://www.facebook.com/groups/632840653458983/permalink/25240708445578862/" TargetMode="External"/><Relationship Id="rId1630" Type="http://schemas.openxmlformats.org/officeDocument/2006/relationships/hyperlink" Target="https://www.facebook.com/groups/647302417514795/posts/1164117025833329" TargetMode="External"/><Relationship Id="rId2961" Type="http://schemas.openxmlformats.org/officeDocument/2006/relationships/hyperlink" Target="https://www.facebook.com/ArYume.V.2/posts/pfbid0pNydv58vzH35TjYK62Cm54VkJmkRnQsG4tmPDE8pGVVb5zFGQLR1K2NimHXBSSLQl?rdid=wx6kXhiG33SJvEjY" TargetMode="External"/><Relationship Id="rId1620" Type="http://schemas.openxmlformats.org/officeDocument/2006/relationships/hyperlink" Target="https://www.tiktok.com/@jasa.dpcnibong/video/7580001136611020040" TargetMode="External"/><Relationship Id="rId2951" Type="http://schemas.openxmlformats.org/officeDocument/2006/relationships/hyperlink" Target="https://x.com/Kang_seduh/status/2003675206989275643?t=Bv7fZy7EvL1gxAHqm1Pokw&amp;s=19" TargetMode="External"/><Relationship Id="rId1621" Type="http://schemas.openxmlformats.org/officeDocument/2006/relationships/hyperlink" Target="https://www.tiktok.com/@mangrosy/video/7580207453015395602" TargetMode="External"/><Relationship Id="rId2952" Type="http://schemas.openxmlformats.org/officeDocument/2006/relationships/hyperlink" Target="https://www.instagram.com/reels/DSmSrJMk900/" TargetMode="External"/><Relationship Id="rId1622" Type="http://schemas.openxmlformats.org/officeDocument/2006/relationships/hyperlink" Target="https://www.tiktok.com/@syahril.amiruddin91/video/7580698160423619861" TargetMode="External"/><Relationship Id="rId2953" Type="http://schemas.openxmlformats.org/officeDocument/2006/relationships/hyperlink" Target="https://www.facebook.com/permalink.php?story_fbid=pfbid02jKrcztXfp1WsqpvjNGJ7zsQQYwaWqL1k6Px4YECSKTzPjkFdRLFNZBeHxqaiVAi4l&amp;id=61583915982078&amp;rdid=A73KB0UbcVQs17qp" TargetMode="External"/><Relationship Id="rId1623" Type="http://schemas.openxmlformats.org/officeDocument/2006/relationships/hyperlink" Target="https://www.tiktok.com/@asnlfmerdeka1/video/7581760541127970068" TargetMode="External"/><Relationship Id="rId2954" Type="http://schemas.openxmlformats.org/officeDocument/2006/relationships/hyperlink" Target="https://www.facebook.com/groups/3798955057049943/permalink/4286020898343354/?rdid=DaYlXWYSSZB1He3t&amp;share_url=https%3A%2F%2Fwww.facebook.com%2Fshare%2Fp%2F17aMeEi6Av%2F" TargetMode="External"/><Relationship Id="rId1624" Type="http://schemas.openxmlformats.org/officeDocument/2006/relationships/hyperlink" Target="https://www.tiktok.com/@tgk.mahdi.umar/video/7560435106192674056" TargetMode="External"/><Relationship Id="rId2955" Type="http://schemas.openxmlformats.org/officeDocument/2006/relationships/hyperlink" Target="https://www.facebook.com/groups/3798955057049943/permalink/4286273484984762/?rdid=xMOY3mgcDjnvNtZ9&amp;share_url=https%3A%2F%2Fwww.facebook.com%2Fshare%2Fp%2F1BZdC6qLwv%2F" TargetMode="External"/><Relationship Id="rId1625" Type="http://schemas.openxmlformats.org/officeDocument/2006/relationships/hyperlink" Target="https://www.facebook.com/groups/814535098678252/?multi_permalinks=3734958059969260" TargetMode="External"/><Relationship Id="rId2956" Type="http://schemas.openxmlformats.org/officeDocument/2006/relationships/hyperlink" Target="https://www.facebook.com/groups/2307523679491867/permalink/4290133151230900/?rdid=klSAMDfOtqbsbCIc&amp;share_url=https%3A%2F%2Fwww.facebook.com%2Fshare%2Fp%2F1ZDmdpYQwQ%2F" TargetMode="External"/><Relationship Id="rId1626" Type="http://schemas.openxmlformats.org/officeDocument/2006/relationships/hyperlink" Target="https://www.facebook.com/permalink.php?story_fbid=pfbid0vLwqwRLwGcPcpptzJrXVfg8aVm9Vqju7HXMSmQ7rKpzMci7qKAgS3cN5TDXwFLvkl&amp;id=61570872840442" TargetMode="External"/><Relationship Id="rId2957" Type="http://schemas.openxmlformats.org/officeDocument/2006/relationships/hyperlink" Target="https://www.facebook.com/groups/168697773885792/permalink/2064388994316651/" TargetMode="External"/><Relationship Id="rId1627" Type="http://schemas.openxmlformats.org/officeDocument/2006/relationships/hyperlink" Target="https://www.facebook.com/sugondo.494752/posts/pfbid0aXctjn9rwyQaKQ9ae3FaWzGU9fNHQhSCKfFbMUGT5dGuFFRb8ZaxYP43Ch6hZH5gl" TargetMode="External"/><Relationship Id="rId2958" Type="http://schemas.openxmlformats.org/officeDocument/2006/relationships/hyperlink" Target="https://www.facebook.com/groups/647302417514795/permalink/1172900204955011/" TargetMode="External"/><Relationship Id="rId918" Type="http://schemas.openxmlformats.org/officeDocument/2006/relationships/hyperlink" Target="https://www.tiktok.com/@rozyfadhila91/video/7550310472189250821" TargetMode="External"/><Relationship Id="rId1628" Type="http://schemas.openxmlformats.org/officeDocument/2006/relationships/hyperlink" Target="https://x.com/RepublikNdasmu/status/1997086543954276742" TargetMode="External"/><Relationship Id="rId2959" Type="http://schemas.openxmlformats.org/officeDocument/2006/relationships/hyperlink" Target="https://www.facebook.com/groups/7406641962684717/permalink/26558278003761159/" TargetMode="External"/><Relationship Id="rId917" Type="http://schemas.openxmlformats.org/officeDocument/2006/relationships/hyperlink" Target="https://x.com/YGundero35921/status/1985352182800203898" TargetMode="External"/><Relationship Id="rId1629" Type="http://schemas.openxmlformats.org/officeDocument/2006/relationships/hyperlink" Target="https://www.facebook.com/groups/647302417514795/posts/1164259145819117" TargetMode="External"/><Relationship Id="rId916" Type="http://schemas.openxmlformats.org/officeDocument/2006/relationships/hyperlink" Target="https://x.com/cilayuwu/status/1985231130560507924" TargetMode="External"/><Relationship Id="rId915" Type="http://schemas.openxmlformats.org/officeDocument/2006/relationships/hyperlink" Target="https://vt.tiktok.com/ZSySFxo72/" TargetMode="External"/><Relationship Id="rId919" Type="http://schemas.openxmlformats.org/officeDocument/2006/relationships/hyperlink" Target="https://www.tiktok.com/@ayah_bellvandra/video/7568393655891905799" TargetMode="External"/><Relationship Id="rId910" Type="http://schemas.openxmlformats.org/officeDocument/2006/relationships/hyperlink" Target="https://www.facebook.com/groups/3788219251217098/posts/25047969671482081/" TargetMode="External"/><Relationship Id="rId914" Type="http://schemas.openxmlformats.org/officeDocument/2006/relationships/hyperlink" Target="https://vt.tiktok.com/ZSySFPFa3/" TargetMode="External"/><Relationship Id="rId913" Type="http://schemas.openxmlformats.org/officeDocument/2006/relationships/hyperlink" Target="https://vt.tiktok.com/ZSySF4fRs/" TargetMode="External"/><Relationship Id="rId912" Type="http://schemas.openxmlformats.org/officeDocument/2006/relationships/hyperlink" Target="https://vt.tiktok.com/ZSySFHE3r/" TargetMode="External"/><Relationship Id="rId911" Type="http://schemas.openxmlformats.org/officeDocument/2006/relationships/hyperlink" Target="https://vt.tiktok.com/ZSySFkxEH/" TargetMode="External"/><Relationship Id="rId2950" Type="http://schemas.openxmlformats.org/officeDocument/2006/relationships/hyperlink" Target="https://www.facebook.com/reel/2376264852825242" TargetMode="External"/><Relationship Id="rId2900" Type="http://schemas.openxmlformats.org/officeDocument/2006/relationships/hyperlink" Target="https://www.facebook.com/share/p/14RXw8N3HdP/" TargetMode="External"/><Relationship Id="rId2901" Type="http://schemas.openxmlformats.org/officeDocument/2006/relationships/hyperlink" Target="https://www.facebook.com/share/p/17zufG9VEG/" TargetMode="External"/><Relationship Id="rId2902" Type="http://schemas.openxmlformats.org/officeDocument/2006/relationships/hyperlink" Target="https://www.facebook.com/share/p/1MUeA4kZyd/" TargetMode="External"/><Relationship Id="rId2903" Type="http://schemas.openxmlformats.org/officeDocument/2006/relationships/hyperlink" Target="https://www.facebook.com/share/p/1HJnjfV4dz/" TargetMode="External"/><Relationship Id="rId2904" Type="http://schemas.openxmlformats.org/officeDocument/2006/relationships/hyperlink" Target="https://www.facebook.com/share/p/1NPNu6D5io/" TargetMode="External"/><Relationship Id="rId2905" Type="http://schemas.openxmlformats.org/officeDocument/2006/relationships/hyperlink" Target="https://www.facebook.com/share/r/1FCzY3KcxF/" TargetMode="External"/><Relationship Id="rId2906" Type="http://schemas.openxmlformats.org/officeDocument/2006/relationships/hyperlink" Target="https://www.facebook.com/share/p/14YYi8mdLDy/" TargetMode="External"/><Relationship Id="rId2907" Type="http://schemas.openxmlformats.org/officeDocument/2006/relationships/hyperlink" Target="https://www.instagram.com/reel/DSgUBBpkaWA/?igsh=dTE5cTJpbG9pOWE1" TargetMode="External"/><Relationship Id="rId2908" Type="http://schemas.openxmlformats.org/officeDocument/2006/relationships/hyperlink" Target="https://x.com/subidabidu/status/2002743715623059514" TargetMode="External"/><Relationship Id="rId2909" Type="http://schemas.openxmlformats.org/officeDocument/2006/relationships/hyperlink" Target="https://www.facebook.com/groups/523183267134157/posts/849826257803188/" TargetMode="External"/><Relationship Id="rId2920" Type="http://schemas.openxmlformats.org/officeDocument/2006/relationships/hyperlink" Target="https://www.facebook.com/story.php?story_fbid=1376086204018417&amp;id=100048511502346&amp;rdid=n8okVbMH5kF2fNTR" TargetMode="External"/><Relationship Id="rId2921" Type="http://schemas.openxmlformats.org/officeDocument/2006/relationships/hyperlink" Target="https://www.tiktok.com/@user3538829255295/video/7572620489923759367?_r=1&amp;_t=ZS-92SGMthxFQI" TargetMode="External"/><Relationship Id="rId2922" Type="http://schemas.openxmlformats.org/officeDocument/2006/relationships/hyperlink" Target="https://www.tiktok.com/@fulusstar89/video/7585513134073466130" TargetMode="External"/><Relationship Id="rId2923" Type="http://schemas.openxmlformats.org/officeDocument/2006/relationships/hyperlink" Target="https://x.com/taniaviandra/status/2001941004841341225?s=20" TargetMode="External"/><Relationship Id="rId2924" Type="http://schemas.openxmlformats.org/officeDocument/2006/relationships/hyperlink" Target="https://vt.tiktok.com/ZSP74RWcL/" TargetMode="External"/><Relationship Id="rId2925" Type="http://schemas.openxmlformats.org/officeDocument/2006/relationships/hyperlink" Target="https://vt.tiktok.com/ZSP7b86ph/" TargetMode="External"/><Relationship Id="rId2926" Type="http://schemas.openxmlformats.org/officeDocument/2006/relationships/hyperlink" Target="https://vt.tiktok.com/ZSP7bXW1J/" TargetMode="External"/><Relationship Id="rId2927" Type="http://schemas.openxmlformats.org/officeDocument/2006/relationships/hyperlink" Target="https://vt.tiktok.com/ZSP7p4YdD/" TargetMode="External"/><Relationship Id="rId2928" Type="http://schemas.openxmlformats.org/officeDocument/2006/relationships/hyperlink" Target="https://vt.tiktok.com/ZSP7VbtB6/" TargetMode="External"/><Relationship Id="rId2929" Type="http://schemas.openxmlformats.org/officeDocument/2006/relationships/hyperlink" Target="https://vt.tiktok.com/ZSP7VRMAa/" TargetMode="External"/><Relationship Id="rId2910" Type="http://schemas.openxmlformats.org/officeDocument/2006/relationships/hyperlink" Target="https://www.facebook.com/groups/523183267134157/posts/849521017833712/" TargetMode="External"/><Relationship Id="rId2911" Type="http://schemas.openxmlformats.org/officeDocument/2006/relationships/hyperlink" Target="https://www.facebook.com/groups/523183267134157/posts/848806527905161/" TargetMode="External"/><Relationship Id="rId2912" Type="http://schemas.openxmlformats.org/officeDocument/2006/relationships/hyperlink" Target="https://www.facebook.com/groups/523183267134157/posts/848094451309702/" TargetMode="External"/><Relationship Id="rId2913" Type="http://schemas.openxmlformats.org/officeDocument/2006/relationships/hyperlink" Target="https://www.facebook.com/groups/523183267134157/posts/845099764942504/" TargetMode="External"/><Relationship Id="rId2914" Type="http://schemas.openxmlformats.org/officeDocument/2006/relationships/hyperlink" Target="https://www.facebook.com/groups/600655398635239/?multi_permalinks=1231348885565884&amp;hoisted_section_header_type=recently_seen" TargetMode="External"/><Relationship Id="rId2915" Type="http://schemas.openxmlformats.org/officeDocument/2006/relationships/hyperlink" Target="https://www.facebook.com/groups/600655398635239/posts/1237911338242972/" TargetMode="External"/><Relationship Id="rId2916" Type="http://schemas.openxmlformats.org/officeDocument/2006/relationships/hyperlink" Target="https://www.facebook.com/groups/600655398635239/posts/1235660998468006/" TargetMode="External"/><Relationship Id="rId2917" Type="http://schemas.openxmlformats.org/officeDocument/2006/relationships/hyperlink" Target="https://www.facebook.com/story.php?story_fbid=1245083457443733&amp;id=100058262714355&amp;rdid=KzmgCkmRRKer3fkL" TargetMode="External"/><Relationship Id="rId2918" Type="http://schemas.openxmlformats.org/officeDocument/2006/relationships/hyperlink" Target="https://www.facebook.com/reel/883359707708046" TargetMode="External"/><Relationship Id="rId2919" Type="http://schemas.openxmlformats.org/officeDocument/2006/relationships/hyperlink" Target="https://www.facebook.com/story.php?story_fbid=122113336797124268&amp;id=61583728055254&amp;rdid=T3HBnnHsdyizrh74" TargetMode="External"/><Relationship Id="rId1697" Type="http://schemas.openxmlformats.org/officeDocument/2006/relationships/hyperlink" Target="https://www.tiktok.com/@gang.sempit58/photo/7590771940365864213" TargetMode="External"/><Relationship Id="rId1698" Type="http://schemas.openxmlformats.org/officeDocument/2006/relationships/hyperlink" Target="https://x.com/Adiputr61555111/status/2023200587538682335" TargetMode="External"/><Relationship Id="rId1699" Type="http://schemas.openxmlformats.org/officeDocument/2006/relationships/hyperlink" Target="https://www.facebook.com/share/v/1CGi8CczgV/" TargetMode="External"/><Relationship Id="rId866" Type="http://schemas.openxmlformats.org/officeDocument/2006/relationships/hyperlink" Target="https://www.facebook.com/share/r/1BeZwYjqUY/" TargetMode="External"/><Relationship Id="rId865" Type="http://schemas.openxmlformats.org/officeDocument/2006/relationships/hyperlink" Target="https://www.facebook.com/share/r/1CGXaE9n89/" TargetMode="External"/><Relationship Id="rId864" Type="http://schemas.openxmlformats.org/officeDocument/2006/relationships/hyperlink" Target="https://x.com/AzkaZaffa/status/1984498797683384572" TargetMode="External"/><Relationship Id="rId863" Type="http://schemas.openxmlformats.org/officeDocument/2006/relationships/hyperlink" Target="https://x.com/PEOPLEOFTHELIE4/status/1984521777377394973" TargetMode="External"/><Relationship Id="rId869" Type="http://schemas.openxmlformats.org/officeDocument/2006/relationships/hyperlink" Target="https://www.facebook.com/share/r/19xgGuhZMw/" TargetMode="External"/><Relationship Id="rId868" Type="http://schemas.openxmlformats.org/officeDocument/2006/relationships/hyperlink" Target="https://x.com/SeriDianawati/status/1984570042911244499" TargetMode="External"/><Relationship Id="rId867" Type="http://schemas.openxmlformats.org/officeDocument/2006/relationships/hyperlink" Target="https://x.com/TheUncleDee/status/1984603279742157284" TargetMode="External"/><Relationship Id="rId1690" Type="http://schemas.openxmlformats.org/officeDocument/2006/relationships/hyperlink" Target="https://www.facebook.com/reel/3235329209970554" TargetMode="External"/><Relationship Id="rId1691" Type="http://schemas.openxmlformats.org/officeDocument/2006/relationships/hyperlink" Target="https://www.facebook.com/reel/3070696769769499" TargetMode="External"/><Relationship Id="rId1692" Type="http://schemas.openxmlformats.org/officeDocument/2006/relationships/hyperlink" Target="https://www.facebook.com/reel/2342875749529710" TargetMode="External"/><Relationship Id="rId862" Type="http://schemas.openxmlformats.org/officeDocument/2006/relationships/hyperlink" Target="https://x.com/JoppieMagai/status/1984432324239638713" TargetMode="External"/><Relationship Id="rId1693" Type="http://schemas.openxmlformats.org/officeDocument/2006/relationships/hyperlink" Target="https://www.tiktok.com/@jonisaputra202/video/7594098127603272980" TargetMode="External"/><Relationship Id="rId861" Type="http://schemas.openxmlformats.org/officeDocument/2006/relationships/hyperlink" Target="https://x.com/mariadi63425147/status/1984471111699255398" TargetMode="External"/><Relationship Id="rId1694" Type="http://schemas.openxmlformats.org/officeDocument/2006/relationships/hyperlink" Target="https://www.tiktok.com/@teukuhafizikrampriatama/video/7607027958573829396" TargetMode="External"/><Relationship Id="rId860" Type="http://schemas.openxmlformats.org/officeDocument/2006/relationships/hyperlink" Target="https://x.com/didiek_murdock/status/1984513707960123768" TargetMode="External"/><Relationship Id="rId1695" Type="http://schemas.openxmlformats.org/officeDocument/2006/relationships/hyperlink" Target="https://www.tiktok.com/@teukuhafizikrampriatama/video/7607026501619404053" TargetMode="External"/><Relationship Id="rId1696" Type="http://schemas.openxmlformats.org/officeDocument/2006/relationships/hyperlink" Target="https://www.tiktok.com/@teukuhafizikrampriatama/video/7607025911669525781" TargetMode="External"/><Relationship Id="rId1686" Type="http://schemas.openxmlformats.org/officeDocument/2006/relationships/hyperlink" Target="https://www.facebook.com/reel/1197801688957645" TargetMode="External"/><Relationship Id="rId1687" Type="http://schemas.openxmlformats.org/officeDocument/2006/relationships/hyperlink" Target="https://www.facebook.com/reel/2959248751132850" TargetMode="External"/><Relationship Id="rId1688" Type="http://schemas.openxmlformats.org/officeDocument/2006/relationships/hyperlink" Target="https://www.facebook.com/reel/3075945905948783" TargetMode="External"/><Relationship Id="rId1689" Type="http://schemas.openxmlformats.org/officeDocument/2006/relationships/hyperlink" Target="https://www.facebook.com/profile.php?id=61565907580144" TargetMode="External"/><Relationship Id="rId855" Type="http://schemas.openxmlformats.org/officeDocument/2006/relationships/hyperlink" Target="https://www.instagram.com/anjingislam/" TargetMode="External"/><Relationship Id="rId854" Type="http://schemas.openxmlformats.org/officeDocument/2006/relationships/hyperlink" Target="https://www.instagram.com/islamgajelas/" TargetMode="External"/><Relationship Id="rId853" Type="http://schemas.openxmlformats.org/officeDocument/2006/relationships/hyperlink" Target="https://www.instagram.com/jonatannapitu676/" TargetMode="External"/><Relationship Id="rId852" Type="http://schemas.openxmlformats.org/officeDocument/2006/relationships/hyperlink" Target="https://www.tiktok.com/@hellenabasri/video/7553914179585903928" TargetMode="External"/><Relationship Id="rId859" Type="http://schemas.openxmlformats.org/officeDocument/2006/relationships/hyperlink" Target="https://www.instagram.com/reel/DN5z7lZEkrz/" TargetMode="External"/><Relationship Id="rId858" Type="http://schemas.openxmlformats.org/officeDocument/2006/relationships/hyperlink" Target="https://www.instagram.com/reel/DMm3n1kS7tk/" TargetMode="External"/><Relationship Id="rId857" Type="http://schemas.openxmlformats.org/officeDocument/2006/relationships/hyperlink" Target="https://www.instagram.com/palestinebabi/" TargetMode="External"/><Relationship Id="rId856" Type="http://schemas.openxmlformats.org/officeDocument/2006/relationships/hyperlink" Target="https://www.instagram.com/pembenci_islam/" TargetMode="External"/><Relationship Id="rId1680" Type="http://schemas.openxmlformats.org/officeDocument/2006/relationships/hyperlink" Target="https://www.facebook.com/reel/1392810465401766" TargetMode="External"/><Relationship Id="rId1681" Type="http://schemas.openxmlformats.org/officeDocument/2006/relationships/hyperlink" Target="https://www.tiktok.com/@makmur.s.kalit/video/7576727079526452498" TargetMode="External"/><Relationship Id="rId851" Type="http://schemas.openxmlformats.org/officeDocument/2006/relationships/hyperlink" Target="https://www.tiktok.com/@hermanofficial831/video/7553916056385899832" TargetMode="External"/><Relationship Id="rId1682" Type="http://schemas.openxmlformats.org/officeDocument/2006/relationships/hyperlink" Target="https://www.tiktok.com/@muki_dim4n/video/7510815189957102853" TargetMode="External"/><Relationship Id="rId850" Type="http://schemas.openxmlformats.org/officeDocument/2006/relationships/hyperlink" Target="https://www.tiktok.com/@athaleta_a_odelina/video/7555745553502457099" TargetMode="External"/><Relationship Id="rId1683" Type="http://schemas.openxmlformats.org/officeDocument/2006/relationships/hyperlink" Target="https://www.tiktok.com/@bagaskara_454/video/7566474276849683720" TargetMode="External"/><Relationship Id="rId1684" Type="http://schemas.openxmlformats.org/officeDocument/2006/relationships/hyperlink" Target="https://www.tiktok.com/@independent4038/video/7606531045386718482?_r=1&amp;_t=ZS-93yws57uF9R" TargetMode="External"/><Relationship Id="rId1685" Type="http://schemas.openxmlformats.org/officeDocument/2006/relationships/hyperlink" Target="https://www.tiktok.com/@pusaranberitaaktual.com/video/7607116279886990612?_r=1&amp;_t=ZS-93z8xNCBxem" TargetMode="External"/><Relationship Id="rId888" Type="http://schemas.openxmlformats.org/officeDocument/2006/relationships/hyperlink" Target="https://www.facebook.com/share/p/1aXQACNwCd/" TargetMode="External"/><Relationship Id="rId887" Type="http://schemas.openxmlformats.org/officeDocument/2006/relationships/hyperlink" Target="https://www.facebook.com/share/v/16n4X1Fm6z/" TargetMode="External"/><Relationship Id="rId886" Type="http://schemas.openxmlformats.org/officeDocument/2006/relationships/hyperlink" Target="https://www.facebook.com/share/p/14KxDLKNPNP/" TargetMode="External"/><Relationship Id="rId885" Type="http://schemas.openxmlformats.org/officeDocument/2006/relationships/hyperlink" Target="https://x.com/Bi_ma_bima/status/1984855324923453719" TargetMode="External"/><Relationship Id="rId889" Type="http://schemas.openxmlformats.org/officeDocument/2006/relationships/hyperlink" Target="https://vt.tiktok.com/ZSySFkxEH/" TargetMode="External"/><Relationship Id="rId880" Type="http://schemas.openxmlformats.org/officeDocument/2006/relationships/hyperlink" Target="https://x.com/Sh4dowBone__/status/1984833991493775469" TargetMode="External"/><Relationship Id="rId884" Type="http://schemas.openxmlformats.org/officeDocument/2006/relationships/hyperlink" Target="https://x.com/jalagut/status/1984980900543906052" TargetMode="External"/><Relationship Id="rId883" Type="http://schemas.openxmlformats.org/officeDocument/2006/relationships/hyperlink" Target="https://www.facebook.com/groups/229441697196157/permalink/3435191676621127/?rdid=NXc9ecLq4glCJZJC" TargetMode="External"/><Relationship Id="rId882" Type="http://schemas.openxmlformats.org/officeDocument/2006/relationships/hyperlink" Target="https://x.com/Kamikaze87654/status/1984863734528164019" TargetMode="External"/><Relationship Id="rId881" Type="http://schemas.openxmlformats.org/officeDocument/2006/relationships/hyperlink" Target="https://web.facebook.com/share/p/17Ubbu2zDo/" TargetMode="External"/><Relationship Id="rId877" Type="http://schemas.openxmlformats.org/officeDocument/2006/relationships/hyperlink" Target="https://www.facebook.com/groups/1010933189941887/posts/1345953039773232/" TargetMode="External"/><Relationship Id="rId876" Type="http://schemas.openxmlformats.org/officeDocument/2006/relationships/hyperlink" Target="https://www.facebook.com/groups/1010933189941887/posts/1353993962302473/" TargetMode="External"/><Relationship Id="rId875" Type="http://schemas.openxmlformats.org/officeDocument/2006/relationships/hyperlink" Target="https://www.facebook.com/photo/?fbid=791585763376633&amp;set=a.334812955720585" TargetMode="External"/><Relationship Id="rId874" Type="http://schemas.openxmlformats.org/officeDocument/2006/relationships/hyperlink" Target="https://www.facebook.com/eva.christiana.167/videos/1470770977150641" TargetMode="External"/><Relationship Id="rId879" Type="http://schemas.openxmlformats.org/officeDocument/2006/relationships/hyperlink" Target="https://x.com/Sh4dowBone__/status/1984802407998767541" TargetMode="External"/><Relationship Id="rId878" Type="http://schemas.openxmlformats.org/officeDocument/2006/relationships/hyperlink" Target="https://www.facebook.com/groups/1010933189941887/posts/1304756497226220/" TargetMode="External"/><Relationship Id="rId873" Type="http://schemas.openxmlformats.org/officeDocument/2006/relationships/hyperlink" Target="https://www.facebook.com/reel/706475545756625" TargetMode="External"/><Relationship Id="rId872" Type="http://schemas.openxmlformats.org/officeDocument/2006/relationships/hyperlink" Target="https://www.facebook.com/reel/782469754460122" TargetMode="External"/><Relationship Id="rId871" Type="http://schemas.openxmlformats.org/officeDocument/2006/relationships/hyperlink" Target="https://www.instagram.com/p/DOuev4WkqWA/" TargetMode="External"/><Relationship Id="rId870" Type="http://schemas.openxmlformats.org/officeDocument/2006/relationships/hyperlink" Target="https://www.instagram.com/p/DOKTdVQE6Vn/" TargetMode="External"/><Relationship Id="rId1653" Type="http://schemas.openxmlformats.org/officeDocument/2006/relationships/hyperlink" Target="https://www.facebook.com/groups/964897860344899?multi_permalinks=3206876572813672" TargetMode="External"/><Relationship Id="rId2984" Type="http://schemas.openxmlformats.org/officeDocument/2006/relationships/hyperlink" Target="https://vt.tiktok.com/ZSHKxdTR7udqq-2O8KZ/" TargetMode="External"/><Relationship Id="rId1654" Type="http://schemas.openxmlformats.org/officeDocument/2006/relationships/hyperlink" Target="https://www.facebook.com/groups/3798955057049943/posts/4276166385995472" TargetMode="External"/><Relationship Id="rId2985" Type="http://schemas.openxmlformats.org/officeDocument/2006/relationships/hyperlink" Target="https://vt.tiktok.com/ZSHKxRQAtD4FW-flI52/" TargetMode="External"/><Relationship Id="rId1655" Type="http://schemas.openxmlformats.org/officeDocument/2006/relationships/hyperlink" Target="https://www.facebook.com/groups/3798955057049943/posts/4276164932662284" TargetMode="External"/><Relationship Id="rId2986" Type="http://schemas.openxmlformats.org/officeDocument/2006/relationships/hyperlink" Target="https://www.facebook.com/reel/1424860649171628" TargetMode="External"/><Relationship Id="rId1656" Type="http://schemas.openxmlformats.org/officeDocument/2006/relationships/hyperlink" Target="https://www.facebook.com/groups/3798955057049943/posts/4276161179329326" TargetMode="External"/><Relationship Id="rId2987" Type="http://schemas.openxmlformats.org/officeDocument/2006/relationships/hyperlink" Target="https://vt.tiktok.com/ZSPjUrWPd/" TargetMode="External"/><Relationship Id="rId1657" Type="http://schemas.openxmlformats.org/officeDocument/2006/relationships/hyperlink" Target="https://www.facebook.com/groups/3798955057049943/posts/4276159009329543" TargetMode="External"/><Relationship Id="rId2988" Type="http://schemas.openxmlformats.org/officeDocument/2006/relationships/hyperlink" Target="https://vt.tiktok.com/ZSPjDntjV/" TargetMode="External"/><Relationship Id="rId1658" Type="http://schemas.openxmlformats.org/officeDocument/2006/relationships/hyperlink" Target="https://www.facebook.com/groups/3798955057049943/posts/4275542522724525" TargetMode="External"/><Relationship Id="rId2989" Type="http://schemas.openxmlformats.org/officeDocument/2006/relationships/hyperlink" Target="https://www.facebook.com/share/p/17Z9cHm6az/" TargetMode="External"/><Relationship Id="rId1659" Type="http://schemas.openxmlformats.org/officeDocument/2006/relationships/hyperlink" Target="https://www.facebook.com/groups/2378433292339269/posts/3086642501518341/" TargetMode="External"/><Relationship Id="rId829" Type="http://schemas.openxmlformats.org/officeDocument/2006/relationships/hyperlink" Target="https://www.tiktok.com/@rehanyaay/video/7555469057546292491?_r=1&amp;_t=ZS-909Lf7AqCbF" TargetMode="External"/><Relationship Id="rId828" Type="http://schemas.openxmlformats.org/officeDocument/2006/relationships/hyperlink" Target="https://www.tiktok.com/@rudi.piono/video/7555512599010430216?_r=1&amp;_t=ZS-909LcOSHwnN" TargetMode="External"/><Relationship Id="rId827" Type="http://schemas.openxmlformats.org/officeDocument/2006/relationships/hyperlink" Target="https://www.tiktok.com/@bubarkandpr.02/video/7555557095089704203?_r=1&amp;_t=ZS-909HNjo8wNQ" TargetMode="External"/><Relationship Id="rId822" Type="http://schemas.openxmlformats.org/officeDocument/2006/relationships/hyperlink" Target="https://www.facebook.com/photo/?fbid=122154791762796481&amp;set=gm.4176582309238349&amp;idorvanity=3032108023685789" TargetMode="External"/><Relationship Id="rId821" Type="http://schemas.openxmlformats.org/officeDocument/2006/relationships/hyperlink" Target="https://www.facebook.com/photo/?fbid=122144868944796481&amp;set=gm.4122283548001559&amp;idorvanity=3032108023685789" TargetMode="External"/><Relationship Id="rId820" Type="http://schemas.openxmlformats.org/officeDocument/2006/relationships/hyperlink" Target="https://www.facebook.com/photo/?fbid=122261455364185356&amp;set=gm.4176326159263964&amp;idorvanity=3032108023685789" TargetMode="External"/><Relationship Id="rId826" Type="http://schemas.openxmlformats.org/officeDocument/2006/relationships/hyperlink" Target="https://www.tiktok.com/@paramex_870/video/7555578888655539468?_r=1&amp;_t=ZS-909Ht0CGr7F" TargetMode="External"/><Relationship Id="rId825" Type="http://schemas.openxmlformats.org/officeDocument/2006/relationships/hyperlink" Target="https://www.instagram.com/reel/DN-ExJXEUoL/" TargetMode="External"/><Relationship Id="rId824" Type="http://schemas.openxmlformats.org/officeDocument/2006/relationships/hyperlink" Target="https://www.facebook.com/nacher.rainawan/posts/pfbid0KnaDrfM5d7VXQRBB4Nm8weH4xnLi8B5iZAUGHyPK9hRMaoWpYxbTNqUokuNNgFpgl" TargetMode="External"/><Relationship Id="rId823" Type="http://schemas.openxmlformats.org/officeDocument/2006/relationships/hyperlink" Target="https://www.facebook.com/nacher.rainawan/posts/pfbid0KnaDrfM5d7VXQRBB4Nm8weH4xnLi8B5iZAUGHyPK9hRMaoWpYxbTNqUokuNNgFpgl" TargetMode="External"/><Relationship Id="rId2980" Type="http://schemas.openxmlformats.org/officeDocument/2006/relationships/hyperlink" Target="https://www.facebook.com/reel/2906539929542506" TargetMode="External"/><Relationship Id="rId1650" Type="http://schemas.openxmlformats.org/officeDocument/2006/relationships/hyperlink" Target="https://x.com/RepublikNdasmu/status/1997086543954276742" TargetMode="External"/><Relationship Id="rId2981" Type="http://schemas.openxmlformats.org/officeDocument/2006/relationships/hyperlink" Target="https://www.facebook.com/groups/1490577311217468/permalink/4251348881806950/?rdid=IbvCsPPn6FdwYyQF" TargetMode="External"/><Relationship Id="rId1651" Type="http://schemas.openxmlformats.org/officeDocument/2006/relationships/hyperlink" Target="https://x.com/4DemocracyID/status/1998326430179189149" TargetMode="External"/><Relationship Id="rId2982" Type="http://schemas.openxmlformats.org/officeDocument/2006/relationships/hyperlink" Target="https://x.com/Joxplalong/status/2003674973794406672" TargetMode="External"/><Relationship Id="rId1652" Type="http://schemas.openxmlformats.org/officeDocument/2006/relationships/hyperlink" Target="https://www.facebook.com/groups/1267949420592960/?multi_permalinks=1844920856229144" TargetMode="External"/><Relationship Id="rId2983" Type="http://schemas.openxmlformats.org/officeDocument/2006/relationships/hyperlink" Target="https://vt.tiktok.com/ZSHKxdQ7w3LgQ-WAooK/" TargetMode="External"/><Relationship Id="rId1642" Type="http://schemas.openxmlformats.org/officeDocument/2006/relationships/hyperlink" Target="https://www.facebook.com/share/v/1FKt2z1SVH/" TargetMode="External"/><Relationship Id="rId2973" Type="http://schemas.openxmlformats.org/officeDocument/2006/relationships/hyperlink" Target="https://www.facebook.com/share/p/17e5EqDkmp/" TargetMode="External"/><Relationship Id="rId1643" Type="http://schemas.openxmlformats.org/officeDocument/2006/relationships/hyperlink" Target="https://www.facebook.com/share/p/16H23hFQZQ/" TargetMode="External"/><Relationship Id="rId2974" Type="http://schemas.openxmlformats.org/officeDocument/2006/relationships/hyperlink" Target="https://www.facebook.com/share/r/16mvpQNML2/" TargetMode="External"/><Relationship Id="rId1644" Type="http://schemas.openxmlformats.org/officeDocument/2006/relationships/hyperlink" Target="https://www.facebook.com/share/p/1NNtwFQftN/" TargetMode="External"/><Relationship Id="rId2975" Type="http://schemas.openxmlformats.org/officeDocument/2006/relationships/hyperlink" Target="https://www.threads.com/@danhadis12/post/DSpYGwYDw-x?xmt=AQF0MJO7IKyLGNDHTAwHJy284yBjQeLjrkBJNGNHjSYjmw" TargetMode="External"/><Relationship Id="rId1645" Type="http://schemas.openxmlformats.org/officeDocument/2006/relationships/hyperlink" Target="https://www.facebook.com/share/p/1ZcXPGRCwC/" TargetMode="External"/><Relationship Id="rId2976" Type="http://schemas.openxmlformats.org/officeDocument/2006/relationships/hyperlink" Target="https://www.facebook.com/teguh.muhammad.334/posts/pfbid027gWYp6KHHtr9w9nWqwH6ec1tdycE65HJGTg5M19exvHRNLPnovbh8R2uDn13wC2kl" TargetMode="External"/><Relationship Id="rId1646" Type="http://schemas.openxmlformats.org/officeDocument/2006/relationships/hyperlink" Target="https://x.com/guci_marbawi/status/1998599019149545505?s=20" TargetMode="External"/><Relationship Id="rId2977" Type="http://schemas.openxmlformats.org/officeDocument/2006/relationships/hyperlink" Target="https://www.facebook.com/permalink.php?story_fbid=pfbid02cdWL3ucQ3eSW2s85f4H8usVZpu9widpvZQpRWFN7TDnT133bMSBtnx2ihrvWCaygl&amp;id=61584025697382" TargetMode="External"/><Relationship Id="rId1647" Type="http://schemas.openxmlformats.org/officeDocument/2006/relationships/hyperlink" Target="https://www.tiktok.com/@omrul_khairul/video/7578806854608833793" TargetMode="External"/><Relationship Id="rId2978" Type="http://schemas.openxmlformats.org/officeDocument/2006/relationships/hyperlink" Target="https://www.facebook.com/tono.mandailing/posts/pfbid0r3xSiWd14QofLpTgQUP6wRLiqB7J13xdgA3SF3qTNanSeyaHBLpdWvPdyj7ANR9el" TargetMode="External"/><Relationship Id="rId1648" Type="http://schemas.openxmlformats.org/officeDocument/2006/relationships/hyperlink" Target="https://www.tiktok.com/@sumateramerdeka" TargetMode="External"/><Relationship Id="rId2979" Type="http://schemas.openxmlformats.org/officeDocument/2006/relationships/hyperlink" Target="https://www.facebook.com/groups/1110525038988862?multi_permalinks=33181791064768843&amp;hoisted_section_header_type=recently_seen&amp;locale=id_ID" TargetMode="External"/><Relationship Id="rId1649" Type="http://schemas.openxmlformats.org/officeDocument/2006/relationships/hyperlink" Target="https://www.tiktok.com/@gsumatramerdeka" TargetMode="External"/><Relationship Id="rId819" Type="http://schemas.openxmlformats.org/officeDocument/2006/relationships/hyperlink" Target="https://www.facebook.com/photo/?fbid=122261619548185356&amp;set=gm.4176953179201262&amp;idorvanity=3032108023685789" TargetMode="External"/><Relationship Id="rId818" Type="http://schemas.openxmlformats.org/officeDocument/2006/relationships/hyperlink" Target="https://www.facebook.com/photo/?fbid=122262272762185356&amp;set=gm.4180864172143496&amp;idorvanity=3032108023685789" TargetMode="External"/><Relationship Id="rId817" Type="http://schemas.openxmlformats.org/officeDocument/2006/relationships/hyperlink" Target="https://www.facebook.com/profile.php?id=61551858520255" TargetMode="External"/><Relationship Id="rId816" Type="http://schemas.openxmlformats.org/officeDocument/2006/relationships/hyperlink" Target="https://www.facebook.com/groups/221580229175240/posts/1469249881074929/" TargetMode="External"/><Relationship Id="rId811" Type="http://schemas.openxmlformats.org/officeDocument/2006/relationships/hyperlink" Target="https://www.tiktok.com/@humairah.azzahra947/video/7552729124112993537" TargetMode="External"/><Relationship Id="rId810" Type="http://schemas.openxmlformats.org/officeDocument/2006/relationships/hyperlink" Target="https://www.tiktok.com/@sibre805/video/7555490566482447628" TargetMode="External"/><Relationship Id="rId815" Type="http://schemas.openxmlformats.org/officeDocument/2006/relationships/hyperlink" Target="https://www.facebook.com/groups/221580229175240/posts/1471205000879417/" TargetMode="External"/><Relationship Id="rId814" Type="http://schemas.openxmlformats.org/officeDocument/2006/relationships/hyperlink" Target="https://www.facebook.com/groups/221580229175240/posts/1479154463417804/" TargetMode="External"/><Relationship Id="rId813" Type="http://schemas.openxmlformats.org/officeDocument/2006/relationships/hyperlink" Target="https://www.facebook.com/groups/221580229175240/posts/1489188479081069/" TargetMode="External"/><Relationship Id="rId812" Type="http://schemas.openxmlformats.org/officeDocument/2006/relationships/hyperlink" Target="https://www.tiktok.com/@leo_salesman/video/7549465248848186630" TargetMode="External"/><Relationship Id="rId2970" Type="http://schemas.openxmlformats.org/officeDocument/2006/relationships/hyperlink" Target="https://www.facebook.com/share/p/17qBgdW2wg/" TargetMode="External"/><Relationship Id="rId1640" Type="http://schemas.openxmlformats.org/officeDocument/2006/relationships/hyperlink" Target="https://www.facebook.com/share/p/1EsrKt8Rfs/" TargetMode="External"/><Relationship Id="rId2971" Type="http://schemas.openxmlformats.org/officeDocument/2006/relationships/hyperlink" Target="https://www.facebook.com/share/p/1JqzTmwkXR/" TargetMode="External"/><Relationship Id="rId1641" Type="http://schemas.openxmlformats.org/officeDocument/2006/relationships/hyperlink" Target="https://www.facebook.com/share/p/1MrwDu3ccc/" TargetMode="External"/><Relationship Id="rId2972" Type="http://schemas.openxmlformats.org/officeDocument/2006/relationships/hyperlink" Target="https://www.facebook.com/share/r/17uAdJ5g5i/" TargetMode="External"/><Relationship Id="rId1675" Type="http://schemas.openxmlformats.org/officeDocument/2006/relationships/hyperlink" Target="https://www.facebook.com/watch/?v=921142163983115&amp;rdid=kX8w1viwxOv0o6Tb" TargetMode="External"/><Relationship Id="rId1676" Type="http://schemas.openxmlformats.org/officeDocument/2006/relationships/hyperlink" Target="https://www.facebook.com/reel/26275035792133513" TargetMode="External"/><Relationship Id="rId1677" Type="http://schemas.openxmlformats.org/officeDocument/2006/relationships/hyperlink" Target="https://www.facebook.com/reel/787369813794813" TargetMode="External"/><Relationship Id="rId1678" Type="http://schemas.openxmlformats.org/officeDocument/2006/relationships/hyperlink" Target="https://www.facebook.com/share/v/1b5Q6qM4Jo/" TargetMode="External"/><Relationship Id="rId1679" Type="http://schemas.openxmlformats.org/officeDocument/2006/relationships/hyperlink" Target="https://www.facebook.com/reel/910602468037779" TargetMode="External"/><Relationship Id="rId849" Type="http://schemas.openxmlformats.org/officeDocument/2006/relationships/hyperlink" Target="http://tiktok.com/@paijokusumo6/video/7555891194107006219" TargetMode="External"/><Relationship Id="rId844" Type="http://schemas.openxmlformats.org/officeDocument/2006/relationships/hyperlink" Target="https://www.instagram.com/lembagapelopor2024/" TargetMode="External"/><Relationship Id="rId843" Type="http://schemas.openxmlformats.org/officeDocument/2006/relationships/hyperlink" Target="https://x.com/VerenaSusilowa1/status/1973023060308672681" TargetMode="External"/><Relationship Id="rId842" Type="http://schemas.openxmlformats.org/officeDocument/2006/relationships/hyperlink" Target="https://x.com/didiek_murdock/status/1973028980367544418" TargetMode="External"/><Relationship Id="rId841" Type="http://schemas.openxmlformats.org/officeDocument/2006/relationships/hyperlink" Target="https://x.com/DedehN29552/status/1973036389261516998" TargetMode="External"/><Relationship Id="rId848" Type="http://schemas.openxmlformats.org/officeDocument/2006/relationships/hyperlink" Target="https://www.tiktok.com/@paijokusumo6/video/7555891194107006219" TargetMode="External"/><Relationship Id="rId847" Type="http://schemas.openxmlformats.org/officeDocument/2006/relationships/hyperlink" Target="https://health.detik.com/berita-detikhealth/d-8135471/viral-narasi-11-orang-meninggal-di-jabar-akibat-keracunan-mbg-bgn-pastikan-hoax?utm_source=chatgpt.com" TargetMode="External"/><Relationship Id="rId846" Type="http://schemas.openxmlformats.org/officeDocument/2006/relationships/hyperlink" Target="https://www.instagram.com/p/DPEaDUGE1eJ/" TargetMode="External"/><Relationship Id="rId845" Type="http://schemas.openxmlformats.org/officeDocument/2006/relationships/hyperlink" Target="https://www.instagram.com/p/DPNIqAvEgKY/" TargetMode="External"/><Relationship Id="rId1670" Type="http://schemas.openxmlformats.org/officeDocument/2006/relationships/hyperlink" Target="https://www.facebook.com/share/p/1L3HNhdD4v/" TargetMode="External"/><Relationship Id="rId840" Type="http://schemas.openxmlformats.org/officeDocument/2006/relationships/hyperlink" Target="https://x.com/ArtaN7707/status/1972991149087588580" TargetMode="External"/><Relationship Id="rId1671" Type="http://schemas.openxmlformats.org/officeDocument/2006/relationships/hyperlink" Target="https://www.facebook.com/share/r/1C9eAZWqUQ/" TargetMode="External"/><Relationship Id="rId1672" Type="http://schemas.openxmlformats.org/officeDocument/2006/relationships/hyperlink" Target="https://www.facebook.com/share/p/1L3HNhdD4v/" TargetMode="External"/><Relationship Id="rId1673" Type="http://schemas.openxmlformats.org/officeDocument/2006/relationships/hyperlink" Target="https://www.facebook.com/search/top?q=BOP%20melanggar%20UUD&amp;filters=eyJyZWNlbnRfcG9zdHM6MCI6IntcIm5hbWVcIjpcInJlY2VudF9wb3N0c1wiLFwiYXJnc1wiOlwiXCJ9In0%3D" TargetMode="External"/><Relationship Id="rId1674" Type="http://schemas.openxmlformats.org/officeDocument/2006/relationships/hyperlink" Target="https://www.facebook.com/reel/1177369160886150" TargetMode="External"/><Relationship Id="rId1664" Type="http://schemas.openxmlformats.org/officeDocument/2006/relationships/hyperlink" Target="https://www.instagram.com/p/DSCFak7Egze/" TargetMode="External"/><Relationship Id="rId2995" Type="http://schemas.openxmlformats.org/officeDocument/2006/relationships/hyperlink" Target="https://www.facebook.com/share/r/1Dmm6g71a4/" TargetMode="External"/><Relationship Id="rId1665" Type="http://schemas.openxmlformats.org/officeDocument/2006/relationships/hyperlink" Target="https://www.facebook.com/share/v/1C9SJgJV4d/" TargetMode="External"/><Relationship Id="rId2996" Type="http://schemas.openxmlformats.org/officeDocument/2006/relationships/hyperlink" Target="https://youtu.be/UFxFhcvRd4w?si=IyY9N4M1-XyshIF7" TargetMode="External"/><Relationship Id="rId1666" Type="http://schemas.openxmlformats.org/officeDocument/2006/relationships/hyperlink" Target="https://www.instagram.com/reel/DUp6bBAkncD/" TargetMode="External"/><Relationship Id="rId2997" Type="http://schemas.openxmlformats.org/officeDocument/2006/relationships/hyperlink" Target="https://www.facebook.com/share/r/1BzZqdmm9b/" TargetMode="External"/><Relationship Id="rId1667" Type="http://schemas.openxmlformats.org/officeDocument/2006/relationships/hyperlink" Target="https://www.youtube.com/shorts/lAsZrGhs2dA" TargetMode="External"/><Relationship Id="rId2998" Type="http://schemas.openxmlformats.org/officeDocument/2006/relationships/hyperlink" Target="https://www.facebook.com/share/v/17yG894rEc/" TargetMode="External"/><Relationship Id="rId1668" Type="http://schemas.openxmlformats.org/officeDocument/2006/relationships/hyperlink" Target="https://www.facebook.com/share/p/1c7ysfMojz/" TargetMode="External"/><Relationship Id="rId2999" Type="http://schemas.openxmlformats.org/officeDocument/2006/relationships/hyperlink" Target="https://www.facebook.com/share/p/1Cu2s9Fv7t/" TargetMode="External"/><Relationship Id="rId1669" Type="http://schemas.openxmlformats.org/officeDocument/2006/relationships/hyperlink" Target="https://www.facebook.com/share/p/1BDigGsSES/" TargetMode="External"/><Relationship Id="rId839" Type="http://schemas.openxmlformats.org/officeDocument/2006/relationships/hyperlink" Target="https://x.com/SuhardiSuh66239/status/1972855751287898488" TargetMode="External"/><Relationship Id="rId838" Type="http://schemas.openxmlformats.org/officeDocument/2006/relationships/hyperlink" Target="https://www.tiktok.com/@musadhek6/video/7555777619401133319" TargetMode="External"/><Relationship Id="rId833" Type="http://schemas.openxmlformats.org/officeDocument/2006/relationships/hyperlink" Target="https://www.tiktok.com/@_alfatieh_/video/7555696811248241938?_r=1&amp;_t=ZS-909OKR0hJIb" TargetMode="External"/><Relationship Id="rId832" Type="http://schemas.openxmlformats.org/officeDocument/2006/relationships/hyperlink" Target="https://www.tiktok.com/@bruuue_/photo/7555459185018686727?_r=1&amp;_t=ZS-909Nk0n8uUU" TargetMode="External"/><Relationship Id="rId831" Type="http://schemas.openxmlformats.org/officeDocument/2006/relationships/hyperlink" Target="https://www.tiktok.com/@notime_for_lv/video/7555463570880875783?_t=ZS-909Ljr143GO&amp;_r=1" TargetMode="External"/><Relationship Id="rId830" Type="http://schemas.openxmlformats.org/officeDocument/2006/relationships/hyperlink" Target="https://www.facebook.com/reel/4287478511576401" TargetMode="External"/><Relationship Id="rId837" Type="http://schemas.openxmlformats.org/officeDocument/2006/relationships/hyperlink" Target="https://www.tiktok.com/@q.roylpc/video/7555686244903046407" TargetMode="External"/><Relationship Id="rId836" Type="http://schemas.openxmlformats.org/officeDocument/2006/relationships/hyperlink" Target="https://www.facebook.com/reel/24915575234764917" TargetMode="External"/><Relationship Id="rId835" Type="http://schemas.openxmlformats.org/officeDocument/2006/relationships/hyperlink" Target="https://www.tiktok.com/@freakind.official/photo/7555454618663259404?_r=1&amp;_t=ZS-909OPlruNW6" TargetMode="External"/><Relationship Id="rId834" Type="http://schemas.openxmlformats.org/officeDocument/2006/relationships/hyperlink" Target="https://www.tiktok.com/@dagingkurban_/photo/7555674377518386488?_r=1&amp;_t=ZS-909OOt1bdIL" TargetMode="External"/><Relationship Id="rId2990" Type="http://schemas.openxmlformats.org/officeDocument/2006/relationships/hyperlink" Target="https://www.facebook.com/share/v/17ERLYAjxv/" TargetMode="External"/><Relationship Id="rId1660" Type="http://schemas.openxmlformats.org/officeDocument/2006/relationships/hyperlink" Target="https://www.facebook.com/groups/2378433292339269/posts/3086186991563892/" TargetMode="External"/><Relationship Id="rId2991" Type="http://schemas.openxmlformats.org/officeDocument/2006/relationships/hyperlink" Target="https://www.facebook.com/share/p/17ZnqZ1fJJ/" TargetMode="External"/><Relationship Id="rId1661" Type="http://schemas.openxmlformats.org/officeDocument/2006/relationships/hyperlink" Target="https://www.facebook.com/groups/2378433292339269/posts/3079228322259759/" TargetMode="External"/><Relationship Id="rId2992" Type="http://schemas.openxmlformats.org/officeDocument/2006/relationships/hyperlink" Target="https://www.facebook.com/share/p/1KbUdvriEQ/" TargetMode="External"/><Relationship Id="rId1662" Type="http://schemas.openxmlformats.org/officeDocument/2006/relationships/hyperlink" Target="https://www.facebook.com/groups/2378433292339269/posts/3072413772941214/" TargetMode="External"/><Relationship Id="rId2993" Type="http://schemas.openxmlformats.org/officeDocument/2006/relationships/hyperlink" Target="https://www.facebook.com/share/v/1NqFzYZPPA/" TargetMode="External"/><Relationship Id="rId1663" Type="http://schemas.openxmlformats.org/officeDocument/2006/relationships/hyperlink" Target="https://www.facebook.com/groups/2378433292339269/posts/3073209599528298/" TargetMode="External"/><Relationship Id="rId2994" Type="http://schemas.openxmlformats.org/officeDocument/2006/relationships/hyperlink" Target="https://www.facebook.com/share/p/1FvTLbbHoD/" TargetMode="External"/><Relationship Id="rId2148" Type="http://schemas.openxmlformats.org/officeDocument/2006/relationships/hyperlink" Target="https://www.facebook.com/share/r/1GG4QYdd4n/" TargetMode="External"/><Relationship Id="rId2149" Type="http://schemas.openxmlformats.org/officeDocument/2006/relationships/hyperlink" Target="https://www.facebook.com/share/p/1FeRnLABY3/" TargetMode="External"/><Relationship Id="rId2140" Type="http://schemas.openxmlformats.org/officeDocument/2006/relationships/hyperlink" Target="https://vt.tiktok.com/ZSaPNQmxX/" TargetMode="External"/><Relationship Id="rId2141" Type="http://schemas.openxmlformats.org/officeDocument/2006/relationships/hyperlink" Target="https://www.facebook.com/reel/905101558526128" TargetMode="External"/><Relationship Id="rId2142" Type="http://schemas.openxmlformats.org/officeDocument/2006/relationships/hyperlink" Target="https://www.instagram.com/reels/DT98CnGk2zp/" TargetMode="External"/><Relationship Id="rId2143" Type="http://schemas.openxmlformats.org/officeDocument/2006/relationships/hyperlink" Target="https://www.instagram.com/reel/DT-FGPtksR1/?igsh=OGpmaHZtcXZjdG04" TargetMode="External"/><Relationship Id="rId2144" Type="http://schemas.openxmlformats.org/officeDocument/2006/relationships/hyperlink" Target="https://x.com/DidyCare/status/2015771619147526435" TargetMode="External"/><Relationship Id="rId2145" Type="http://schemas.openxmlformats.org/officeDocument/2006/relationships/hyperlink" Target="https://x.com/thiagodhewi/status/2015759702328795193" TargetMode="External"/><Relationship Id="rId2146" Type="http://schemas.openxmlformats.org/officeDocument/2006/relationships/hyperlink" Target="https://x.com/APraja85/status/2015742548460073061" TargetMode="External"/><Relationship Id="rId2147" Type="http://schemas.openxmlformats.org/officeDocument/2006/relationships/hyperlink" Target="https://x.com/Fauzi56100765/status/2015316561012347340" TargetMode="External"/><Relationship Id="rId2137" Type="http://schemas.openxmlformats.org/officeDocument/2006/relationships/hyperlink" Target="https://www.facebook.com/story.php?story_fbid=846132351679403&amp;id=100088479375062&amp;rdid=r2hWqjWpBkbVHiBG&amp;_rdc=1&amp;_rdr" TargetMode="External"/><Relationship Id="rId2138" Type="http://schemas.openxmlformats.org/officeDocument/2006/relationships/hyperlink" Target="https://www.facebook.com/permalink.php?story_fbid=pfbid02vRzh46pebTDu7UBQqEzGACa8Q6y3hHVbfqWbY1nFxgSTB89F4ZpoudvtPYUB6BNTl&amp;id=100087359721018&amp;rdid=dzDuM2QXEPH843Bq" TargetMode="External"/><Relationship Id="rId2139" Type="http://schemas.openxmlformats.org/officeDocument/2006/relationships/hyperlink" Target="https://x.com/pasifisstate/status/2015022278887825576?t=DyAdMtHkqIEaJhWmsu221g&amp;s=35" TargetMode="External"/><Relationship Id="rId2130" Type="http://schemas.openxmlformats.org/officeDocument/2006/relationships/hyperlink" Target="https://www.facebook.com/permalink.php?story_fbid=pfbid0bin3LMUkBE4nox444rN9xZNxLyaWzv21hxhF1Yj7tMzVNBui2aUGWQY1wZEgQxXjl&amp;id=61581427726113" TargetMode="External"/><Relationship Id="rId2131" Type="http://schemas.openxmlformats.org/officeDocument/2006/relationships/hyperlink" Target="https://www.facebook.com/permalink.php?story_fbid=pfbid0JsnPL3yq9RbjdsTu3P6pqGeD52EMhqXwassJAJeNJJBvZZ8pKTckM8JaCsehzdLql&amp;id=61581427726113" TargetMode="External"/><Relationship Id="rId2132" Type="http://schemas.openxmlformats.org/officeDocument/2006/relationships/hyperlink" Target="https://x.com/trihhh14/status/2016057338923515977" TargetMode="External"/><Relationship Id="rId2133" Type="http://schemas.openxmlformats.org/officeDocument/2006/relationships/hyperlink" Target="https://x.com/yustweet19des22/status/2016055103745368348" TargetMode="External"/><Relationship Id="rId2134" Type="http://schemas.openxmlformats.org/officeDocument/2006/relationships/hyperlink" Target="https://www.facebook.com/groups/3722164358033551/posts/4222655491317766/" TargetMode="External"/><Relationship Id="rId2135" Type="http://schemas.openxmlformats.org/officeDocument/2006/relationships/hyperlink" Target="https://www.facebook.com/groups/3722164358033551/posts/4222632811320034/" TargetMode="External"/><Relationship Id="rId2136" Type="http://schemas.openxmlformats.org/officeDocument/2006/relationships/hyperlink" Target="https://www.tiktok.com/@dualisnasution0/video/7588633989078945045?q=rapat%20dprd%20vasektomi%20sebagai%20syarat%20terima%20bansos&amp;t=1769471104876" TargetMode="External"/><Relationship Id="rId2160" Type="http://schemas.openxmlformats.org/officeDocument/2006/relationships/hyperlink" Target="https://www.facebook.com/dioohs/posts/pfbid075agd6vh51LvcTvEf1k8dyUU15yfXhdRVnGVJtNFAMEjMJXqwoAhRGVbxHWt3RANl" TargetMode="External"/><Relationship Id="rId2161" Type="http://schemas.openxmlformats.org/officeDocument/2006/relationships/hyperlink" Target="https://www.facebook.com/reel/3731813663784345" TargetMode="External"/><Relationship Id="rId2162" Type="http://schemas.openxmlformats.org/officeDocument/2006/relationships/hyperlink" Target="https://x.com/SianiparRismon/status/2014571299759390891" TargetMode="External"/><Relationship Id="rId2163" Type="http://schemas.openxmlformats.org/officeDocument/2006/relationships/hyperlink" Target="https://x.com/PngAdilnR4kyt/status/2014268091786776849" TargetMode="External"/><Relationship Id="rId2164" Type="http://schemas.openxmlformats.org/officeDocument/2006/relationships/hyperlink" Target="https://www.facebook.com/zuchal.jigenryu/posts/pfbid02wNVVwhiPXpEyezMNoHTJLV3SYvSv1Tfq8Www12vaMTYrQFN9FUHUShMBLeeHc82Ll?locale=id_ID" TargetMode="External"/><Relationship Id="rId2165" Type="http://schemas.openxmlformats.org/officeDocument/2006/relationships/hyperlink" Target="https://www.facebook.com/Mas212Mas/posts/pfbid02hz7mawJZkboHLFnVnZJc9SXFED2MvRcxTiSfFdD9Y1cBLhdWw3Y7oavtYK616HDil?locale=id_ID" TargetMode="External"/><Relationship Id="rId2166" Type="http://schemas.openxmlformats.org/officeDocument/2006/relationships/hyperlink" Target="https://www.facebook.com/permalink.php?story_fbid=pfbid02xgcRkxmJc8dx19qopTFnhPr4bLVCQ7HA1yU7gvm1jeS1UVqL2TutNr5Voopz6Jg5l&amp;id=61581381061033&amp;locale=id_ID" TargetMode="External"/><Relationship Id="rId2167" Type="http://schemas.openxmlformats.org/officeDocument/2006/relationships/hyperlink" Target="https://x.com/witchywut/status/2015661963729367337" TargetMode="External"/><Relationship Id="rId2168" Type="http://schemas.openxmlformats.org/officeDocument/2006/relationships/hyperlink" Target="https://x.com/XChenL253/status/2015619968789070082" TargetMode="External"/><Relationship Id="rId2169" Type="http://schemas.openxmlformats.org/officeDocument/2006/relationships/hyperlink" Target="https://x.com/tianlexfor/status/2015475684802744518" TargetMode="External"/><Relationship Id="rId2159" Type="http://schemas.openxmlformats.org/officeDocument/2006/relationships/hyperlink" Target="https://www.facebook.com/anjani.deeandra.9/posts/pfbid02e9DhHHtYx3eFZ3cvDDWQGGFTHLBg3N8qxJHs1D7dMFjfUM4iqDDhZQUni4DNHmrel" TargetMode="External"/><Relationship Id="rId2150" Type="http://schemas.openxmlformats.org/officeDocument/2006/relationships/hyperlink" Target="https://www.tiktok.com/@xray.aceh02/video/7599361105386802452" TargetMode="External"/><Relationship Id="rId2151" Type="http://schemas.openxmlformats.org/officeDocument/2006/relationships/hyperlink" Target="https://www.tiktok.com/@acehmardeka90/video/7599341842840259858" TargetMode="External"/><Relationship Id="rId2152" Type="http://schemas.openxmlformats.org/officeDocument/2006/relationships/hyperlink" Target="https://www.tiktok.com/@tutiarahmi140/video/7599420681050131719" TargetMode="External"/><Relationship Id="rId2153" Type="http://schemas.openxmlformats.org/officeDocument/2006/relationships/hyperlink" Target="https://x.com/PimpinanPusat/status/2014931113316360376" TargetMode="External"/><Relationship Id="rId2154" Type="http://schemas.openxmlformats.org/officeDocument/2006/relationships/hyperlink" Target="https://x.com/Offcial_Har/status/2014942821808275764" TargetMode="External"/><Relationship Id="rId2155" Type="http://schemas.openxmlformats.org/officeDocument/2006/relationships/hyperlink" Target="https://x.com/YGundero35921/status/2014946110293610811" TargetMode="External"/><Relationship Id="rId2156" Type="http://schemas.openxmlformats.org/officeDocument/2006/relationships/hyperlink" Target="https://x.com/NHenryp29864/status/2014927935908807138" TargetMode="External"/><Relationship Id="rId2157" Type="http://schemas.openxmlformats.org/officeDocument/2006/relationships/hyperlink" Target="https://x.com/jagabanyu169/status/2014945510822707445" TargetMode="External"/><Relationship Id="rId2158" Type="http://schemas.openxmlformats.org/officeDocument/2006/relationships/hyperlink" Target="https://www.facebook.com/permalink.php?story_fbid=pfbid0Q8oiddgAQCefZDeuKMkBJhMzNQt4uubERyAP7vKNCPshkPoFRPA8c9YVPha8m2Arl&amp;id=100057102564272" TargetMode="External"/><Relationship Id="rId2104" Type="http://schemas.openxmlformats.org/officeDocument/2006/relationships/hyperlink" Target="https://x.com/infoterrupdate/status/2009930920925770043" TargetMode="External"/><Relationship Id="rId2105" Type="http://schemas.openxmlformats.org/officeDocument/2006/relationships/hyperlink" Target="https://x.com/astroharis/status/2010366277660119045" TargetMode="External"/><Relationship Id="rId2106" Type="http://schemas.openxmlformats.org/officeDocument/2006/relationships/hyperlink" Target="https://x.com/salehali2019/status/2015996523029655720" TargetMode="External"/><Relationship Id="rId2107" Type="http://schemas.openxmlformats.org/officeDocument/2006/relationships/hyperlink" Target="https://x.com/jogjaplaza/status/2015747000633786649" TargetMode="External"/><Relationship Id="rId2108" Type="http://schemas.openxmlformats.org/officeDocument/2006/relationships/hyperlink" Target="https://x.com/jogjaplaza/status/2015830849380389076" TargetMode="External"/><Relationship Id="rId2109" Type="http://schemas.openxmlformats.org/officeDocument/2006/relationships/hyperlink" Target="https://www.facebook.com/groups/3722164358033551/posts/4222738754642773/" TargetMode="External"/><Relationship Id="rId2100" Type="http://schemas.openxmlformats.org/officeDocument/2006/relationships/hyperlink" Target="https://x.com/depressedlabubu/status/2015712432069730515" TargetMode="External"/><Relationship Id="rId2101" Type="http://schemas.openxmlformats.org/officeDocument/2006/relationships/hyperlink" Target="https://x.com/TheCreatorSF/status/2012711250367795679" TargetMode="External"/><Relationship Id="rId2102" Type="http://schemas.openxmlformats.org/officeDocument/2006/relationships/hyperlink" Target="https://x.com/Alf90596480/status/2009154533172375774" TargetMode="External"/><Relationship Id="rId2103" Type="http://schemas.openxmlformats.org/officeDocument/2006/relationships/hyperlink" Target="https://x.com/esjeruk_panas_/status/2009214483974246424" TargetMode="External"/><Relationship Id="rId899" Type="http://schemas.openxmlformats.org/officeDocument/2006/relationships/hyperlink" Target="https://www.facebook.com/permalink.php?story_fbid=pfbid0hvU48NHzMapVAXMDzNQFbhCKqikMLWtXsozd68TiRT1Kboknq1dGmN7UAc71ULJzl&amp;id=61582344170839" TargetMode="External"/><Relationship Id="rId898" Type="http://schemas.openxmlformats.org/officeDocument/2006/relationships/hyperlink" Target="https://www.tiktok.com/@bolank_905/video/7567002867979128072" TargetMode="External"/><Relationship Id="rId897" Type="http://schemas.openxmlformats.org/officeDocument/2006/relationships/hyperlink" Target="https://www.tiktok.com/@ayah_bellvandra/video/7568393655891905799" TargetMode="External"/><Relationship Id="rId896" Type="http://schemas.openxmlformats.org/officeDocument/2006/relationships/hyperlink" Target="https://www.tiktok.com/@rozyfadhila91/video/7550310472189250821" TargetMode="External"/><Relationship Id="rId891" Type="http://schemas.openxmlformats.org/officeDocument/2006/relationships/hyperlink" Target="https://vt.tiktok.com/ZSySF4fRs/" TargetMode="External"/><Relationship Id="rId890" Type="http://schemas.openxmlformats.org/officeDocument/2006/relationships/hyperlink" Target="https://vt.tiktok.com/ZSySFHE3r/" TargetMode="External"/><Relationship Id="rId895" Type="http://schemas.openxmlformats.org/officeDocument/2006/relationships/hyperlink" Target="https://x.com/YGundero35921/status/1985352182800203898" TargetMode="External"/><Relationship Id="rId894" Type="http://schemas.openxmlformats.org/officeDocument/2006/relationships/hyperlink" Target="https://x.com/cilayuwu/status/1985231130560507924" TargetMode="External"/><Relationship Id="rId893" Type="http://schemas.openxmlformats.org/officeDocument/2006/relationships/hyperlink" Target="https://vt.tiktok.com/ZSySFxo72/" TargetMode="External"/><Relationship Id="rId892" Type="http://schemas.openxmlformats.org/officeDocument/2006/relationships/hyperlink" Target="https://vt.tiktok.com/ZSySFPFa3/" TargetMode="External"/><Relationship Id="rId2126" Type="http://schemas.openxmlformats.org/officeDocument/2006/relationships/hyperlink" Target="https://www.facebook.com/photo/?fbid=25539694262378135&amp;set=g.2479676585560598" TargetMode="External"/><Relationship Id="rId2127" Type="http://schemas.openxmlformats.org/officeDocument/2006/relationships/hyperlink" Target="https://www.facebook.com/permalink.php?story_fbid=pfbid02ZjtPigxaG3Tout3zFb6tFEd361JHjVhaYMzsXgpN8YvCJxYkV87BsH2GXst3pDKSl&amp;id=61581427726113" TargetMode="External"/><Relationship Id="rId2128" Type="http://schemas.openxmlformats.org/officeDocument/2006/relationships/hyperlink" Target="https://www.facebook.com/permalink.php?story_fbid=pfbid0FShAUb6gj17zhnUfLZLTmw42GZfjuxVUPoE6XzyJSVJhgAoTf5dEduWwQWaDXPeZl&amp;id=61581427726113" TargetMode="External"/><Relationship Id="rId2129" Type="http://schemas.openxmlformats.org/officeDocument/2006/relationships/hyperlink" Target="https://www.facebook.com/reel/25958118290480196" TargetMode="External"/><Relationship Id="rId2120" Type="http://schemas.openxmlformats.org/officeDocument/2006/relationships/hyperlink" Target="https://www.facebook.com/photo/?fbid=1239275774806248&amp;set=g.2479676585560598" TargetMode="External"/><Relationship Id="rId2121" Type="http://schemas.openxmlformats.org/officeDocument/2006/relationships/hyperlink" Target="https://www.facebook.com/photo/?fbid=1648586696102992&amp;set=g.2479676585560598" TargetMode="External"/><Relationship Id="rId2122" Type="http://schemas.openxmlformats.org/officeDocument/2006/relationships/hyperlink" Target="https://www.facebook.com/photo/?fbid=918643857513475&amp;set=g.2479676585560598" TargetMode="External"/><Relationship Id="rId2123" Type="http://schemas.openxmlformats.org/officeDocument/2006/relationships/hyperlink" Target="https://www.facebook.com/photo/?fbid=870705435572979&amp;set=g.2479676585560598" TargetMode="External"/><Relationship Id="rId2124" Type="http://schemas.openxmlformats.org/officeDocument/2006/relationships/hyperlink" Target="https://www.facebook.com/photo/?fbid=1238630351537457&amp;set=g.2479676585560598" TargetMode="External"/><Relationship Id="rId2125" Type="http://schemas.openxmlformats.org/officeDocument/2006/relationships/hyperlink" Target="https://www.facebook.com/photo/?fbid=122288298002019985&amp;set=g.2479676585560598" TargetMode="External"/><Relationship Id="rId2115" Type="http://schemas.openxmlformats.org/officeDocument/2006/relationships/hyperlink" Target="https://www.facebook.com/groups/516567062999394/posts/1385084332814325" TargetMode="External"/><Relationship Id="rId2116" Type="http://schemas.openxmlformats.org/officeDocument/2006/relationships/hyperlink" Target="https://www.facebook.com/sofhianbinumar/posts/pfbid0v2QfaVFtrmR8pm812TLw3ihLmWyWKnVKb5xzNNZrCVgjXnW1MF5s5GH1roGeRvCrl" TargetMode="External"/><Relationship Id="rId2117" Type="http://schemas.openxmlformats.org/officeDocument/2006/relationships/hyperlink" Target="https://www.facebook.com/photo/?fbid=871243098852546&amp;set=g.2479676585560598" TargetMode="External"/><Relationship Id="rId2118" Type="http://schemas.openxmlformats.org/officeDocument/2006/relationships/hyperlink" Target="https://www.facebook.com/photo/?fbid=122246600678255117&amp;set=g.2479676585560598" TargetMode="External"/><Relationship Id="rId2119" Type="http://schemas.openxmlformats.org/officeDocument/2006/relationships/hyperlink" Target="https://www.facebook.com/photo/?fbid=871187502191439&amp;set=g.2479676585560598" TargetMode="External"/><Relationship Id="rId2110" Type="http://schemas.openxmlformats.org/officeDocument/2006/relationships/hyperlink" Target="https://www.facebook.com/groups/1259455747553622/?multi_permalinks=3382188468613662&amp;hoisted_section_header_type=recently_seen" TargetMode="External"/><Relationship Id="rId2111" Type="http://schemas.openxmlformats.org/officeDocument/2006/relationships/hyperlink" Target="https://x.com/secr3thm4nz56/status/2015977111056720156" TargetMode="External"/><Relationship Id="rId2112" Type="http://schemas.openxmlformats.org/officeDocument/2006/relationships/hyperlink" Target="https://x.com/SianiparRismon/status/2014218243649765596" TargetMode="External"/><Relationship Id="rId2113" Type="http://schemas.openxmlformats.org/officeDocument/2006/relationships/hyperlink" Target="https://x.com/SianiparRismon/status/2013828010710065619" TargetMode="External"/><Relationship Id="rId2114" Type="http://schemas.openxmlformats.org/officeDocument/2006/relationships/hyperlink" Target="https://www.facebook.com/groups/516567062999394/posts/138598791272396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4.0"/>
    <col customWidth="1" min="3" max="3" width="18.13"/>
  </cols>
  <sheetData>
    <row r="1">
      <c r="A1" s="1" t="s">
        <v>0</v>
      </c>
      <c r="B1" s="2" t="s">
        <v>1</v>
      </c>
      <c r="C1" s="3" t="s">
        <v>2</v>
      </c>
      <c r="D1" s="4"/>
      <c r="E1" s="4"/>
      <c r="F1" s="4"/>
      <c r="G1" s="4"/>
      <c r="H1" s="4"/>
      <c r="I1" s="4"/>
      <c r="J1" s="4"/>
      <c r="M1" s="4"/>
      <c r="N1" s="4"/>
      <c r="O1" s="4"/>
      <c r="P1" s="4"/>
      <c r="Q1" s="4"/>
      <c r="R1" s="4"/>
      <c r="S1" s="4"/>
      <c r="T1" s="4"/>
      <c r="U1" s="4"/>
      <c r="V1" s="4"/>
      <c r="W1" s="4"/>
      <c r="X1" s="4"/>
      <c r="Y1" s="4"/>
      <c r="Z1" s="4"/>
    </row>
    <row r="2">
      <c r="A2" s="5">
        <v>45905.0</v>
      </c>
      <c r="B2" s="6" t="s">
        <v>3</v>
      </c>
    </row>
    <row r="3">
      <c r="A3" s="5">
        <v>45906.0</v>
      </c>
      <c r="B3" s="7" t="s">
        <v>4</v>
      </c>
      <c r="C3" s="8" t="b">
        <v>1</v>
      </c>
    </row>
    <row r="4">
      <c r="A4" s="5">
        <v>45907.0</v>
      </c>
      <c r="B4" s="9" t="s">
        <v>5</v>
      </c>
      <c r="C4" s="8" t="b">
        <v>1</v>
      </c>
    </row>
    <row r="5">
      <c r="A5" s="5">
        <v>45908.0</v>
      </c>
      <c r="B5" s="9" t="s">
        <v>6</v>
      </c>
      <c r="C5" s="8" t="b">
        <v>0</v>
      </c>
      <c r="D5" s="8" t="s">
        <v>7</v>
      </c>
    </row>
    <row r="6">
      <c r="A6" s="5">
        <v>45909.0</v>
      </c>
      <c r="B6" s="7" t="s">
        <v>8</v>
      </c>
      <c r="C6" s="8" t="b">
        <v>1</v>
      </c>
    </row>
    <row r="7">
      <c r="A7" s="5">
        <v>45910.0</v>
      </c>
      <c r="B7" s="7" t="s">
        <v>9</v>
      </c>
      <c r="C7" s="8" t="b">
        <v>1</v>
      </c>
    </row>
    <row r="8">
      <c r="A8" s="5">
        <v>45911.0</v>
      </c>
      <c r="B8" s="7" t="s">
        <v>10</v>
      </c>
      <c r="C8" s="8" t="b">
        <v>1</v>
      </c>
    </row>
    <row r="9">
      <c r="A9" s="5">
        <v>45912.0</v>
      </c>
      <c r="B9" s="7" t="s">
        <v>11</v>
      </c>
      <c r="C9" s="8" t="b">
        <v>1</v>
      </c>
    </row>
    <row r="10">
      <c r="A10" s="5">
        <v>45913.0</v>
      </c>
      <c r="B10" s="7" t="s">
        <v>12</v>
      </c>
      <c r="C10" s="8" t="b">
        <v>1</v>
      </c>
    </row>
    <row r="11">
      <c r="A11" s="5">
        <v>45914.0</v>
      </c>
      <c r="B11" s="7" t="s">
        <v>13</v>
      </c>
      <c r="C11" s="8" t="b">
        <v>1</v>
      </c>
    </row>
    <row r="12">
      <c r="A12" s="5">
        <v>45915.0</v>
      </c>
      <c r="B12" s="7" t="s">
        <v>14</v>
      </c>
      <c r="C12" s="8" t="b">
        <v>1</v>
      </c>
    </row>
    <row r="13">
      <c r="A13" s="5">
        <v>45916.0</v>
      </c>
      <c r="B13" s="7" t="s">
        <v>15</v>
      </c>
      <c r="C13" s="8" t="b">
        <v>1</v>
      </c>
    </row>
    <row r="14">
      <c r="A14" s="5">
        <v>45917.0</v>
      </c>
      <c r="B14" s="7" t="s">
        <v>16</v>
      </c>
      <c r="C14" s="8" t="b">
        <v>1</v>
      </c>
    </row>
    <row r="15">
      <c r="A15" s="5">
        <v>45918.0</v>
      </c>
      <c r="B15" s="7" t="s">
        <v>17</v>
      </c>
      <c r="C15" s="8" t="b">
        <v>1</v>
      </c>
    </row>
    <row r="16">
      <c r="A16" s="5">
        <v>45919.0</v>
      </c>
      <c r="B16" s="7" t="s">
        <v>18</v>
      </c>
      <c r="C16" s="8" t="b">
        <v>1</v>
      </c>
    </row>
    <row r="17">
      <c r="A17" s="5">
        <v>45920.0</v>
      </c>
      <c r="B17" s="7" t="s">
        <v>19</v>
      </c>
      <c r="C17" s="8" t="b">
        <v>1</v>
      </c>
    </row>
    <row r="18">
      <c r="A18" s="5">
        <v>45921.0</v>
      </c>
      <c r="B18" s="7" t="s">
        <v>20</v>
      </c>
      <c r="C18" s="8" t="b">
        <v>1</v>
      </c>
    </row>
    <row r="19">
      <c r="A19" s="5">
        <v>45922.0</v>
      </c>
      <c r="B19" s="7" t="s">
        <v>21</v>
      </c>
      <c r="C19" s="8" t="b">
        <v>1</v>
      </c>
    </row>
    <row r="20">
      <c r="A20" s="5">
        <v>45923.0</v>
      </c>
      <c r="B20" s="7" t="s">
        <v>22</v>
      </c>
      <c r="C20" s="8" t="b">
        <v>1</v>
      </c>
    </row>
    <row r="21">
      <c r="A21" s="5">
        <v>45924.0</v>
      </c>
      <c r="B21" s="7" t="s">
        <v>23</v>
      </c>
      <c r="C21" s="8" t="b">
        <v>1</v>
      </c>
    </row>
    <row r="22">
      <c r="A22" s="5">
        <v>45925.0</v>
      </c>
      <c r="B22" s="7" t="s">
        <v>24</v>
      </c>
      <c r="C22" s="8" t="b">
        <v>1</v>
      </c>
    </row>
    <row r="23">
      <c r="A23" s="5">
        <v>45926.0</v>
      </c>
      <c r="B23" s="7" t="s">
        <v>25</v>
      </c>
      <c r="C23" s="8" t="b">
        <v>1</v>
      </c>
    </row>
    <row r="24">
      <c r="A24" s="5">
        <v>45927.0</v>
      </c>
      <c r="B24" s="7" t="s">
        <v>26</v>
      </c>
      <c r="C24" s="8" t="b">
        <v>1</v>
      </c>
    </row>
    <row r="25">
      <c r="A25" s="5">
        <v>45928.0</v>
      </c>
      <c r="B25" s="7" t="s">
        <v>27</v>
      </c>
      <c r="C25" s="8" t="b">
        <v>1</v>
      </c>
    </row>
    <row r="26">
      <c r="A26" s="5">
        <v>45929.0</v>
      </c>
      <c r="B26" s="7" t="s">
        <v>28</v>
      </c>
      <c r="C26" s="8" t="b">
        <v>1</v>
      </c>
    </row>
    <row r="27">
      <c r="A27" s="5">
        <v>45930.0</v>
      </c>
      <c r="B27" s="7" t="s">
        <v>29</v>
      </c>
      <c r="C27" s="8" t="b">
        <v>1</v>
      </c>
    </row>
    <row r="28">
      <c r="A28" s="5">
        <v>45931.0</v>
      </c>
      <c r="B28" s="7" t="s">
        <v>30</v>
      </c>
      <c r="C28" s="8" t="b">
        <v>1</v>
      </c>
    </row>
    <row r="29">
      <c r="A29" s="5">
        <v>45932.0</v>
      </c>
      <c r="B29" s="7" t="s">
        <v>31</v>
      </c>
      <c r="C29" s="8" t="b">
        <v>1</v>
      </c>
    </row>
    <row r="30">
      <c r="A30" s="5">
        <v>45933.0</v>
      </c>
      <c r="B30" s="7" t="s">
        <v>32</v>
      </c>
      <c r="C30" s="8" t="b">
        <v>1</v>
      </c>
    </row>
    <row r="31">
      <c r="A31" s="5">
        <v>45934.0</v>
      </c>
      <c r="B31" s="7" t="s">
        <v>33</v>
      </c>
      <c r="C31" s="8" t="b">
        <v>1</v>
      </c>
    </row>
    <row r="32">
      <c r="A32" s="5">
        <v>45935.0</v>
      </c>
      <c r="B32" s="7" t="s">
        <v>34</v>
      </c>
      <c r="C32" s="8" t="b">
        <v>1</v>
      </c>
    </row>
    <row r="33">
      <c r="A33" s="5">
        <v>45936.0</v>
      </c>
      <c r="B33" s="7" t="s">
        <v>35</v>
      </c>
      <c r="C33" s="8" t="b">
        <v>1</v>
      </c>
    </row>
    <row r="34">
      <c r="A34" s="5">
        <v>45937.0</v>
      </c>
      <c r="B34" s="7" t="s">
        <v>36</v>
      </c>
      <c r="C34" s="8" t="b">
        <v>1</v>
      </c>
    </row>
    <row r="35">
      <c r="A35" s="5">
        <v>45938.0</v>
      </c>
      <c r="B35" s="7" t="s">
        <v>37</v>
      </c>
      <c r="C35" s="8" t="b">
        <v>1</v>
      </c>
    </row>
    <row r="36">
      <c r="A36" s="5">
        <v>45939.0</v>
      </c>
      <c r="B36" s="7" t="s">
        <v>38</v>
      </c>
      <c r="C36" s="8" t="b">
        <v>1</v>
      </c>
    </row>
    <row r="37">
      <c r="A37" s="5">
        <v>45940.0</v>
      </c>
      <c r="B37" s="7" t="s">
        <v>39</v>
      </c>
      <c r="C37" s="8" t="b">
        <v>1</v>
      </c>
    </row>
    <row r="38">
      <c r="A38" s="5">
        <v>45941.0</v>
      </c>
      <c r="B38" s="7" t="s">
        <v>40</v>
      </c>
      <c r="C38" s="8" t="b">
        <v>1</v>
      </c>
    </row>
    <row r="39">
      <c r="A39" s="5">
        <v>45942.0</v>
      </c>
      <c r="B39" s="7" t="s">
        <v>41</v>
      </c>
      <c r="C39" s="8" t="b">
        <v>1</v>
      </c>
    </row>
    <row r="40">
      <c r="A40" s="5">
        <v>45943.0</v>
      </c>
      <c r="B40" s="7" t="s">
        <v>42</v>
      </c>
      <c r="C40" s="8" t="b">
        <v>1</v>
      </c>
    </row>
    <row r="41">
      <c r="A41" s="5">
        <v>45944.0</v>
      </c>
      <c r="B41" s="7" t="s">
        <v>43</v>
      </c>
      <c r="C41" s="8" t="b">
        <v>1</v>
      </c>
    </row>
    <row r="42">
      <c r="A42" s="5">
        <v>45945.0</v>
      </c>
      <c r="B42" s="7" t="s">
        <v>44</v>
      </c>
      <c r="C42" s="8" t="b">
        <v>1</v>
      </c>
    </row>
    <row r="43">
      <c r="A43" s="5">
        <v>45946.0</v>
      </c>
      <c r="B43" s="7" t="s">
        <v>45</v>
      </c>
      <c r="C43" s="8" t="b">
        <v>1</v>
      </c>
    </row>
    <row r="44">
      <c r="A44" s="5">
        <v>45947.0</v>
      </c>
      <c r="B44" s="7" t="s">
        <v>46</v>
      </c>
      <c r="C44" s="8" t="b">
        <v>1</v>
      </c>
    </row>
    <row r="45">
      <c r="A45" s="5">
        <v>45948.0</v>
      </c>
      <c r="B45" s="7" t="s">
        <v>47</v>
      </c>
      <c r="C45" s="8" t="b">
        <v>1</v>
      </c>
    </row>
    <row r="46">
      <c r="A46" s="5">
        <v>45949.0</v>
      </c>
      <c r="B46" s="7" t="s">
        <v>48</v>
      </c>
      <c r="C46" s="8" t="b">
        <v>1</v>
      </c>
    </row>
    <row r="47">
      <c r="A47" s="5">
        <v>45950.0</v>
      </c>
      <c r="B47" s="7" t="s">
        <v>49</v>
      </c>
      <c r="C47" s="8" t="b">
        <v>1</v>
      </c>
    </row>
    <row r="48">
      <c r="A48" s="5">
        <v>45951.0</v>
      </c>
      <c r="B48" s="7" t="s">
        <v>50</v>
      </c>
      <c r="C48" s="8" t="b">
        <v>1</v>
      </c>
    </row>
    <row r="49">
      <c r="A49" s="5">
        <v>45952.0</v>
      </c>
      <c r="B49" s="7" t="s">
        <v>51</v>
      </c>
      <c r="C49" s="8" t="b">
        <v>1</v>
      </c>
    </row>
    <row r="50">
      <c r="A50" s="5">
        <v>45953.0</v>
      </c>
      <c r="B50" s="7" t="s">
        <v>52</v>
      </c>
      <c r="C50" s="8" t="b">
        <v>1</v>
      </c>
    </row>
    <row r="51">
      <c r="A51" s="5">
        <v>45954.0</v>
      </c>
      <c r="B51" s="7" t="s">
        <v>53</v>
      </c>
      <c r="C51" s="8" t="b">
        <v>1</v>
      </c>
    </row>
    <row r="52">
      <c r="A52" s="5">
        <v>45955.0</v>
      </c>
      <c r="B52" s="7" t="s">
        <v>54</v>
      </c>
      <c r="C52" s="8" t="b">
        <v>1</v>
      </c>
    </row>
    <row r="53">
      <c r="A53" s="5">
        <v>45956.0</v>
      </c>
      <c r="B53" s="7" t="s">
        <v>55</v>
      </c>
      <c r="C53" s="8" t="b">
        <v>1</v>
      </c>
    </row>
    <row r="54">
      <c r="A54" s="5">
        <v>45957.0</v>
      </c>
      <c r="B54" s="7" t="s">
        <v>56</v>
      </c>
      <c r="C54" s="8" t="b">
        <v>1</v>
      </c>
    </row>
    <row r="55">
      <c r="A55" s="5">
        <v>45958.0</v>
      </c>
      <c r="B55" s="7" t="s">
        <v>57</v>
      </c>
      <c r="C55" s="8" t="b">
        <v>1</v>
      </c>
    </row>
    <row r="56">
      <c r="A56" s="5">
        <v>45959.0</v>
      </c>
      <c r="B56" s="7" t="s">
        <v>58</v>
      </c>
      <c r="C56" s="8" t="b">
        <v>1</v>
      </c>
    </row>
    <row r="57">
      <c r="A57" s="5">
        <v>45960.0</v>
      </c>
      <c r="B57" s="7" t="s">
        <v>59</v>
      </c>
      <c r="C57" s="8" t="b">
        <v>1</v>
      </c>
    </row>
    <row r="58">
      <c r="A58" s="5">
        <v>45961.0</v>
      </c>
      <c r="B58" s="7" t="s">
        <v>60</v>
      </c>
      <c r="C58" s="8" t="b">
        <v>1</v>
      </c>
    </row>
    <row r="59">
      <c r="A59" s="5">
        <v>45962.0</v>
      </c>
      <c r="B59" s="7" t="s">
        <v>61</v>
      </c>
      <c r="C59" s="8" t="b">
        <v>1</v>
      </c>
    </row>
    <row r="60">
      <c r="A60" s="5">
        <v>45963.0</v>
      </c>
      <c r="B60" s="7" t="s">
        <v>62</v>
      </c>
      <c r="C60" s="8" t="b">
        <v>1</v>
      </c>
    </row>
    <row r="61">
      <c r="A61" s="5">
        <v>45964.0</v>
      </c>
      <c r="B61" s="7" t="s">
        <v>63</v>
      </c>
      <c r="C61" s="8" t="b">
        <v>1</v>
      </c>
    </row>
    <row r="62">
      <c r="A62" s="5">
        <v>45965.0</v>
      </c>
      <c r="B62" s="7" t="s">
        <v>64</v>
      </c>
      <c r="C62" s="8" t="b">
        <v>1</v>
      </c>
    </row>
    <row r="63">
      <c r="A63" s="5">
        <v>45966.0</v>
      </c>
      <c r="B63" s="7" t="s">
        <v>65</v>
      </c>
      <c r="C63" s="8" t="b">
        <v>1</v>
      </c>
    </row>
    <row r="64">
      <c r="A64" s="5">
        <v>45967.0</v>
      </c>
      <c r="B64" s="7" t="s">
        <v>66</v>
      </c>
      <c r="C64" s="8" t="b">
        <v>1</v>
      </c>
    </row>
    <row r="65">
      <c r="A65" s="5">
        <v>45968.0</v>
      </c>
      <c r="B65" s="7" t="s">
        <v>67</v>
      </c>
      <c r="C65" s="8" t="b">
        <v>1</v>
      </c>
    </row>
    <row r="66">
      <c r="A66" s="5">
        <v>45969.0</v>
      </c>
      <c r="B66" s="7" t="s">
        <v>68</v>
      </c>
      <c r="C66" s="8" t="b">
        <v>1</v>
      </c>
    </row>
    <row r="67">
      <c r="A67" s="5">
        <v>45970.0</v>
      </c>
      <c r="B67" s="7" t="s">
        <v>69</v>
      </c>
      <c r="C67" s="8" t="b">
        <v>1</v>
      </c>
    </row>
    <row r="68">
      <c r="A68" s="5">
        <v>45971.0</v>
      </c>
      <c r="B68" s="7" t="s">
        <v>70</v>
      </c>
      <c r="C68" s="8" t="b">
        <v>1</v>
      </c>
    </row>
    <row r="69">
      <c r="A69" s="5">
        <v>45972.0</v>
      </c>
      <c r="B69" s="7" t="s">
        <v>71</v>
      </c>
      <c r="C69" s="8" t="b">
        <v>1</v>
      </c>
    </row>
    <row r="70">
      <c r="A70" s="5">
        <v>45973.0</v>
      </c>
      <c r="B70" s="7" t="s">
        <v>72</v>
      </c>
      <c r="C70" s="8" t="b">
        <v>1</v>
      </c>
    </row>
    <row r="71">
      <c r="A71" s="5">
        <v>45974.0</v>
      </c>
      <c r="B71" s="7" t="s">
        <v>73</v>
      </c>
      <c r="C71" s="8" t="b">
        <v>1</v>
      </c>
    </row>
    <row r="72">
      <c r="A72" s="5">
        <v>45975.0</v>
      </c>
      <c r="B72" s="7" t="s">
        <v>74</v>
      </c>
      <c r="C72" s="8" t="b">
        <v>1</v>
      </c>
    </row>
    <row r="73">
      <c r="A73" s="5">
        <v>45976.0</v>
      </c>
      <c r="B73" s="7" t="s">
        <v>75</v>
      </c>
      <c r="C73" s="8" t="b">
        <v>1</v>
      </c>
    </row>
    <row r="74">
      <c r="A74" s="5">
        <v>45977.0</v>
      </c>
      <c r="B74" s="7" t="s">
        <v>76</v>
      </c>
      <c r="C74" s="8" t="b">
        <v>1</v>
      </c>
    </row>
    <row r="75">
      <c r="A75" s="5">
        <v>45978.0</v>
      </c>
      <c r="B75" s="7" t="s">
        <v>77</v>
      </c>
      <c r="C75" s="8" t="b">
        <v>1</v>
      </c>
    </row>
    <row r="76">
      <c r="A76" s="5">
        <v>45979.0</v>
      </c>
      <c r="B76" s="7" t="s">
        <v>78</v>
      </c>
      <c r="C76" s="8" t="b">
        <v>1</v>
      </c>
    </row>
    <row r="77">
      <c r="A77" s="5">
        <v>45980.0</v>
      </c>
      <c r="B77" s="7" t="s">
        <v>79</v>
      </c>
      <c r="C77" s="8" t="b">
        <v>1</v>
      </c>
    </row>
    <row r="78">
      <c r="A78" s="5">
        <v>45981.0</v>
      </c>
      <c r="B78" s="7" t="s">
        <v>80</v>
      </c>
      <c r="C78" s="8" t="b">
        <v>1</v>
      </c>
    </row>
    <row r="79">
      <c r="A79" s="5">
        <v>45982.0</v>
      </c>
      <c r="B79" s="7" t="s">
        <v>81</v>
      </c>
      <c r="C79" s="8" t="b">
        <v>1</v>
      </c>
    </row>
    <row r="80">
      <c r="A80" s="5">
        <v>45983.0</v>
      </c>
      <c r="B80" s="7" t="s">
        <v>82</v>
      </c>
      <c r="C80" s="8" t="b">
        <v>1</v>
      </c>
    </row>
    <row r="81">
      <c r="A81" s="5">
        <v>45984.0</v>
      </c>
      <c r="B81" s="7" t="s">
        <v>83</v>
      </c>
      <c r="C81" s="8" t="b">
        <v>1</v>
      </c>
    </row>
    <row r="82">
      <c r="A82" s="5">
        <v>45985.0</v>
      </c>
      <c r="B82" s="7" t="s">
        <v>84</v>
      </c>
      <c r="C82" s="8" t="b">
        <v>1</v>
      </c>
    </row>
    <row r="83">
      <c r="A83" s="5">
        <v>45986.0</v>
      </c>
      <c r="B83" s="7" t="s">
        <v>85</v>
      </c>
      <c r="C83" s="8" t="b">
        <v>1</v>
      </c>
    </row>
    <row r="84">
      <c r="A84" s="5">
        <v>45987.0</v>
      </c>
      <c r="B84" s="7" t="s">
        <v>86</v>
      </c>
      <c r="C84" s="8" t="b">
        <v>1</v>
      </c>
    </row>
    <row r="85">
      <c r="A85" s="5">
        <v>45988.0</v>
      </c>
      <c r="B85" s="7" t="s">
        <v>87</v>
      </c>
      <c r="C85" s="8" t="b">
        <v>1</v>
      </c>
    </row>
    <row r="86">
      <c r="A86" s="5">
        <v>45989.0</v>
      </c>
      <c r="B86" s="7" t="s">
        <v>88</v>
      </c>
      <c r="C86" s="8" t="b">
        <v>1</v>
      </c>
    </row>
    <row r="87">
      <c r="A87" s="5">
        <v>45990.0</v>
      </c>
      <c r="B87" s="7" t="s">
        <v>89</v>
      </c>
      <c r="C87" s="8" t="b">
        <v>1</v>
      </c>
    </row>
    <row r="88">
      <c r="A88" s="5">
        <v>45991.0</v>
      </c>
      <c r="B88" s="7" t="s">
        <v>90</v>
      </c>
      <c r="C88" s="8" t="b">
        <v>1</v>
      </c>
    </row>
    <row r="89">
      <c r="A89" s="5">
        <v>45992.0</v>
      </c>
      <c r="B89" s="7" t="s">
        <v>91</v>
      </c>
      <c r="C89" s="8" t="b">
        <v>1</v>
      </c>
    </row>
    <row r="90">
      <c r="A90" s="5">
        <v>45993.0</v>
      </c>
      <c r="B90" s="7" t="s">
        <v>92</v>
      </c>
      <c r="C90" s="8" t="b">
        <v>1</v>
      </c>
    </row>
    <row r="91">
      <c r="A91" s="5">
        <v>45994.0</v>
      </c>
      <c r="B91" s="7" t="s">
        <v>93</v>
      </c>
      <c r="C91" s="8" t="b">
        <v>1</v>
      </c>
    </row>
    <row r="92">
      <c r="A92" s="5">
        <v>45995.0</v>
      </c>
      <c r="B92" s="7" t="s">
        <v>94</v>
      </c>
      <c r="C92" s="8" t="b">
        <v>1</v>
      </c>
    </row>
    <row r="93">
      <c r="A93" s="5">
        <v>45996.0</v>
      </c>
      <c r="B93" s="7" t="s">
        <v>95</v>
      </c>
      <c r="C93" s="8" t="b">
        <v>1</v>
      </c>
    </row>
    <row r="94">
      <c r="A94" s="5">
        <v>45997.0</v>
      </c>
      <c r="B94" s="7" t="s">
        <v>96</v>
      </c>
      <c r="C94" s="8" t="b">
        <v>1</v>
      </c>
    </row>
    <row r="95">
      <c r="A95" s="5">
        <v>45998.0</v>
      </c>
      <c r="B95" s="7" t="s">
        <v>97</v>
      </c>
      <c r="C95" s="8" t="b">
        <v>1</v>
      </c>
    </row>
    <row r="96">
      <c r="A96" s="5">
        <v>45999.0</v>
      </c>
      <c r="B96" s="7" t="s">
        <v>98</v>
      </c>
      <c r="C96" s="8" t="b">
        <v>1</v>
      </c>
    </row>
    <row r="97">
      <c r="A97" s="5">
        <v>46000.0</v>
      </c>
      <c r="B97" s="7" t="s">
        <v>99</v>
      </c>
      <c r="C97" s="8" t="b">
        <v>1</v>
      </c>
    </row>
    <row r="98">
      <c r="A98" s="5">
        <v>46001.0</v>
      </c>
      <c r="B98" s="7" t="s">
        <v>100</v>
      </c>
      <c r="C98" s="8" t="b">
        <v>1</v>
      </c>
    </row>
    <row r="99">
      <c r="A99" s="5">
        <v>46002.0</v>
      </c>
      <c r="B99" s="7" t="s">
        <v>101</v>
      </c>
      <c r="C99" s="8" t="b">
        <v>1</v>
      </c>
    </row>
    <row r="100">
      <c r="A100" s="5">
        <v>46003.0</v>
      </c>
      <c r="B100" s="7" t="s">
        <v>102</v>
      </c>
      <c r="C100" s="8" t="b">
        <v>1</v>
      </c>
    </row>
    <row r="101">
      <c r="A101" s="5">
        <v>46004.0</v>
      </c>
      <c r="B101" s="7" t="s">
        <v>103</v>
      </c>
      <c r="C101" s="8" t="b">
        <v>1</v>
      </c>
    </row>
    <row r="102">
      <c r="A102" s="5">
        <v>46005.0</v>
      </c>
      <c r="B102" s="7" t="s">
        <v>104</v>
      </c>
      <c r="C102" s="8" t="b">
        <v>1</v>
      </c>
    </row>
    <row r="103">
      <c r="A103" s="5">
        <v>46006.0</v>
      </c>
      <c r="B103" s="7" t="s">
        <v>105</v>
      </c>
      <c r="C103" s="8" t="b">
        <v>1</v>
      </c>
    </row>
    <row r="104">
      <c r="A104" s="5">
        <v>46007.0</v>
      </c>
      <c r="B104" s="7" t="s">
        <v>106</v>
      </c>
      <c r="C104" s="8" t="b">
        <v>1</v>
      </c>
    </row>
    <row r="105">
      <c r="A105" s="5">
        <v>46008.0</v>
      </c>
      <c r="B105" s="7" t="s">
        <v>107</v>
      </c>
      <c r="C105" s="8" t="b">
        <v>1</v>
      </c>
    </row>
    <row r="106">
      <c r="A106" s="5">
        <v>46009.0</v>
      </c>
      <c r="B106" s="7" t="s">
        <v>108</v>
      </c>
      <c r="C106" s="8" t="b">
        <v>1</v>
      </c>
    </row>
    <row r="107">
      <c r="A107" s="5">
        <v>46010.0</v>
      </c>
      <c r="B107" s="7" t="s">
        <v>109</v>
      </c>
      <c r="C107" s="8" t="b">
        <v>1</v>
      </c>
    </row>
    <row r="108">
      <c r="A108" s="5">
        <v>46011.0</v>
      </c>
      <c r="B108" s="7" t="s">
        <v>110</v>
      </c>
      <c r="C108" s="8" t="b">
        <v>1</v>
      </c>
    </row>
    <row r="109">
      <c r="A109" s="5">
        <v>46012.0</v>
      </c>
      <c r="B109" s="7" t="s">
        <v>111</v>
      </c>
      <c r="C109" s="8" t="b">
        <v>1</v>
      </c>
    </row>
    <row r="110">
      <c r="A110" s="5">
        <v>46013.0</v>
      </c>
      <c r="B110" s="7" t="s">
        <v>112</v>
      </c>
      <c r="C110" s="8" t="b">
        <v>1</v>
      </c>
    </row>
    <row r="111">
      <c r="A111" s="5">
        <v>46014.0</v>
      </c>
      <c r="B111" s="7" t="s">
        <v>113</v>
      </c>
      <c r="C111" s="8" t="b">
        <v>1</v>
      </c>
    </row>
    <row r="112">
      <c r="A112" s="5">
        <v>46015.0</v>
      </c>
      <c r="B112" s="7" t="s">
        <v>114</v>
      </c>
      <c r="C112" s="8" t="b">
        <v>1</v>
      </c>
    </row>
    <row r="113">
      <c r="A113" s="5">
        <v>46016.0</v>
      </c>
      <c r="B113" s="7" t="s">
        <v>115</v>
      </c>
      <c r="C113" s="8" t="b">
        <v>1</v>
      </c>
    </row>
    <row r="114">
      <c r="A114" s="5">
        <v>46017.0</v>
      </c>
      <c r="B114" s="7" t="s">
        <v>116</v>
      </c>
      <c r="C114" s="8" t="b">
        <v>1</v>
      </c>
    </row>
    <row r="115">
      <c r="A115" s="5">
        <v>46018.0</v>
      </c>
      <c r="B115" s="7" t="s">
        <v>117</v>
      </c>
      <c r="C115" s="8" t="b">
        <v>1</v>
      </c>
    </row>
    <row r="116">
      <c r="A116" s="5">
        <v>46019.0</v>
      </c>
      <c r="B116" s="7" t="s">
        <v>118</v>
      </c>
      <c r="C116" s="8" t="b">
        <v>1</v>
      </c>
    </row>
    <row r="117">
      <c r="A117" s="5">
        <v>46020.0</v>
      </c>
      <c r="B117" s="7" t="s">
        <v>119</v>
      </c>
      <c r="C117" s="8" t="b">
        <v>1</v>
      </c>
    </row>
    <row r="118">
      <c r="A118" s="5">
        <v>46021.0</v>
      </c>
      <c r="B118" s="7" t="s">
        <v>120</v>
      </c>
      <c r="C118" s="8" t="b">
        <v>1</v>
      </c>
    </row>
    <row r="119">
      <c r="A119" s="5">
        <v>46022.0</v>
      </c>
      <c r="B119" s="7" t="s">
        <v>121</v>
      </c>
      <c r="C119" s="8" t="b">
        <v>1</v>
      </c>
    </row>
    <row r="120">
      <c r="A120" s="5">
        <v>46023.0</v>
      </c>
      <c r="B120" s="7" t="s">
        <v>122</v>
      </c>
      <c r="C120" s="10" t="b">
        <v>0</v>
      </c>
      <c r="D120" s="8" t="s">
        <v>123</v>
      </c>
    </row>
    <row r="121">
      <c r="A121" s="5">
        <v>46024.0</v>
      </c>
      <c r="B121" s="7" t="s">
        <v>124</v>
      </c>
      <c r="C121" s="8" t="b">
        <v>1</v>
      </c>
    </row>
    <row r="122">
      <c r="A122" s="5">
        <v>46025.0</v>
      </c>
      <c r="B122" s="7" t="s">
        <v>125</v>
      </c>
      <c r="C122" s="8" t="b">
        <v>1</v>
      </c>
    </row>
    <row r="123">
      <c r="A123" s="5">
        <v>46026.0</v>
      </c>
      <c r="B123" s="7" t="s">
        <v>126</v>
      </c>
      <c r="C123" s="8" t="b">
        <v>1</v>
      </c>
    </row>
    <row r="124">
      <c r="A124" s="5">
        <v>46027.0</v>
      </c>
      <c r="B124" s="7" t="s">
        <v>127</v>
      </c>
      <c r="C124" s="8" t="b">
        <v>1</v>
      </c>
    </row>
    <row r="125">
      <c r="A125" s="5">
        <v>46028.0</v>
      </c>
      <c r="B125" s="7" t="s">
        <v>128</v>
      </c>
      <c r="C125" s="8" t="b">
        <v>1</v>
      </c>
    </row>
    <row r="126">
      <c r="A126" s="5">
        <v>46029.0</v>
      </c>
      <c r="B126" s="7" t="s">
        <v>129</v>
      </c>
      <c r="C126" s="8" t="b">
        <v>1</v>
      </c>
    </row>
    <row r="127">
      <c r="A127" s="5">
        <v>46030.0</v>
      </c>
      <c r="B127" s="7" t="s">
        <v>130</v>
      </c>
      <c r="C127" s="8" t="b">
        <v>1</v>
      </c>
    </row>
    <row r="128">
      <c r="A128" s="5">
        <v>46031.0</v>
      </c>
      <c r="B128" s="7" t="s">
        <v>131</v>
      </c>
      <c r="C128" s="8" t="b">
        <v>1</v>
      </c>
    </row>
    <row r="129">
      <c r="A129" s="5">
        <v>46032.0</v>
      </c>
      <c r="B129" s="7" t="s">
        <v>132</v>
      </c>
      <c r="C129" s="8" t="b">
        <v>1</v>
      </c>
    </row>
    <row r="130">
      <c r="A130" s="5">
        <v>46033.0</v>
      </c>
      <c r="B130" s="7" t="s">
        <v>133</v>
      </c>
      <c r="C130" s="8" t="b">
        <v>1</v>
      </c>
    </row>
    <row r="131">
      <c r="A131" s="5">
        <v>46034.0</v>
      </c>
      <c r="B131" s="7" t="s">
        <v>134</v>
      </c>
      <c r="C131" s="8" t="b">
        <v>1</v>
      </c>
    </row>
    <row r="132">
      <c r="A132" s="5">
        <v>46035.0</v>
      </c>
      <c r="B132" s="7" t="s">
        <v>135</v>
      </c>
      <c r="C132" s="8" t="b">
        <v>1</v>
      </c>
    </row>
    <row r="133">
      <c r="A133" s="5">
        <v>46036.0</v>
      </c>
      <c r="B133" s="7" t="s">
        <v>136</v>
      </c>
      <c r="C133" s="8" t="b">
        <v>1</v>
      </c>
    </row>
    <row r="134">
      <c r="A134" s="5">
        <v>46037.0</v>
      </c>
      <c r="B134" s="7" t="s">
        <v>137</v>
      </c>
      <c r="C134" s="8" t="b">
        <v>1</v>
      </c>
    </row>
    <row r="135">
      <c r="A135" s="5">
        <v>46038.0</v>
      </c>
      <c r="B135" s="7" t="s">
        <v>138</v>
      </c>
      <c r="C135" s="8" t="b">
        <v>1</v>
      </c>
    </row>
    <row r="136">
      <c r="A136" s="5">
        <v>46039.0</v>
      </c>
      <c r="B136" s="7" t="s">
        <v>139</v>
      </c>
      <c r="C136" s="8" t="b">
        <v>1</v>
      </c>
    </row>
    <row r="137">
      <c r="A137" s="5">
        <v>46040.0</v>
      </c>
      <c r="B137" s="7" t="s">
        <v>140</v>
      </c>
      <c r="C137" s="8" t="b">
        <v>1</v>
      </c>
    </row>
    <row r="138">
      <c r="A138" s="5">
        <v>46041.0</v>
      </c>
      <c r="B138" s="7" t="s">
        <v>141</v>
      </c>
      <c r="C138" s="8" t="b">
        <v>1</v>
      </c>
    </row>
    <row r="139">
      <c r="A139" s="5">
        <v>46042.0</v>
      </c>
      <c r="B139" s="7" t="s">
        <v>142</v>
      </c>
      <c r="C139" s="8" t="b">
        <v>1</v>
      </c>
    </row>
    <row r="140">
      <c r="A140" s="5">
        <v>46043.0</v>
      </c>
      <c r="B140" s="7" t="s">
        <v>143</v>
      </c>
      <c r="C140" s="8" t="b">
        <v>1</v>
      </c>
    </row>
    <row r="141">
      <c r="A141" s="5">
        <v>46044.0</v>
      </c>
      <c r="B141" s="7" t="s">
        <v>144</v>
      </c>
      <c r="C141" s="8" t="b">
        <v>1</v>
      </c>
    </row>
    <row r="142">
      <c r="A142" s="5">
        <v>46045.0</v>
      </c>
      <c r="B142" s="7" t="s">
        <v>145</v>
      </c>
      <c r="C142" s="8" t="b">
        <v>1</v>
      </c>
    </row>
    <row r="143">
      <c r="A143" s="5">
        <v>46046.0</v>
      </c>
      <c r="B143" s="7" t="s">
        <v>146</v>
      </c>
      <c r="C143" s="8" t="b">
        <v>1</v>
      </c>
    </row>
    <row r="144">
      <c r="A144" s="5">
        <v>46047.0</v>
      </c>
      <c r="B144" s="7" t="s">
        <v>147</v>
      </c>
      <c r="C144" s="8" t="b">
        <v>1</v>
      </c>
    </row>
    <row r="145">
      <c r="A145" s="5">
        <v>46048.0</v>
      </c>
      <c r="B145" s="7" t="s">
        <v>148</v>
      </c>
      <c r="C145" s="8" t="b">
        <v>1</v>
      </c>
    </row>
    <row r="146">
      <c r="A146" s="5">
        <v>46049.0</v>
      </c>
      <c r="B146" s="7" t="s">
        <v>149</v>
      </c>
      <c r="C146" s="8" t="b">
        <v>1</v>
      </c>
    </row>
    <row r="147">
      <c r="A147" s="5">
        <v>46050.0</v>
      </c>
      <c r="B147" s="7" t="s">
        <v>150</v>
      </c>
      <c r="C147" s="8" t="b">
        <v>1</v>
      </c>
    </row>
    <row r="148">
      <c r="A148" s="5">
        <v>46051.0</v>
      </c>
      <c r="B148" s="7" t="s">
        <v>151</v>
      </c>
      <c r="C148" s="8" t="b">
        <v>1</v>
      </c>
    </row>
    <row r="149">
      <c r="A149" s="5">
        <v>46052.0</v>
      </c>
      <c r="B149" s="7" t="s">
        <v>152</v>
      </c>
      <c r="C149" s="8" t="b">
        <v>1</v>
      </c>
    </row>
    <row r="150">
      <c r="A150" s="5">
        <v>46053.0</v>
      </c>
      <c r="B150" s="7" t="s">
        <v>153</v>
      </c>
      <c r="C150" s="8" t="b">
        <v>1</v>
      </c>
    </row>
    <row r="151">
      <c r="A151" s="5">
        <v>46054.0</v>
      </c>
      <c r="B151" s="7" t="s">
        <v>154</v>
      </c>
      <c r="C151" s="8" t="b">
        <v>1</v>
      </c>
    </row>
    <row r="152">
      <c r="A152" s="5">
        <v>46055.0</v>
      </c>
      <c r="B152" s="7" t="s">
        <v>155</v>
      </c>
      <c r="C152" s="8" t="b">
        <v>1</v>
      </c>
    </row>
    <row r="153">
      <c r="A153" s="5">
        <v>46056.0</v>
      </c>
      <c r="B153" s="7" t="s">
        <v>156</v>
      </c>
      <c r="C153" s="8" t="b">
        <v>1</v>
      </c>
    </row>
    <row r="154">
      <c r="A154" s="5">
        <v>46057.0</v>
      </c>
      <c r="B154" s="7" t="s">
        <v>157</v>
      </c>
      <c r="C154" s="8" t="b">
        <v>1</v>
      </c>
    </row>
    <row r="155">
      <c r="A155" s="5">
        <v>46058.0</v>
      </c>
      <c r="B155" s="7" t="s">
        <v>158</v>
      </c>
      <c r="C155" s="8" t="b">
        <v>1</v>
      </c>
    </row>
    <row r="156">
      <c r="A156" s="5">
        <v>46059.0</v>
      </c>
      <c r="B156" s="7" t="s">
        <v>159</v>
      </c>
      <c r="C156" s="8" t="b">
        <v>1</v>
      </c>
      <c r="D156" s="11"/>
    </row>
    <row r="157">
      <c r="A157" s="5">
        <v>46060.0</v>
      </c>
      <c r="B157" s="7" t="s">
        <v>160</v>
      </c>
      <c r="C157" s="8" t="b">
        <v>1</v>
      </c>
    </row>
    <row r="158">
      <c r="A158" s="5">
        <v>46061.0</v>
      </c>
      <c r="B158" s="7" t="s">
        <v>161</v>
      </c>
      <c r="C158" s="8" t="b">
        <v>1</v>
      </c>
    </row>
    <row r="159">
      <c r="A159" s="5">
        <v>46062.0</v>
      </c>
      <c r="B159" s="7" t="s">
        <v>162</v>
      </c>
      <c r="C159" s="8" t="b">
        <v>1</v>
      </c>
    </row>
    <row r="160">
      <c r="A160" s="5">
        <v>46063.0</v>
      </c>
      <c r="B160" s="7" t="s">
        <v>163</v>
      </c>
      <c r="C160" s="8" t="b">
        <v>1</v>
      </c>
    </row>
    <row r="161">
      <c r="A161" s="5">
        <v>46064.0</v>
      </c>
      <c r="B161" s="7" t="s">
        <v>164</v>
      </c>
      <c r="C161" s="8" t="b">
        <v>1</v>
      </c>
    </row>
    <row r="162">
      <c r="A162" s="5">
        <v>46065.0</v>
      </c>
      <c r="B162" s="7" t="s">
        <v>165</v>
      </c>
      <c r="C162" s="8" t="b">
        <v>1</v>
      </c>
    </row>
    <row r="163">
      <c r="A163" s="5">
        <v>46066.0</v>
      </c>
      <c r="B163" s="7" t="s">
        <v>166</v>
      </c>
      <c r="C163" s="8" t="b">
        <v>1</v>
      </c>
    </row>
    <row r="164">
      <c r="A164" s="5">
        <v>46067.0</v>
      </c>
      <c r="B164" s="7" t="s">
        <v>167</v>
      </c>
      <c r="C164" s="8" t="b">
        <v>1</v>
      </c>
    </row>
    <row r="165">
      <c r="A165" s="5">
        <v>46068.0</v>
      </c>
      <c r="B165" s="7" t="s">
        <v>168</v>
      </c>
      <c r="C165" s="8" t="b">
        <v>1</v>
      </c>
    </row>
    <row r="166">
      <c r="A166" s="5">
        <v>46069.0</v>
      </c>
      <c r="B166" s="7" t="s">
        <v>169</v>
      </c>
      <c r="C166" s="8" t="b">
        <v>1</v>
      </c>
    </row>
    <row r="167">
      <c r="A167" s="5">
        <v>46070.0</v>
      </c>
      <c r="B167" s="7" t="s">
        <v>170</v>
      </c>
      <c r="C167" s="8" t="b">
        <v>1</v>
      </c>
    </row>
    <row r="168">
      <c r="A168" s="5">
        <v>46071.0</v>
      </c>
      <c r="B168" s="7" t="s">
        <v>171</v>
      </c>
      <c r="C168" s="8" t="b">
        <v>1</v>
      </c>
    </row>
    <row r="169">
      <c r="A169" s="5">
        <v>46072.0</v>
      </c>
      <c r="B169" s="7" t="s">
        <v>172</v>
      </c>
      <c r="C169" s="8" t="b">
        <v>1</v>
      </c>
    </row>
  </sheetData>
  <hyperlinks>
    <hyperlink r:id="rId1" location="gid=1976259096" ref="B3"/>
    <hyperlink r:id="rId2" location="gid=2033784974" ref="B4"/>
    <hyperlink r:id="rId3" location="gid=1341467536" ref="B5"/>
    <hyperlink r:id="rId4" location="gid=1341467536" ref="B6"/>
    <hyperlink r:id="rId5" location="gid=1341467536" ref="B7"/>
    <hyperlink r:id="rId6" location="gid=1341467536" ref="B8"/>
    <hyperlink r:id="rId7" location="gid=1497482966" ref="B9"/>
    <hyperlink r:id="rId8" location="gid=1497482966" ref="B10"/>
    <hyperlink r:id="rId9" location="gid=1497482966" ref="B11"/>
    <hyperlink r:id="rId10" location="gid=1497482966" ref="B12"/>
    <hyperlink r:id="rId11" location="gid=1341467536" ref="B13"/>
    <hyperlink r:id="rId12" location="gid=1497482966" ref="B14"/>
    <hyperlink r:id="rId13" location="gid=1497482966" ref="B15"/>
    <hyperlink r:id="rId14" location="gid=1497482966" ref="B16"/>
    <hyperlink r:id="rId15" location="gid=1497482966" ref="B17"/>
    <hyperlink r:id="rId16" location="gid=1497482966" ref="B18"/>
    <hyperlink r:id="rId17" location="gid=1497482966" ref="B19"/>
    <hyperlink r:id="rId18" location="gid=1497482966" ref="B20"/>
    <hyperlink r:id="rId19" location="gid=1497482966" ref="B21"/>
    <hyperlink r:id="rId20" location="gid=1341467536" ref="B22"/>
    <hyperlink r:id="rId21" location="gid=1497482966" ref="B23"/>
    <hyperlink r:id="rId22" location="gid=1497482966" ref="B24"/>
    <hyperlink r:id="rId23" location="gid=1497482966" ref="B25"/>
    <hyperlink r:id="rId24" location="gid=1497482966" ref="B26"/>
    <hyperlink r:id="rId25" location="gid=1497482966" ref="B27"/>
    <hyperlink r:id="rId26" location="gid=1497482966" ref="B28"/>
    <hyperlink r:id="rId27" location="gid=1341467536" ref="B29"/>
    <hyperlink r:id="rId28" location="gid=2033784974" ref="B30"/>
    <hyperlink r:id="rId29" location="gid=2033784974" ref="B31"/>
    <hyperlink r:id="rId30" location="gid=2033784974" ref="B32"/>
    <hyperlink r:id="rId31" location="gid=2033784974" ref="B33"/>
    <hyperlink r:id="rId32" location="gid=2033784974" ref="B34"/>
    <hyperlink r:id="rId33" location="gid=2033784974" ref="B35"/>
    <hyperlink r:id="rId34" location="gid=2033784974" ref="B36"/>
    <hyperlink r:id="rId35" location="gid=2033784974" ref="B37"/>
    <hyperlink r:id="rId36" location="gid=2033784974" ref="B38"/>
    <hyperlink r:id="rId37" location="gid=2033784974" ref="B39"/>
    <hyperlink r:id="rId38" location="gid=2033784974" ref="B40"/>
    <hyperlink r:id="rId39" location="gid=2033784974" ref="B41"/>
    <hyperlink r:id="rId40" location="gid=2033784974" ref="B42"/>
    <hyperlink r:id="rId41" location="gid=2033784974" ref="B43"/>
    <hyperlink r:id="rId42" location="gid=2033784974" ref="B44"/>
    <hyperlink r:id="rId43" location="gid=2033784974" ref="B45"/>
    <hyperlink r:id="rId44" location="gid=2033784974" ref="B46"/>
    <hyperlink r:id="rId45" location="gid=2033784974" ref="B47"/>
    <hyperlink r:id="rId46" location="gid=2033784974" ref="B48"/>
    <hyperlink r:id="rId47" location="gid=2033784974" ref="B49"/>
    <hyperlink r:id="rId48" location="gid=2033784974" ref="B50"/>
    <hyperlink r:id="rId49" location="gid=1341467536" ref="B51"/>
    <hyperlink r:id="rId50" location="gid=1341467536" ref="B52"/>
    <hyperlink r:id="rId51" location="gid=1341467536" ref="B53"/>
    <hyperlink r:id="rId52" location="gid=1341467536" ref="B54"/>
    <hyperlink r:id="rId53" location="gid=1341467536" ref="B55"/>
    <hyperlink r:id="rId54" location="gid=1341467536" ref="B56"/>
    <hyperlink r:id="rId55" location="gid=1341467536" ref="B57"/>
    <hyperlink r:id="rId56" location="gid=1341467536" ref="B58"/>
    <hyperlink r:id="rId57" location="gid=1341467536" ref="B59"/>
    <hyperlink r:id="rId58" location="gid=1341467536" ref="B60"/>
    <hyperlink r:id="rId59" location="gid=1341467536" ref="B61"/>
    <hyperlink r:id="rId60" location="gid=1341467536" ref="B62"/>
    <hyperlink r:id="rId61" location="gid=1341467536" ref="B63"/>
    <hyperlink r:id="rId62" location="gid=1341467536" ref="B64"/>
    <hyperlink r:id="rId63" location="gid=1341467536" ref="B65"/>
    <hyperlink r:id="rId64" location="gid=805713900" ref="B66"/>
    <hyperlink r:id="rId65" location="gid=805713900" ref="B67"/>
    <hyperlink r:id="rId66" location="gid=805713900" ref="B68"/>
    <hyperlink r:id="rId67" location="gid=1976259096" ref="B69"/>
    <hyperlink r:id="rId68" location="gid=1976259096" ref="B70"/>
    <hyperlink r:id="rId69" location="gid=805713900" ref="B71"/>
    <hyperlink r:id="rId70" location="gid=1341467536" ref="B72"/>
    <hyperlink r:id="rId71" location="gid=1341467536" ref="B73"/>
    <hyperlink r:id="rId72" location="gid=805713900" ref="B74"/>
    <hyperlink r:id="rId73" location="gid=1976259096" ref="B75"/>
    <hyperlink r:id="rId74" location="gid=805713900" ref="B76"/>
    <hyperlink r:id="rId75" location="gid=1341467536" ref="B77"/>
    <hyperlink r:id="rId76" location="gid=1341467536" ref="B78"/>
    <hyperlink r:id="rId77" location="gid=1341467536" ref="B79"/>
    <hyperlink r:id="rId78" location="gid=1341467536" ref="B80"/>
    <hyperlink r:id="rId79" location="gid=1341467536" ref="B81"/>
    <hyperlink r:id="rId80" location="gid=1341467536" ref="B82"/>
    <hyperlink r:id="rId81" location="gid=1341467536" ref="B83"/>
    <hyperlink r:id="rId82" location="gid=1341467536" ref="B84"/>
    <hyperlink r:id="rId83" location="gid=1341467536" ref="B85"/>
    <hyperlink r:id="rId84" location="gid=1341467536" ref="B86"/>
    <hyperlink r:id="rId85" location="gid=1341467536" ref="B87"/>
    <hyperlink r:id="rId86" location="gid=1341467536" ref="B88"/>
    <hyperlink r:id="rId87" location="gid=1341467536" ref="B89"/>
    <hyperlink r:id="rId88" location="gid=1341467536" ref="B90"/>
    <hyperlink r:id="rId89" location="gid=1341467536" ref="B91"/>
    <hyperlink r:id="rId90" location="gid=1341467536" ref="B92"/>
    <hyperlink r:id="rId91" location="gid=1341467536" ref="B93"/>
    <hyperlink r:id="rId92" location="gid=1341467536" ref="B94"/>
    <hyperlink r:id="rId93" location="gid=1341467536" ref="B95"/>
    <hyperlink r:id="rId94" location="gid=1341467536" ref="B96"/>
    <hyperlink r:id="rId95" location="gid=1341467536" ref="B97"/>
    <hyperlink r:id="rId96" location="gid=1341467536" ref="B98"/>
    <hyperlink r:id="rId97" location="gid=1341467536" ref="B99"/>
    <hyperlink r:id="rId98" location="gid=1341467536" ref="B100"/>
    <hyperlink r:id="rId99" location="gid=2033784974" ref="B101"/>
    <hyperlink r:id="rId100" location="gid=805713900" ref="B102"/>
    <hyperlink r:id="rId101" location="gid=2033784974" ref="B103"/>
    <hyperlink r:id="rId102" location="gid=1341467536" ref="B104"/>
    <hyperlink r:id="rId103" location="gid=1341467536" ref="B105"/>
    <hyperlink r:id="rId104" location="gid=805713900" ref="B106"/>
    <hyperlink r:id="rId105" location="gid=2033784974" ref="B107"/>
    <hyperlink r:id="rId106" location="gid=1341467536" ref="B108"/>
    <hyperlink r:id="rId107" location="gid=1341467536" ref="B109"/>
    <hyperlink r:id="rId108" location="gid=805713900" ref="B110"/>
    <hyperlink r:id="rId109" location="gid=805713900" ref="B111"/>
    <hyperlink r:id="rId110" location="gid=2033784974" ref="B112"/>
    <hyperlink r:id="rId111" location="gid=1341467536" ref="B113"/>
    <hyperlink r:id="rId112" location="gid=1341467536" ref="B114"/>
    <hyperlink r:id="rId113" location="gid=805713900" ref="B115"/>
    <hyperlink r:id="rId114" location="gid=1341467536" ref="B116"/>
    <hyperlink r:id="rId115" location="gid=1341467536" ref="B117"/>
    <hyperlink r:id="rId116" location="gid=2033784974" ref="B118"/>
    <hyperlink r:id="rId117" location="gid=1341467536" ref="B119"/>
    <hyperlink r:id="rId118" location="gid=1341467536" ref="B120"/>
    <hyperlink r:id="rId119" location="gid=1341467536" ref="B121"/>
    <hyperlink r:id="rId120" location="gid=805713900" ref="B122"/>
    <hyperlink r:id="rId121" location="gid=1341467536" ref="B123"/>
    <hyperlink r:id="rId122" location="gid=1341467536" ref="B124"/>
    <hyperlink r:id="rId123" location="gid=1341467536" ref="B125"/>
    <hyperlink r:id="rId124" location="gid=1341467536" ref="B126"/>
    <hyperlink r:id="rId125" location="gid=1341467536" ref="B127"/>
    <hyperlink r:id="rId126" location="gid=1341467536" ref="B128"/>
    <hyperlink r:id="rId127" location="gid=1341467536" ref="B129"/>
    <hyperlink r:id="rId128" location="gid=1341467536" ref="B130"/>
    <hyperlink r:id="rId129" location="gid=1341467536" ref="B131"/>
    <hyperlink r:id="rId130" location="gid=1341467536" ref="B132"/>
    <hyperlink r:id="rId131" location="gid=1341467536" ref="B133"/>
    <hyperlink r:id="rId132" location="gid=1341467536" ref="B134"/>
    <hyperlink r:id="rId133" location="gid=1341467536" ref="B135"/>
    <hyperlink r:id="rId134" location="gid=805713900" ref="B136"/>
    <hyperlink r:id="rId135" location="gid=805713900" ref="B137"/>
    <hyperlink r:id="rId136" location="gid=1341467536" ref="B138"/>
    <hyperlink r:id="rId137" location="gid=1341467536" ref="B139"/>
    <hyperlink r:id="rId138" location="gid=1341467536" ref="B140"/>
    <hyperlink r:id="rId139" location="gid=1341467536" ref="B141"/>
    <hyperlink r:id="rId140" location="gid=1341467536" ref="B142"/>
    <hyperlink r:id="rId141" location="gid=1341467536" ref="B143"/>
    <hyperlink r:id="rId142" location="gid=1341467536" ref="B144"/>
    <hyperlink r:id="rId143" location="gid=805713900" ref="B145"/>
    <hyperlink r:id="rId144" location="gid=1341467536" ref="B146"/>
    <hyperlink r:id="rId145" location="gid=1341467536" ref="B147"/>
    <hyperlink r:id="rId146" location="gid=805713900" ref="B148"/>
    <hyperlink r:id="rId147" location="gid=805713900" ref="B149"/>
    <hyperlink r:id="rId148" location="gid=805713900" ref="B150"/>
    <hyperlink r:id="rId149" location="gid=1341467536" ref="B151"/>
    <hyperlink r:id="rId150" location="gid=1341467536" ref="B152"/>
    <hyperlink r:id="rId151" location="gid=1341467536" ref="B153"/>
    <hyperlink r:id="rId152" location="gid=1341467536" ref="B154"/>
    <hyperlink r:id="rId153" location="gid=1341467536" ref="B155"/>
    <hyperlink r:id="rId154" location="gid=1341467536" ref="B156"/>
    <hyperlink r:id="rId155" location="gid=1341467536" ref="B157"/>
    <hyperlink r:id="rId156" location="gid=1341467536" ref="B158"/>
    <hyperlink r:id="rId157" location="gid=1341467536" ref="B159"/>
    <hyperlink r:id="rId158" location="gid=1341467536" ref="B160"/>
    <hyperlink r:id="rId159" location="gid=1341467536" ref="B161"/>
    <hyperlink r:id="rId160" location="gid=1341467536" ref="B162"/>
    <hyperlink r:id="rId161" location="gid=1341467536" ref="B163"/>
    <hyperlink r:id="rId162" location="gid=1341467536" ref="B164"/>
    <hyperlink r:id="rId163" location="gid=1341467536" ref="B165"/>
    <hyperlink r:id="rId164" location="gid=1341467536" ref="B166"/>
    <hyperlink r:id="rId165" location="gid=1341467536" ref="B167"/>
    <hyperlink r:id="rId166" location="gid=1341467536" ref="B168"/>
    <hyperlink r:id="rId167" location="gid=2033784974" ref="B169"/>
  </hyperlinks>
  <drawing r:id="rId1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16.25"/>
    <col customWidth="1" min="3" max="3" width="31.38"/>
    <col customWidth="1" min="4" max="4" width="14.75"/>
    <col customWidth="1" min="5" max="5" width="14.0"/>
    <col customWidth="1" min="6" max="6" width="24.63"/>
    <col customWidth="1" min="7" max="7" width="64.25"/>
    <col customWidth="1" min="8" max="8" width="80.88"/>
    <col customWidth="1" min="9" max="9" width="58.88"/>
    <col customWidth="1" min="10" max="10" width="19.75"/>
    <col customWidth="1" min="11" max="11" width="17.0"/>
  </cols>
  <sheetData>
    <row r="1">
      <c r="A1" s="12" t="s">
        <v>173</v>
      </c>
      <c r="B1" s="13" t="s">
        <v>0</v>
      </c>
      <c r="C1" s="14" t="s">
        <v>174</v>
      </c>
      <c r="D1" s="13" t="s">
        <v>175</v>
      </c>
      <c r="E1" s="14" t="s">
        <v>176</v>
      </c>
      <c r="F1" s="14" t="s">
        <v>177</v>
      </c>
      <c r="G1" s="14" t="s">
        <v>178</v>
      </c>
      <c r="H1" s="14" t="s">
        <v>179</v>
      </c>
      <c r="I1" s="14" t="s">
        <v>180</v>
      </c>
      <c r="J1" s="14" t="s">
        <v>181</v>
      </c>
      <c r="K1" s="14" t="s">
        <v>182</v>
      </c>
      <c r="L1" s="15"/>
    </row>
    <row r="2">
      <c r="A2" s="15">
        <v>1.0</v>
      </c>
      <c r="B2" s="16">
        <v>45906.0</v>
      </c>
      <c r="C2" s="17" t="s">
        <v>183</v>
      </c>
      <c r="D2" s="15"/>
      <c r="E2" s="15" t="s">
        <v>184</v>
      </c>
      <c r="F2" s="15" t="str">
        <f>IFERROR(__xludf.DUMMYFUNCTION("if(REGEXMATCH(C2,""x.com"")=TRUE,""Twitter"",if(REGEXMATCH(C2,""facebook"")=TRUE,""Facebook"",if(REGEXMATCH(C2,""instagram"")=TRUE,""Instagram"",if(REGEXMATCH(C2,""youtube"")=TRUE,""Youtube"",if(REGEXMATCH(C2,""tiktok"")=TRUE,""Tiktok"",if(REGEXMATCH(C2,"&amp;"""threads"")=TRUE,""Threads""))))))"),"Facebook")</f>
        <v>Facebook</v>
      </c>
      <c r="G2" s="15" t="s">
        <v>185</v>
      </c>
      <c r="H2" s="15" t="s">
        <v>186</v>
      </c>
      <c r="I2" s="12" t="s">
        <v>187</v>
      </c>
      <c r="J2" s="15" t="s">
        <v>188</v>
      </c>
      <c r="K2" s="15" t="s">
        <v>189</v>
      </c>
      <c r="L2" s="15"/>
    </row>
    <row r="3">
      <c r="A3" s="15">
        <v>2.0</v>
      </c>
      <c r="B3" s="16">
        <v>45906.0</v>
      </c>
      <c r="C3" s="17" t="s">
        <v>190</v>
      </c>
      <c r="D3" s="15"/>
      <c r="E3" s="15" t="s">
        <v>184</v>
      </c>
      <c r="F3" s="15" t="str">
        <f>IFERROR(__xludf.DUMMYFUNCTION("if(REGEXMATCH(C3,""x.com"")=TRUE,""Twitter"",if(REGEXMATCH(C3,""facebook"")=TRUE,""Facebook"",if(REGEXMATCH(C3,""instagram"")=TRUE,""Instagram"",if(REGEXMATCH(C3,""youtube"")=TRUE,""Youtube"",if(REGEXMATCH(C3,""tiktok"")=TRUE,""Tiktok"",if(REGEXMATCH(C3,"&amp;"""threads"")=TRUE,""Threads""))))))"),"Twitter")</f>
        <v>Twitter</v>
      </c>
      <c r="G3" s="15" t="s">
        <v>191</v>
      </c>
      <c r="H3" s="15" t="s">
        <v>186</v>
      </c>
      <c r="I3" s="15" t="s">
        <v>192</v>
      </c>
      <c r="J3" s="15" t="s">
        <v>188</v>
      </c>
      <c r="K3" s="15" t="s">
        <v>189</v>
      </c>
      <c r="L3" s="18"/>
    </row>
    <row r="4" ht="234.0" customHeight="1">
      <c r="A4" s="15">
        <v>3.0</v>
      </c>
      <c r="B4" s="16">
        <v>45906.0</v>
      </c>
      <c r="C4" s="17" t="s">
        <v>193</v>
      </c>
      <c r="D4" s="15"/>
      <c r="E4" s="15" t="s">
        <v>194</v>
      </c>
      <c r="F4" s="15" t="str">
        <f>IFERROR(__xludf.DUMMYFUNCTION("if(REGEXMATCH(C4,""x.com"")=TRUE,""Twitter"",if(REGEXMATCH(C4,""facebook"")=TRUE,""Facebook"",if(REGEXMATCH(C4,""instagram"")=TRUE,""Instagram"",if(REGEXMATCH(C4,""youtube"")=TRUE,""Youtube"",if(REGEXMATCH(C4,""tiktok"")=TRUE,""Tiktok"",if(REGEXMATCH(C4,"&amp;"""threads"")=TRUE,""Threads""))))))"),"Twitter")</f>
        <v>Twitter</v>
      </c>
      <c r="G4" s="15" t="s">
        <v>195</v>
      </c>
      <c r="H4" s="15" t="s">
        <v>186</v>
      </c>
      <c r="I4" s="15" t="s">
        <v>192</v>
      </c>
      <c r="J4" s="15" t="s">
        <v>188</v>
      </c>
      <c r="K4" s="15" t="s">
        <v>189</v>
      </c>
      <c r="L4" s="15"/>
    </row>
    <row r="5">
      <c r="A5" s="15">
        <v>4.0</v>
      </c>
      <c r="B5" s="16">
        <v>45906.0</v>
      </c>
      <c r="C5" s="17" t="s">
        <v>196</v>
      </c>
      <c r="D5" s="15"/>
      <c r="E5" s="15" t="s">
        <v>197</v>
      </c>
      <c r="F5" s="15" t="str">
        <f>IFERROR(__xludf.DUMMYFUNCTION("if(REGEXMATCH(C5,""x.com"")=TRUE,""Twitter"",if(REGEXMATCH(C5,""facebook"")=TRUE,""Facebook"",if(REGEXMATCH(C5,""instagram"")=TRUE,""Instagram"",if(REGEXMATCH(C5,""youtube"")=TRUE,""Youtube"",if(REGEXMATCH(C5,""tiktok"")=TRUE,""Tiktok"",if(REGEXMATCH(C5,"&amp;"""threads"")=TRUE,""Threads""))))))"),"Facebook")</f>
        <v>Facebook</v>
      </c>
      <c r="G5" s="15">
        <v>5.0</v>
      </c>
      <c r="H5" s="15" t="s">
        <v>186</v>
      </c>
      <c r="I5" s="15" t="s">
        <v>192</v>
      </c>
      <c r="J5" s="15" t="s">
        <v>188</v>
      </c>
      <c r="K5" s="15" t="s">
        <v>189</v>
      </c>
      <c r="L5" s="15"/>
    </row>
    <row r="6">
      <c r="A6" s="15">
        <v>5.0</v>
      </c>
      <c r="B6" s="16">
        <v>45906.0</v>
      </c>
      <c r="C6" s="17" t="s">
        <v>198</v>
      </c>
      <c r="D6" s="15"/>
      <c r="E6" s="15" t="s">
        <v>184</v>
      </c>
      <c r="F6" s="15" t="str">
        <f>IFERROR(__xludf.DUMMYFUNCTION("if(REGEXMATCH(C6,""x.com"")=TRUE,""Twitter"",if(REGEXMATCH(C6,""facebook"")=TRUE,""Facebook"",if(REGEXMATCH(C6,""instagram"")=TRUE,""Instagram"",if(REGEXMATCH(C6,""youtube"")=TRUE,""Youtube"",if(REGEXMATCH(C6,""tiktok"")=TRUE,""Tiktok"",if(REGEXMATCH(C6,"&amp;"""threads"")=TRUE,""Threads""))))))"),"Facebook")</f>
        <v>Facebook</v>
      </c>
      <c r="G6" s="15" t="s">
        <v>199</v>
      </c>
      <c r="H6" s="15" t="s">
        <v>186</v>
      </c>
      <c r="I6" s="15" t="s">
        <v>192</v>
      </c>
      <c r="J6" s="15" t="s">
        <v>188</v>
      </c>
      <c r="K6" s="15" t="s">
        <v>189</v>
      </c>
      <c r="L6" s="15"/>
    </row>
    <row r="7">
      <c r="A7" s="15">
        <v>6.0</v>
      </c>
      <c r="B7" s="16">
        <v>45906.0</v>
      </c>
      <c r="C7" s="17" t="s">
        <v>200</v>
      </c>
      <c r="D7" s="15"/>
      <c r="E7" s="15" t="s">
        <v>184</v>
      </c>
      <c r="F7" s="15" t="str">
        <f>IFERROR(__xludf.DUMMYFUNCTION("if(REGEXMATCH(C7,""x.com"")=TRUE,""Twitter"",if(REGEXMATCH(C7,""facebook"")=TRUE,""Facebook"",if(REGEXMATCH(C7,""instagram"")=TRUE,""Instagram"",if(REGEXMATCH(C7,""youtube"")=TRUE,""Youtube"",if(REGEXMATCH(C7,""tiktok"")=TRUE,""Tiktok"",if(REGEXMATCH(C7,"&amp;"""threads"")=TRUE,""Threads""))))))"),"Facebook")</f>
        <v>Facebook</v>
      </c>
      <c r="G7" s="15" t="s">
        <v>199</v>
      </c>
      <c r="H7" s="15" t="s">
        <v>186</v>
      </c>
      <c r="I7" s="15" t="s">
        <v>192</v>
      </c>
      <c r="J7" s="15" t="s">
        <v>188</v>
      </c>
      <c r="K7" s="15" t="s">
        <v>189</v>
      </c>
      <c r="L7" s="15"/>
    </row>
    <row r="8">
      <c r="A8" s="15">
        <v>7.0</v>
      </c>
      <c r="B8" s="16">
        <v>45906.0</v>
      </c>
      <c r="C8" s="17" t="s">
        <v>201</v>
      </c>
      <c r="D8" s="15"/>
      <c r="E8" s="15" t="s">
        <v>202</v>
      </c>
      <c r="F8" s="15" t="str">
        <f>IFERROR(__xludf.DUMMYFUNCTION("if(REGEXMATCH(C8,""x.com"")=TRUE,""Twitter"",if(REGEXMATCH(C8,""facebook"")=TRUE,""Facebook"",if(REGEXMATCH(C8,""instagram"")=TRUE,""Instagram"",if(REGEXMATCH(C8,""youtube"")=TRUE,""Youtube"",if(REGEXMATCH(C8,""tiktok"")=TRUE,""Tiktok"",if(REGEXMATCH(C8,"&amp;"""threads"")=TRUE,""Threads""))))))"),"Tiktok")</f>
        <v>Tiktok</v>
      </c>
      <c r="G8" s="15" t="s">
        <v>203</v>
      </c>
      <c r="H8" s="15" t="s">
        <v>204</v>
      </c>
      <c r="I8" s="15" t="s">
        <v>192</v>
      </c>
      <c r="J8" s="15" t="s">
        <v>188</v>
      </c>
      <c r="K8" s="15" t="s">
        <v>189</v>
      </c>
      <c r="L8" s="15"/>
    </row>
    <row r="9">
      <c r="A9" s="15">
        <v>8.0</v>
      </c>
      <c r="B9" s="16">
        <v>45906.0</v>
      </c>
      <c r="C9" s="17" t="s">
        <v>205</v>
      </c>
      <c r="D9" s="15"/>
      <c r="E9" s="15" t="s">
        <v>206</v>
      </c>
      <c r="F9" s="15" t="str">
        <f>IFERROR(__xludf.DUMMYFUNCTION("if(REGEXMATCH(C9,""x.com"")=TRUE,""Twitter"",if(REGEXMATCH(C9,""facebook"")=TRUE,""Facebook"",if(REGEXMATCH(C9,""instagram"")=TRUE,""Instagram"",if(REGEXMATCH(C9,""youtube"")=TRUE,""Youtube"",if(REGEXMATCH(C9,""tiktok"")=TRUE,""Tiktok"",if(REGEXMATCH(C9,"&amp;"""threads"")=TRUE,""Threads""))))))"),"Twitter")</f>
        <v>Twitter</v>
      </c>
      <c r="G9" s="15" t="s">
        <v>207</v>
      </c>
      <c r="H9" s="15" t="s">
        <v>204</v>
      </c>
      <c r="I9" s="15" t="s">
        <v>192</v>
      </c>
      <c r="J9" s="15" t="s">
        <v>188</v>
      </c>
      <c r="K9" s="15" t="s">
        <v>189</v>
      </c>
      <c r="L9" s="15"/>
    </row>
    <row r="10">
      <c r="A10" s="15">
        <v>9.0</v>
      </c>
      <c r="B10" s="16">
        <v>45906.0</v>
      </c>
      <c r="C10" s="17" t="s">
        <v>208</v>
      </c>
      <c r="D10" s="15"/>
      <c r="E10" s="15"/>
      <c r="F10" s="15" t="str">
        <f>IFERROR(__xludf.DUMMYFUNCTION("if(REGEXMATCH(C10,""x.com"")=TRUE,""Twitter"",if(REGEXMATCH(C10,""facebook"")=TRUE,""Facebook"",if(REGEXMATCH(C10,""instagram"")=TRUE,""Instagram"",if(REGEXMATCH(C10,""youtube"")=TRUE,""Youtube"",if(REGEXMATCH(C10,""tiktok"")=TRUE,""Tiktok"",if(REGEXMATCH"&amp;"(C10,""threads"")=TRUE,""Threads""))))))"),"Tiktok")</f>
        <v>Tiktok</v>
      </c>
      <c r="G10" s="15" t="s">
        <v>209</v>
      </c>
      <c r="H10" s="15" t="s">
        <v>204</v>
      </c>
      <c r="I10" s="15" t="s">
        <v>192</v>
      </c>
      <c r="J10" s="15" t="s">
        <v>188</v>
      </c>
      <c r="K10" s="15"/>
      <c r="L10" s="15"/>
    </row>
    <row r="11">
      <c r="A11" s="15">
        <v>10.0</v>
      </c>
      <c r="B11" s="16">
        <v>45906.0</v>
      </c>
      <c r="C11" s="19" t="s">
        <v>210</v>
      </c>
      <c r="D11" s="15"/>
      <c r="E11" s="15" t="s">
        <v>211</v>
      </c>
      <c r="F11" s="15" t="str">
        <f>IFERROR(__xludf.DUMMYFUNCTION("if(REGEXMATCH(C11,""x.com"")=TRUE,""Twitter"",if(REGEXMATCH(C11,""facebook"")=TRUE,""Facebook"",if(REGEXMATCH(C11,""instagram"")=TRUE,""Instagram"",if(REGEXMATCH(C11,""youtube"")=TRUE,""Youtube"",if(REGEXMATCH(C11,""tiktok"")=TRUE,""Tiktok"",if(REGEXMATCH"&amp;"(C11,""threads"")=TRUE,""Threads""))))))"),"Tiktok")</f>
        <v>Tiktok</v>
      </c>
      <c r="G11" s="15" t="s">
        <v>212</v>
      </c>
      <c r="H11" s="15" t="s">
        <v>213</v>
      </c>
      <c r="I11" s="15" t="s">
        <v>214</v>
      </c>
      <c r="J11" s="15" t="s">
        <v>188</v>
      </c>
      <c r="K11" s="15"/>
      <c r="L11" s="15"/>
    </row>
    <row r="12">
      <c r="A12" s="15">
        <v>11.0</v>
      </c>
      <c r="B12" s="16">
        <v>45906.0</v>
      </c>
      <c r="C12" s="20" t="s">
        <v>215</v>
      </c>
      <c r="D12" s="15"/>
      <c r="E12" s="15" t="s">
        <v>216</v>
      </c>
      <c r="F12" s="15" t="str">
        <f>IFERROR(__xludf.DUMMYFUNCTION("if(REGEXMATCH(C12,""x.com"")=TRUE,""Twitter"",if(REGEXMATCH(C12,""facebook"")=TRUE,""Facebook"",if(REGEXMATCH(C12,""instagram"")=TRUE,""Instagram"",if(REGEXMATCH(C12,""youtube"")=TRUE,""Youtube"",if(REGEXMATCH(C12,""tiktok"")=TRUE,""Tiktok"",if(REGEXMATCH"&amp;"(C12,""threads"")=TRUE,""Threads""))))))"),"Tiktok")</f>
        <v>Tiktok</v>
      </c>
      <c r="G12" s="15" t="s">
        <v>217</v>
      </c>
      <c r="H12" s="15" t="s">
        <v>218</v>
      </c>
      <c r="I12" s="15" t="s">
        <v>219</v>
      </c>
      <c r="J12" s="15" t="s">
        <v>188</v>
      </c>
      <c r="K12" s="15"/>
      <c r="L12" s="15"/>
    </row>
    <row r="13">
      <c r="A13" s="15">
        <v>12.0</v>
      </c>
      <c r="B13" s="16">
        <v>45906.0</v>
      </c>
      <c r="C13" s="19" t="s">
        <v>220</v>
      </c>
      <c r="D13" s="15"/>
      <c r="E13" s="15" t="s">
        <v>216</v>
      </c>
      <c r="F13" s="15" t="str">
        <f>IFERROR(__xludf.DUMMYFUNCTION("if(REGEXMATCH(C13,""x.com"")=TRUE,""Twitter"",if(REGEXMATCH(C13,""facebook"")=TRUE,""Facebook"",if(REGEXMATCH(C13,""instagram"")=TRUE,""Instagram"",if(REGEXMATCH(C13,""youtube"")=TRUE,""Youtube"",if(REGEXMATCH(C13,""tiktok"")=TRUE,""Tiktok"",if(REGEXMATCH"&amp;"(C13,""threads"")=TRUE,""Threads""))))))"),"Tiktok")</f>
        <v>Tiktok</v>
      </c>
      <c r="G13" s="15" t="s">
        <v>217</v>
      </c>
      <c r="H13" s="15" t="s">
        <v>218</v>
      </c>
      <c r="I13" s="15" t="s">
        <v>219</v>
      </c>
      <c r="J13" s="15" t="s">
        <v>188</v>
      </c>
      <c r="K13" s="15"/>
      <c r="L13" s="15"/>
    </row>
    <row r="14">
      <c r="A14" s="15">
        <v>13.0</v>
      </c>
      <c r="B14" s="16">
        <v>45906.0</v>
      </c>
      <c r="C14" s="19" t="s">
        <v>221</v>
      </c>
      <c r="D14" s="15"/>
      <c r="E14" s="15" t="s">
        <v>216</v>
      </c>
      <c r="F14" s="15" t="str">
        <f>IFERROR(__xludf.DUMMYFUNCTION("if(REGEXMATCH(C14,""x.com"")=TRUE,""Twitter"",if(REGEXMATCH(C14,""facebook"")=TRUE,""Facebook"",if(REGEXMATCH(C14,""instagram"")=TRUE,""Instagram"",if(REGEXMATCH(C14,""youtube"")=TRUE,""Youtube"",if(REGEXMATCH(C14,""tiktok"")=TRUE,""Tiktok"",if(REGEXMATCH"&amp;"(C14,""threads"")=TRUE,""Threads""))))))"),"Tiktok")</f>
        <v>Tiktok</v>
      </c>
      <c r="G14" s="15" t="s">
        <v>217</v>
      </c>
      <c r="H14" s="15" t="s">
        <v>218</v>
      </c>
      <c r="I14" s="15" t="s">
        <v>219</v>
      </c>
      <c r="J14" s="15" t="s">
        <v>188</v>
      </c>
      <c r="K14" s="15"/>
      <c r="L14" s="15"/>
    </row>
    <row r="15">
      <c r="A15" s="15">
        <v>14.0</v>
      </c>
      <c r="B15" s="16">
        <v>45907.0</v>
      </c>
      <c r="C15" s="19" t="s">
        <v>208</v>
      </c>
      <c r="D15" s="15"/>
      <c r="E15" s="15" t="s">
        <v>222</v>
      </c>
      <c r="F15" s="15"/>
      <c r="G15" s="15" t="s">
        <v>223</v>
      </c>
      <c r="H15" s="15" t="s">
        <v>186</v>
      </c>
      <c r="I15" s="15" t="s">
        <v>224</v>
      </c>
      <c r="J15" s="15" t="s">
        <v>188</v>
      </c>
      <c r="K15" s="15"/>
      <c r="L15" s="15"/>
    </row>
    <row r="16">
      <c r="A16" s="15">
        <v>15.0</v>
      </c>
      <c r="B16" s="16">
        <v>45907.0</v>
      </c>
      <c r="C16" s="19" t="s">
        <v>225</v>
      </c>
      <c r="D16" s="15"/>
      <c r="E16" s="15" t="s">
        <v>226</v>
      </c>
      <c r="F16" s="15"/>
      <c r="G16" s="15" t="s">
        <v>227</v>
      </c>
      <c r="H16" s="15" t="s">
        <v>228</v>
      </c>
      <c r="I16" s="15" t="s">
        <v>224</v>
      </c>
      <c r="J16" s="15" t="s">
        <v>188</v>
      </c>
      <c r="K16" s="15"/>
      <c r="L16" s="15"/>
    </row>
    <row r="17">
      <c r="A17" s="15">
        <v>16.0</v>
      </c>
      <c r="B17" s="16">
        <v>45907.0</v>
      </c>
      <c r="C17" s="19" t="s">
        <v>229</v>
      </c>
      <c r="D17" s="15"/>
      <c r="E17" s="15" t="s">
        <v>230</v>
      </c>
      <c r="F17" s="15"/>
      <c r="G17" s="15" t="s">
        <v>231</v>
      </c>
      <c r="H17" s="15" t="s">
        <v>228</v>
      </c>
      <c r="I17" s="15" t="s">
        <v>224</v>
      </c>
      <c r="J17" s="15" t="s">
        <v>188</v>
      </c>
      <c r="K17" s="15"/>
      <c r="L17" s="15"/>
    </row>
    <row r="18">
      <c r="A18" s="15">
        <v>17.0</v>
      </c>
      <c r="B18" s="16">
        <v>45907.0</v>
      </c>
      <c r="C18" s="19" t="s">
        <v>232</v>
      </c>
      <c r="D18" s="15"/>
      <c r="E18" s="15" t="s">
        <v>184</v>
      </c>
      <c r="F18" s="15"/>
      <c r="G18" s="15" t="s">
        <v>233</v>
      </c>
      <c r="H18" s="15" t="s">
        <v>186</v>
      </c>
      <c r="I18" s="15" t="s">
        <v>224</v>
      </c>
      <c r="J18" s="15" t="s">
        <v>188</v>
      </c>
      <c r="K18" s="15"/>
      <c r="L18" s="15"/>
    </row>
    <row r="19">
      <c r="A19" s="15">
        <v>18.0</v>
      </c>
      <c r="B19" s="16">
        <v>45907.0</v>
      </c>
      <c r="C19" s="19" t="s">
        <v>234</v>
      </c>
      <c r="D19" s="15"/>
      <c r="E19" s="15" t="s">
        <v>184</v>
      </c>
      <c r="F19" s="15"/>
      <c r="G19" s="15" t="s">
        <v>235</v>
      </c>
      <c r="H19" s="15" t="s">
        <v>186</v>
      </c>
      <c r="I19" s="15" t="s">
        <v>224</v>
      </c>
      <c r="J19" s="15" t="s">
        <v>188</v>
      </c>
      <c r="K19" s="15"/>
      <c r="L19" s="15"/>
    </row>
    <row r="20">
      <c r="A20" s="15">
        <v>19.0</v>
      </c>
      <c r="B20" s="16">
        <v>45907.0</v>
      </c>
      <c r="C20" s="19" t="s">
        <v>236</v>
      </c>
      <c r="D20" s="15"/>
      <c r="E20" s="15" t="s">
        <v>184</v>
      </c>
      <c r="F20" s="15"/>
      <c r="G20" s="15" t="s">
        <v>237</v>
      </c>
      <c r="H20" s="15" t="s">
        <v>186</v>
      </c>
      <c r="I20" s="15" t="s">
        <v>224</v>
      </c>
      <c r="J20" s="15" t="s">
        <v>188</v>
      </c>
      <c r="K20" s="15"/>
      <c r="L20" s="15"/>
    </row>
    <row r="21">
      <c r="A21" s="15">
        <v>20.0</v>
      </c>
      <c r="B21" s="16">
        <v>45907.0</v>
      </c>
      <c r="C21" s="19" t="s">
        <v>238</v>
      </c>
      <c r="D21" s="15"/>
      <c r="E21" s="15" t="s">
        <v>184</v>
      </c>
      <c r="F21" s="15"/>
      <c r="G21" s="15" t="s">
        <v>239</v>
      </c>
      <c r="H21" s="15" t="s">
        <v>186</v>
      </c>
      <c r="I21" s="15" t="s">
        <v>224</v>
      </c>
      <c r="J21" s="15" t="s">
        <v>188</v>
      </c>
      <c r="K21" s="15"/>
      <c r="L21" s="15"/>
    </row>
    <row r="22">
      <c r="A22" s="15">
        <v>21.0</v>
      </c>
      <c r="B22" s="16">
        <v>45907.0</v>
      </c>
      <c r="C22" s="19" t="s">
        <v>240</v>
      </c>
      <c r="D22" s="15"/>
      <c r="E22" s="15" t="s">
        <v>184</v>
      </c>
      <c r="F22" s="15"/>
      <c r="G22" s="15" t="s">
        <v>241</v>
      </c>
      <c r="H22" s="15" t="s">
        <v>186</v>
      </c>
      <c r="I22" s="15" t="s">
        <v>224</v>
      </c>
      <c r="J22" s="15" t="s">
        <v>188</v>
      </c>
      <c r="K22" s="15"/>
      <c r="L22" s="15"/>
    </row>
    <row r="23">
      <c r="A23" s="15">
        <v>22.0</v>
      </c>
      <c r="B23" s="16">
        <v>45907.0</v>
      </c>
      <c r="C23" s="19" t="s">
        <v>242</v>
      </c>
      <c r="D23" s="15"/>
      <c r="E23" s="15" t="s">
        <v>184</v>
      </c>
      <c r="F23" s="15"/>
      <c r="G23" s="15" t="s">
        <v>243</v>
      </c>
      <c r="H23" s="15" t="s">
        <v>186</v>
      </c>
      <c r="I23" s="15" t="s">
        <v>224</v>
      </c>
      <c r="J23" s="15" t="s">
        <v>188</v>
      </c>
      <c r="K23" s="15"/>
      <c r="L23" s="15"/>
    </row>
    <row r="24">
      <c r="A24" s="15">
        <v>23.0</v>
      </c>
      <c r="B24" s="16">
        <v>45907.0</v>
      </c>
      <c r="C24" s="19" t="s">
        <v>244</v>
      </c>
      <c r="D24" s="15"/>
      <c r="E24" s="15" t="s">
        <v>184</v>
      </c>
      <c r="F24" s="15"/>
      <c r="G24" s="15" t="s">
        <v>245</v>
      </c>
      <c r="H24" s="15" t="s">
        <v>186</v>
      </c>
      <c r="I24" s="15" t="s">
        <v>224</v>
      </c>
      <c r="J24" s="15" t="s">
        <v>188</v>
      </c>
      <c r="K24" s="15"/>
      <c r="L24" s="15"/>
    </row>
    <row r="25">
      <c r="A25" s="15">
        <v>24.0</v>
      </c>
      <c r="B25" s="16">
        <v>45907.0</v>
      </c>
      <c r="C25" s="19" t="s">
        <v>246</v>
      </c>
      <c r="D25" s="15"/>
      <c r="E25" s="15" t="s">
        <v>184</v>
      </c>
      <c r="F25" s="15"/>
      <c r="G25" s="15" t="s">
        <v>247</v>
      </c>
      <c r="H25" s="15" t="s">
        <v>186</v>
      </c>
      <c r="I25" s="15" t="s">
        <v>224</v>
      </c>
      <c r="J25" s="15" t="s">
        <v>188</v>
      </c>
      <c r="K25" s="15"/>
      <c r="L25" s="15"/>
    </row>
    <row r="26">
      <c r="A26" s="15">
        <v>25.0</v>
      </c>
      <c r="B26" s="16">
        <v>45907.0</v>
      </c>
      <c r="C26" s="19" t="s">
        <v>248</v>
      </c>
      <c r="D26" s="15"/>
      <c r="E26" s="15" t="s">
        <v>184</v>
      </c>
      <c r="F26" s="15"/>
      <c r="G26" s="15" t="s">
        <v>249</v>
      </c>
      <c r="H26" s="15" t="s">
        <v>186</v>
      </c>
      <c r="I26" s="15" t="s">
        <v>224</v>
      </c>
      <c r="J26" s="15" t="s">
        <v>188</v>
      </c>
      <c r="K26" s="15"/>
      <c r="L26" s="15"/>
    </row>
    <row r="27">
      <c r="A27" s="15">
        <v>26.0</v>
      </c>
      <c r="B27" s="16">
        <v>45907.0</v>
      </c>
      <c r="C27" s="19" t="s">
        <v>250</v>
      </c>
      <c r="D27" s="15"/>
      <c r="E27" s="15" t="s">
        <v>251</v>
      </c>
      <c r="F27" s="15"/>
      <c r="G27" s="15" t="s">
        <v>252</v>
      </c>
      <c r="H27" s="15" t="s">
        <v>228</v>
      </c>
      <c r="I27" s="15" t="s">
        <v>224</v>
      </c>
      <c r="J27" s="15" t="s">
        <v>188</v>
      </c>
      <c r="K27" s="15"/>
      <c r="L27" s="15"/>
    </row>
    <row r="28">
      <c r="A28" s="15">
        <v>27.0</v>
      </c>
      <c r="B28" s="16">
        <v>45907.0</v>
      </c>
      <c r="C28" s="19" t="s">
        <v>253</v>
      </c>
      <c r="D28" s="15"/>
      <c r="E28" s="15" t="s">
        <v>184</v>
      </c>
      <c r="F28" s="15"/>
      <c r="G28" s="15" t="s">
        <v>254</v>
      </c>
      <c r="H28" s="15" t="s">
        <v>186</v>
      </c>
      <c r="I28" s="15" t="s">
        <v>224</v>
      </c>
      <c r="J28" s="15" t="s">
        <v>188</v>
      </c>
      <c r="K28" s="15"/>
      <c r="L28" s="15"/>
    </row>
    <row r="29">
      <c r="A29" s="15">
        <v>28.0</v>
      </c>
      <c r="B29" s="16">
        <v>45907.0</v>
      </c>
      <c r="C29" s="19" t="s">
        <v>255</v>
      </c>
      <c r="D29" s="15"/>
      <c r="E29" s="15" t="s">
        <v>184</v>
      </c>
      <c r="F29" s="15"/>
      <c r="G29" s="15" t="s">
        <v>256</v>
      </c>
      <c r="H29" s="15" t="s">
        <v>186</v>
      </c>
      <c r="I29" s="15" t="s">
        <v>224</v>
      </c>
      <c r="J29" s="15" t="s">
        <v>188</v>
      </c>
      <c r="K29" s="15"/>
      <c r="L29" s="15"/>
    </row>
    <row r="30">
      <c r="A30" s="15">
        <v>29.0</v>
      </c>
      <c r="B30" s="16">
        <v>45907.0</v>
      </c>
      <c r="C30" s="19" t="s">
        <v>257</v>
      </c>
      <c r="D30" s="15"/>
      <c r="E30" s="15" t="s">
        <v>184</v>
      </c>
      <c r="F30" s="15"/>
      <c r="G30" s="15" t="s">
        <v>258</v>
      </c>
      <c r="H30" s="15" t="s">
        <v>228</v>
      </c>
      <c r="I30" s="15" t="s">
        <v>224</v>
      </c>
      <c r="J30" s="15" t="s">
        <v>188</v>
      </c>
      <c r="K30" s="15"/>
      <c r="L30" s="15"/>
    </row>
    <row r="31">
      <c r="A31" s="15">
        <v>30.0</v>
      </c>
      <c r="B31" s="16">
        <v>45907.0</v>
      </c>
      <c r="C31" s="19" t="s">
        <v>259</v>
      </c>
      <c r="D31" s="15"/>
      <c r="E31" s="15" t="s">
        <v>184</v>
      </c>
      <c r="F31" s="15"/>
      <c r="G31" s="15" t="s">
        <v>260</v>
      </c>
      <c r="H31" s="15" t="s">
        <v>228</v>
      </c>
      <c r="I31" s="15" t="s">
        <v>224</v>
      </c>
      <c r="J31" s="15" t="s">
        <v>188</v>
      </c>
      <c r="K31" s="15"/>
      <c r="L31" s="15"/>
    </row>
    <row r="32">
      <c r="A32" s="15">
        <v>31.0</v>
      </c>
      <c r="B32" s="16">
        <v>45907.0</v>
      </c>
      <c r="C32" s="19" t="s">
        <v>261</v>
      </c>
      <c r="D32" s="15"/>
      <c r="E32" s="15" t="s">
        <v>184</v>
      </c>
      <c r="F32" s="15"/>
      <c r="G32" s="15" t="s">
        <v>262</v>
      </c>
      <c r="H32" s="15" t="s">
        <v>228</v>
      </c>
      <c r="I32" s="15" t="s">
        <v>224</v>
      </c>
      <c r="J32" s="15" t="s">
        <v>188</v>
      </c>
      <c r="K32" s="15"/>
      <c r="L32" s="15"/>
    </row>
    <row r="33">
      <c r="A33" s="15">
        <v>32.0</v>
      </c>
      <c r="B33" s="16">
        <v>45907.0</v>
      </c>
      <c r="C33" s="19" t="s">
        <v>263</v>
      </c>
      <c r="D33" s="15"/>
      <c r="E33" s="15" t="s">
        <v>184</v>
      </c>
      <c r="F33" s="15"/>
      <c r="G33" s="15" t="s">
        <v>264</v>
      </c>
      <c r="H33" s="15" t="s">
        <v>228</v>
      </c>
      <c r="I33" s="15" t="s">
        <v>224</v>
      </c>
      <c r="J33" s="15" t="s">
        <v>188</v>
      </c>
      <c r="K33" s="15"/>
      <c r="L33" s="15"/>
    </row>
    <row r="34">
      <c r="A34" s="15">
        <v>33.0</v>
      </c>
      <c r="B34" s="16">
        <v>45907.0</v>
      </c>
      <c r="C34" s="19" t="s">
        <v>265</v>
      </c>
      <c r="D34" s="15"/>
      <c r="E34" s="15" t="s">
        <v>184</v>
      </c>
      <c r="F34" s="15"/>
      <c r="G34" s="15" t="s">
        <v>266</v>
      </c>
      <c r="H34" s="15" t="s">
        <v>228</v>
      </c>
      <c r="I34" s="15" t="s">
        <v>224</v>
      </c>
      <c r="J34" s="15" t="s">
        <v>188</v>
      </c>
      <c r="K34" s="15"/>
      <c r="L34" s="15"/>
    </row>
    <row r="35">
      <c r="A35" s="15">
        <v>34.0</v>
      </c>
      <c r="B35" s="16">
        <v>45907.0</v>
      </c>
      <c r="C35" s="19" t="s">
        <v>267</v>
      </c>
      <c r="D35" s="15"/>
      <c r="E35" s="15" t="s">
        <v>184</v>
      </c>
      <c r="F35" s="15"/>
      <c r="G35" s="15" t="s">
        <v>266</v>
      </c>
      <c r="H35" s="15" t="s">
        <v>228</v>
      </c>
      <c r="I35" s="15" t="s">
        <v>224</v>
      </c>
      <c r="J35" s="15" t="s">
        <v>188</v>
      </c>
      <c r="K35" s="15"/>
      <c r="L35" s="15"/>
    </row>
    <row r="36">
      <c r="A36" s="15">
        <v>35.0</v>
      </c>
      <c r="B36" s="16">
        <v>45907.0</v>
      </c>
      <c r="C36" s="19" t="s">
        <v>268</v>
      </c>
      <c r="D36" s="15"/>
      <c r="E36" s="15" t="s">
        <v>184</v>
      </c>
      <c r="F36" s="15"/>
      <c r="G36" s="15" t="s">
        <v>269</v>
      </c>
      <c r="H36" s="15" t="s">
        <v>228</v>
      </c>
      <c r="I36" s="15" t="s">
        <v>224</v>
      </c>
      <c r="J36" s="15" t="s">
        <v>188</v>
      </c>
      <c r="K36" s="15"/>
      <c r="L36" s="15"/>
    </row>
    <row r="37">
      <c r="A37" s="15">
        <v>36.0</v>
      </c>
      <c r="B37" s="16">
        <v>45907.0</v>
      </c>
      <c r="C37" s="19" t="s">
        <v>270</v>
      </c>
      <c r="D37" s="15"/>
      <c r="E37" s="15" t="s">
        <v>184</v>
      </c>
      <c r="F37" s="15"/>
      <c r="G37" s="15" t="s">
        <v>271</v>
      </c>
      <c r="H37" s="15" t="s">
        <v>228</v>
      </c>
      <c r="I37" s="15" t="s">
        <v>224</v>
      </c>
      <c r="J37" s="15" t="s">
        <v>188</v>
      </c>
      <c r="K37" s="15"/>
      <c r="L37" s="15"/>
    </row>
    <row r="38">
      <c r="A38" s="15">
        <v>37.0</v>
      </c>
      <c r="B38" s="16">
        <v>45907.0</v>
      </c>
      <c r="C38" s="19" t="s">
        <v>272</v>
      </c>
      <c r="D38" s="15"/>
      <c r="E38" s="15" t="s">
        <v>184</v>
      </c>
      <c r="F38" s="15"/>
      <c r="G38" s="15" t="s">
        <v>273</v>
      </c>
      <c r="H38" s="15" t="s">
        <v>228</v>
      </c>
      <c r="I38" s="15" t="s">
        <v>224</v>
      </c>
      <c r="J38" s="15" t="s">
        <v>188</v>
      </c>
      <c r="K38" s="15"/>
      <c r="L38" s="15"/>
    </row>
    <row r="39">
      <c r="A39" s="15">
        <v>38.0</v>
      </c>
      <c r="B39" s="16">
        <v>45907.0</v>
      </c>
      <c r="C39" s="19" t="s">
        <v>274</v>
      </c>
      <c r="D39" s="15"/>
      <c r="E39" s="15" t="s">
        <v>251</v>
      </c>
      <c r="F39" s="15"/>
      <c r="G39" s="15" t="s">
        <v>275</v>
      </c>
      <c r="H39" s="15" t="s">
        <v>228</v>
      </c>
      <c r="I39" s="15" t="s">
        <v>224</v>
      </c>
      <c r="J39" s="15" t="s">
        <v>188</v>
      </c>
      <c r="K39" s="15"/>
      <c r="L39" s="15"/>
    </row>
    <row r="40">
      <c r="A40" s="15">
        <v>39.0</v>
      </c>
      <c r="B40" s="16">
        <v>45907.0</v>
      </c>
      <c r="C40" s="19" t="s">
        <v>276</v>
      </c>
      <c r="D40" s="15"/>
      <c r="E40" s="15" t="s">
        <v>277</v>
      </c>
      <c r="F40" s="15"/>
      <c r="G40" s="15" t="s">
        <v>278</v>
      </c>
      <c r="H40" s="15" t="s">
        <v>228</v>
      </c>
      <c r="I40" s="15" t="s">
        <v>224</v>
      </c>
      <c r="J40" s="15" t="s">
        <v>188</v>
      </c>
      <c r="K40" s="15"/>
      <c r="L40" s="15"/>
    </row>
    <row r="41">
      <c r="A41" s="15">
        <v>40.0</v>
      </c>
      <c r="B41" s="16">
        <v>45907.0</v>
      </c>
      <c r="C41" s="20" t="s">
        <v>279</v>
      </c>
      <c r="D41" s="15"/>
      <c r="E41" s="15" t="s">
        <v>277</v>
      </c>
      <c r="F41" s="15"/>
      <c r="G41" s="15" t="s">
        <v>280</v>
      </c>
      <c r="H41" s="15" t="s">
        <v>228</v>
      </c>
      <c r="I41" s="15" t="s">
        <v>224</v>
      </c>
      <c r="J41" s="15" t="s">
        <v>188</v>
      </c>
      <c r="K41" s="15"/>
      <c r="L41" s="15"/>
    </row>
    <row r="42">
      <c r="A42" s="15">
        <v>41.0</v>
      </c>
      <c r="B42" s="16">
        <v>45907.0</v>
      </c>
      <c r="C42" s="20" t="s">
        <v>281</v>
      </c>
      <c r="D42" s="15"/>
      <c r="E42" s="15" t="s">
        <v>184</v>
      </c>
      <c r="F42" s="15" t="str">
        <f>IFERROR(__xludf.DUMMYFUNCTION("if(REGEXMATCH(C43,""x.com"")=TRUE,""Twitter"",if(REGEXMATCH(C43,""facebook"")=TRUE,""Facebook"",if(REGEXMATCH(C43,""instagram"")=TRUE,""Instagram"",if(REGEXMATCH(C43,""youtube"")=TRUE,""Youtube"",if(REGEXMATCH(C43,""tiktok"")=TRUE,""Tiktok"",if(REGEXMATCH"&amp;"(C43,""threads"")=TRUE,""Threads""))))))"),"Tiktok")</f>
        <v>Tiktok</v>
      </c>
      <c r="G42" s="15" t="s">
        <v>282</v>
      </c>
      <c r="H42" s="15" t="s">
        <v>213</v>
      </c>
      <c r="I42" s="15" t="s">
        <v>283</v>
      </c>
      <c r="J42" s="15" t="s">
        <v>188</v>
      </c>
      <c r="K42" s="15"/>
      <c r="L42" s="15"/>
    </row>
    <row r="43">
      <c r="A43" s="15">
        <v>42.0</v>
      </c>
      <c r="B43" s="16">
        <v>45907.0</v>
      </c>
      <c r="C43" s="20" t="s">
        <v>284</v>
      </c>
      <c r="D43" s="15"/>
      <c r="E43" s="15" t="s">
        <v>184</v>
      </c>
      <c r="F43" s="15" t="str">
        <f>IFERROR(__xludf.DUMMYFUNCTION("if(REGEXMATCH(C44,""x.com"")=TRUE,""Twitter"",if(REGEXMATCH(C44,""facebook"")=TRUE,""Facebook"",if(REGEXMATCH(C44,""instagram"")=TRUE,""Instagram"",if(REGEXMATCH(C44,""youtube"")=TRUE,""Youtube"",if(REGEXMATCH(C44,""tiktok"")=TRUE,""Tiktok"",if(REGEXMATCH"&amp;"(C44,""threads"")=TRUE,""Threads""))))))"),"Tiktok")</f>
        <v>Tiktok</v>
      </c>
      <c r="G43" s="15" t="s">
        <v>282</v>
      </c>
      <c r="H43" s="15" t="s">
        <v>213</v>
      </c>
      <c r="I43" s="15" t="s">
        <v>283</v>
      </c>
      <c r="J43" s="15" t="s">
        <v>188</v>
      </c>
      <c r="K43" s="15"/>
      <c r="L43" s="15"/>
    </row>
    <row r="44">
      <c r="A44" s="15">
        <v>43.0</v>
      </c>
      <c r="B44" s="16">
        <v>45907.0</v>
      </c>
      <c r="C44" s="20" t="s">
        <v>285</v>
      </c>
      <c r="D44" s="15"/>
      <c r="E44" s="15" t="s">
        <v>184</v>
      </c>
      <c r="F44" s="15" t="str">
        <f>IFERROR(__xludf.DUMMYFUNCTION("if(REGEXMATCH(C45,""x.com"")=TRUE,""Twitter"",if(REGEXMATCH(C45,""facebook"")=TRUE,""Facebook"",if(REGEXMATCH(C45,""instagram"")=TRUE,""Instagram"",if(REGEXMATCH(C45,""youtube"")=TRUE,""Youtube"",if(REGEXMATCH(C45,""tiktok"")=TRUE,""Tiktok"",if(REGEXMATCH"&amp;"(C45,""threads"")=TRUE,""Threads""))))))"),"Tiktok")</f>
        <v>Tiktok</v>
      </c>
      <c r="G44" s="15" t="s">
        <v>282</v>
      </c>
      <c r="H44" s="15" t="s">
        <v>213</v>
      </c>
      <c r="I44" s="15" t="s">
        <v>283</v>
      </c>
      <c r="J44" s="15" t="s">
        <v>188</v>
      </c>
      <c r="K44" s="15"/>
      <c r="L44" s="15"/>
    </row>
    <row r="45">
      <c r="A45" s="15">
        <v>44.0</v>
      </c>
      <c r="B45" s="16">
        <v>45907.0</v>
      </c>
      <c r="C45" s="20" t="s">
        <v>286</v>
      </c>
      <c r="D45" s="15"/>
      <c r="E45" s="15" t="s">
        <v>184</v>
      </c>
      <c r="F45" s="15" t="str">
        <f>IFERROR(__xludf.DUMMYFUNCTION("if(REGEXMATCH(C46,""x.com"")=TRUE,""Twitter"",if(REGEXMATCH(C46,""facebook"")=TRUE,""Facebook"",if(REGEXMATCH(C46,""instagram"")=TRUE,""Instagram"",if(REGEXMATCH(C46,""youtube"")=TRUE,""Youtube"",if(REGEXMATCH(C46,""tiktok"")=TRUE,""Tiktok"",if(REGEXMATCH"&amp;"(C46,""threads"")=TRUE,""Threads""))))))"),"Tiktok")</f>
        <v>Tiktok</v>
      </c>
      <c r="G45" s="15" t="s">
        <v>282</v>
      </c>
      <c r="H45" s="15" t="s">
        <v>213</v>
      </c>
      <c r="I45" s="15" t="s">
        <v>283</v>
      </c>
      <c r="J45" s="15" t="s">
        <v>188</v>
      </c>
      <c r="K45" s="15"/>
      <c r="L45" s="15"/>
    </row>
    <row r="46">
      <c r="A46" s="15">
        <v>45.0</v>
      </c>
      <c r="B46" s="16">
        <v>45907.0</v>
      </c>
      <c r="C46" s="20" t="s">
        <v>287</v>
      </c>
      <c r="D46" s="15"/>
      <c r="E46" s="15" t="s">
        <v>184</v>
      </c>
      <c r="F46" s="15" t="str">
        <f>IFERROR(__xludf.DUMMYFUNCTION("if(REGEXMATCH(C47,""x.com"")=TRUE,""Twitter"",if(REGEXMATCH(C47,""facebook"")=TRUE,""Facebook"",if(REGEXMATCH(C47,""instagram"")=TRUE,""Instagram"",if(REGEXMATCH(C47,""youtube"")=TRUE,""Youtube"",if(REGEXMATCH(C47,""tiktok"")=TRUE,""Tiktok"",if(REGEXMATCH"&amp;"(C47,""threads"")=TRUE,""Threads""))))))"),"Tiktok")</f>
        <v>Tiktok</v>
      </c>
      <c r="G46" s="15" t="s">
        <v>282</v>
      </c>
      <c r="H46" s="15" t="s">
        <v>213</v>
      </c>
      <c r="I46" s="15" t="s">
        <v>283</v>
      </c>
      <c r="J46" s="15" t="s">
        <v>188</v>
      </c>
      <c r="K46" s="15"/>
      <c r="L46" s="15"/>
    </row>
    <row r="47">
      <c r="A47" s="15">
        <v>46.0</v>
      </c>
      <c r="B47" s="16">
        <v>45907.0</v>
      </c>
      <c r="C47" s="20" t="s">
        <v>288</v>
      </c>
      <c r="D47" s="15"/>
      <c r="E47" s="15" t="s">
        <v>184</v>
      </c>
      <c r="F47" s="15" t="str">
        <f>IFERROR(__xludf.DUMMYFUNCTION("if(REGEXMATCH(C48,""x.com"")=TRUE,""Twitter"",if(REGEXMATCH(C48,""facebook"")=TRUE,""Facebook"",if(REGEXMATCH(C48,""instagram"")=TRUE,""Instagram"",if(REGEXMATCH(C48,""youtube"")=TRUE,""Youtube"",if(REGEXMATCH(C48,""tiktok"")=TRUE,""Tiktok"",if(REGEXMATCH"&amp;"(C48,""threads"")=TRUE,""Threads""))))))"),"Tiktok")</f>
        <v>Tiktok</v>
      </c>
      <c r="G47" s="15" t="s">
        <v>282</v>
      </c>
      <c r="H47" s="15" t="s">
        <v>213</v>
      </c>
      <c r="I47" s="15" t="s">
        <v>283</v>
      </c>
      <c r="J47" s="15" t="s">
        <v>188</v>
      </c>
      <c r="K47" s="15"/>
      <c r="L47" s="15"/>
    </row>
    <row r="48">
      <c r="A48" s="15">
        <v>47.0</v>
      </c>
      <c r="B48" s="16">
        <v>45907.0</v>
      </c>
      <c r="C48" s="20" t="s">
        <v>289</v>
      </c>
      <c r="D48" s="15"/>
      <c r="E48" s="15" t="s">
        <v>184</v>
      </c>
      <c r="F48" s="15" t="str">
        <f>IFERROR(__xludf.DUMMYFUNCTION("if(REGEXMATCH(C49,""x.com"")=TRUE,""Twitter"",if(REGEXMATCH(C49,""facebook"")=TRUE,""Facebook"",if(REGEXMATCH(C49,""instagram"")=TRUE,""Instagram"",if(REGEXMATCH(C49,""youtube"")=TRUE,""Youtube"",if(REGEXMATCH(C49,""tiktok"")=TRUE,""Tiktok"",if(REGEXMATCH"&amp;"(C49,""threads"")=TRUE,""Threads""))))))"),"Tiktok")</f>
        <v>Tiktok</v>
      </c>
      <c r="G48" s="15" t="s">
        <v>282</v>
      </c>
      <c r="H48" s="15" t="s">
        <v>213</v>
      </c>
      <c r="I48" s="15" t="s">
        <v>283</v>
      </c>
      <c r="J48" s="15" t="s">
        <v>188</v>
      </c>
      <c r="K48" s="15"/>
      <c r="L48" s="15"/>
    </row>
    <row r="49">
      <c r="A49" s="15">
        <v>48.0</v>
      </c>
      <c r="B49" s="16">
        <v>45907.0</v>
      </c>
      <c r="C49" s="19" t="s">
        <v>290</v>
      </c>
      <c r="D49" s="15"/>
      <c r="E49" s="15" t="s">
        <v>184</v>
      </c>
      <c r="F49" s="15" t="str">
        <f>IFERROR(__xludf.DUMMYFUNCTION("if(REGEXMATCH(C50,""x.com"")=TRUE,""Twitter"",if(REGEXMATCH(C50,""facebook"")=TRUE,""Facebook"",if(REGEXMATCH(C50,""instagram"")=TRUE,""Instagram"",if(REGEXMATCH(C50,""youtube"")=TRUE,""Youtube"",if(REGEXMATCH(C50,""tiktok"")=TRUE,""Tiktok"",if(REGEXMATCH"&amp;"(C50,""threads"")=TRUE,""Threads""))))))"),"Tiktok")</f>
        <v>Tiktok</v>
      </c>
      <c r="G49" s="15" t="s">
        <v>282</v>
      </c>
      <c r="H49" s="15" t="s">
        <v>213</v>
      </c>
      <c r="I49" s="15" t="s">
        <v>283</v>
      </c>
      <c r="J49" s="15" t="s">
        <v>188</v>
      </c>
      <c r="K49" s="15"/>
      <c r="L49" s="15"/>
    </row>
    <row r="50">
      <c r="A50" s="15">
        <v>49.0</v>
      </c>
      <c r="B50" s="16">
        <v>45907.0</v>
      </c>
      <c r="C50" s="19" t="s">
        <v>291</v>
      </c>
      <c r="D50" s="15"/>
      <c r="E50" s="15" t="s">
        <v>184</v>
      </c>
      <c r="F50" s="15" t="str">
        <f>IFERROR(__xludf.DUMMYFUNCTION("if(REGEXMATCH(C51,""x.com"")=TRUE,""Twitter"",if(REGEXMATCH(C51,""facebook"")=TRUE,""Facebook"",if(REGEXMATCH(C51,""instagram"")=TRUE,""Instagram"",if(REGEXMATCH(C51,""youtube"")=TRUE,""Youtube"",if(REGEXMATCH(C51,""tiktok"")=TRUE,""Tiktok"",if(REGEXMATCH"&amp;"(C51,""threads"")=TRUE,""Threads""))))))"),"Twitter")</f>
        <v>Twitter</v>
      </c>
      <c r="G50" s="15" t="s">
        <v>282</v>
      </c>
      <c r="H50" s="15" t="s">
        <v>213</v>
      </c>
      <c r="I50" s="15" t="s">
        <v>283</v>
      </c>
      <c r="J50" s="15" t="s">
        <v>188</v>
      </c>
      <c r="K50" s="15"/>
      <c r="L50" s="15"/>
    </row>
    <row r="51">
      <c r="A51" s="15">
        <v>50.0</v>
      </c>
      <c r="B51" s="16">
        <v>45907.0</v>
      </c>
      <c r="C51" s="19" t="s">
        <v>292</v>
      </c>
      <c r="D51" s="15"/>
      <c r="E51" s="15" t="s">
        <v>184</v>
      </c>
      <c r="F51" s="15" t="str">
        <f>IFERROR(__xludf.DUMMYFUNCTION("if(REGEXMATCH(C52,""x.com"")=TRUE,""Twitter"",if(REGEXMATCH(C52,""facebook"")=TRUE,""Facebook"",if(REGEXMATCH(C52,""instagram"")=TRUE,""Instagram"",if(REGEXMATCH(C52,""youtube"")=TRUE,""Youtube"",if(REGEXMATCH(C52,""tiktok"")=TRUE,""Tiktok"",if(REGEXMATCH"&amp;"(C52,""threads"")=TRUE,""Threads""))))))"),"Twitter")</f>
        <v>Twitter</v>
      </c>
      <c r="G51" s="15" t="s">
        <v>293</v>
      </c>
      <c r="H51" s="15" t="s">
        <v>213</v>
      </c>
      <c r="I51" s="15" t="s">
        <v>214</v>
      </c>
      <c r="J51" s="15" t="s">
        <v>188</v>
      </c>
      <c r="K51" s="15"/>
      <c r="L51" s="15"/>
    </row>
    <row r="52">
      <c r="A52" s="15">
        <v>51.0</v>
      </c>
      <c r="B52" s="16">
        <v>45907.0</v>
      </c>
      <c r="C52" s="19" t="s">
        <v>294</v>
      </c>
      <c r="D52" s="15"/>
      <c r="E52" s="15" t="s">
        <v>184</v>
      </c>
      <c r="F52" s="15" t="str">
        <f>IFERROR(__xludf.DUMMYFUNCTION("if(REGEXMATCH(C53,""x.com"")=TRUE,""Twitter"",if(REGEXMATCH(C53,""facebook"")=TRUE,""Facebook"",if(REGEXMATCH(C53,""instagram"")=TRUE,""Instagram"",if(REGEXMATCH(C53,""youtube"")=TRUE,""Youtube"",if(REGEXMATCH(C53,""tiktok"")=TRUE,""Tiktok"",if(REGEXMATCH"&amp;"(C53,""threads"")=TRUE,""Threads""))))))"),"Twitter")</f>
        <v>Twitter</v>
      </c>
      <c r="G52" s="15" t="s">
        <v>293</v>
      </c>
      <c r="H52" s="15" t="s">
        <v>213</v>
      </c>
      <c r="I52" s="15" t="s">
        <v>214</v>
      </c>
      <c r="J52" s="15" t="s">
        <v>188</v>
      </c>
      <c r="K52" s="15"/>
      <c r="L52" s="15"/>
    </row>
    <row r="53">
      <c r="A53" s="15">
        <v>52.0</v>
      </c>
      <c r="B53" s="16">
        <v>45907.0</v>
      </c>
      <c r="C53" s="19" t="s">
        <v>295</v>
      </c>
      <c r="D53" s="15"/>
      <c r="E53" s="15" t="s">
        <v>184</v>
      </c>
      <c r="F53" s="15" t="str">
        <f>IFERROR(__xludf.DUMMYFUNCTION("if(REGEXMATCH(C54,""x.com"")=TRUE,""Twitter"",if(REGEXMATCH(C54,""facebook"")=TRUE,""Facebook"",if(REGEXMATCH(C54,""instagram"")=TRUE,""Instagram"",if(REGEXMATCH(C54,""youtube"")=TRUE,""Youtube"",if(REGEXMATCH(C54,""tiktok"")=TRUE,""Tiktok"",if(REGEXMATCH"&amp;"(C54,""threads"")=TRUE,""Threads""))))))"),"Twitter")</f>
        <v>Twitter</v>
      </c>
      <c r="G53" s="15" t="s">
        <v>293</v>
      </c>
      <c r="H53" s="15" t="s">
        <v>213</v>
      </c>
      <c r="I53" s="15" t="s">
        <v>214</v>
      </c>
      <c r="J53" s="15" t="s">
        <v>188</v>
      </c>
      <c r="K53" s="15"/>
      <c r="L53" s="15"/>
    </row>
    <row r="54">
      <c r="A54" s="15">
        <v>53.0</v>
      </c>
      <c r="B54" s="16">
        <v>45907.0</v>
      </c>
      <c r="C54" s="19" t="s">
        <v>296</v>
      </c>
      <c r="D54" s="15"/>
      <c r="E54" s="15" t="s">
        <v>184</v>
      </c>
      <c r="F54" s="15" t="str">
        <f>IFERROR(__xludf.DUMMYFUNCTION("if(REGEXMATCH(C55,""x.com"")=TRUE,""Twitter"",if(REGEXMATCH(C55,""facebook"")=TRUE,""Facebook"",if(REGEXMATCH(C55,""instagram"")=TRUE,""Instagram"",if(REGEXMATCH(C55,""youtube"")=TRUE,""Youtube"",if(REGEXMATCH(C55,""tiktok"")=TRUE,""Tiktok"",if(REGEXMATCH"&amp;"(C55,""threads"")=TRUE,""Threads""))))))"),"Twitter")</f>
        <v>Twitter</v>
      </c>
      <c r="G54" s="15" t="s">
        <v>293</v>
      </c>
      <c r="H54" s="15" t="s">
        <v>213</v>
      </c>
      <c r="I54" s="15" t="s">
        <v>214</v>
      </c>
      <c r="J54" s="15" t="s">
        <v>188</v>
      </c>
      <c r="K54" s="15"/>
      <c r="L54" s="15"/>
    </row>
    <row r="55">
      <c r="A55" s="15">
        <v>54.0</v>
      </c>
      <c r="B55" s="16">
        <v>45907.0</v>
      </c>
      <c r="C55" s="19" t="s">
        <v>297</v>
      </c>
      <c r="D55" s="15"/>
      <c r="E55" s="15" t="s">
        <v>184</v>
      </c>
      <c r="F55" s="15" t="str">
        <f>IFERROR(__xludf.DUMMYFUNCTION("if(REGEXMATCH(C56,""x.com"")=TRUE,""Twitter"",if(REGEXMATCH(C56,""facebook"")=TRUE,""Facebook"",if(REGEXMATCH(C56,""instagram"")=TRUE,""Instagram"",if(REGEXMATCH(C56,""youtube"")=TRUE,""Youtube"",if(REGEXMATCH(C56,""tiktok"")=TRUE,""Tiktok"",if(REGEXMATCH"&amp;"(C56,""threads"")=TRUE,""Threads""))))))"),"Twitter")</f>
        <v>Twitter</v>
      </c>
      <c r="G55" s="15" t="s">
        <v>293</v>
      </c>
      <c r="H55" s="15" t="s">
        <v>213</v>
      </c>
      <c r="I55" s="15" t="s">
        <v>214</v>
      </c>
      <c r="J55" s="15" t="s">
        <v>188</v>
      </c>
      <c r="K55" s="15"/>
      <c r="L55" s="15"/>
    </row>
    <row r="56">
      <c r="A56" s="15">
        <v>55.0</v>
      </c>
      <c r="B56" s="16">
        <v>45907.0</v>
      </c>
      <c r="C56" s="19" t="s">
        <v>298</v>
      </c>
      <c r="D56" s="15"/>
      <c r="E56" s="15" t="s">
        <v>184</v>
      </c>
      <c r="F56" s="15" t="str">
        <f>IFERROR(__xludf.DUMMYFUNCTION("if(REGEXMATCH(C57,""x.com"")=TRUE,""Twitter"",if(REGEXMATCH(C57,""facebook"")=TRUE,""Facebook"",if(REGEXMATCH(C57,""instagram"")=TRUE,""Instagram"",if(REGEXMATCH(C57,""youtube"")=TRUE,""Youtube"",if(REGEXMATCH(C57,""tiktok"")=TRUE,""Tiktok"",if(REGEXMATCH"&amp;"(C57,""threads"")=TRUE,""Threads""))))))"),"Twitter")</f>
        <v>Twitter</v>
      </c>
      <c r="G56" s="15" t="s">
        <v>293</v>
      </c>
      <c r="H56" s="15" t="s">
        <v>213</v>
      </c>
      <c r="I56" s="15" t="s">
        <v>214</v>
      </c>
      <c r="J56" s="15" t="s">
        <v>188</v>
      </c>
      <c r="K56" s="15" t="s">
        <v>299</v>
      </c>
      <c r="L56" s="15"/>
    </row>
    <row r="57">
      <c r="A57" s="15">
        <v>56.0</v>
      </c>
      <c r="B57" s="16">
        <v>45907.0</v>
      </c>
      <c r="C57" s="19" t="s">
        <v>300</v>
      </c>
      <c r="D57" s="15"/>
      <c r="E57" s="15" t="s">
        <v>184</v>
      </c>
      <c r="F57" s="15" t="str">
        <f>IFERROR(__xludf.DUMMYFUNCTION("if(REGEXMATCH(C58,""x.com"")=TRUE,""Twitter"",if(REGEXMATCH(C58,""facebook"")=TRUE,""Facebook"",if(REGEXMATCH(C58,""instagram"")=TRUE,""Instagram"",if(REGEXMATCH(C58,""youtube"")=TRUE,""Youtube"",if(REGEXMATCH(C58,""tiktok"")=TRUE,""Tiktok"",if(REGEXMATCH"&amp;"(C58,""threads"")=TRUE,""Threads""))))))"),"Twitter")</f>
        <v>Twitter</v>
      </c>
      <c r="G57" s="15" t="s">
        <v>293</v>
      </c>
      <c r="H57" s="15" t="s">
        <v>213</v>
      </c>
      <c r="I57" s="15" t="s">
        <v>214</v>
      </c>
      <c r="J57" s="15" t="s">
        <v>188</v>
      </c>
      <c r="K57" s="15"/>
      <c r="L57" s="15"/>
    </row>
    <row r="58">
      <c r="A58" s="15">
        <v>57.0</v>
      </c>
      <c r="B58" s="16">
        <v>45907.0</v>
      </c>
      <c r="C58" s="19" t="s">
        <v>301</v>
      </c>
      <c r="D58" s="15"/>
      <c r="E58" s="15" t="s">
        <v>184</v>
      </c>
      <c r="F58" s="15" t="str">
        <f>IFERROR(__xludf.DUMMYFUNCTION("if(REGEXMATCH(C59,""x.com"")=TRUE,""Twitter"",if(REGEXMATCH(C59,""facebook"")=TRUE,""Facebook"",if(REGEXMATCH(C59,""instagram"")=TRUE,""Instagram"",if(REGEXMATCH(C59,""youtube"")=TRUE,""Youtube"",if(REGEXMATCH(C59,""tiktok"")=TRUE,""Tiktok"",if(REGEXMATCH"&amp;"(C59,""threads"")=TRUE,""Threads""))))))"),"Twitter")</f>
        <v>Twitter</v>
      </c>
      <c r="G58" s="15" t="s">
        <v>293</v>
      </c>
      <c r="H58" s="15" t="s">
        <v>213</v>
      </c>
      <c r="I58" s="15" t="s">
        <v>214</v>
      </c>
      <c r="J58" s="15" t="s">
        <v>188</v>
      </c>
      <c r="K58" s="15"/>
      <c r="L58" s="15"/>
    </row>
    <row r="59">
      <c r="A59" s="15">
        <v>58.0</v>
      </c>
      <c r="B59" s="16">
        <v>45907.0</v>
      </c>
      <c r="C59" s="19" t="s">
        <v>302</v>
      </c>
      <c r="D59" s="15"/>
      <c r="E59" s="15" t="s">
        <v>184</v>
      </c>
      <c r="F59" s="15" t="str">
        <f>IFERROR(__xludf.DUMMYFUNCTION("if(REGEXMATCH(C60,""x.com"")=TRUE,""Twitter"",if(REGEXMATCH(C60,""facebook"")=TRUE,""Facebook"",if(REGEXMATCH(C60,""instagram"")=TRUE,""Instagram"",if(REGEXMATCH(C60,""youtube"")=TRUE,""Youtube"",if(REGEXMATCH(C60,""tiktok"")=TRUE,""Tiktok"",if(REGEXMATCH"&amp;"(C60,""threads"")=TRUE,""Threads""))))))"),"Twitter")</f>
        <v>Twitter</v>
      </c>
      <c r="G59" s="15" t="s">
        <v>293</v>
      </c>
      <c r="H59" s="15" t="s">
        <v>213</v>
      </c>
      <c r="I59" s="15" t="s">
        <v>214</v>
      </c>
      <c r="J59" s="15" t="s">
        <v>188</v>
      </c>
      <c r="K59" s="15"/>
      <c r="L59" s="15"/>
    </row>
    <row r="60">
      <c r="A60" s="15">
        <v>59.0</v>
      </c>
      <c r="B60" s="16">
        <v>45907.0</v>
      </c>
      <c r="C60" s="19" t="s">
        <v>303</v>
      </c>
      <c r="D60" s="15"/>
      <c r="E60" s="15" t="s">
        <v>184</v>
      </c>
      <c r="F60" s="15" t="str">
        <f>IFERROR(__xludf.DUMMYFUNCTION("if(REGEXMATCH(C61,""x.com"")=TRUE,""Twitter"",if(REGEXMATCH(C61,""facebook"")=TRUE,""Facebook"",if(REGEXMATCH(C61,""instagram"")=TRUE,""Instagram"",if(REGEXMATCH(C61,""youtube"")=TRUE,""Youtube"",if(REGEXMATCH(C61,""tiktok"")=TRUE,""Tiktok"",if(REGEXMATCH"&amp;"(C61,""threads"")=TRUE,""Threads""))))))"),"Twitter")</f>
        <v>Twitter</v>
      </c>
      <c r="G60" s="15" t="s">
        <v>293</v>
      </c>
      <c r="H60" s="15" t="s">
        <v>213</v>
      </c>
      <c r="I60" s="15" t="s">
        <v>214</v>
      </c>
      <c r="J60" s="15" t="s">
        <v>188</v>
      </c>
      <c r="K60" s="15"/>
      <c r="L60" s="15"/>
    </row>
    <row r="61">
      <c r="A61" s="15">
        <v>60.0</v>
      </c>
      <c r="B61" s="16">
        <v>45907.0</v>
      </c>
      <c r="C61" s="19" t="s">
        <v>304</v>
      </c>
      <c r="D61" s="15"/>
      <c r="E61" s="15" t="s">
        <v>184</v>
      </c>
      <c r="F61" s="15" t="str">
        <f>IFERROR(__xludf.DUMMYFUNCTION("if(REGEXMATCH(C62,""x.com"")=TRUE,""Twitter"",if(REGEXMATCH(C62,""facebook"")=TRUE,""Facebook"",if(REGEXMATCH(C62,""instagram"")=TRUE,""Instagram"",if(REGEXMATCH(C62,""youtube"")=TRUE,""Youtube"",if(REGEXMATCH(C62,""tiktok"")=TRUE,""Tiktok"",if(REGEXMATCH"&amp;"(C62,""threads"")=TRUE,""Threads""))))))"),"Twitter")</f>
        <v>Twitter</v>
      </c>
      <c r="G61" s="15" t="s">
        <v>293</v>
      </c>
      <c r="H61" s="15" t="s">
        <v>213</v>
      </c>
      <c r="I61" s="15" t="s">
        <v>214</v>
      </c>
      <c r="J61" s="15" t="s">
        <v>188</v>
      </c>
      <c r="K61" s="15"/>
      <c r="L61" s="15"/>
    </row>
    <row r="62">
      <c r="A62" s="15">
        <v>61.0</v>
      </c>
      <c r="B62" s="16">
        <v>45907.0</v>
      </c>
      <c r="C62" s="19" t="s">
        <v>305</v>
      </c>
      <c r="D62" s="15"/>
      <c r="E62" s="15" t="s">
        <v>184</v>
      </c>
      <c r="F62" s="15" t="str">
        <f>IFERROR(__xludf.DUMMYFUNCTION("if(REGEXMATCH(C63,""x.com"")=TRUE,""Twitter"",if(REGEXMATCH(C63,""facebook"")=TRUE,""Facebook"",if(REGEXMATCH(C63,""instagram"")=TRUE,""Instagram"",if(REGEXMATCH(C63,""youtube"")=TRUE,""Youtube"",if(REGEXMATCH(C63,""tiktok"")=TRUE,""Tiktok"",if(REGEXMATCH"&amp;"(C63,""threads"")=TRUE,""Threads""))))))"),"Twitter")</f>
        <v>Twitter</v>
      </c>
      <c r="G62" s="15" t="s">
        <v>293</v>
      </c>
      <c r="H62" s="15" t="s">
        <v>213</v>
      </c>
      <c r="I62" s="15" t="s">
        <v>214</v>
      </c>
      <c r="J62" s="15" t="s">
        <v>188</v>
      </c>
      <c r="K62" s="15"/>
      <c r="L62" s="15"/>
    </row>
    <row r="63">
      <c r="A63" s="15">
        <v>62.0</v>
      </c>
      <c r="B63" s="16">
        <v>45907.0</v>
      </c>
      <c r="C63" s="19" t="s">
        <v>306</v>
      </c>
      <c r="D63" s="15"/>
      <c r="E63" s="15" t="s">
        <v>184</v>
      </c>
      <c r="F63" s="15" t="str">
        <f>IFERROR(__xludf.DUMMYFUNCTION("if(REGEXMATCH(C64,""x.com"")=TRUE,""Twitter"",if(REGEXMATCH(C64,""facebook"")=TRUE,""Facebook"",if(REGEXMATCH(C64,""instagram"")=TRUE,""Instagram"",if(REGEXMATCH(C64,""youtube"")=TRUE,""Youtube"",if(REGEXMATCH(C64,""tiktok"")=TRUE,""Tiktok"",if(REGEXMATCH"&amp;"(C64,""threads"")=TRUE,""Threads""))))))"),"Twitter")</f>
        <v>Twitter</v>
      </c>
      <c r="G63" s="15" t="s">
        <v>293</v>
      </c>
      <c r="H63" s="15" t="s">
        <v>213</v>
      </c>
      <c r="I63" s="15" t="s">
        <v>214</v>
      </c>
      <c r="J63" s="15" t="s">
        <v>188</v>
      </c>
      <c r="K63" s="15"/>
      <c r="L63" s="15"/>
    </row>
    <row r="64">
      <c r="A64" s="15">
        <v>63.0</v>
      </c>
      <c r="B64" s="16">
        <v>45907.0</v>
      </c>
      <c r="C64" s="19" t="s">
        <v>307</v>
      </c>
      <c r="D64" s="15"/>
      <c r="E64" s="15" t="s">
        <v>184</v>
      </c>
      <c r="F64" s="15" t="str">
        <f>IFERROR(__xludf.DUMMYFUNCTION("if(REGEXMATCH(C65,""x.com"")=TRUE,""Twitter"",if(REGEXMATCH(C65,""facebook"")=TRUE,""Facebook"",if(REGEXMATCH(C65,""instagram"")=TRUE,""Instagram"",if(REGEXMATCH(C65,""youtube"")=TRUE,""Youtube"",if(REGEXMATCH(C65,""tiktok"")=TRUE,""Tiktok"",if(REGEXMATCH"&amp;"(C65,""threads"")=TRUE,""Threads""))))))"),"Twitter")</f>
        <v>Twitter</v>
      </c>
      <c r="G64" s="15" t="s">
        <v>293</v>
      </c>
      <c r="H64" s="15" t="s">
        <v>213</v>
      </c>
      <c r="I64" s="15" t="s">
        <v>214</v>
      </c>
      <c r="J64" s="15" t="s">
        <v>188</v>
      </c>
      <c r="K64" s="15"/>
      <c r="L64" s="15"/>
    </row>
    <row r="65">
      <c r="A65" s="15">
        <v>64.0</v>
      </c>
      <c r="B65" s="16">
        <v>45907.0</v>
      </c>
      <c r="C65" s="19" t="s">
        <v>308</v>
      </c>
      <c r="D65" s="15"/>
      <c r="E65" s="15" t="s">
        <v>184</v>
      </c>
      <c r="F65" s="15" t="str">
        <f>IFERROR(__xludf.DUMMYFUNCTION("if(REGEXMATCH(C66,""x.com"")=TRUE,""Twitter"",if(REGEXMATCH(C66,""facebook"")=TRUE,""Facebook"",if(REGEXMATCH(C66,""instagram"")=TRUE,""Instagram"",if(REGEXMATCH(C66,""youtube"")=TRUE,""Youtube"",if(REGEXMATCH(C66,""tiktok"")=TRUE,""Tiktok"",if(REGEXMATCH"&amp;"(C66,""threads"")=TRUE,""Threads""))))))"),"Twitter")</f>
        <v>Twitter</v>
      </c>
      <c r="G65" s="15" t="s">
        <v>293</v>
      </c>
      <c r="H65" s="15" t="s">
        <v>213</v>
      </c>
      <c r="I65" s="15" t="s">
        <v>214</v>
      </c>
      <c r="J65" s="15" t="s">
        <v>188</v>
      </c>
      <c r="K65" s="15"/>
      <c r="L65" s="15"/>
    </row>
    <row r="66">
      <c r="A66" s="15">
        <v>65.0</v>
      </c>
      <c r="B66" s="16">
        <v>45907.0</v>
      </c>
      <c r="C66" s="19" t="s">
        <v>309</v>
      </c>
      <c r="D66" s="15"/>
      <c r="E66" s="15" t="s">
        <v>184</v>
      </c>
      <c r="F66" s="15" t="str">
        <f>IFERROR(__xludf.DUMMYFUNCTION("if(REGEXMATCH(C67,""x.com"")=TRUE,""Twitter"",if(REGEXMATCH(C67,""facebook"")=TRUE,""Facebook"",if(REGEXMATCH(C67,""instagram"")=TRUE,""Instagram"",if(REGEXMATCH(C67,""youtube"")=TRUE,""Youtube"",if(REGEXMATCH(C67,""tiktok"")=TRUE,""Tiktok"",if(REGEXMATCH"&amp;"(C67,""threads"")=TRUE,""Threads""))))))"),"Twitter")</f>
        <v>Twitter</v>
      </c>
      <c r="G66" s="15" t="s">
        <v>293</v>
      </c>
      <c r="H66" s="15" t="s">
        <v>213</v>
      </c>
      <c r="I66" s="15" t="s">
        <v>214</v>
      </c>
      <c r="J66" s="15" t="s">
        <v>188</v>
      </c>
      <c r="K66" s="15"/>
      <c r="L66" s="15"/>
    </row>
    <row r="67">
      <c r="A67" s="15">
        <v>66.0</v>
      </c>
      <c r="B67" s="16">
        <v>45907.0</v>
      </c>
      <c r="C67" s="19" t="s">
        <v>310</v>
      </c>
      <c r="D67" s="15"/>
      <c r="E67" s="15" t="s">
        <v>184</v>
      </c>
      <c r="F67" s="15" t="str">
        <f>IFERROR(__xludf.DUMMYFUNCTION("if(REGEXMATCH(C68,""x.com"")=TRUE,""Twitter"",if(REGEXMATCH(C68,""facebook"")=TRUE,""Facebook"",if(REGEXMATCH(C68,""instagram"")=TRUE,""Instagram"",if(REGEXMATCH(C68,""youtube"")=TRUE,""Youtube"",if(REGEXMATCH(C68,""tiktok"")=TRUE,""Tiktok"",if(REGEXMATCH"&amp;"(C68,""threads"")=TRUE,""Threads""))))))"),"Twitter")</f>
        <v>Twitter</v>
      </c>
      <c r="G67" s="15" t="s">
        <v>293</v>
      </c>
      <c r="H67" s="15" t="s">
        <v>213</v>
      </c>
      <c r="I67" s="15" t="s">
        <v>214</v>
      </c>
      <c r="J67" s="15" t="s">
        <v>188</v>
      </c>
      <c r="K67" s="15"/>
      <c r="L67" s="15"/>
    </row>
    <row r="68">
      <c r="A68" s="15">
        <v>67.0</v>
      </c>
      <c r="B68" s="16">
        <v>45907.0</v>
      </c>
      <c r="C68" s="19" t="s">
        <v>311</v>
      </c>
      <c r="D68" s="15"/>
      <c r="E68" s="15" t="s">
        <v>184</v>
      </c>
      <c r="F68" s="15" t="str">
        <f>IFERROR(__xludf.DUMMYFUNCTION("if(REGEXMATCH(C69,""x.com"")=TRUE,""Twitter"",if(REGEXMATCH(C69,""facebook"")=TRUE,""Facebook"",if(REGEXMATCH(C69,""instagram"")=TRUE,""Instagram"",if(REGEXMATCH(C69,""youtube"")=TRUE,""Youtube"",if(REGEXMATCH(C69,""tiktok"")=TRUE,""Tiktok"",if(REGEXMATCH"&amp;"(C69,""threads"")=TRUE,""Threads""))))))"),"Twitter")</f>
        <v>Twitter</v>
      </c>
      <c r="G68" s="15" t="s">
        <v>293</v>
      </c>
      <c r="H68" s="15" t="s">
        <v>213</v>
      </c>
      <c r="I68" s="15" t="s">
        <v>214</v>
      </c>
      <c r="J68" s="15" t="s">
        <v>188</v>
      </c>
      <c r="K68" s="15"/>
      <c r="L68" s="15"/>
    </row>
    <row r="69">
      <c r="A69" s="15">
        <v>68.0</v>
      </c>
      <c r="B69" s="16">
        <v>45907.0</v>
      </c>
      <c r="C69" s="19" t="s">
        <v>312</v>
      </c>
      <c r="D69" s="15"/>
      <c r="E69" s="15" t="s">
        <v>184</v>
      </c>
      <c r="F69" s="15" t="str">
        <f>IFERROR(__xludf.DUMMYFUNCTION("if(REGEXMATCH(C70,""x.com"")=TRUE,""Twitter"",if(REGEXMATCH(C70,""facebook"")=TRUE,""Facebook"",if(REGEXMATCH(C70,""instagram"")=TRUE,""Instagram"",if(REGEXMATCH(C70,""youtube"")=TRUE,""Youtube"",if(REGEXMATCH(C70,""tiktok"")=TRUE,""Tiktok"",if(REGEXMATCH"&amp;"(C70,""threads"")=TRUE,""Threads""))))))"),"Twitter")</f>
        <v>Twitter</v>
      </c>
      <c r="G69" s="15" t="s">
        <v>293</v>
      </c>
      <c r="H69" s="15" t="s">
        <v>213</v>
      </c>
      <c r="I69" s="15" t="s">
        <v>214</v>
      </c>
      <c r="J69" s="15" t="s">
        <v>188</v>
      </c>
      <c r="K69" s="15"/>
      <c r="L69" s="15"/>
    </row>
    <row r="70">
      <c r="A70" s="15">
        <v>69.0</v>
      </c>
      <c r="B70" s="16">
        <v>45907.0</v>
      </c>
      <c r="C70" s="19" t="s">
        <v>313</v>
      </c>
      <c r="D70" s="15"/>
      <c r="E70" s="15" t="s">
        <v>184</v>
      </c>
      <c r="F70" s="15" t="str">
        <f>IFERROR(__xludf.DUMMYFUNCTION("if(REGEXMATCH(C71,""x.com"")=TRUE,""Twitter"",if(REGEXMATCH(C71,""facebook"")=TRUE,""Facebook"",if(REGEXMATCH(C71,""instagram"")=TRUE,""Instagram"",if(REGEXMATCH(C71,""youtube"")=TRUE,""Youtube"",if(REGEXMATCH(C71,""tiktok"")=TRUE,""Tiktok"",if(REGEXMATCH"&amp;"(C71,""threads"")=TRUE,""Threads""))))))"),"Facebook")</f>
        <v>Facebook</v>
      </c>
      <c r="G70" s="15" t="s">
        <v>293</v>
      </c>
      <c r="H70" s="15" t="s">
        <v>213</v>
      </c>
      <c r="I70" s="15" t="s">
        <v>214</v>
      </c>
      <c r="J70" s="15" t="s">
        <v>188</v>
      </c>
      <c r="K70" s="15"/>
      <c r="L70" s="15"/>
    </row>
    <row r="71">
      <c r="A71" s="15">
        <v>70.0</v>
      </c>
      <c r="B71" s="16">
        <v>45907.0</v>
      </c>
      <c r="C71" s="19" t="s">
        <v>314</v>
      </c>
      <c r="D71" s="15"/>
      <c r="E71" s="15" t="s">
        <v>184</v>
      </c>
      <c r="F71" s="15" t="str">
        <f>IFERROR(__xludf.DUMMYFUNCTION("if(REGEXMATCH(C72,""x.com"")=TRUE,""Twitter"",if(REGEXMATCH(C72,""facebook"")=TRUE,""Facebook"",if(REGEXMATCH(C72,""instagram"")=TRUE,""Instagram"",if(REGEXMATCH(C72,""youtube"")=TRUE,""Youtube"",if(REGEXMATCH(C72,""tiktok"")=TRUE,""Tiktok"",if(REGEXMATCH"&amp;"(C72,""threads"")=TRUE,""Threads""))))))"),"Facebook")</f>
        <v>Facebook</v>
      </c>
      <c r="G71" s="15" t="s">
        <v>293</v>
      </c>
      <c r="H71" s="15" t="s">
        <v>213</v>
      </c>
      <c r="I71" s="15" t="s">
        <v>214</v>
      </c>
      <c r="J71" s="15" t="s">
        <v>188</v>
      </c>
      <c r="K71" s="15"/>
      <c r="L71" s="15"/>
    </row>
    <row r="72">
      <c r="A72" s="15">
        <v>71.0</v>
      </c>
      <c r="B72" s="16">
        <v>45907.0</v>
      </c>
      <c r="C72" s="19" t="s">
        <v>315</v>
      </c>
      <c r="D72" s="15"/>
      <c r="E72" s="15" t="s">
        <v>184</v>
      </c>
      <c r="F72" s="15" t="str">
        <f>IFERROR(__xludf.DUMMYFUNCTION("if(REGEXMATCH(C73,""x.com"")=TRUE,""Twitter"",if(REGEXMATCH(C73,""facebook"")=TRUE,""Facebook"",if(REGEXMATCH(C73,""instagram"")=TRUE,""Instagram"",if(REGEXMATCH(C73,""youtube"")=TRUE,""Youtube"",if(REGEXMATCH(C73,""tiktok"")=TRUE,""Tiktok"",if(REGEXMATCH"&amp;"(C73,""threads"")=TRUE,""Threads""))))))"),"Facebook")</f>
        <v>Facebook</v>
      </c>
      <c r="G72" s="15" t="s">
        <v>293</v>
      </c>
      <c r="H72" s="15" t="s">
        <v>213</v>
      </c>
      <c r="I72" s="15" t="s">
        <v>214</v>
      </c>
      <c r="J72" s="15" t="s">
        <v>188</v>
      </c>
      <c r="K72" s="15"/>
      <c r="L72" s="15"/>
    </row>
    <row r="73">
      <c r="A73" s="15">
        <v>72.0</v>
      </c>
      <c r="B73" s="16">
        <v>45907.0</v>
      </c>
      <c r="C73" s="19" t="s">
        <v>316</v>
      </c>
      <c r="D73" s="15"/>
      <c r="E73" s="15" t="s">
        <v>184</v>
      </c>
      <c r="F73" s="15" t="str">
        <f>IFERROR(__xludf.DUMMYFUNCTION("if(REGEXMATCH(C74,""x.com"")=TRUE,""Twitter"",if(REGEXMATCH(C74,""facebook"")=TRUE,""Facebook"",if(REGEXMATCH(C74,""instagram"")=TRUE,""Instagram"",if(REGEXMATCH(C74,""youtube"")=TRUE,""Youtube"",if(REGEXMATCH(C74,""tiktok"")=TRUE,""Tiktok"",if(REGEXMATCH"&amp;"(C74,""threads"")=TRUE,""Threads""))))))"),"Facebook")</f>
        <v>Facebook</v>
      </c>
      <c r="G73" s="15" t="s">
        <v>293</v>
      </c>
      <c r="H73" s="15" t="s">
        <v>213</v>
      </c>
      <c r="I73" s="15" t="s">
        <v>214</v>
      </c>
      <c r="J73" s="15" t="s">
        <v>188</v>
      </c>
      <c r="K73" s="15"/>
      <c r="L73" s="15"/>
    </row>
    <row r="74">
      <c r="A74" s="15">
        <v>73.0</v>
      </c>
      <c r="B74" s="16">
        <v>45907.0</v>
      </c>
      <c r="C74" s="19" t="s">
        <v>317</v>
      </c>
      <c r="D74" s="15"/>
      <c r="E74" s="15" t="s">
        <v>184</v>
      </c>
      <c r="F74" s="15" t="str">
        <f>IFERROR(__xludf.DUMMYFUNCTION("if(REGEXMATCH(C75,""x.com"")=TRUE,""Twitter"",if(REGEXMATCH(C75,""facebook"")=TRUE,""Facebook"",if(REGEXMATCH(C75,""instagram"")=TRUE,""Instagram"",if(REGEXMATCH(C75,""youtube"")=TRUE,""Youtube"",if(REGEXMATCH(C75,""tiktok"")=TRUE,""Tiktok"",if(REGEXMATCH"&amp;"(C75,""threads"")=TRUE,""Threads""))))))"),"Facebook")</f>
        <v>Facebook</v>
      </c>
      <c r="G74" s="15" t="s">
        <v>293</v>
      </c>
      <c r="H74" s="15" t="s">
        <v>213</v>
      </c>
      <c r="I74" s="15" t="s">
        <v>214</v>
      </c>
      <c r="J74" s="15" t="s">
        <v>188</v>
      </c>
      <c r="K74" s="15"/>
      <c r="L74" s="15"/>
    </row>
    <row r="75">
      <c r="A75" s="15">
        <v>74.0</v>
      </c>
      <c r="B75" s="16">
        <v>45907.0</v>
      </c>
      <c r="C75" s="19" t="s">
        <v>318</v>
      </c>
      <c r="D75" s="15"/>
      <c r="E75" s="15" t="s">
        <v>184</v>
      </c>
      <c r="F75" s="15" t="str">
        <f>IFERROR(__xludf.DUMMYFUNCTION("if(REGEXMATCH(C76,""x.com"")=TRUE,""Twitter"",if(REGEXMATCH(C76,""facebook"")=TRUE,""Facebook"",if(REGEXMATCH(C76,""instagram"")=TRUE,""Instagram"",if(REGEXMATCH(C76,""youtube"")=TRUE,""Youtube"",if(REGEXMATCH(C76,""tiktok"")=TRUE,""Tiktok"",if(REGEXMATCH"&amp;"(C76,""threads"")=TRUE,""Threads""))))))"),"Facebook")</f>
        <v>Facebook</v>
      </c>
      <c r="G75" s="15" t="s">
        <v>293</v>
      </c>
      <c r="H75" s="15" t="s">
        <v>213</v>
      </c>
      <c r="I75" s="15" t="s">
        <v>214</v>
      </c>
      <c r="J75" s="15" t="s">
        <v>188</v>
      </c>
      <c r="K75" s="15"/>
      <c r="L75" s="15"/>
    </row>
    <row r="76">
      <c r="A76" s="15">
        <v>75.0</v>
      </c>
      <c r="B76" s="16">
        <v>45907.0</v>
      </c>
      <c r="C76" s="19" t="s">
        <v>319</v>
      </c>
      <c r="D76" s="15"/>
      <c r="E76" s="15" t="s">
        <v>184</v>
      </c>
      <c r="F76" s="15" t="str">
        <f>IFERROR(__xludf.DUMMYFUNCTION("if(REGEXMATCH(C77,""x.com"")=TRUE,""Twitter"",if(REGEXMATCH(C77,""facebook"")=TRUE,""Facebook"",if(REGEXMATCH(C77,""instagram"")=TRUE,""Instagram"",if(REGEXMATCH(C77,""youtube"")=TRUE,""Youtube"",if(REGEXMATCH(C77,""tiktok"")=TRUE,""Tiktok"",if(REGEXMATCH"&amp;"(C77,""threads"")=TRUE,""Threads""))))))"),"Facebook")</f>
        <v>Facebook</v>
      </c>
      <c r="G76" s="15" t="s">
        <v>293</v>
      </c>
      <c r="H76" s="15" t="s">
        <v>213</v>
      </c>
      <c r="I76" s="15" t="s">
        <v>214</v>
      </c>
      <c r="J76" s="15" t="s">
        <v>188</v>
      </c>
      <c r="K76" s="15"/>
      <c r="L76" s="15"/>
    </row>
    <row r="77">
      <c r="A77" s="15">
        <v>76.0</v>
      </c>
      <c r="B77" s="16">
        <v>45907.0</v>
      </c>
      <c r="C77" s="19" t="s">
        <v>320</v>
      </c>
      <c r="D77" s="15"/>
      <c r="E77" s="15" t="s">
        <v>184</v>
      </c>
      <c r="F77" s="15" t="str">
        <f>IFERROR(__xludf.DUMMYFUNCTION("if(REGEXMATCH(C78,""x.com"")=TRUE,""Twitter"",if(REGEXMATCH(C78,""facebook"")=TRUE,""Facebook"",if(REGEXMATCH(C78,""instagram"")=TRUE,""Instagram"",if(REGEXMATCH(C78,""youtube"")=TRUE,""Youtube"",if(REGEXMATCH(C78,""tiktok"")=TRUE,""Tiktok"",if(REGEXMATCH"&amp;"(C78,""threads"")=TRUE,""Threads""))))))"),"Instagram")</f>
        <v>Instagram</v>
      </c>
      <c r="G77" s="15" t="s">
        <v>293</v>
      </c>
      <c r="H77" s="15" t="s">
        <v>213</v>
      </c>
      <c r="I77" s="15" t="s">
        <v>214</v>
      </c>
      <c r="J77" s="15" t="s">
        <v>188</v>
      </c>
      <c r="K77" s="15" t="s">
        <v>321</v>
      </c>
      <c r="L77" s="15"/>
    </row>
    <row r="78">
      <c r="A78" s="15">
        <v>77.0</v>
      </c>
      <c r="B78" s="16">
        <v>45907.0</v>
      </c>
      <c r="C78" s="19" t="s">
        <v>322</v>
      </c>
      <c r="D78" s="15"/>
      <c r="E78" s="15" t="s">
        <v>184</v>
      </c>
      <c r="F78" s="15" t="str">
        <f>IFERROR(__xludf.DUMMYFUNCTION("if(REGEXMATCH(C79,""x.com"")=TRUE,""Twitter"",if(REGEXMATCH(C79,""facebook"")=TRUE,""Facebook"",if(REGEXMATCH(C79,""instagram"")=TRUE,""Instagram"",if(REGEXMATCH(C79,""youtube"")=TRUE,""Youtube"",if(REGEXMATCH(C79,""tiktok"")=TRUE,""Tiktok"",if(REGEXMATCH"&amp;"(C79,""threads"")=TRUE,""Threads""))))))"),"Instagram")</f>
        <v>Instagram</v>
      </c>
      <c r="G78" s="15" t="s">
        <v>293</v>
      </c>
      <c r="H78" s="15" t="s">
        <v>213</v>
      </c>
      <c r="I78" s="15" t="s">
        <v>214</v>
      </c>
      <c r="J78" s="15" t="s">
        <v>188</v>
      </c>
      <c r="K78" s="15"/>
      <c r="L78" s="15"/>
    </row>
    <row r="79">
      <c r="A79" s="15">
        <v>78.0</v>
      </c>
      <c r="B79" s="16">
        <v>45907.0</v>
      </c>
      <c r="C79" s="19" t="s">
        <v>323</v>
      </c>
      <c r="D79" s="15"/>
      <c r="E79" s="15" t="s">
        <v>184</v>
      </c>
      <c r="F79" s="15" t="str">
        <f>IFERROR(__xludf.DUMMYFUNCTION("if(REGEXMATCH(C80,""x.com"")=TRUE,""Twitter"",if(REGEXMATCH(C80,""facebook"")=TRUE,""Facebook"",if(REGEXMATCH(C80,""instagram"")=TRUE,""Instagram"",if(REGEXMATCH(C80,""youtube"")=TRUE,""Youtube"",if(REGEXMATCH(C80,""tiktok"")=TRUE,""Tiktok"",if(REGEXMATCH"&amp;"(C80,""threads"")=TRUE,""Threads""))))))"),"Instagram")</f>
        <v>Instagram</v>
      </c>
      <c r="G79" s="15" t="s">
        <v>293</v>
      </c>
      <c r="H79" s="15" t="s">
        <v>213</v>
      </c>
      <c r="I79" s="15" t="s">
        <v>214</v>
      </c>
      <c r="J79" s="15" t="s">
        <v>188</v>
      </c>
      <c r="K79" s="15"/>
      <c r="L79" s="15"/>
    </row>
    <row r="80">
      <c r="A80" s="15">
        <v>79.0</v>
      </c>
      <c r="B80" s="16">
        <v>45907.0</v>
      </c>
      <c r="C80" s="19" t="s">
        <v>324</v>
      </c>
      <c r="D80" s="15"/>
      <c r="E80" s="15" t="s">
        <v>184</v>
      </c>
      <c r="F80" s="15" t="str">
        <f>IFERROR(__xludf.DUMMYFUNCTION("if(REGEXMATCH(C81,""x.com"")=TRUE,""Twitter"",if(REGEXMATCH(C81,""facebook"")=TRUE,""Facebook"",if(REGEXMATCH(C81,""instagram"")=TRUE,""Instagram"",if(REGEXMATCH(C81,""youtube"")=TRUE,""Youtube"",if(REGEXMATCH(C81,""tiktok"")=TRUE,""Tiktok"",if(REGEXMATCH"&amp;"(C81,""threads"")=TRUE,""Threads""))))))"),"Instagram")</f>
        <v>Instagram</v>
      </c>
      <c r="G80" s="15" t="s">
        <v>293</v>
      </c>
      <c r="H80" s="15" t="s">
        <v>213</v>
      </c>
      <c r="I80" s="15" t="s">
        <v>214</v>
      </c>
      <c r="J80" s="15" t="s">
        <v>188</v>
      </c>
      <c r="K80" s="15"/>
      <c r="L80" s="15"/>
    </row>
    <row r="81">
      <c r="A81" s="15">
        <v>80.0</v>
      </c>
      <c r="B81" s="16">
        <v>45907.0</v>
      </c>
      <c r="C81" s="19" t="s">
        <v>325</v>
      </c>
      <c r="D81" s="15"/>
      <c r="E81" s="15" t="s">
        <v>184</v>
      </c>
      <c r="F81" s="15" t="str">
        <f>IFERROR(__xludf.DUMMYFUNCTION("if(REGEXMATCH(C82,""x.com"")=TRUE,""Twitter"",if(REGEXMATCH(C82,""facebook"")=TRUE,""Facebook"",if(REGEXMATCH(C82,""instagram"")=TRUE,""Instagram"",if(REGEXMATCH(C82,""youtube"")=TRUE,""Youtube"",if(REGEXMATCH(C82,""tiktok"")=TRUE,""Tiktok"",if(REGEXMATCH"&amp;"(C82,""threads"")=TRUE,""Threads""))))))"),"Instagram")</f>
        <v>Instagram</v>
      </c>
      <c r="G81" s="15" t="s">
        <v>293</v>
      </c>
      <c r="H81" s="15" t="s">
        <v>213</v>
      </c>
      <c r="I81" s="15" t="s">
        <v>214</v>
      </c>
      <c r="J81" s="15" t="s">
        <v>188</v>
      </c>
      <c r="K81" s="15"/>
      <c r="L81" s="15"/>
    </row>
    <row r="82">
      <c r="A82" s="15">
        <v>81.0</v>
      </c>
      <c r="B82" s="16">
        <v>45907.0</v>
      </c>
      <c r="C82" s="19" t="s">
        <v>326</v>
      </c>
      <c r="D82" s="15"/>
      <c r="E82" s="15" t="s">
        <v>184</v>
      </c>
      <c r="F82" s="15" t="str">
        <f>IFERROR(__xludf.DUMMYFUNCTION("if(REGEXMATCH(C83,""x.com"")=TRUE,""Twitter"",if(REGEXMATCH(C83,""facebook"")=TRUE,""Facebook"",if(REGEXMATCH(C83,""instagram"")=TRUE,""Instagram"",if(REGEXMATCH(C83,""youtube"")=TRUE,""Youtube"",if(REGEXMATCH(C83,""tiktok"")=TRUE,""Tiktok"",if(REGEXMATCH"&amp;"(C83,""threads"")=TRUE,""Threads""))))))"),"Tiktok")</f>
        <v>Tiktok</v>
      </c>
      <c r="G82" s="15" t="s">
        <v>293</v>
      </c>
      <c r="H82" s="15" t="s">
        <v>213</v>
      </c>
      <c r="I82" s="15" t="s">
        <v>214</v>
      </c>
      <c r="J82" s="15" t="s">
        <v>188</v>
      </c>
      <c r="K82" s="15"/>
      <c r="L82" s="15"/>
    </row>
    <row r="83">
      <c r="A83" s="15">
        <v>82.0</v>
      </c>
      <c r="B83" s="16">
        <v>45907.0</v>
      </c>
      <c r="C83" s="19" t="s">
        <v>327</v>
      </c>
      <c r="D83" s="15"/>
      <c r="E83" s="15" t="s">
        <v>184</v>
      </c>
      <c r="F83" s="15" t="str">
        <f>IFERROR(__xludf.DUMMYFUNCTION("if(REGEXMATCH(C84,""x.com"")=TRUE,""Twitter"",if(REGEXMATCH(C84,""facebook"")=TRUE,""Facebook"",if(REGEXMATCH(C84,""instagram"")=TRUE,""Instagram"",if(REGEXMATCH(C84,""youtube"")=TRUE,""Youtube"",if(REGEXMATCH(C84,""tiktok"")=TRUE,""Tiktok"",if(REGEXMATCH"&amp;"(C84,""threads"")=TRUE,""Threads""))))))"),"Tiktok")</f>
        <v>Tiktok</v>
      </c>
      <c r="G83" s="15" t="s">
        <v>293</v>
      </c>
      <c r="H83" s="15" t="s">
        <v>213</v>
      </c>
      <c r="I83" s="15" t="s">
        <v>214</v>
      </c>
      <c r="J83" s="15" t="s">
        <v>188</v>
      </c>
      <c r="K83" s="15"/>
      <c r="L83" s="15"/>
    </row>
    <row r="84">
      <c r="A84" s="15">
        <v>83.0</v>
      </c>
      <c r="B84" s="16">
        <v>45907.0</v>
      </c>
      <c r="C84" s="19" t="s">
        <v>328</v>
      </c>
      <c r="D84" s="15"/>
      <c r="E84" s="15" t="s">
        <v>184</v>
      </c>
      <c r="F84" s="15" t="str">
        <f>IFERROR(__xludf.DUMMYFUNCTION("if(REGEXMATCH(C85,""x.com"")=TRUE,""Twitter"",if(REGEXMATCH(C85,""facebook"")=TRUE,""Facebook"",if(REGEXMATCH(C85,""instagram"")=TRUE,""Instagram"",if(REGEXMATCH(C85,""youtube"")=TRUE,""Youtube"",if(REGEXMATCH(C85,""tiktok"")=TRUE,""Tiktok"",if(REGEXMATCH"&amp;"(C85,""threads"")=TRUE,""Threads""))))))"),"Tiktok")</f>
        <v>Tiktok</v>
      </c>
      <c r="G84" s="15" t="s">
        <v>293</v>
      </c>
      <c r="H84" s="15" t="s">
        <v>213</v>
      </c>
      <c r="I84" s="15" t="s">
        <v>214</v>
      </c>
      <c r="J84" s="15" t="s">
        <v>188</v>
      </c>
      <c r="K84" s="15"/>
      <c r="L84" s="15"/>
    </row>
    <row r="85">
      <c r="A85" s="15">
        <v>84.0</v>
      </c>
      <c r="B85" s="16">
        <v>45907.0</v>
      </c>
      <c r="C85" s="19" t="s">
        <v>329</v>
      </c>
      <c r="D85" s="15"/>
      <c r="E85" s="15" t="s">
        <v>184</v>
      </c>
      <c r="F85" s="15" t="str">
        <f>IFERROR(__xludf.DUMMYFUNCTION("if(REGEXMATCH(C86,""x.com"")=TRUE,""Twitter"",if(REGEXMATCH(C86,""facebook"")=TRUE,""Facebook"",if(REGEXMATCH(C86,""instagram"")=TRUE,""Instagram"",if(REGEXMATCH(C86,""youtube"")=TRUE,""Youtube"",if(REGEXMATCH(C86,""tiktok"")=TRUE,""Tiktok"",if(REGEXMATCH"&amp;"(C86,""threads"")=TRUE,""Threads""))))))"),"Tiktok")</f>
        <v>Tiktok</v>
      </c>
      <c r="G85" s="15" t="s">
        <v>293</v>
      </c>
      <c r="H85" s="15" t="s">
        <v>213</v>
      </c>
      <c r="I85" s="15" t="s">
        <v>214</v>
      </c>
      <c r="J85" s="15" t="s">
        <v>188</v>
      </c>
      <c r="K85" s="15"/>
      <c r="L85" s="15"/>
    </row>
    <row r="86">
      <c r="A86" s="15">
        <v>85.0</v>
      </c>
      <c r="B86" s="16">
        <v>45907.0</v>
      </c>
      <c r="C86" s="19" t="s">
        <v>330</v>
      </c>
      <c r="D86" s="15"/>
      <c r="E86" s="15" t="s">
        <v>184</v>
      </c>
      <c r="F86" s="15" t="str">
        <f>IFERROR(__xludf.DUMMYFUNCTION("if(REGEXMATCH(C87,""x.com"")=TRUE,""Twitter"",if(REGEXMATCH(C87,""facebook"")=TRUE,""Facebook"",if(REGEXMATCH(C87,""instagram"")=TRUE,""Instagram"",if(REGEXMATCH(C87,""youtube"")=TRUE,""Youtube"",if(REGEXMATCH(C87,""tiktok"")=TRUE,""Tiktok"",if(REGEXMATCH"&amp;"(C87,""threads"")=TRUE,""Threads""))))))"),"Tiktok")</f>
        <v>Tiktok</v>
      </c>
      <c r="G86" s="15" t="s">
        <v>293</v>
      </c>
      <c r="H86" s="15" t="s">
        <v>213</v>
      </c>
      <c r="I86" s="15" t="s">
        <v>214</v>
      </c>
      <c r="J86" s="15" t="s">
        <v>188</v>
      </c>
      <c r="K86" s="15"/>
      <c r="L86" s="15"/>
    </row>
    <row r="87">
      <c r="A87" s="15">
        <v>86.0</v>
      </c>
      <c r="B87" s="16">
        <v>45907.0</v>
      </c>
      <c r="C87" s="19" t="s">
        <v>331</v>
      </c>
      <c r="D87" s="15"/>
      <c r="E87" s="15" t="s">
        <v>184</v>
      </c>
      <c r="F87" s="15" t="str">
        <f>IFERROR(__xludf.DUMMYFUNCTION("if(REGEXMATCH(C88,""x.com"")=TRUE,""Twitter"",if(REGEXMATCH(C88,""facebook"")=TRUE,""Facebook"",if(REGEXMATCH(C88,""instagram"")=TRUE,""Instagram"",if(REGEXMATCH(C88,""youtube"")=TRUE,""Youtube"",if(REGEXMATCH(C88,""tiktok"")=TRUE,""Tiktok"",if(REGEXMATCH"&amp;"(C88,""threads"")=TRUE,""Threads""))))))"),"Tiktok")</f>
        <v>Tiktok</v>
      </c>
      <c r="G87" s="15" t="s">
        <v>293</v>
      </c>
      <c r="H87" s="15" t="s">
        <v>213</v>
      </c>
      <c r="I87" s="15" t="s">
        <v>214</v>
      </c>
      <c r="J87" s="15" t="s">
        <v>188</v>
      </c>
      <c r="K87" s="15"/>
      <c r="L87" s="15"/>
    </row>
    <row r="88">
      <c r="A88" s="15">
        <v>87.0</v>
      </c>
      <c r="B88" s="16">
        <v>45907.0</v>
      </c>
      <c r="C88" s="19" t="s">
        <v>332</v>
      </c>
      <c r="D88" s="15"/>
      <c r="E88" s="15" t="s">
        <v>184</v>
      </c>
      <c r="F88" s="15" t="str">
        <f>IFERROR(__xludf.DUMMYFUNCTION("if(REGEXMATCH(C89,""x.com"")=TRUE,""Twitter"",if(REGEXMATCH(C89,""facebook"")=TRUE,""Facebook"",if(REGEXMATCH(C89,""instagram"")=TRUE,""Instagram"",if(REGEXMATCH(C89,""youtube"")=TRUE,""Youtube"",if(REGEXMATCH(C89,""tiktok"")=TRUE,""Tiktok"",if(REGEXMATCH"&amp;"(C89,""threads"")=TRUE,""Threads""))))))"),"Tiktok")</f>
        <v>Tiktok</v>
      </c>
      <c r="G88" s="15" t="s">
        <v>293</v>
      </c>
      <c r="H88" s="15" t="s">
        <v>213</v>
      </c>
      <c r="I88" s="15" t="s">
        <v>214</v>
      </c>
      <c r="J88" s="15" t="s">
        <v>188</v>
      </c>
      <c r="K88" s="15"/>
      <c r="L88" s="15"/>
    </row>
    <row r="89">
      <c r="A89" s="15">
        <v>88.0</v>
      </c>
      <c r="B89" s="16">
        <v>45907.0</v>
      </c>
      <c r="C89" s="19" t="s">
        <v>333</v>
      </c>
      <c r="D89" s="15"/>
      <c r="E89" s="15" t="s">
        <v>184</v>
      </c>
      <c r="F89" s="15" t="str">
        <f>IFERROR(__xludf.DUMMYFUNCTION("if(REGEXMATCH(C90,""x.com"")=TRUE,""Twitter"",if(REGEXMATCH(C90,""facebook"")=TRUE,""Facebook"",if(REGEXMATCH(C90,""instagram"")=TRUE,""Instagram"",if(REGEXMATCH(C90,""youtube"")=TRUE,""Youtube"",if(REGEXMATCH(C90,""tiktok"")=TRUE,""Tiktok"",if(REGEXMATCH"&amp;"(C90,""threads"")=TRUE,""Threads""))))))"),"Tiktok")</f>
        <v>Tiktok</v>
      </c>
      <c r="G89" s="15" t="s">
        <v>293</v>
      </c>
      <c r="H89" s="15" t="s">
        <v>213</v>
      </c>
      <c r="I89" s="15" t="s">
        <v>214</v>
      </c>
      <c r="J89" s="15" t="s">
        <v>188</v>
      </c>
      <c r="K89" s="15"/>
      <c r="L89" s="15"/>
    </row>
    <row r="90">
      <c r="A90" s="15">
        <v>89.0</v>
      </c>
      <c r="B90" s="16">
        <v>45907.0</v>
      </c>
      <c r="C90" s="19" t="s">
        <v>334</v>
      </c>
      <c r="D90" s="15"/>
      <c r="E90" s="15" t="s">
        <v>184</v>
      </c>
      <c r="F90" s="15" t="str">
        <f>IFERROR(__xludf.DUMMYFUNCTION("if(REGEXMATCH(C91,""x.com"")=TRUE,""Twitter"",if(REGEXMATCH(C91,""facebook"")=TRUE,""Facebook"",if(REGEXMATCH(C91,""instagram"")=TRUE,""Instagram"",if(REGEXMATCH(C91,""youtube"")=TRUE,""Youtube"",if(REGEXMATCH(C91,""tiktok"")=TRUE,""Tiktok"",if(REGEXMATCH"&amp;"(C91,""threads"")=TRUE,""Threads""))))))"),"Tiktok")</f>
        <v>Tiktok</v>
      </c>
      <c r="G90" s="15" t="s">
        <v>293</v>
      </c>
      <c r="H90" s="15" t="s">
        <v>213</v>
      </c>
      <c r="I90" s="15" t="s">
        <v>214</v>
      </c>
      <c r="J90" s="15" t="s">
        <v>188</v>
      </c>
      <c r="K90" s="15"/>
      <c r="L90" s="15"/>
    </row>
    <row r="91">
      <c r="A91" s="15">
        <v>90.0</v>
      </c>
      <c r="B91" s="16">
        <v>45907.0</v>
      </c>
      <c r="C91" s="19" t="s">
        <v>335</v>
      </c>
      <c r="D91" s="15"/>
      <c r="E91" s="15" t="s">
        <v>184</v>
      </c>
      <c r="F91" s="15" t="str">
        <f>IFERROR(__xludf.DUMMYFUNCTION("if(REGEXMATCH(C92,""x.com"")=TRUE,""Twitter"",if(REGEXMATCH(C92,""facebook"")=TRUE,""Facebook"",if(REGEXMATCH(C92,""instagram"")=TRUE,""Instagram"",if(REGEXMATCH(C92,""youtube"")=TRUE,""Youtube"",if(REGEXMATCH(C92,""tiktok"")=TRUE,""Tiktok"",if(REGEXMATCH"&amp;"(C92,""threads"")=TRUE,""Threads""))))))"),"Tiktok")</f>
        <v>Tiktok</v>
      </c>
      <c r="G91" s="15" t="s">
        <v>293</v>
      </c>
      <c r="H91" s="15" t="s">
        <v>213</v>
      </c>
      <c r="I91" s="15" t="s">
        <v>214</v>
      </c>
      <c r="J91" s="15" t="s">
        <v>188</v>
      </c>
      <c r="K91" s="15"/>
      <c r="L91" s="15"/>
    </row>
    <row r="92">
      <c r="A92" s="15">
        <v>91.0</v>
      </c>
      <c r="B92" s="16">
        <v>45907.0</v>
      </c>
      <c r="C92" s="19" t="s">
        <v>336</v>
      </c>
      <c r="D92" s="15"/>
      <c r="E92" s="15" t="s">
        <v>184</v>
      </c>
      <c r="F92" s="15" t="str">
        <f>IFERROR(__xludf.DUMMYFUNCTION("if(REGEXMATCH(C93,""x.com"")=TRUE,""Twitter"",if(REGEXMATCH(C93,""facebook"")=TRUE,""Facebook"",if(REGEXMATCH(C93,""instagram"")=TRUE,""Instagram"",if(REGEXMATCH(C93,""youtube"")=TRUE,""Youtube"",if(REGEXMATCH(C93,""tiktok"")=TRUE,""Tiktok"",if(REGEXMATCH"&amp;"(C93,""threads"")=TRUE,""Threads""))))))"),"Instagram")</f>
        <v>Instagram</v>
      </c>
      <c r="G92" s="15" t="s">
        <v>293</v>
      </c>
      <c r="H92" s="15" t="s">
        <v>213</v>
      </c>
      <c r="I92" s="15" t="s">
        <v>214</v>
      </c>
      <c r="J92" s="15" t="s">
        <v>188</v>
      </c>
      <c r="K92" s="15" t="s">
        <v>337</v>
      </c>
      <c r="L92" s="15"/>
    </row>
    <row r="93">
      <c r="A93" s="15">
        <v>92.0</v>
      </c>
      <c r="B93" s="16">
        <v>45907.0</v>
      </c>
      <c r="C93" s="19" t="s">
        <v>338</v>
      </c>
      <c r="D93" s="15"/>
      <c r="E93" s="15" t="s">
        <v>184</v>
      </c>
      <c r="F93" s="15" t="str">
        <f>IFERROR(__xludf.DUMMYFUNCTION("if(REGEXMATCH(C94,""x.com"")=TRUE,""Twitter"",if(REGEXMATCH(C94,""facebook"")=TRUE,""Facebook"",if(REGEXMATCH(C94,""instagram"")=TRUE,""Instagram"",if(REGEXMATCH(C94,""youtube"")=TRUE,""Youtube"",if(REGEXMATCH(C94,""tiktok"")=TRUE,""Tiktok"",if(REGEXMATCH"&amp;"(C94,""threads"")=TRUE,""Threads""))))))"),"Twitter")</f>
        <v>Twitter</v>
      </c>
      <c r="G93" s="15" t="s">
        <v>293</v>
      </c>
      <c r="H93" s="15" t="s">
        <v>213</v>
      </c>
      <c r="I93" s="15" t="s">
        <v>214</v>
      </c>
      <c r="J93" s="15" t="s">
        <v>188</v>
      </c>
      <c r="K93" s="15"/>
      <c r="L93" s="15"/>
    </row>
    <row r="94">
      <c r="A94" s="15">
        <v>93.0</v>
      </c>
      <c r="B94" s="16">
        <v>45907.0</v>
      </c>
      <c r="C94" s="19" t="s">
        <v>339</v>
      </c>
      <c r="D94" s="15"/>
      <c r="E94" s="15" t="s">
        <v>184</v>
      </c>
      <c r="F94" s="15" t="str">
        <f>IFERROR(__xludf.DUMMYFUNCTION("if(REGEXMATCH(C95,""x.com"")=TRUE,""Twitter"",if(REGEXMATCH(C95,""facebook"")=TRUE,""Facebook"",if(REGEXMATCH(C95,""instagram"")=TRUE,""Instagram"",if(REGEXMATCH(C95,""youtube"")=TRUE,""Youtube"",if(REGEXMATCH(C95,""tiktok"")=TRUE,""Tiktok"",if(REGEXMATCH"&amp;"(C95,""threads"")=TRUE,""Threads""))))))"),"Twitter")</f>
        <v>Twitter</v>
      </c>
      <c r="G94" s="15" t="s">
        <v>293</v>
      </c>
      <c r="H94" s="15" t="s">
        <v>213</v>
      </c>
      <c r="I94" s="15" t="s">
        <v>214</v>
      </c>
      <c r="J94" s="15" t="s">
        <v>188</v>
      </c>
      <c r="K94" s="15"/>
      <c r="L94" s="15"/>
    </row>
    <row r="95">
      <c r="A95" s="15">
        <v>94.0</v>
      </c>
      <c r="B95" s="16">
        <v>45907.0</v>
      </c>
      <c r="C95" s="19" t="s">
        <v>340</v>
      </c>
      <c r="D95" s="15"/>
      <c r="E95" s="15" t="s">
        <v>184</v>
      </c>
      <c r="F95" s="15" t="str">
        <f>IFERROR(__xludf.DUMMYFUNCTION("if(REGEXMATCH(C96,""x.com"")=TRUE,""Twitter"",if(REGEXMATCH(C96,""facebook"")=TRUE,""Facebook"",if(REGEXMATCH(C96,""instagram"")=TRUE,""Instagram"",if(REGEXMATCH(C96,""youtube"")=TRUE,""Youtube"",if(REGEXMATCH(C96,""tiktok"")=TRUE,""Tiktok"",if(REGEXMATCH"&amp;"(C96,""threads"")=TRUE,""Threads""))))))"),"Twitter")</f>
        <v>Twitter</v>
      </c>
      <c r="G95" s="15" t="s">
        <v>293</v>
      </c>
      <c r="H95" s="15" t="s">
        <v>213</v>
      </c>
      <c r="I95" s="15" t="s">
        <v>214</v>
      </c>
      <c r="J95" s="15" t="s">
        <v>188</v>
      </c>
      <c r="K95" s="15"/>
      <c r="L95" s="15"/>
    </row>
    <row r="96">
      <c r="A96" s="15">
        <v>95.0</v>
      </c>
      <c r="B96" s="16">
        <v>45907.0</v>
      </c>
      <c r="C96" s="19" t="s">
        <v>341</v>
      </c>
      <c r="D96" s="15"/>
      <c r="E96" s="15" t="s">
        <v>184</v>
      </c>
      <c r="F96" s="15" t="str">
        <f>IFERROR(__xludf.DUMMYFUNCTION("if(REGEXMATCH(C97,""x.com"")=TRUE,""Twitter"",if(REGEXMATCH(C97,""facebook"")=TRUE,""Facebook"",if(REGEXMATCH(C97,""instagram"")=TRUE,""Instagram"",if(REGEXMATCH(C97,""youtube"")=TRUE,""Youtube"",if(REGEXMATCH(C97,""tiktok"")=TRUE,""Tiktok"",if(REGEXMATCH"&amp;"(C97,""threads"")=TRUE,""Threads""))))))"),"Facebook")</f>
        <v>Facebook</v>
      </c>
      <c r="G96" s="15" t="s">
        <v>293</v>
      </c>
      <c r="H96" s="15" t="s">
        <v>213</v>
      </c>
      <c r="I96" s="15" t="s">
        <v>214</v>
      </c>
      <c r="J96" s="15" t="s">
        <v>188</v>
      </c>
      <c r="K96" s="15" t="s">
        <v>337</v>
      </c>
      <c r="L96" s="15"/>
    </row>
    <row r="97">
      <c r="A97" s="15">
        <v>96.0</v>
      </c>
      <c r="B97" s="16">
        <v>45907.0</v>
      </c>
      <c r="C97" s="19" t="s">
        <v>342</v>
      </c>
      <c r="D97" s="15"/>
      <c r="E97" s="15" t="s">
        <v>184</v>
      </c>
      <c r="F97" s="15" t="str">
        <f>IFERROR(__xludf.DUMMYFUNCTION("if(REGEXMATCH(C98,""x.com"")=TRUE,""Twitter"",if(REGEXMATCH(C98,""facebook"")=TRUE,""Facebook"",if(REGEXMATCH(C98,""instagram"")=TRUE,""Instagram"",if(REGEXMATCH(C98,""youtube"")=TRUE,""Youtube"",if(REGEXMATCH(C98,""tiktok"")=TRUE,""Tiktok"",if(REGEXMATCH"&amp;"(C98,""threads"")=TRUE,""Threads""))))))"),"Facebook")</f>
        <v>Facebook</v>
      </c>
      <c r="G97" s="15" t="s">
        <v>293</v>
      </c>
      <c r="H97" s="15" t="s">
        <v>213</v>
      </c>
      <c r="I97" s="15" t="s">
        <v>214</v>
      </c>
      <c r="J97" s="15" t="s">
        <v>188</v>
      </c>
      <c r="K97" s="15"/>
      <c r="L97" s="15"/>
    </row>
    <row r="98">
      <c r="A98" s="15">
        <v>97.0</v>
      </c>
      <c r="B98" s="16">
        <v>45907.0</v>
      </c>
      <c r="C98" s="19" t="s">
        <v>343</v>
      </c>
      <c r="D98" s="15"/>
      <c r="E98" s="15" t="s">
        <v>184</v>
      </c>
      <c r="F98" s="15" t="str">
        <f>IFERROR(__xludf.DUMMYFUNCTION("if(REGEXMATCH(C99,""x.com"")=TRUE,""Twitter"",if(REGEXMATCH(C99,""facebook"")=TRUE,""Facebook"",if(REGEXMATCH(C99,""instagram"")=TRUE,""Instagram"",if(REGEXMATCH(C99,""youtube"")=TRUE,""Youtube"",if(REGEXMATCH(C99,""tiktok"")=TRUE,""Tiktok"",if(REGEXMATCH"&amp;"(C99,""threads"")=TRUE,""Threads""))))))"),"Facebook")</f>
        <v>Facebook</v>
      </c>
      <c r="G98" s="15" t="s">
        <v>293</v>
      </c>
      <c r="H98" s="15" t="s">
        <v>213</v>
      </c>
      <c r="I98" s="15" t="s">
        <v>214</v>
      </c>
      <c r="J98" s="15" t="s">
        <v>188</v>
      </c>
      <c r="K98" s="15"/>
      <c r="L98" s="15"/>
    </row>
    <row r="99">
      <c r="A99" s="15">
        <v>98.0</v>
      </c>
      <c r="B99" s="16">
        <v>45907.0</v>
      </c>
      <c r="C99" s="19" t="s">
        <v>344</v>
      </c>
      <c r="D99" s="15"/>
      <c r="E99" s="15" t="s">
        <v>184</v>
      </c>
      <c r="F99" s="15" t="str">
        <f>IFERROR(__xludf.DUMMYFUNCTION("if(REGEXMATCH(C100,""x.com"")=TRUE,""Twitter"",if(REGEXMATCH(C100,""facebook"")=TRUE,""Facebook"",if(REGEXMATCH(C100,""instagram"")=TRUE,""Instagram"",if(REGEXMATCH(C100,""youtube"")=TRUE,""Youtube"",if(REGEXMATCH(C100,""tiktok"")=TRUE,""Tiktok"",if(REGEX"&amp;"MATCH(C100,""threads"")=TRUE,""Threads""))))))"),"Facebook")</f>
        <v>Facebook</v>
      </c>
      <c r="G99" s="15" t="s">
        <v>293</v>
      </c>
      <c r="H99" s="15" t="s">
        <v>213</v>
      </c>
      <c r="I99" s="15" t="s">
        <v>214</v>
      </c>
      <c r="J99" s="15" t="s">
        <v>188</v>
      </c>
      <c r="K99" s="15"/>
      <c r="L99" s="15"/>
    </row>
    <row r="100">
      <c r="A100" s="15">
        <v>99.0</v>
      </c>
      <c r="B100" s="16">
        <v>45907.0</v>
      </c>
      <c r="C100" s="19" t="s">
        <v>345</v>
      </c>
      <c r="D100" s="15"/>
      <c r="E100" s="15" t="s">
        <v>184</v>
      </c>
      <c r="F100" s="15" t="str">
        <f>IFERROR(__xludf.DUMMYFUNCTION("if(REGEXMATCH(C101,""x.com"")=TRUE,""Twitter"",if(REGEXMATCH(C101,""facebook"")=TRUE,""Facebook"",if(REGEXMATCH(C101,""instagram"")=TRUE,""Instagram"",if(REGEXMATCH(C101,""youtube"")=TRUE,""Youtube"",if(REGEXMATCH(C101,""tiktok"")=TRUE,""Tiktok"",if(REGEX"&amp;"MATCH(C101,""threads"")=TRUE,""Threads""))))))"),"Facebook")</f>
        <v>Facebook</v>
      </c>
      <c r="G100" s="15" t="s">
        <v>293</v>
      </c>
      <c r="H100" s="15" t="s">
        <v>213</v>
      </c>
      <c r="I100" s="15" t="s">
        <v>214</v>
      </c>
      <c r="J100" s="15" t="s">
        <v>188</v>
      </c>
      <c r="K100" s="15"/>
      <c r="L100" s="15"/>
    </row>
    <row r="101">
      <c r="A101" s="15">
        <v>100.0</v>
      </c>
      <c r="B101" s="16">
        <v>45907.0</v>
      </c>
      <c r="C101" s="19" t="s">
        <v>346</v>
      </c>
      <c r="D101" s="15"/>
      <c r="E101" s="15" t="s">
        <v>184</v>
      </c>
      <c r="F101" s="15" t="str">
        <f>IFERROR(__xludf.DUMMYFUNCTION("if(REGEXMATCH(C102,""x.com"")=TRUE,""Twitter"",if(REGEXMATCH(C102,""facebook"")=TRUE,""Facebook"",if(REGEXMATCH(C102,""instagram"")=TRUE,""Instagram"",if(REGEXMATCH(C102,""youtube"")=TRUE,""Youtube"",if(REGEXMATCH(C102,""tiktok"")=TRUE,""Tiktok"",if(REGEX"&amp;"MATCH(C102,""threads"")=TRUE,""Threads""))))))"),"Instagram")</f>
        <v>Instagram</v>
      </c>
      <c r="G101" s="15" t="s">
        <v>293</v>
      </c>
      <c r="H101" s="15" t="s">
        <v>213</v>
      </c>
      <c r="I101" s="15" t="s">
        <v>214</v>
      </c>
      <c r="J101" s="15" t="s">
        <v>188</v>
      </c>
      <c r="K101" s="15"/>
      <c r="L101" s="15"/>
    </row>
    <row r="102">
      <c r="A102" s="15">
        <v>101.0</v>
      </c>
      <c r="B102" s="16">
        <v>45907.0</v>
      </c>
      <c r="C102" s="19" t="s">
        <v>347</v>
      </c>
      <c r="D102" s="15"/>
      <c r="E102" s="15" t="s">
        <v>184</v>
      </c>
      <c r="F102" s="15" t="str">
        <f>IFERROR(__xludf.DUMMYFUNCTION("if(REGEXMATCH(C103,""x.com"")=TRUE,""Twitter"",if(REGEXMATCH(C103,""facebook"")=TRUE,""Facebook"",if(REGEXMATCH(C103,""instagram"")=TRUE,""Instagram"",if(REGEXMATCH(C103,""youtube"")=TRUE,""Youtube"",if(REGEXMATCH(C103,""tiktok"")=TRUE,""Tiktok"",if(REGEX"&amp;"MATCH(C103,""threads"")=TRUE,""Threads""))))))"),"Instagram")</f>
        <v>Instagram</v>
      </c>
      <c r="G102" s="15" t="s">
        <v>293</v>
      </c>
      <c r="H102" s="15" t="s">
        <v>213</v>
      </c>
      <c r="I102" s="15" t="s">
        <v>214</v>
      </c>
      <c r="J102" s="15" t="s">
        <v>188</v>
      </c>
      <c r="K102" s="15"/>
      <c r="L102" s="15"/>
    </row>
    <row r="103">
      <c r="A103" s="15">
        <v>102.0</v>
      </c>
      <c r="B103" s="16">
        <v>45907.0</v>
      </c>
      <c r="C103" s="19" t="s">
        <v>348</v>
      </c>
      <c r="D103" s="15"/>
      <c r="E103" s="15" t="s">
        <v>184</v>
      </c>
      <c r="F103" s="15" t="str">
        <f>IFERROR(__xludf.DUMMYFUNCTION("if(REGEXMATCH(C104,""x.com"")=TRUE,""Twitter"",if(REGEXMATCH(C104,""facebook"")=TRUE,""Facebook"",if(REGEXMATCH(C104,""instagram"")=TRUE,""Instagram"",if(REGEXMATCH(C104,""youtube"")=TRUE,""Youtube"",if(REGEXMATCH(C104,""tiktok"")=TRUE,""Tiktok"",if(REGEX"&amp;"MATCH(C104,""threads"")=TRUE,""Threads""))))))"),"Youtube")</f>
        <v>Youtube</v>
      </c>
      <c r="G103" s="15" t="s">
        <v>293</v>
      </c>
      <c r="H103" s="15" t="s">
        <v>213</v>
      </c>
      <c r="I103" s="15" t="s">
        <v>214</v>
      </c>
      <c r="J103" s="15" t="s">
        <v>188</v>
      </c>
      <c r="K103" s="15"/>
      <c r="L103" s="15"/>
    </row>
    <row r="104">
      <c r="A104" s="15">
        <v>103.0</v>
      </c>
      <c r="B104" s="16">
        <v>45907.0</v>
      </c>
      <c r="C104" s="19" t="s">
        <v>349</v>
      </c>
      <c r="D104" s="15"/>
      <c r="E104" s="15" t="s">
        <v>184</v>
      </c>
      <c r="F104" s="15" t="str">
        <f>IFERROR(__xludf.DUMMYFUNCTION("if(REGEXMATCH(C105,""x.com"")=TRUE,""Twitter"",if(REGEXMATCH(C105,""facebook"")=TRUE,""Facebook"",if(REGEXMATCH(C105,""instagram"")=TRUE,""Instagram"",if(REGEXMATCH(C105,""youtube"")=TRUE,""Youtube"",if(REGEXMATCH(C105,""tiktok"")=TRUE,""Tiktok"",if(REGEX"&amp;"MATCH(C105,""threads"")=TRUE,""Threads""))))))"),"Youtube")</f>
        <v>Youtube</v>
      </c>
      <c r="G104" s="15" t="s">
        <v>293</v>
      </c>
      <c r="H104" s="15" t="s">
        <v>213</v>
      </c>
      <c r="I104" s="15" t="s">
        <v>214</v>
      </c>
      <c r="J104" s="15" t="s">
        <v>188</v>
      </c>
      <c r="K104" s="15"/>
      <c r="L104" s="15"/>
    </row>
    <row r="105">
      <c r="A105" s="15">
        <v>104.0</v>
      </c>
      <c r="B105" s="16">
        <v>45907.0</v>
      </c>
      <c r="C105" s="19" t="s">
        <v>350</v>
      </c>
      <c r="D105" s="15"/>
      <c r="E105" s="15" t="s">
        <v>184</v>
      </c>
      <c r="F105" s="15" t="str">
        <f>IFERROR(__xludf.DUMMYFUNCTION("if(REGEXMATCH(C106,""x.com"")=TRUE,""Twitter"",if(REGEXMATCH(C106,""facebook"")=TRUE,""Facebook"",if(REGEXMATCH(C106,""instagram"")=TRUE,""Instagram"",if(REGEXMATCH(C106,""youtube"")=TRUE,""Youtube"",if(REGEXMATCH(C106,""tiktok"")=TRUE,""Tiktok"",if(REGEX"&amp;"MATCH(C106,""threads"")=TRUE,""Threads""))))))"),"Youtube")</f>
        <v>Youtube</v>
      </c>
      <c r="G105" s="15" t="s">
        <v>293</v>
      </c>
      <c r="H105" s="15" t="s">
        <v>213</v>
      </c>
      <c r="I105" s="15" t="s">
        <v>214</v>
      </c>
      <c r="J105" s="15" t="s">
        <v>188</v>
      </c>
      <c r="K105" s="15"/>
      <c r="L105" s="15"/>
    </row>
    <row r="106">
      <c r="A106" s="15">
        <v>105.0</v>
      </c>
      <c r="B106" s="16">
        <v>45907.0</v>
      </c>
      <c r="C106" s="19" t="s">
        <v>351</v>
      </c>
      <c r="D106" s="15"/>
      <c r="E106" s="15" t="s">
        <v>184</v>
      </c>
      <c r="F106" s="15" t="str">
        <f>IFERROR(__xludf.DUMMYFUNCTION("if(REGEXMATCH(C107,""x.com"")=TRUE,""Twitter"",if(REGEXMATCH(C107,""facebook"")=TRUE,""Facebook"",if(REGEXMATCH(C107,""instagram"")=TRUE,""Instagram"",if(REGEXMATCH(C107,""youtube"")=TRUE,""Youtube"",if(REGEXMATCH(C107,""tiktok"")=TRUE,""Tiktok"",if(REGEX"&amp;"MATCH(C107,""threads"")=TRUE,""Threads""))))))"),"Youtube")</f>
        <v>Youtube</v>
      </c>
      <c r="G106" s="15" t="s">
        <v>293</v>
      </c>
      <c r="H106" s="15" t="s">
        <v>213</v>
      </c>
      <c r="I106" s="15" t="s">
        <v>214</v>
      </c>
      <c r="J106" s="15" t="s">
        <v>188</v>
      </c>
      <c r="K106" s="15"/>
      <c r="L106" s="15"/>
    </row>
    <row r="107">
      <c r="A107" s="15">
        <v>106.0</v>
      </c>
      <c r="B107" s="16">
        <v>45907.0</v>
      </c>
      <c r="C107" s="19" t="s">
        <v>352</v>
      </c>
      <c r="D107" s="15"/>
      <c r="E107" s="15" t="s">
        <v>184</v>
      </c>
      <c r="F107" s="15" t="str">
        <f>IFERROR(__xludf.DUMMYFUNCTION("if(REGEXMATCH(C108,""x.com"")=TRUE,""Twitter"",if(REGEXMATCH(C108,""facebook"")=TRUE,""Facebook"",if(REGEXMATCH(C108,""instagram"")=TRUE,""Instagram"",if(REGEXMATCH(C108,""youtube"")=TRUE,""Youtube"",if(REGEXMATCH(C108,""tiktok"")=TRUE,""Tiktok"",if(REGEX"&amp;"MATCH(C108,""threads"")=TRUE,""Threads""))))))"),"Tiktok")</f>
        <v>Tiktok</v>
      </c>
      <c r="G107" s="15" t="s">
        <v>293</v>
      </c>
      <c r="H107" s="15" t="s">
        <v>213</v>
      </c>
      <c r="I107" s="15" t="s">
        <v>214</v>
      </c>
      <c r="J107" s="15" t="s">
        <v>188</v>
      </c>
      <c r="K107" s="15" t="s">
        <v>321</v>
      </c>
      <c r="L107" s="15"/>
    </row>
    <row r="108">
      <c r="A108" s="15">
        <v>107.0</v>
      </c>
      <c r="B108" s="16">
        <v>45907.0</v>
      </c>
      <c r="C108" s="19" t="s">
        <v>353</v>
      </c>
      <c r="D108" s="15"/>
      <c r="E108" s="15" t="s">
        <v>184</v>
      </c>
      <c r="F108" s="15" t="str">
        <f>IFERROR(__xludf.DUMMYFUNCTION("if(REGEXMATCH(C109,""x.com"")=TRUE,""Twitter"",if(REGEXMATCH(C109,""facebook"")=TRUE,""Facebook"",if(REGEXMATCH(C109,""instagram"")=TRUE,""Instagram"",if(REGEXMATCH(C109,""youtube"")=TRUE,""Youtube"",if(REGEXMATCH(C109,""tiktok"")=TRUE,""Tiktok"",if(REGEX"&amp;"MATCH(C109,""threads"")=TRUE,""Threads""))))))"),"Tiktok")</f>
        <v>Tiktok</v>
      </c>
      <c r="G108" s="15" t="s">
        <v>293</v>
      </c>
      <c r="H108" s="15" t="s">
        <v>213</v>
      </c>
      <c r="I108" s="15" t="s">
        <v>214</v>
      </c>
      <c r="J108" s="15" t="s">
        <v>188</v>
      </c>
      <c r="K108" s="15"/>
      <c r="L108" s="15"/>
    </row>
    <row r="109">
      <c r="A109" s="15">
        <v>108.0</v>
      </c>
      <c r="B109" s="16">
        <v>45907.0</v>
      </c>
      <c r="C109" s="19" t="s">
        <v>354</v>
      </c>
      <c r="D109" s="15"/>
      <c r="E109" s="15" t="s">
        <v>184</v>
      </c>
      <c r="F109" s="15" t="str">
        <f>IFERROR(__xludf.DUMMYFUNCTION("if(REGEXMATCH(C110,""x.com"")=TRUE,""Twitter"",if(REGEXMATCH(C110,""facebook"")=TRUE,""Facebook"",if(REGEXMATCH(C110,""instagram"")=TRUE,""Instagram"",if(REGEXMATCH(C110,""youtube"")=TRUE,""Youtube"",if(REGEXMATCH(C110,""tiktok"")=TRUE,""Tiktok"",if(REGEX"&amp;"MATCH(C110,""threads"")=TRUE,""Threads""))))))"),"Tiktok")</f>
        <v>Tiktok</v>
      </c>
      <c r="G109" s="15" t="s">
        <v>293</v>
      </c>
      <c r="H109" s="15" t="s">
        <v>213</v>
      </c>
      <c r="I109" s="15" t="s">
        <v>214</v>
      </c>
      <c r="J109" s="15" t="s">
        <v>188</v>
      </c>
      <c r="K109" s="15"/>
      <c r="L109" s="15"/>
    </row>
    <row r="110">
      <c r="A110" s="15">
        <v>109.0</v>
      </c>
      <c r="B110" s="16">
        <v>45907.0</v>
      </c>
      <c r="C110" s="19" t="s">
        <v>355</v>
      </c>
      <c r="D110" s="15"/>
      <c r="E110" s="15" t="s">
        <v>184</v>
      </c>
      <c r="F110" s="15" t="str">
        <f>IFERROR(__xludf.DUMMYFUNCTION("if(REGEXMATCH(C111,""x.com"")=TRUE,""Twitter"",if(REGEXMATCH(C111,""facebook"")=TRUE,""Facebook"",if(REGEXMATCH(C111,""instagram"")=TRUE,""Instagram"",if(REGEXMATCH(C111,""youtube"")=TRUE,""Youtube"",if(REGEXMATCH(C111,""tiktok"")=TRUE,""Tiktok"",if(REGEX"&amp;"MATCH(C111,""threads"")=TRUE,""Threads""))))))"),"Tiktok")</f>
        <v>Tiktok</v>
      </c>
      <c r="G110" s="15" t="s">
        <v>293</v>
      </c>
      <c r="H110" s="15" t="s">
        <v>213</v>
      </c>
      <c r="I110" s="15" t="s">
        <v>214</v>
      </c>
      <c r="J110" s="15" t="s">
        <v>188</v>
      </c>
      <c r="K110" s="15"/>
      <c r="L110" s="15"/>
    </row>
    <row r="111">
      <c r="A111" s="15">
        <v>110.0</v>
      </c>
      <c r="B111" s="16">
        <v>45907.0</v>
      </c>
      <c r="C111" s="19" t="s">
        <v>356</v>
      </c>
      <c r="D111" s="15"/>
      <c r="E111" s="15" t="s">
        <v>184</v>
      </c>
      <c r="F111" s="15" t="str">
        <f>IFERROR(__xludf.DUMMYFUNCTION("if(REGEXMATCH(C112,""x.com"")=TRUE,""Twitter"",if(REGEXMATCH(C112,""facebook"")=TRUE,""Facebook"",if(REGEXMATCH(C112,""instagram"")=TRUE,""Instagram"",if(REGEXMATCH(C112,""youtube"")=TRUE,""Youtube"",if(REGEXMATCH(C112,""tiktok"")=TRUE,""Tiktok"",if(REGEX"&amp;"MATCH(C112,""threads"")=TRUE,""Threads""))))))"),"Twitter")</f>
        <v>Twitter</v>
      </c>
      <c r="G111" s="15" t="s">
        <v>293</v>
      </c>
      <c r="H111" s="15" t="s">
        <v>213</v>
      </c>
      <c r="I111" s="15" t="s">
        <v>214</v>
      </c>
      <c r="J111" s="15" t="s">
        <v>188</v>
      </c>
      <c r="K111" s="15"/>
      <c r="L111" s="15"/>
    </row>
    <row r="112">
      <c r="A112" s="15">
        <v>111.0</v>
      </c>
      <c r="B112" s="16">
        <v>45907.0</v>
      </c>
      <c r="C112" s="19" t="s">
        <v>357</v>
      </c>
      <c r="D112" s="15"/>
      <c r="E112" s="15" t="s">
        <v>184</v>
      </c>
      <c r="F112" s="15" t="str">
        <f>IFERROR(__xludf.DUMMYFUNCTION("if(REGEXMATCH(C113,""x.com"")=TRUE,""Twitter"",if(REGEXMATCH(C113,""facebook"")=TRUE,""Facebook"",if(REGEXMATCH(C113,""instagram"")=TRUE,""Instagram"",if(REGEXMATCH(C113,""youtube"")=TRUE,""Youtube"",if(REGEXMATCH(C113,""tiktok"")=TRUE,""Tiktok"",if(REGEX"&amp;"MATCH(C113,""threads"")=TRUE,""Threads""))))))"),"Tiktok")</f>
        <v>Tiktok</v>
      </c>
      <c r="G112" s="15" t="s">
        <v>293</v>
      </c>
      <c r="H112" s="15" t="s">
        <v>213</v>
      </c>
      <c r="I112" s="15" t="s">
        <v>214</v>
      </c>
      <c r="J112" s="15" t="s">
        <v>188</v>
      </c>
      <c r="K112" s="15"/>
      <c r="L112" s="15"/>
    </row>
    <row r="113">
      <c r="A113" s="15">
        <v>112.0</v>
      </c>
      <c r="B113" s="16">
        <v>45907.0</v>
      </c>
      <c r="C113" s="19" t="s">
        <v>358</v>
      </c>
      <c r="D113" s="15"/>
      <c r="E113" s="15" t="s">
        <v>184</v>
      </c>
      <c r="F113" s="15" t="str">
        <f>IFERROR(__xludf.DUMMYFUNCTION("if(REGEXMATCH(C113,""x.com"")=TRUE,""Twitter"",if(REGEXMATCH(C113,""facebook"")=TRUE,""Facebook"",if(REGEXMATCH(C113,""instagram"")=TRUE,""Instagram"",if(REGEXMATCH(C113,""youtube"")=TRUE,""Youtube"",if(REGEXMATCH(C113,""tiktok"")=TRUE,""Tiktok"",if(REGEX"&amp;"MATCH(C113,""threads"")=TRUE,""Threads""))))))"),"Tiktok")</f>
        <v>Tiktok</v>
      </c>
      <c r="G113" s="15" t="s">
        <v>293</v>
      </c>
      <c r="H113" s="15" t="s">
        <v>213</v>
      </c>
      <c r="I113" s="15" t="s">
        <v>214</v>
      </c>
      <c r="J113" s="15" t="s">
        <v>188</v>
      </c>
      <c r="K113" s="15"/>
      <c r="L113" s="15"/>
    </row>
    <row r="114">
      <c r="A114" s="15">
        <v>113.0</v>
      </c>
      <c r="B114" s="16">
        <v>45909.0</v>
      </c>
      <c r="C114" s="19" t="s">
        <v>359</v>
      </c>
      <c r="D114" s="15"/>
      <c r="E114" s="15" t="s">
        <v>197</v>
      </c>
      <c r="F114" s="15" t="str">
        <f>IFERROR(__xludf.DUMMYFUNCTION("if(REGEXMATCH(C114,""x.com"")=TRUE,""Twitter"",if(REGEXMATCH(C114,""facebook"")=TRUE,""Facebook"",if(REGEXMATCH(C114,""instagram"")=TRUE,""Instagram"",if(REGEXMATCH(C114,""youtube"")=TRUE,""Youtube"",if(REGEXMATCH(C114,""tiktok"")=TRUE,""Tiktok"",if(REGEX"&amp;"MATCH(C114,""threads"")=TRUE,""Threads""))))))"),"Facebook")</f>
        <v>Facebook</v>
      </c>
      <c r="G114" s="15" t="s">
        <v>360</v>
      </c>
      <c r="H114" s="15" t="s">
        <v>361</v>
      </c>
      <c r="I114" s="15" t="s">
        <v>362</v>
      </c>
      <c r="J114" s="15" t="s">
        <v>188</v>
      </c>
      <c r="K114" s="15"/>
      <c r="L114" s="15"/>
    </row>
    <row r="115">
      <c r="A115" s="15">
        <v>114.0</v>
      </c>
      <c r="B115" s="16">
        <v>45909.0</v>
      </c>
      <c r="C115" s="19" t="s">
        <v>363</v>
      </c>
      <c r="D115" s="15"/>
      <c r="E115" s="15" t="s">
        <v>197</v>
      </c>
      <c r="F115" s="15" t="str">
        <f>IFERROR(__xludf.DUMMYFUNCTION("if(REGEXMATCH(C115,""x.com"")=TRUE,""Twitter"",if(REGEXMATCH(C115,""facebook"")=TRUE,""Facebook"",if(REGEXMATCH(C115,""instagram"")=TRUE,""Instagram"",if(REGEXMATCH(C115,""youtube"")=TRUE,""Youtube"",if(REGEXMATCH(C115,""tiktok"")=TRUE,""Tiktok"",if(REGEX"&amp;"MATCH(C115,""threads"")=TRUE,""Threads""))))))"),"Facebook")</f>
        <v>Facebook</v>
      </c>
      <c r="G115" s="15" t="s">
        <v>364</v>
      </c>
      <c r="H115" s="15" t="s">
        <v>361</v>
      </c>
      <c r="I115" s="15" t="s">
        <v>365</v>
      </c>
      <c r="J115" s="15" t="s">
        <v>188</v>
      </c>
      <c r="K115" s="15"/>
      <c r="L115" s="15"/>
    </row>
    <row r="116">
      <c r="A116" s="15">
        <v>115.0</v>
      </c>
      <c r="B116" s="16">
        <v>45909.0</v>
      </c>
      <c r="C116" s="19" t="s">
        <v>366</v>
      </c>
      <c r="D116" s="15"/>
      <c r="E116" s="15" t="s">
        <v>197</v>
      </c>
      <c r="F116" s="15" t="str">
        <f>IFERROR(__xludf.DUMMYFUNCTION("if(REGEXMATCH(C116,""x.com"")=TRUE,""Twitter"",if(REGEXMATCH(C116,""facebook"")=TRUE,""Facebook"",if(REGEXMATCH(C116,""instagram"")=TRUE,""Instagram"",if(REGEXMATCH(C116,""youtube"")=TRUE,""Youtube"",if(REGEXMATCH(C116,""tiktok"")=TRUE,""Tiktok"",if(REGEX"&amp;"MATCH(C116,""threads"")=TRUE,""Threads""))))))"),"Facebook")</f>
        <v>Facebook</v>
      </c>
      <c r="G116" s="15" t="s">
        <v>367</v>
      </c>
      <c r="H116" s="15" t="s">
        <v>361</v>
      </c>
      <c r="I116" s="15" t="s">
        <v>365</v>
      </c>
      <c r="J116" s="15" t="s">
        <v>188</v>
      </c>
      <c r="K116" s="15"/>
      <c r="L116" s="15"/>
    </row>
    <row r="117">
      <c r="A117" s="15">
        <v>116.0</v>
      </c>
      <c r="B117" s="16">
        <v>45909.0</v>
      </c>
      <c r="C117" s="19" t="s">
        <v>368</v>
      </c>
      <c r="D117" s="15"/>
      <c r="E117" s="15" t="s">
        <v>197</v>
      </c>
      <c r="F117" s="15" t="str">
        <f>IFERROR(__xludf.DUMMYFUNCTION("if(REGEXMATCH(C117,""x.com"")=TRUE,""Twitter"",if(REGEXMATCH(C117,""facebook"")=TRUE,""Facebook"",if(REGEXMATCH(C117,""instagram"")=TRUE,""Instagram"",if(REGEXMATCH(C117,""youtube"")=TRUE,""Youtube"",if(REGEXMATCH(C117,""tiktok"")=TRUE,""Tiktok"",if(REGEX"&amp;"MATCH(C117,""threads"")=TRUE,""Threads""))))))"),"Instagram")</f>
        <v>Instagram</v>
      </c>
      <c r="G117" s="15" t="s">
        <v>369</v>
      </c>
      <c r="H117" s="15" t="s">
        <v>361</v>
      </c>
      <c r="I117" s="15" t="s">
        <v>370</v>
      </c>
      <c r="J117" s="15" t="s">
        <v>188</v>
      </c>
      <c r="K117" s="15"/>
      <c r="L117" s="15"/>
    </row>
    <row r="118">
      <c r="A118" s="15">
        <v>117.0</v>
      </c>
      <c r="B118" s="16">
        <v>45909.0</v>
      </c>
      <c r="C118" s="19" t="s">
        <v>371</v>
      </c>
      <c r="D118" s="15"/>
      <c r="E118" s="15" t="s">
        <v>372</v>
      </c>
      <c r="F118" s="15" t="str">
        <f>IFERROR(__xludf.DUMMYFUNCTION("if(REGEXMATCH(C118,""x.com"")=TRUE,""Twitter"",if(REGEXMATCH(C118,""facebook"")=TRUE,""Facebook"",if(REGEXMATCH(C118,""instagram"")=TRUE,""Instagram"",if(REGEXMATCH(C118,""youtube"")=TRUE,""Youtube"",if(REGEXMATCH(C118,""tiktok"")=TRUE,""Tiktok"",if(REGEX"&amp;"MATCH(C118,""threads"")=TRUE,""Threads""))))))"),"Tiktok")</f>
        <v>Tiktok</v>
      </c>
      <c r="G118" s="20" t="s">
        <v>373</v>
      </c>
      <c r="H118" s="15" t="s">
        <v>374</v>
      </c>
      <c r="I118" s="15" t="s">
        <v>370</v>
      </c>
      <c r="J118" s="15" t="s">
        <v>188</v>
      </c>
      <c r="K118" s="15" t="s">
        <v>375</v>
      </c>
      <c r="L118" s="15"/>
    </row>
    <row r="119">
      <c r="A119" s="15">
        <v>118.0</v>
      </c>
      <c r="B119" s="16">
        <v>45909.0</v>
      </c>
      <c r="C119" s="19" t="s">
        <v>376</v>
      </c>
      <c r="D119" s="15"/>
      <c r="E119" s="15" t="s">
        <v>372</v>
      </c>
      <c r="F119" s="15" t="str">
        <f>IFERROR(__xludf.DUMMYFUNCTION("if(REGEXMATCH(C119,""x.com"")=TRUE,""Twitter"",if(REGEXMATCH(C119,""facebook"")=TRUE,""Facebook"",if(REGEXMATCH(C119,""instagram"")=TRUE,""Instagram"",if(REGEXMATCH(C119,""youtube"")=TRUE,""Youtube"",if(REGEXMATCH(C119,""tiktok"")=TRUE,""Tiktok"",if(REGEX"&amp;"MATCH(C119,""threads"")=TRUE,""Threads""))))))"),"Tiktok")</f>
        <v>Tiktok</v>
      </c>
      <c r="G119" s="15" t="s">
        <v>377</v>
      </c>
      <c r="H119" s="15" t="s">
        <v>374</v>
      </c>
      <c r="I119" s="15" t="s">
        <v>370</v>
      </c>
      <c r="J119" s="15" t="s">
        <v>188</v>
      </c>
      <c r="K119" s="15"/>
      <c r="L119" s="15"/>
    </row>
    <row r="120">
      <c r="A120" s="15">
        <v>119.0</v>
      </c>
      <c r="B120" s="16">
        <v>45909.0</v>
      </c>
      <c r="C120" s="19" t="s">
        <v>378</v>
      </c>
      <c r="D120" s="15"/>
      <c r="E120" s="15" t="s">
        <v>372</v>
      </c>
      <c r="F120" s="15" t="str">
        <f>IFERROR(__xludf.DUMMYFUNCTION("if(REGEXMATCH(C120,""x.com"")=TRUE,""Twitter"",if(REGEXMATCH(C120,""facebook"")=TRUE,""Facebook"",if(REGEXMATCH(C120,""instagram"")=TRUE,""Instagram"",if(REGEXMATCH(C120,""youtube"")=TRUE,""Youtube"",if(REGEXMATCH(C120,""tiktok"")=TRUE,""Tiktok"",if(REGEX"&amp;"MATCH(C120,""threads"")=TRUE,""Threads""))))))"),"Facebook")</f>
        <v>Facebook</v>
      </c>
      <c r="G120" s="15" t="s">
        <v>379</v>
      </c>
      <c r="H120" s="15" t="s">
        <v>374</v>
      </c>
      <c r="I120" s="15" t="s">
        <v>370</v>
      </c>
      <c r="J120" s="15" t="s">
        <v>188</v>
      </c>
      <c r="K120" s="15"/>
      <c r="L120" s="15"/>
    </row>
    <row r="121">
      <c r="A121" s="15">
        <v>120.0</v>
      </c>
      <c r="B121" s="16">
        <v>45909.0</v>
      </c>
      <c r="C121" s="19" t="s">
        <v>380</v>
      </c>
      <c r="D121" s="15"/>
      <c r="E121" s="15" t="s">
        <v>381</v>
      </c>
      <c r="F121" s="15" t="str">
        <f>IFERROR(__xludf.DUMMYFUNCTION("if(REGEXMATCH(C121,""x.com"")=TRUE,""Twitter"",if(REGEXMATCH(C121,""facebook"")=TRUE,""Facebook"",if(REGEXMATCH(C121,""instagram"")=TRUE,""Instagram"",if(REGEXMATCH(C121,""youtube"")=TRUE,""Youtube"",if(REGEXMATCH(C121,""tiktok"")=TRUE,""Tiktok"",if(REGEX"&amp;"MATCH(C121,""threads"")=TRUE,""Threads""))))))"),"Tiktok")</f>
        <v>Tiktok</v>
      </c>
      <c r="G121" s="15" t="s">
        <v>382</v>
      </c>
      <c r="H121" s="15" t="s">
        <v>374</v>
      </c>
      <c r="I121" s="15" t="s">
        <v>370</v>
      </c>
      <c r="J121" s="15" t="s">
        <v>188</v>
      </c>
      <c r="K121" s="15"/>
      <c r="L121" s="15"/>
    </row>
    <row r="122">
      <c r="A122" s="15">
        <v>121.0</v>
      </c>
      <c r="B122" s="16">
        <v>45909.0</v>
      </c>
      <c r="C122" s="19" t="s">
        <v>383</v>
      </c>
      <c r="D122" s="15"/>
      <c r="E122" s="15" t="s">
        <v>197</v>
      </c>
      <c r="F122" s="15" t="str">
        <f>IFERROR(__xludf.DUMMYFUNCTION("if(REGEXMATCH(C122,""x.com"")=TRUE,""Twitter"",if(REGEXMATCH(C122,""facebook"")=TRUE,""Facebook"",if(REGEXMATCH(C122,""instagram"")=TRUE,""Instagram"",if(REGEXMATCH(C122,""youtube"")=TRUE,""Youtube"",if(REGEXMATCH(C122,""tiktok"")=TRUE,""Tiktok"",if(REGEX"&amp;"MATCH(C122,""threads"")=TRUE,""Threads""))))))"),"Tiktok")</f>
        <v>Tiktok</v>
      </c>
      <c r="G122" s="15" t="s">
        <v>384</v>
      </c>
      <c r="H122" s="15" t="s">
        <v>374</v>
      </c>
      <c r="I122" s="15" t="s">
        <v>370</v>
      </c>
      <c r="J122" s="15" t="s">
        <v>188</v>
      </c>
      <c r="K122" s="15"/>
      <c r="L122" s="15"/>
    </row>
    <row r="123">
      <c r="A123" s="15">
        <v>122.0</v>
      </c>
      <c r="B123" s="16">
        <v>45909.0</v>
      </c>
      <c r="C123" s="19" t="s">
        <v>385</v>
      </c>
      <c r="D123" s="15"/>
      <c r="E123" s="15" t="s">
        <v>197</v>
      </c>
      <c r="F123" s="15" t="str">
        <f>IFERROR(__xludf.DUMMYFUNCTION("if(REGEXMATCH(C123,""x.com"")=TRUE,""Twitter"",if(REGEXMATCH(C123,""facebook"")=TRUE,""Facebook"",if(REGEXMATCH(C123,""instagram"")=TRUE,""Instagram"",if(REGEXMATCH(C123,""youtube"")=TRUE,""Youtube"",if(REGEXMATCH(C123,""tiktok"")=TRUE,""Tiktok"",if(REGEX"&amp;"MATCH(C123,""threads"")=TRUE,""Threads""))))))"),"Tiktok")</f>
        <v>Tiktok</v>
      </c>
      <c r="G123" s="15" t="s">
        <v>386</v>
      </c>
      <c r="H123" s="15" t="s">
        <v>374</v>
      </c>
      <c r="I123" s="15" t="s">
        <v>387</v>
      </c>
      <c r="J123" s="15" t="s">
        <v>188</v>
      </c>
      <c r="K123" s="15" t="s">
        <v>388</v>
      </c>
      <c r="L123" s="15"/>
    </row>
    <row r="124">
      <c r="A124" s="15">
        <v>123.0</v>
      </c>
      <c r="B124" s="16">
        <v>45909.0</v>
      </c>
      <c r="C124" s="19" t="s">
        <v>389</v>
      </c>
      <c r="D124" s="15"/>
      <c r="E124" s="15" t="s">
        <v>197</v>
      </c>
      <c r="F124" s="15" t="str">
        <f>IFERROR(__xludf.DUMMYFUNCTION("if(REGEXMATCH(C124,""x.com"")=TRUE,""Twitter"",if(REGEXMATCH(C124,""facebook"")=TRUE,""Facebook"",if(REGEXMATCH(C124,""instagram"")=TRUE,""Instagram"",if(REGEXMATCH(C124,""youtube"")=TRUE,""Youtube"",if(REGEXMATCH(C124,""tiktok"")=TRUE,""Tiktok"",if(REGEX"&amp;"MATCH(C124,""threads"")=TRUE,""Threads""))))))"),"Facebook")</f>
        <v>Facebook</v>
      </c>
      <c r="G124" s="15" t="s">
        <v>390</v>
      </c>
      <c r="H124" s="15" t="s">
        <v>391</v>
      </c>
      <c r="I124" s="15" t="s">
        <v>370</v>
      </c>
      <c r="J124" s="15" t="s">
        <v>188</v>
      </c>
      <c r="K124" s="15"/>
      <c r="L124" s="15"/>
    </row>
    <row r="125">
      <c r="A125" s="15">
        <v>124.0</v>
      </c>
      <c r="B125" s="16">
        <v>45909.0</v>
      </c>
      <c r="C125" s="19" t="s">
        <v>392</v>
      </c>
      <c r="D125" s="15"/>
      <c r="E125" s="15" t="s">
        <v>197</v>
      </c>
      <c r="F125" s="15" t="str">
        <f>IFERROR(__xludf.DUMMYFUNCTION("if(REGEXMATCH(C125,""x.com"")=TRUE,""Twitter"",if(REGEXMATCH(C125,""facebook"")=TRUE,""Facebook"",if(REGEXMATCH(C125,""instagram"")=TRUE,""Instagram"",if(REGEXMATCH(C125,""youtube"")=TRUE,""Youtube"",if(REGEXMATCH(C125,""tiktok"")=TRUE,""Tiktok"",if(REGEX"&amp;"MATCH(C125,""threads"")=TRUE,""Threads""))))))"),"Facebook")</f>
        <v>Facebook</v>
      </c>
      <c r="G125" s="15" t="s">
        <v>393</v>
      </c>
      <c r="H125" s="15" t="s">
        <v>391</v>
      </c>
      <c r="I125" s="15" t="s">
        <v>370</v>
      </c>
      <c r="J125" s="15" t="s">
        <v>188</v>
      </c>
      <c r="K125" s="15"/>
      <c r="L125" s="15"/>
    </row>
    <row r="126">
      <c r="A126" s="15">
        <v>125.0</v>
      </c>
      <c r="B126" s="16">
        <v>45909.0</v>
      </c>
      <c r="C126" s="19" t="s">
        <v>394</v>
      </c>
      <c r="D126" s="15"/>
      <c r="E126" s="15" t="s">
        <v>197</v>
      </c>
      <c r="F126" s="15" t="str">
        <f>IFERROR(__xludf.DUMMYFUNCTION("if(REGEXMATCH(C126,""x.com"")=TRUE,""Twitter"",if(REGEXMATCH(C126,""facebook"")=TRUE,""Facebook"",if(REGEXMATCH(C126,""instagram"")=TRUE,""Instagram"",if(REGEXMATCH(C126,""youtube"")=TRUE,""Youtube"",if(REGEXMATCH(C126,""tiktok"")=TRUE,""Tiktok"",if(REGEX"&amp;"MATCH(C126,""threads"")=TRUE,""Threads""))))))"),"Tiktok")</f>
        <v>Tiktok</v>
      </c>
      <c r="G126" s="15" t="s">
        <v>395</v>
      </c>
      <c r="H126" s="15" t="s">
        <v>391</v>
      </c>
      <c r="I126" s="15" t="s">
        <v>370</v>
      </c>
      <c r="J126" s="15" t="s">
        <v>188</v>
      </c>
      <c r="K126" s="15"/>
      <c r="L126" s="15"/>
    </row>
    <row r="127">
      <c r="A127" s="15">
        <v>126.0</v>
      </c>
      <c r="B127" s="16">
        <v>45909.0</v>
      </c>
      <c r="C127" s="19" t="s">
        <v>396</v>
      </c>
      <c r="D127" s="15"/>
      <c r="E127" s="15" t="s">
        <v>397</v>
      </c>
      <c r="F127" s="15" t="str">
        <f>IFERROR(__xludf.DUMMYFUNCTION("if(REGEXMATCH(C127,""x.com"")=TRUE,""Twitter"",if(REGEXMATCH(C127,""facebook"")=TRUE,""Facebook"",if(REGEXMATCH(C127,""instagram"")=TRUE,""Instagram"",if(REGEXMATCH(C127,""youtube"")=TRUE,""Youtube"",if(REGEXMATCH(C127,""tiktok"")=TRUE,""Tiktok"",if(REGEX"&amp;"MATCH(C127,""threads"")=TRUE,""Threads""))))))"),"Threads")</f>
        <v>Threads</v>
      </c>
      <c r="G127" s="15" t="s">
        <v>398</v>
      </c>
      <c r="H127" s="15" t="s">
        <v>399</v>
      </c>
      <c r="I127" s="15" t="s">
        <v>219</v>
      </c>
      <c r="J127" s="15" t="s">
        <v>188</v>
      </c>
      <c r="K127" s="15"/>
      <c r="L127" s="15"/>
    </row>
    <row r="128">
      <c r="A128" s="15">
        <v>127.0</v>
      </c>
      <c r="B128" s="16">
        <v>45909.0</v>
      </c>
      <c r="C128" s="20" t="s">
        <v>400</v>
      </c>
      <c r="D128" s="15"/>
      <c r="E128" s="15" t="s">
        <v>401</v>
      </c>
      <c r="F128" s="15" t="str">
        <f>IFERROR(__xludf.DUMMYFUNCTION("if(REGEXMATCH(C128,""x.com"")=TRUE,""Twitter"",if(REGEXMATCH(C128,""facebook"")=TRUE,""Facebook"",if(REGEXMATCH(C128,""instagram"")=TRUE,""Instagram"",if(REGEXMATCH(C128,""youtube"")=TRUE,""Youtube"",if(REGEXMATCH(C128,""tiktok"")=TRUE,""Tiktok"",if(REGEX"&amp;"MATCH(C128,""threads"")=TRUE,""Threads""))))))"),"Facebook")</f>
        <v>Facebook</v>
      </c>
      <c r="G128" s="15" t="s">
        <v>402</v>
      </c>
      <c r="H128" s="15" t="s">
        <v>218</v>
      </c>
      <c r="I128" s="15" t="s">
        <v>219</v>
      </c>
      <c r="J128" s="15" t="s">
        <v>188</v>
      </c>
      <c r="K128" s="15"/>
      <c r="L128" s="15"/>
    </row>
    <row r="129">
      <c r="A129" s="15">
        <v>128.0</v>
      </c>
      <c r="B129" s="16">
        <v>45909.0</v>
      </c>
      <c r="C129" s="19" t="s">
        <v>403</v>
      </c>
      <c r="D129" s="15"/>
      <c r="E129" s="15" t="s">
        <v>397</v>
      </c>
      <c r="F129" s="15" t="str">
        <f>IFERROR(__xludf.DUMMYFUNCTION("if(REGEXMATCH(C129,""x.com"")=TRUE,""Twitter"",if(REGEXMATCH(C129,""facebook"")=TRUE,""Facebook"",if(REGEXMATCH(C129,""instagram"")=TRUE,""Instagram"",if(REGEXMATCH(C129,""youtube"")=TRUE,""Youtube"",if(REGEXMATCH(C129,""tiktok"")=TRUE,""Tiktok"",if(REGEX"&amp;"MATCH(C129,""threads"")=TRUE,""Threads""))))))"),"Tiktok")</f>
        <v>Tiktok</v>
      </c>
      <c r="G129" s="15" t="s">
        <v>398</v>
      </c>
      <c r="H129" s="15" t="s">
        <v>399</v>
      </c>
      <c r="I129" s="15" t="s">
        <v>219</v>
      </c>
      <c r="J129" s="15" t="s">
        <v>188</v>
      </c>
      <c r="K129" s="15"/>
      <c r="L129" s="15"/>
    </row>
    <row r="130">
      <c r="A130" s="15">
        <v>129.0</v>
      </c>
      <c r="B130" s="16">
        <v>45909.0</v>
      </c>
      <c r="C130" s="19" t="s">
        <v>404</v>
      </c>
      <c r="D130" s="15"/>
      <c r="E130" s="15" t="s">
        <v>184</v>
      </c>
      <c r="F130" s="15" t="s">
        <v>405</v>
      </c>
      <c r="G130" s="15" t="s">
        <v>406</v>
      </c>
      <c r="H130" s="15" t="s">
        <v>407</v>
      </c>
      <c r="I130" s="15"/>
      <c r="J130" s="15" t="s">
        <v>188</v>
      </c>
      <c r="K130" s="15"/>
      <c r="L130" s="15"/>
    </row>
    <row r="131">
      <c r="A131" s="15">
        <v>130.0</v>
      </c>
      <c r="B131" s="16">
        <v>45909.0</v>
      </c>
      <c r="C131" s="19" t="s">
        <v>408</v>
      </c>
      <c r="D131" s="15"/>
      <c r="E131" s="15" t="s">
        <v>184</v>
      </c>
      <c r="F131" s="15" t="s">
        <v>405</v>
      </c>
      <c r="G131" s="15" t="s">
        <v>409</v>
      </c>
      <c r="H131" s="15" t="s">
        <v>410</v>
      </c>
      <c r="I131" s="15"/>
      <c r="J131" s="15" t="s">
        <v>188</v>
      </c>
      <c r="K131" s="15"/>
      <c r="L131" s="15"/>
    </row>
    <row r="132" ht="128.25" customHeight="1">
      <c r="A132" s="15">
        <v>131.0</v>
      </c>
      <c r="B132" s="16">
        <v>45909.0</v>
      </c>
      <c r="C132" s="19" t="s">
        <v>411</v>
      </c>
      <c r="D132" s="15"/>
      <c r="E132" s="15" t="s">
        <v>184</v>
      </c>
      <c r="F132" s="15" t="s">
        <v>405</v>
      </c>
      <c r="G132" s="15" t="s">
        <v>412</v>
      </c>
      <c r="H132" s="15" t="s">
        <v>413</v>
      </c>
      <c r="I132" s="15"/>
      <c r="J132" s="15" t="s">
        <v>188</v>
      </c>
      <c r="K132" s="15"/>
      <c r="L132" s="15"/>
    </row>
    <row r="133">
      <c r="A133" s="15">
        <v>132.0</v>
      </c>
      <c r="B133" s="16">
        <v>45909.0</v>
      </c>
      <c r="C133" s="19" t="s">
        <v>414</v>
      </c>
      <c r="D133" s="15"/>
      <c r="E133" s="15" t="s">
        <v>184</v>
      </c>
      <c r="F133" s="15" t="str">
        <f>IFERROR(__xludf.DUMMYFUNCTION("if(REGEXMATCH(C133,""x.com"")=TRUE,""Twitter"",if(REGEXMATCH(C133,""facebook"")=TRUE,""Facebook"",if(REGEXMATCH(C133,""instagram"")=TRUE,""Instagram"",if(REGEXMATCH(C133,""youtube"")=TRUE,""Youtube"",if(REGEXMATCH(C133,""tiktok"")=TRUE,""Tiktok"",if(REGEX"&amp;"MATCH(C133,""threads"")=TRUE,""Threads""))))))"),"Tiktok")</f>
        <v>Tiktok</v>
      </c>
      <c r="G133" s="15" t="s">
        <v>415</v>
      </c>
      <c r="H133" s="15" t="s">
        <v>413</v>
      </c>
      <c r="I133" s="15"/>
      <c r="J133" s="15" t="s">
        <v>188</v>
      </c>
      <c r="K133" s="15"/>
      <c r="L133" s="15"/>
    </row>
    <row r="134">
      <c r="A134" s="15">
        <v>133.0</v>
      </c>
      <c r="B134" s="16">
        <v>45909.0</v>
      </c>
      <c r="C134" s="19" t="s">
        <v>416</v>
      </c>
      <c r="D134" s="15"/>
      <c r="E134" s="15" t="s">
        <v>184</v>
      </c>
      <c r="F134" s="15" t="str">
        <f>IFERROR(__xludf.DUMMYFUNCTION("if(REGEXMATCH(C134,""x.com"")=TRUE,""Twitter"",if(REGEXMATCH(C134,""facebook"")=TRUE,""Facebook"",if(REGEXMATCH(C134,""instagram"")=TRUE,""Instagram"",if(REGEXMATCH(C134,""youtube"")=TRUE,""Youtube"",if(REGEXMATCH(C134,""tiktok"")=TRUE,""Tiktok"",if(REGEX"&amp;"MATCH(C134,""threads"")=TRUE,""Threads""))))))"),"Tiktok")</f>
        <v>Tiktok</v>
      </c>
      <c r="G134" s="15" t="s">
        <v>415</v>
      </c>
      <c r="H134" s="15" t="s">
        <v>413</v>
      </c>
      <c r="I134" s="15"/>
      <c r="J134" s="15" t="s">
        <v>188</v>
      </c>
      <c r="K134" s="15"/>
      <c r="L134" s="15"/>
    </row>
    <row r="135">
      <c r="A135" s="15">
        <v>134.0</v>
      </c>
      <c r="B135" s="16">
        <v>45909.0</v>
      </c>
      <c r="C135" s="19" t="s">
        <v>417</v>
      </c>
      <c r="D135" s="15"/>
      <c r="E135" s="15" t="s">
        <v>184</v>
      </c>
      <c r="F135" s="15" t="str">
        <f>IFERROR(__xludf.DUMMYFUNCTION("if(REGEXMATCH(C135,""x.com"")=TRUE,""Twitter"",if(REGEXMATCH(C135,""facebook"")=TRUE,""Facebook"",if(REGEXMATCH(C135,""instagram"")=TRUE,""Instagram"",if(REGEXMATCH(C135,""youtube"")=TRUE,""Youtube"",if(REGEXMATCH(C135,""tiktok"")=TRUE,""Tiktok"",if(REGEX"&amp;"MATCH(C135,""threads"")=TRUE,""Threads""))))))"),"Instagram")</f>
        <v>Instagram</v>
      </c>
      <c r="G135" s="15" t="s">
        <v>418</v>
      </c>
      <c r="H135" s="15" t="s">
        <v>413</v>
      </c>
      <c r="I135" s="15"/>
      <c r="J135" s="15" t="s">
        <v>188</v>
      </c>
      <c r="K135" s="15"/>
      <c r="L135" s="15"/>
    </row>
    <row r="136">
      <c r="A136" s="15">
        <v>135.0</v>
      </c>
      <c r="B136" s="16">
        <v>45909.0</v>
      </c>
      <c r="C136" s="19" t="s">
        <v>419</v>
      </c>
      <c r="D136" s="15"/>
      <c r="E136" s="15" t="s">
        <v>184</v>
      </c>
      <c r="F136" s="15" t="str">
        <f>IFERROR(__xludf.DUMMYFUNCTION("if(REGEXMATCH(C136,""x.com"")=TRUE,""Twitter"",if(REGEXMATCH(C136,""facebook"")=TRUE,""Facebook"",if(REGEXMATCH(C136,""instagram"")=TRUE,""Instagram"",if(REGEXMATCH(C136,""youtube"")=TRUE,""Youtube"",if(REGEXMATCH(C136,""tiktok"")=TRUE,""Tiktok"",if(REGEX"&amp;"MATCH(C136,""threads"")=TRUE,""Threads""))))))"),"Instagram")</f>
        <v>Instagram</v>
      </c>
      <c r="G136" s="15" t="s">
        <v>418</v>
      </c>
      <c r="H136" s="15" t="s">
        <v>413</v>
      </c>
      <c r="I136" s="15"/>
      <c r="J136" s="15" t="s">
        <v>188</v>
      </c>
      <c r="K136" s="15"/>
      <c r="L136" s="15"/>
    </row>
    <row r="137">
      <c r="A137" s="15">
        <v>136.0</v>
      </c>
      <c r="B137" s="21">
        <v>45909.0</v>
      </c>
      <c r="C137" s="22" t="s">
        <v>420</v>
      </c>
      <c r="D137" s="18"/>
      <c r="E137" s="18" t="s">
        <v>184</v>
      </c>
      <c r="F137" s="18" t="str">
        <f>IFERROR(__xludf.DUMMYFUNCTION("if(REGEXMATCH(C137,""x.com"")=TRUE,""Twitter"",if(REGEXMATCH(C137,""facebook"")=TRUE,""Facebook"",if(REGEXMATCH(C137,""instagram"")=TRUE,""Instagram"",if(REGEXMATCH(C137,""youtube"")=TRUE,""Youtube"",if(REGEXMATCH(C137,""tiktok"")=TRUE,""Tiktok"",if(REGEX"&amp;"MATCH(C137,""threads"")=TRUE,""Threads""))))))"),"Instagram")</f>
        <v>Instagram</v>
      </c>
      <c r="G137" s="18" t="s">
        <v>421</v>
      </c>
      <c r="H137" s="18" t="s">
        <v>413</v>
      </c>
      <c r="I137" s="18"/>
      <c r="J137" s="18" t="s">
        <v>422</v>
      </c>
      <c r="K137" s="18" t="s">
        <v>423</v>
      </c>
      <c r="L137" s="15"/>
    </row>
    <row r="138">
      <c r="A138" s="15">
        <v>137.0</v>
      </c>
      <c r="B138" s="16">
        <v>45909.0</v>
      </c>
      <c r="C138" s="19" t="s">
        <v>424</v>
      </c>
      <c r="D138" s="15"/>
      <c r="E138" s="15" t="s">
        <v>425</v>
      </c>
      <c r="F138" s="15" t="str">
        <f>IFERROR(__xludf.DUMMYFUNCTION("if(REGEXMATCH(C138,""x.com"")=TRUE,""Twitter"",if(REGEXMATCH(C138,""facebook"")=TRUE,""Facebook"",if(REGEXMATCH(C138,""instagram"")=TRUE,""Instagram"",if(REGEXMATCH(C138,""youtube"")=TRUE,""Youtube"",if(REGEXMATCH(C138,""tiktok"")=TRUE,""Tiktok"",if(REGEX"&amp;"MATCH(C138,""threads"")=TRUE,""Threads""))))))"),"Twitter")</f>
        <v>Twitter</v>
      </c>
      <c r="G138" s="15" t="s">
        <v>426</v>
      </c>
      <c r="H138" s="15" t="s">
        <v>427</v>
      </c>
      <c r="I138" s="15"/>
      <c r="J138" s="15" t="s">
        <v>188</v>
      </c>
      <c r="K138" s="15"/>
      <c r="L138" s="15"/>
    </row>
    <row r="139">
      <c r="A139" s="15">
        <v>138.0</v>
      </c>
      <c r="B139" s="23">
        <v>45910.0</v>
      </c>
      <c r="C139" s="19" t="s">
        <v>428</v>
      </c>
      <c r="D139" s="15"/>
      <c r="E139" s="15" t="s">
        <v>429</v>
      </c>
      <c r="F139" s="15" t="str">
        <f>IFERROR(__xludf.DUMMYFUNCTION("if(REGEXMATCH(C139,""x.com"")=TRUE,""Twitter"",if(REGEXMATCH(C139,""facebook"")=TRUE,""Facebook"",if(REGEXMATCH(C139,""instagram"")=TRUE,""Instagram"",if(REGEXMATCH(C139,""youtube"")=TRUE,""Youtube"",if(REGEXMATCH(C139,""tiktok"")=TRUE,""Tiktok"",if(REGEX"&amp;"MATCH(C139,""threads"")=TRUE,""Threads""))))))"),"Threads")</f>
        <v>Threads</v>
      </c>
      <c r="G139" s="15" t="s">
        <v>430</v>
      </c>
      <c r="H139" s="15" t="s">
        <v>361</v>
      </c>
      <c r="I139" s="15" t="s">
        <v>431</v>
      </c>
      <c r="J139" s="15" t="s">
        <v>188</v>
      </c>
      <c r="K139" s="15"/>
      <c r="L139" s="15"/>
    </row>
    <row r="140">
      <c r="A140" s="15">
        <v>139.0</v>
      </c>
      <c r="B140" s="23">
        <v>45910.0</v>
      </c>
      <c r="C140" s="19" t="s">
        <v>432</v>
      </c>
      <c r="D140" s="15"/>
      <c r="E140" s="15" t="s">
        <v>184</v>
      </c>
      <c r="F140" s="15" t="str">
        <f>IFERROR(__xludf.DUMMYFUNCTION("if(REGEXMATCH(C140,""x.com"")=TRUE,""Twitter"",if(REGEXMATCH(C140,""facebook"")=TRUE,""Facebook"",if(REGEXMATCH(C140,""instagram"")=TRUE,""Instagram"",if(REGEXMATCH(C140,""youtube"")=TRUE,""Youtube"",if(REGEXMATCH(C140,""tiktok"")=TRUE,""Tiktok"",if(REGEX"&amp;"MATCH(C140,""threads"")=TRUE,""Threads""))))))"),"Youtube")</f>
        <v>Youtube</v>
      </c>
      <c r="G140" s="15" t="s">
        <v>433</v>
      </c>
      <c r="H140" s="15" t="s">
        <v>361</v>
      </c>
      <c r="I140" s="15" t="s">
        <v>431</v>
      </c>
      <c r="J140" s="15" t="s">
        <v>188</v>
      </c>
      <c r="K140" s="15"/>
      <c r="L140" s="15"/>
    </row>
    <row r="141">
      <c r="A141" s="15">
        <v>140.0</v>
      </c>
      <c r="B141" s="23">
        <v>45910.0</v>
      </c>
      <c r="C141" s="19" t="s">
        <v>434</v>
      </c>
      <c r="D141" s="15"/>
      <c r="E141" s="15" t="s">
        <v>184</v>
      </c>
      <c r="F141" s="15" t="str">
        <f>IFERROR(__xludf.DUMMYFUNCTION("if(REGEXMATCH(C141,""x.com"")=TRUE,""Twitter"",if(REGEXMATCH(C141,""facebook"")=TRUE,""Facebook"",if(REGEXMATCH(C141,""instagram"")=TRUE,""Instagram"",if(REGEXMATCH(C141,""youtube"")=TRUE,""Youtube"",if(REGEXMATCH(C141,""tiktok"")=TRUE,""Tiktok"",if(REGEX"&amp;"MATCH(C141,""threads"")=TRUE,""Threads""))))))"),"Tiktok")</f>
        <v>Tiktok</v>
      </c>
      <c r="G141" s="15" t="s">
        <v>435</v>
      </c>
      <c r="H141" s="15" t="s">
        <v>361</v>
      </c>
      <c r="I141" s="15" t="s">
        <v>431</v>
      </c>
      <c r="J141" s="15" t="s">
        <v>188</v>
      </c>
      <c r="K141" s="15"/>
      <c r="L141" s="15"/>
    </row>
    <row r="142">
      <c r="A142" s="15">
        <v>141.0</v>
      </c>
      <c r="B142" s="23">
        <v>45910.0</v>
      </c>
      <c r="C142" s="19" t="s">
        <v>436</v>
      </c>
      <c r="D142" s="15"/>
      <c r="E142" s="15" t="s">
        <v>184</v>
      </c>
      <c r="F142" s="15" t="b">
        <f>IFERROR(__xludf.DUMMYFUNCTION("if(REGEXMATCH(C142,""x.com"")=TRUE,""Twitter"",if(REGEXMATCH(C142,""facebook"")=TRUE,""Facebook"",if(REGEXMATCH(C142,""instagram"")=TRUE,""Instagram"",if(REGEXMATCH(C142,""youtube"")=TRUE,""Youtube"",if(REGEXMATCH(C142,""tiktok"")=TRUE,""Tiktok"",if(REGEX"&amp;"MATCH(C142,""threads"")=TRUE,""Threads""))))))"),FALSE)</f>
        <v>0</v>
      </c>
      <c r="G142" s="15" t="s">
        <v>437</v>
      </c>
      <c r="H142" s="15" t="s">
        <v>361</v>
      </c>
      <c r="I142" s="15" t="s">
        <v>431</v>
      </c>
      <c r="J142" s="15" t="s">
        <v>188</v>
      </c>
      <c r="K142" s="15"/>
      <c r="L142" s="15"/>
    </row>
    <row r="143">
      <c r="A143" s="15">
        <v>142.0</v>
      </c>
      <c r="B143" s="23">
        <v>45910.0</v>
      </c>
      <c r="C143" s="19" t="s">
        <v>438</v>
      </c>
      <c r="D143" s="15"/>
      <c r="E143" s="15" t="s">
        <v>184</v>
      </c>
      <c r="F143" s="15" t="b">
        <f>IFERROR(__xludf.DUMMYFUNCTION("if(REGEXMATCH(C143,""x.com"")=TRUE,""Twitter"",if(REGEXMATCH(C143,""facebook"")=TRUE,""Facebook"",if(REGEXMATCH(C143,""instagram"")=TRUE,""Instagram"",if(REGEXMATCH(C143,""youtube"")=TRUE,""Youtube"",if(REGEXMATCH(C143,""tiktok"")=TRUE,""Tiktok"",if(REGEX"&amp;"MATCH(C143,""threads"")=TRUE,""Threads""))))))"),FALSE)</f>
        <v>0</v>
      </c>
      <c r="G143" s="15" t="s">
        <v>437</v>
      </c>
      <c r="H143" s="15" t="s">
        <v>361</v>
      </c>
      <c r="I143" s="15" t="s">
        <v>431</v>
      </c>
      <c r="J143" s="15" t="s">
        <v>188</v>
      </c>
      <c r="K143" s="15"/>
      <c r="L143" s="15"/>
    </row>
    <row r="144">
      <c r="A144" s="15">
        <v>143.0</v>
      </c>
      <c r="B144" s="23">
        <v>45910.0</v>
      </c>
      <c r="C144" s="19" t="s">
        <v>439</v>
      </c>
      <c r="D144" s="15"/>
      <c r="E144" s="15" t="s">
        <v>226</v>
      </c>
      <c r="F144" s="15" t="b">
        <f>IFERROR(__xludf.DUMMYFUNCTION("if(REGEXMATCH(C144,""x.com"")=TRUE,""Twitter"",if(REGEXMATCH(C144,""facebook"")=TRUE,""Facebook"",if(REGEXMATCH(C144,""instagram"")=TRUE,""Instagram"",if(REGEXMATCH(C144,""youtube"")=TRUE,""Youtube"",if(REGEXMATCH(C144,""tiktok"")=TRUE,""Tiktok"",if(REGEX"&amp;"MATCH(C144,""threads"")=TRUE,""Threads""))))))"),FALSE)</f>
        <v>0</v>
      </c>
      <c r="G144" s="15" t="s">
        <v>440</v>
      </c>
      <c r="H144" s="15" t="s">
        <v>441</v>
      </c>
      <c r="I144" s="15" t="s">
        <v>442</v>
      </c>
      <c r="J144" s="15" t="s">
        <v>188</v>
      </c>
      <c r="K144" s="15"/>
      <c r="L144" s="15"/>
    </row>
    <row r="145">
      <c r="A145" s="15">
        <v>144.0</v>
      </c>
      <c r="B145" s="23">
        <v>45910.0</v>
      </c>
      <c r="C145" s="19" t="s">
        <v>443</v>
      </c>
      <c r="D145" s="15"/>
      <c r="E145" s="15" t="s">
        <v>444</v>
      </c>
      <c r="F145" s="15" t="b">
        <f>IFERROR(__xludf.DUMMYFUNCTION("if(REGEXMATCH(C145,""x.com"")=TRUE,""Twitter"",if(REGEXMATCH(C145,""facebook"")=TRUE,""Facebook"",if(REGEXMATCH(C145,""instagram"")=TRUE,""Instagram"",if(REGEXMATCH(C145,""youtube"")=TRUE,""Youtube"",if(REGEXMATCH(C145,""tiktok"")=TRUE,""Tiktok"",if(REGEX"&amp;"MATCH(C145,""threads"")=TRUE,""Threads""))))))"),FALSE)</f>
        <v>0</v>
      </c>
      <c r="G145" s="15" t="s">
        <v>445</v>
      </c>
      <c r="H145" s="15" t="s">
        <v>361</v>
      </c>
      <c r="I145" s="15" t="s">
        <v>431</v>
      </c>
      <c r="J145" s="15" t="s">
        <v>188</v>
      </c>
      <c r="K145" s="15"/>
      <c r="L145" s="15"/>
    </row>
    <row r="146">
      <c r="A146" s="15">
        <v>145.0</v>
      </c>
      <c r="B146" s="23">
        <v>45910.0</v>
      </c>
      <c r="C146" s="19" t="s">
        <v>446</v>
      </c>
      <c r="D146" s="15"/>
      <c r="E146" s="15" t="s">
        <v>447</v>
      </c>
      <c r="F146" s="15" t="str">
        <f>IFERROR(__xludf.DUMMYFUNCTION("if(REGEXMATCH(C146,""x.com"")=TRUE,""Twitter"",if(REGEXMATCH(C146,""facebook"")=TRUE,""Facebook"",if(REGEXMATCH(C146,""instagram"")=TRUE,""Instagram"",if(REGEXMATCH(C146,""youtube"")=TRUE,""Youtube"",if(REGEXMATCH(C146,""tiktok"")=TRUE,""Tiktok"",if(REGEX"&amp;"MATCH(C146,""threads"")=TRUE,""Threads""))))))"),"Tiktok")</f>
        <v>Tiktok</v>
      </c>
      <c r="G146" s="15" t="s">
        <v>448</v>
      </c>
      <c r="H146" s="15" t="s">
        <v>441</v>
      </c>
      <c r="I146" s="15" t="s">
        <v>431</v>
      </c>
      <c r="J146" s="15" t="s">
        <v>188</v>
      </c>
      <c r="K146" s="15"/>
      <c r="L146" s="15"/>
    </row>
    <row r="147">
      <c r="A147" s="15">
        <v>146.0</v>
      </c>
      <c r="B147" s="23">
        <v>45910.0</v>
      </c>
      <c r="C147" s="19" t="s">
        <v>449</v>
      </c>
      <c r="D147" s="15"/>
      <c r="E147" s="15" t="s">
        <v>401</v>
      </c>
      <c r="F147" s="15" t="b">
        <f>IFERROR(__xludf.DUMMYFUNCTION("if(REGEXMATCH(C147,""x.com"")=TRUE,""Twitter"",if(REGEXMATCH(C147,""facebook"")=TRUE,""Facebook"",if(REGEXMATCH(C147,""instagram"")=TRUE,""Instagram"",if(REGEXMATCH(C147,""youtube"")=TRUE,""Youtube"",if(REGEXMATCH(C147,""tiktok"")=TRUE,""Tiktok"",if(REGEX"&amp;"MATCH(C147,""threads"")=TRUE,""Threads""))))))"),FALSE)</f>
        <v>0</v>
      </c>
      <c r="G147" s="15" t="s">
        <v>450</v>
      </c>
      <c r="H147" s="15" t="s">
        <v>441</v>
      </c>
      <c r="I147" s="15" t="s">
        <v>442</v>
      </c>
      <c r="J147" s="15" t="s">
        <v>188</v>
      </c>
      <c r="K147" s="15"/>
      <c r="L147" s="15"/>
    </row>
    <row r="148">
      <c r="A148" s="15">
        <v>147.0</v>
      </c>
      <c r="B148" s="23">
        <v>45910.0</v>
      </c>
      <c r="C148" s="20" t="s">
        <v>451</v>
      </c>
      <c r="D148" s="15"/>
      <c r="E148" s="15" t="s">
        <v>429</v>
      </c>
      <c r="F148" s="15" t="str">
        <f>IFERROR(__xludf.DUMMYFUNCTION("if(REGEXMATCH(C148,""x.com"")=TRUE,""Twitter"",if(REGEXMATCH(C148,""facebook"")=TRUE,""Facebook"",if(REGEXMATCH(C148,""instagram"")=TRUE,""Instagram"",if(REGEXMATCH(C148,""youtube"")=TRUE,""Youtube"",if(REGEXMATCH(C148,""tiktok"")=TRUE,""Tiktok"",if(REGEX"&amp;"MATCH(C148,""threads"")=TRUE,""Threads""))))))"),"Facebook")</f>
        <v>Facebook</v>
      </c>
      <c r="G148" s="15" t="s">
        <v>452</v>
      </c>
      <c r="H148" s="15" t="s">
        <v>453</v>
      </c>
      <c r="I148" s="15" t="s">
        <v>454</v>
      </c>
      <c r="J148" s="15" t="s">
        <v>188</v>
      </c>
      <c r="K148" s="15"/>
      <c r="L148" s="15"/>
    </row>
    <row r="149">
      <c r="A149" s="15">
        <v>148.0</v>
      </c>
      <c r="B149" s="23">
        <v>45910.0</v>
      </c>
      <c r="C149" s="19" t="s">
        <v>455</v>
      </c>
      <c r="D149" s="15"/>
      <c r="E149" s="15" t="s">
        <v>401</v>
      </c>
      <c r="F149" s="15" t="str">
        <f>IFERROR(__xludf.DUMMYFUNCTION("if(REGEXMATCH(C149,""x.com"")=TRUE,""Twitter"",if(REGEXMATCH(C149,""facebook"")=TRUE,""Facebook"",if(REGEXMATCH(C149,""instagram"")=TRUE,""Instagram"",if(REGEXMATCH(C149,""youtube"")=TRUE,""Youtube"",if(REGEXMATCH(C149,""tiktok"")=TRUE,""Tiktok"",if(REGEX"&amp;"MATCH(C149,""threads"")=TRUE,""Threads""))))))"),"Facebook")</f>
        <v>Facebook</v>
      </c>
      <c r="G149" s="15" t="s">
        <v>456</v>
      </c>
      <c r="H149" s="15" t="s">
        <v>453</v>
      </c>
      <c r="I149" s="15" t="s">
        <v>457</v>
      </c>
      <c r="J149" s="15" t="s">
        <v>188</v>
      </c>
      <c r="K149" s="15"/>
      <c r="L149" s="15"/>
    </row>
    <row r="150">
      <c r="A150" s="15">
        <v>149.0</v>
      </c>
      <c r="B150" s="23">
        <v>45910.0</v>
      </c>
      <c r="C150" s="19" t="s">
        <v>458</v>
      </c>
      <c r="D150" s="15"/>
      <c r="E150" s="15" t="s">
        <v>429</v>
      </c>
      <c r="F150" s="15" t="str">
        <f>IFERROR(__xludf.DUMMYFUNCTION("if(REGEXMATCH(C150,""x.com"")=TRUE,""Twitter"",if(REGEXMATCH(C150,""facebook"")=TRUE,""Facebook"",if(REGEXMATCH(C150,""instagram"")=TRUE,""Instagram"",if(REGEXMATCH(C150,""youtube"")=TRUE,""Youtube"",if(REGEXMATCH(C150,""tiktok"")=TRUE,""Tiktok"",if(REGEX"&amp;"MATCH(C150,""threads"")=TRUE,""Threads""))))))"),"Facebook")</f>
        <v>Facebook</v>
      </c>
      <c r="G150" s="15" t="s">
        <v>459</v>
      </c>
      <c r="H150" s="15" t="s">
        <v>453</v>
      </c>
      <c r="I150" s="15" t="s">
        <v>454</v>
      </c>
      <c r="J150" s="15" t="s">
        <v>188</v>
      </c>
      <c r="K150" s="15"/>
      <c r="L150" s="15"/>
    </row>
    <row r="151">
      <c r="A151" s="15">
        <v>150.0</v>
      </c>
      <c r="B151" s="23">
        <v>45910.0</v>
      </c>
      <c r="C151" s="19" t="s">
        <v>460</v>
      </c>
      <c r="D151" s="15"/>
      <c r="E151" s="15" t="s">
        <v>429</v>
      </c>
      <c r="F151" s="15" t="str">
        <f>IFERROR(__xludf.DUMMYFUNCTION("if(REGEXMATCH(C151,""x.com"")=TRUE,""Twitter"",if(REGEXMATCH(C151,""facebook"")=TRUE,""Facebook"",if(REGEXMATCH(C151,""instagram"")=TRUE,""Instagram"",if(REGEXMATCH(C151,""youtube"")=TRUE,""Youtube"",if(REGEXMATCH(C151,""tiktok"")=TRUE,""Tiktok"",if(REGEX"&amp;"MATCH(C151,""threads"")=TRUE,""Threads""))))))"),"Facebook")</f>
        <v>Facebook</v>
      </c>
      <c r="G151" s="15" t="s">
        <v>461</v>
      </c>
      <c r="H151" s="15" t="s">
        <v>453</v>
      </c>
      <c r="I151" s="15" t="s">
        <v>454</v>
      </c>
      <c r="J151" s="15" t="s">
        <v>188</v>
      </c>
      <c r="K151" s="15"/>
      <c r="L151" s="15"/>
    </row>
    <row r="152">
      <c r="A152" s="15">
        <v>151.0</v>
      </c>
      <c r="B152" s="23">
        <v>45910.0</v>
      </c>
      <c r="C152" s="19" t="s">
        <v>462</v>
      </c>
      <c r="D152" s="15"/>
      <c r="E152" s="15" t="s">
        <v>429</v>
      </c>
      <c r="F152" s="15" t="str">
        <f>IFERROR(__xludf.DUMMYFUNCTION("if(REGEXMATCH(C152,""x.com"")=TRUE,""Twitter"",if(REGEXMATCH(C152,""facebook"")=TRUE,""Facebook"",if(REGEXMATCH(C152,""instagram"")=TRUE,""Instagram"",if(REGEXMATCH(C152,""youtube"")=TRUE,""Youtube"",if(REGEXMATCH(C152,""tiktok"")=TRUE,""Tiktok"",if(REGEX"&amp;"MATCH(C152,""threads"")=TRUE,""Threads""))))))"),"Facebook")</f>
        <v>Facebook</v>
      </c>
      <c r="G152" s="15" t="s">
        <v>463</v>
      </c>
      <c r="H152" s="15" t="s">
        <v>453</v>
      </c>
      <c r="I152" s="15" t="s">
        <v>454</v>
      </c>
      <c r="J152" s="15" t="s">
        <v>188</v>
      </c>
      <c r="K152" s="15"/>
      <c r="L152" s="15"/>
    </row>
    <row r="153">
      <c r="A153" s="15">
        <v>152.0</v>
      </c>
      <c r="B153" s="23">
        <v>45910.0</v>
      </c>
      <c r="C153" s="24" t="s">
        <v>464</v>
      </c>
      <c r="D153" s="15"/>
      <c r="E153" s="15" t="s">
        <v>401</v>
      </c>
      <c r="F153" s="15" t="str">
        <f>IFERROR(__xludf.DUMMYFUNCTION("if(REGEXMATCH(C153,""x.com"")=TRUE,""Twitter"",if(REGEXMATCH(C153,""facebook"")=TRUE,""Facebook"",if(REGEXMATCH(C153,""instagram"")=TRUE,""Instagram"",if(REGEXMATCH(C153,""youtube"")=TRUE,""Youtube"",if(REGEXMATCH(C153,""tiktok"")=TRUE,""Tiktok"",if(REGEX"&amp;"MATCH(C153,""threads"")=TRUE,""Threads""))))))"),"Facebook")</f>
        <v>Facebook</v>
      </c>
      <c r="G153" s="15" t="s">
        <v>402</v>
      </c>
      <c r="H153" s="15" t="s">
        <v>218</v>
      </c>
      <c r="I153" s="15" t="s">
        <v>219</v>
      </c>
      <c r="J153" s="15" t="s">
        <v>188</v>
      </c>
      <c r="K153" s="15"/>
      <c r="L153" s="15"/>
    </row>
    <row r="154">
      <c r="A154" s="15">
        <v>153.0</v>
      </c>
      <c r="B154" s="23">
        <v>45910.0</v>
      </c>
      <c r="C154" s="20" t="s">
        <v>465</v>
      </c>
      <c r="D154" s="15"/>
      <c r="E154" s="15" t="s">
        <v>401</v>
      </c>
      <c r="F154" s="15" t="str">
        <f>IFERROR(__xludf.DUMMYFUNCTION("if(REGEXMATCH(C154,""x.com"")=TRUE,""Twitter"",if(REGEXMATCH(C154,""facebook"")=TRUE,""Facebook"",if(REGEXMATCH(C154,""instagram"")=TRUE,""Instagram"",if(REGEXMATCH(C154,""youtube"")=TRUE,""Youtube"",if(REGEXMATCH(C154,""tiktok"")=TRUE,""Tiktok"",if(REGEX"&amp;"MATCH(C154,""threads"")=TRUE,""Threads""))))))"),"Facebook")</f>
        <v>Facebook</v>
      </c>
      <c r="G154" s="15" t="s">
        <v>402</v>
      </c>
      <c r="H154" s="15" t="s">
        <v>218</v>
      </c>
      <c r="I154" s="15" t="s">
        <v>219</v>
      </c>
      <c r="J154" s="15" t="s">
        <v>188</v>
      </c>
      <c r="K154" s="15"/>
      <c r="L154" s="15"/>
    </row>
    <row r="155">
      <c r="A155" s="15">
        <v>154.0</v>
      </c>
      <c r="B155" s="23">
        <v>45910.0</v>
      </c>
      <c r="C155" s="19" t="s">
        <v>466</v>
      </c>
      <c r="D155" s="15"/>
      <c r="E155" s="15" t="s">
        <v>401</v>
      </c>
      <c r="F155" s="15" t="str">
        <f>IFERROR(__xludf.DUMMYFUNCTION("if(REGEXMATCH(C155,""x.com"")=TRUE,""Twitter"",if(REGEXMATCH(C155,""facebook"")=TRUE,""Facebook"",if(REGEXMATCH(C155,""instagram"")=TRUE,""Instagram"",if(REGEXMATCH(C155,""youtube"")=TRUE,""Youtube"",if(REGEXMATCH(C155,""tiktok"")=TRUE,""Tiktok"",if(REGEX"&amp;"MATCH(C155,""threads"")=TRUE,""Threads""))))))"),"Facebook")</f>
        <v>Facebook</v>
      </c>
      <c r="G155" s="15" t="s">
        <v>402</v>
      </c>
      <c r="H155" s="15" t="s">
        <v>218</v>
      </c>
      <c r="I155" s="15" t="s">
        <v>219</v>
      </c>
      <c r="J155" s="15" t="s">
        <v>188</v>
      </c>
      <c r="K155" s="15"/>
      <c r="L155" s="15"/>
    </row>
    <row r="156">
      <c r="A156" s="15">
        <v>155.0</v>
      </c>
      <c r="B156" s="23">
        <v>45910.0</v>
      </c>
      <c r="C156" s="19" t="s">
        <v>467</v>
      </c>
      <c r="D156" s="15"/>
      <c r="E156" s="15" t="s">
        <v>401</v>
      </c>
      <c r="F156" s="15" t="str">
        <f>IFERROR(__xludf.DUMMYFUNCTION("if(REGEXMATCH(C156,""x.com"")=TRUE,""Twitter"",if(REGEXMATCH(C156,""facebook"")=TRUE,""Facebook"",if(REGEXMATCH(C156,""instagram"")=TRUE,""Instagram"",if(REGEXMATCH(C156,""youtube"")=TRUE,""Youtube"",if(REGEXMATCH(C156,""tiktok"")=TRUE,""Tiktok"",if(REGEX"&amp;"MATCH(C156,""threads"")=TRUE,""Threads""))))))"),"Facebook")</f>
        <v>Facebook</v>
      </c>
      <c r="G156" s="15" t="s">
        <v>402</v>
      </c>
      <c r="H156" s="15" t="s">
        <v>218</v>
      </c>
      <c r="I156" s="15" t="s">
        <v>219</v>
      </c>
      <c r="J156" s="15" t="s">
        <v>188</v>
      </c>
      <c r="K156" s="15"/>
      <c r="L156" s="15"/>
    </row>
    <row r="157">
      <c r="A157" s="15">
        <v>156.0</v>
      </c>
      <c r="B157" s="23">
        <v>45910.0</v>
      </c>
      <c r="C157" s="20" t="s">
        <v>468</v>
      </c>
      <c r="D157" s="15"/>
      <c r="E157" s="15" t="s">
        <v>401</v>
      </c>
      <c r="F157" s="15" t="str">
        <f>IFERROR(__xludf.DUMMYFUNCTION("if(REGEXMATCH(C157,""x.com"")=TRUE,""Twitter"",if(REGEXMATCH(C157,""facebook"")=TRUE,""Facebook"",if(REGEXMATCH(C157,""instagram"")=TRUE,""Instagram"",if(REGEXMATCH(C157,""youtube"")=TRUE,""Youtube"",if(REGEXMATCH(C157,""tiktok"")=TRUE,""Tiktok"",if(REGEX"&amp;"MATCH(C157,""threads"")=TRUE,""Threads""))))))"),"Facebook")</f>
        <v>Facebook</v>
      </c>
      <c r="G157" s="15" t="s">
        <v>402</v>
      </c>
      <c r="H157" s="15" t="s">
        <v>218</v>
      </c>
      <c r="I157" s="15" t="s">
        <v>219</v>
      </c>
      <c r="J157" s="15" t="s">
        <v>188</v>
      </c>
      <c r="K157" s="15"/>
      <c r="L157" s="15"/>
    </row>
    <row r="158">
      <c r="A158" s="15">
        <v>157.0</v>
      </c>
      <c r="B158" s="23">
        <v>45910.0</v>
      </c>
      <c r="C158" s="20" t="s">
        <v>469</v>
      </c>
      <c r="D158" s="15"/>
      <c r="E158" s="15" t="s">
        <v>401</v>
      </c>
      <c r="F158" s="15" t="str">
        <f>IFERROR(__xludf.DUMMYFUNCTION("if(REGEXMATCH(C158,""x.com"")=TRUE,""Twitter"",if(REGEXMATCH(C158,""facebook"")=TRUE,""Facebook"",if(REGEXMATCH(C158,""instagram"")=TRUE,""Instagram"",if(REGEXMATCH(C158,""youtube"")=TRUE,""Youtube"",if(REGEXMATCH(C158,""tiktok"")=TRUE,""Tiktok"",if(REGEX"&amp;"MATCH(C158,""threads"")=TRUE,""Threads""))))))"),"Facebook")</f>
        <v>Facebook</v>
      </c>
      <c r="G158" s="15" t="s">
        <v>402</v>
      </c>
      <c r="H158" s="15" t="s">
        <v>218</v>
      </c>
      <c r="I158" s="15" t="s">
        <v>219</v>
      </c>
      <c r="J158" s="15" t="s">
        <v>188</v>
      </c>
      <c r="K158" s="15"/>
      <c r="L158" s="15"/>
    </row>
    <row r="159">
      <c r="A159" s="15">
        <v>158.0</v>
      </c>
      <c r="B159" s="23">
        <v>45910.0</v>
      </c>
      <c r="C159" s="19" t="s">
        <v>470</v>
      </c>
      <c r="D159" s="15"/>
      <c r="E159" s="15" t="s">
        <v>397</v>
      </c>
      <c r="F159" s="15" t="str">
        <f>IFERROR(__xludf.DUMMYFUNCTION("if(REGEXMATCH(C159,""x.com"")=TRUE,""Twitter"",if(REGEXMATCH(C159,""facebook"")=TRUE,""Facebook"",if(REGEXMATCH(C159,""instagram"")=TRUE,""Instagram"",if(REGEXMATCH(C159,""youtube"")=TRUE,""Youtube"",if(REGEXMATCH(C159,""tiktok"")=TRUE,""Tiktok"",if(REGEX"&amp;"MATCH(C159,""threads"")=TRUE,""Threads""))))))"),"Tiktok")</f>
        <v>Tiktok</v>
      </c>
      <c r="G159" s="15" t="s">
        <v>471</v>
      </c>
      <c r="H159" s="15" t="s">
        <v>472</v>
      </c>
      <c r="I159" s="15" t="s">
        <v>219</v>
      </c>
      <c r="J159" s="15" t="s">
        <v>188</v>
      </c>
      <c r="K159" s="15"/>
      <c r="L159" s="15"/>
    </row>
    <row r="160">
      <c r="A160" s="15">
        <v>159.0</v>
      </c>
      <c r="B160" s="23">
        <v>45910.0</v>
      </c>
      <c r="C160" s="19" t="s">
        <v>473</v>
      </c>
      <c r="D160" s="15"/>
      <c r="E160" s="15" t="s">
        <v>397</v>
      </c>
      <c r="F160" s="15" t="str">
        <f>IFERROR(__xludf.DUMMYFUNCTION("if(REGEXMATCH(C160,""x.com"")=TRUE,""Twitter"",if(REGEXMATCH(C160,""facebook"")=TRUE,""Facebook"",if(REGEXMATCH(C160,""instagram"")=TRUE,""Instagram"",if(REGEXMATCH(C160,""youtube"")=TRUE,""Youtube"",if(REGEXMATCH(C160,""tiktok"")=TRUE,""Tiktok"",if(REGEX"&amp;"MATCH(C160,""threads"")=TRUE,""Threads""))))))"),"Tiktok")</f>
        <v>Tiktok</v>
      </c>
      <c r="G160" s="15" t="s">
        <v>471</v>
      </c>
      <c r="H160" s="15" t="s">
        <v>472</v>
      </c>
      <c r="I160" s="15" t="s">
        <v>219</v>
      </c>
      <c r="J160" s="15" t="s">
        <v>188</v>
      </c>
      <c r="K160" s="15"/>
      <c r="L160" s="15"/>
    </row>
    <row r="161">
      <c r="A161" s="15">
        <v>160.0</v>
      </c>
      <c r="B161" s="23">
        <v>45910.0</v>
      </c>
      <c r="C161" s="19" t="s">
        <v>474</v>
      </c>
      <c r="D161" s="15"/>
      <c r="E161" s="15" t="s">
        <v>397</v>
      </c>
      <c r="F161" s="15" t="str">
        <f>IFERROR(__xludf.DUMMYFUNCTION("if(REGEXMATCH(C161,""x.com"")=TRUE,""Twitter"",if(REGEXMATCH(C161,""facebook"")=TRUE,""Facebook"",if(REGEXMATCH(C161,""instagram"")=TRUE,""Instagram"",if(REGEXMATCH(C161,""youtube"")=TRUE,""Youtube"",if(REGEXMATCH(C161,""tiktok"")=TRUE,""Tiktok"",if(REGEX"&amp;"MATCH(C161,""threads"")=TRUE,""Threads""))))))"),"Tiktok")</f>
        <v>Tiktok</v>
      </c>
      <c r="G161" s="15" t="s">
        <v>471</v>
      </c>
      <c r="H161" s="15" t="s">
        <v>472</v>
      </c>
      <c r="I161" s="15" t="s">
        <v>219</v>
      </c>
      <c r="J161" s="15" t="s">
        <v>188</v>
      </c>
      <c r="K161" s="15"/>
      <c r="L161" s="15"/>
    </row>
    <row r="162">
      <c r="A162" s="15">
        <v>161.0</v>
      </c>
      <c r="B162" s="23">
        <v>45910.0</v>
      </c>
      <c r="C162" s="19" t="s">
        <v>475</v>
      </c>
      <c r="D162" s="15"/>
      <c r="E162" s="15" t="s">
        <v>397</v>
      </c>
      <c r="F162" s="15" t="str">
        <f>IFERROR(__xludf.DUMMYFUNCTION("if(REGEXMATCH(C162,""x.com"")=TRUE,""Twitter"",if(REGEXMATCH(C162,""facebook"")=TRUE,""Facebook"",if(REGEXMATCH(C162,""instagram"")=TRUE,""Instagram"",if(REGEXMATCH(C162,""youtube"")=TRUE,""Youtube"",if(REGEXMATCH(C162,""tiktok"")=TRUE,""Tiktok"",if(REGEX"&amp;"MATCH(C162,""threads"")=TRUE,""Threads""))))))"),"Tiktok")</f>
        <v>Tiktok</v>
      </c>
      <c r="G162" s="15" t="s">
        <v>471</v>
      </c>
      <c r="H162" s="15" t="s">
        <v>472</v>
      </c>
      <c r="I162" s="15" t="s">
        <v>219</v>
      </c>
      <c r="J162" s="15" t="s">
        <v>188</v>
      </c>
      <c r="K162" s="15"/>
      <c r="L162" s="15"/>
    </row>
    <row r="163">
      <c r="A163" s="15">
        <v>162.0</v>
      </c>
      <c r="B163" s="23">
        <v>45910.0</v>
      </c>
      <c r="C163" s="19" t="s">
        <v>476</v>
      </c>
      <c r="D163" s="15"/>
      <c r="E163" s="15" t="s">
        <v>184</v>
      </c>
      <c r="F163" s="15" t="b">
        <f>IFERROR(__xludf.DUMMYFUNCTION("if(REGEXMATCH(C163,""x.com"")=TRUE,""Twitter"",if(REGEXMATCH(C163,""facebook"")=TRUE,""Facebook"",if(REGEXMATCH(C163,""instagram"")=TRUE,""Instagram"",if(REGEXMATCH(C163,""youtube"")=TRUE,""Youtube"",if(REGEXMATCH(C163,""tiktok"")=TRUE,""Tiktok"",if(REGEX"&amp;"MATCH(C163,""threads"")=TRUE,""Threads""))))))"),FALSE)</f>
        <v>0</v>
      </c>
      <c r="G163" s="15" t="s">
        <v>477</v>
      </c>
      <c r="H163" s="15" t="s">
        <v>478</v>
      </c>
      <c r="I163" s="15"/>
      <c r="J163" s="15" t="s">
        <v>188</v>
      </c>
      <c r="K163" s="15" t="s">
        <v>479</v>
      </c>
      <c r="L163" s="15"/>
    </row>
    <row r="164">
      <c r="A164" s="15">
        <v>163.0</v>
      </c>
      <c r="B164" s="23">
        <v>45910.0</v>
      </c>
      <c r="C164" s="19" t="s">
        <v>480</v>
      </c>
      <c r="D164" s="15"/>
      <c r="E164" s="15" t="s">
        <v>184</v>
      </c>
      <c r="F164" s="15" t="b">
        <f>IFERROR(__xludf.DUMMYFUNCTION("if(REGEXMATCH(C164,""x.com"")=TRUE,""Twitter"",if(REGEXMATCH(C164,""facebook"")=TRUE,""Facebook"",if(REGEXMATCH(C164,""instagram"")=TRUE,""Instagram"",if(REGEXMATCH(C164,""youtube"")=TRUE,""Youtube"",if(REGEXMATCH(C164,""tiktok"")=TRUE,""Tiktok"",if(REGEX"&amp;"MATCH(C164,""threads"")=TRUE,""Threads""))))))"),FALSE)</f>
        <v>0</v>
      </c>
      <c r="G164" s="15" t="s">
        <v>477</v>
      </c>
      <c r="H164" s="15" t="s">
        <v>478</v>
      </c>
      <c r="I164" s="15"/>
      <c r="J164" s="15" t="s">
        <v>188</v>
      </c>
      <c r="K164" s="15" t="s">
        <v>479</v>
      </c>
      <c r="L164" s="15"/>
    </row>
    <row r="165">
      <c r="A165" s="15">
        <v>164.0</v>
      </c>
      <c r="B165" s="23">
        <v>45910.0</v>
      </c>
      <c r="C165" s="19" t="s">
        <v>481</v>
      </c>
      <c r="D165" s="15"/>
      <c r="E165" s="15" t="s">
        <v>184</v>
      </c>
      <c r="F165" s="15" t="b">
        <f>IFERROR(__xludf.DUMMYFUNCTION("if(REGEXMATCH(C165,""x.com"")=TRUE,""Twitter"",if(REGEXMATCH(C165,""facebook"")=TRUE,""Facebook"",if(REGEXMATCH(C165,""instagram"")=TRUE,""Instagram"",if(REGEXMATCH(C165,""youtube"")=TRUE,""Youtube"",if(REGEXMATCH(C165,""tiktok"")=TRUE,""Tiktok"",if(REGEX"&amp;"MATCH(C165,""threads"")=TRUE,""Threads""))))))"),FALSE)</f>
        <v>0</v>
      </c>
      <c r="G165" s="15" t="s">
        <v>477</v>
      </c>
      <c r="H165" s="15" t="s">
        <v>478</v>
      </c>
      <c r="I165" s="15"/>
      <c r="J165" s="15" t="s">
        <v>188</v>
      </c>
      <c r="K165" s="15" t="s">
        <v>479</v>
      </c>
      <c r="L165" s="15"/>
    </row>
    <row r="166">
      <c r="A166" s="15">
        <v>165.0</v>
      </c>
      <c r="B166" s="23">
        <v>45910.0</v>
      </c>
      <c r="C166" s="19" t="s">
        <v>482</v>
      </c>
      <c r="D166" s="15"/>
      <c r="E166" s="15" t="s">
        <v>184</v>
      </c>
      <c r="F166" s="15" t="b">
        <f>IFERROR(__xludf.DUMMYFUNCTION("if(REGEXMATCH(C166,""x.com"")=TRUE,""Twitter"",if(REGEXMATCH(C166,""facebook"")=TRUE,""Facebook"",if(REGEXMATCH(C166,""instagram"")=TRUE,""Instagram"",if(REGEXMATCH(C166,""youtube"")=TRUE,""Youtube"",if(REGEXMATCH(C166,""tiktok"")=TRUE,""Tiktok"",if(REGEX"&amp;"MATCH(C166,""threads"")=TRUE,""Threads""))))))"),FALSE)</f>
        <v>0</v>
      </c>
      <c r="G166" s="15" t="s">
        <v>477</v>
      </c>
      <c r="H166" s="15" t="s">
        <v>478</v>
      </c>
      <c r="I166" s="15"/>
      <c r="J166" s="15" t="s">
        <v>188</v>
      </c>
      <c r="K166" s="15" t="s">
        <v>479</v>
      </c>
      <c r="L166" s="15"/>
    </row>
    <row r="167">
      <c r="A167" s="15">
        <v>166.0</v>
      </c>
      <c r="B167" s="23">
        <v>45910.0</v>
      </c>
      <c r="C167" s="19" t="s">
        <v>483</v>
      </c>
      <c r="D167" s="15"/>
      <c r="E167" s="15" t="s">
        <v>184</v>
      </c>
      <c r="F167" s="15" t="b">
        <f>IFERROR(__xludf.DUMMYFUNCTION("if(REGEXMATCH(C167,""x.com"")=TRUE,""Twitter"",if(REGEXMATCH(C167,""facebook"")=TRUE,""Facebook"",if(REGEXMATCH(C167,""instagram"")=TRUE,""Instagram"",if(REGEXMATCH(C167,""youtube"")=TRUE,""Youtube"",if(REGEXMATCH(C167,""tiktok"")=TRUE,""Tiktok"",if(REGEX"&amp;"MATCH(C167,""threads"")=TRUE,""Threads""))))))"),FALSE)</f>
        <v>0</v>
      </c>
      <c r="G167" s="15" t="s">
        <v>477</v>
      </c>
      <c r="H167" s="15" t="s">
        <v>484</v>
      </c>
      <c r="I167" s="15"/>
      <c r="J167" s="15" t="s">
        <v>188</v>
      </c>
      <c r="K167" s="15" t="s">
        <v>479</v>
      </c>
      <c r="L167" s="15"/>
    </row>
    <row r="168">
      <c r="A168" s="15">
        <v>167.0</v>
      </c>
      <c r="B168" s="23">
        <v>45910.0</v>
      </c>
      <c r="C168" s="19" t="s">
        <v>485</v>
      </c>
      <c r="D168" s="15"/>
      <c r="E168" s="15" t="s">
        <v>184</v>
      </c>
      <c r="F168" s="15" t="b">
        <f>IFERROR(__xludf.DUMMYFUNCTION("if(REGEXMATCH(C168,""x.com"")=TRUE,""Twitter"",if(REGEXMATCH(C168,""facebook"")=TRUE,""Facebook"",if(REGEXMATCH(C168,""instagram"")=TRUE,""Instagram"",if(REGEXMATCH(C168,""youtube"")=TRUE,""Youtube"",if(REGEXMATCH(C168,""tiktok"")=TRUE,""Tiktok"",if(REGEX"&amp;"MATCH(C168,""threads"")=TRUE,""Threads""))))))"),FALSE)</f>
        <v>0</v>
      </c>
      <c r="G168" s="15" t="s">
        <v>477</v>
      </c>
      <c r="H168" s="15" t="s">
        <v>484</v>
      </c>
      <c r="I168" s="15"/>
      <c r="J168" s="15" t="s">
        <v>188</v>
      </c>
      <c r="K168" s="15" t="s">
        <v>479</v>
      </c>
      <c r="L168" s="15"/>
    </row>
    <row r="169">
      <c r="A169" s="15">
        <v>168.0</v>
      </c>
      <c r="B169" s="23">
        <v>45910.0</v>
      </c>
      <c r="C169" s="19" t="s">
        <v>486</v>
      </c>
      <c r="D169" s="15"/>
      <c r="E169" s="15" t="s">
        <v>184</v>
      </c>
      <c r="F169" s="15" t="b">
        <f>IFERROR(__xludf.DUMMYFUNCTION("if(REGEXMATCH(C169,""x.com"")=TRUE,""Twitter"",if(REGEXMATCH(C169,""facebook"")=TRUE,""Facebook"",if(REGEXMATCH(C169,""instagram"")=TRUE,""Instagram"",if(REGEXMATCH(C169,""youtube"")=TRUE,""Youtube"",if(REGEXMATCH(C169,""tiktok"")=TRUE,""Tiktok"",if(REGEX"&amp;"MATCH(C169,""threads"")=TRUE,""Threads""))))))"),FALSE)</f>
        <v>0</v>
      </c>
      <c r="G169" s="15" t="s">
        <v>477</v>
      </c>
      <c r="H169" s="15" t="s">
        <v>484</v>
      </c>
      <c r="I169" s="15"/>
      <c r="J169" s="15" t="s">
        <v>188</v>
      </c>
      <c r="K169" s="15" t="s">
        <v>479</v>
      </c>
      <c r="L169" s="15"/>
    </row>
    <row r="170">
      <c r="A170" s="15">
        <v>169.0</v>
      </c>
      <c r="B170" s="23">
        <v>45910.0</v>
      </c>
      <c r="C170" s="19" t="s">
        <v>487</v>
      </c>
      <c r="D170" s="15"/>
      <c r="E170" s="15" t="s">
        <v>184</v>
      </c>
      <c r="F170" s="15" t="b">
        <f>IFERROR(__xludf.DUMMYFUNCTION("if(REGEXMATCH(C170,""x.com"")=TRUE,""Twitter"",if(REGEXMATCH(C170,""facebook"")=TRUE,""Facebook"",if(REGEXMATCH(C170,""instagram"")=TRUE,""Instagram"",if(REGEXMATCH(C170,""youtube"")=TRUE,""Youtube"",if(REGEXMATCH(C170,""tiktok"")=TRUE,""Tiktok"",if(REGEX"&amp;"MATCH(C170,""threads"")=TRUE,""Threads""))))))"),FALSE)</f>
        <v>0</v>
      </c>
      <c r="G170" s="15" t="s">
        <v>477</v>
      </c>
      <c r="H170" s="15" t="s">
        <v>484</v>
      </c>
      <c r="I170" s="15"/>
      <c r="J170" s="15" t="s">
        <v>188</v>
      </c>
      <c r="K170" s="15" t="s">
        <v>479</v>
      </c>
      <c r="L170" s="15"/>
    </row>
    <row r="171">
      <c r="A171" s="15">
        <v>170.0</v>
      </c>
      <c r="B171" s="23">
        <v>45910.0</v>
      </c>
      <c r="C171" s="19" t="s">
        <v>488</v>
      </c>
      <c r="D171" s="15"/>
      <c r="E171" s="15" t="s">
        <v>184</v>
      </c>
      <c r="F171" s="15" t="b">
        <f>IFERROR(__xludf.DUMMYFUNCTION("if(REGEXMATCH(C171,""x.com"")=TRUE,""Twitter"",if(REGEXMATCH(C171,""facebook"")=TRUE,""Facebook"",if(REGEXMATCH(C171,""instagram"")=TRUE,""Instagram"",if(REGEXMATCH(C171,""youtube"")=TRUE,""Youtube"",if(REGEXMATCH(C171,""tiktok"")=TRUE,""Tiktok"",if(REGEX"&amp;"MATCH(C171,""threads"")=TRUE,""Threads""))))))"),FALSE)</f>
        <v>0</v>
      </c>
      <c r="G171" s="15" t="s">
        <v>477</v>
      </c>
      <c r="H171" s="15" t="s">
        <v>484</v>
      </c>
      <c r="I171" s="15"/>
      <c r="J171" s="15" t="s">
        <v>188</v>
      </c>
      <c r="K171" s="15" t="s">
        <v>479</v>
      </c>
      <c r="L171" s="15"/>
    </row>
    <row r="172">
      <c r="A172" s="15">
        <v>171.0</v>
      </c>
      <c r="B172" s="23">
        <v>45910.0</v>
      </c>
      <c r="C172" s="19" t="s">
        <v>489</v>
      </c>
      <c r="D172" s="15"/>
      <c r="E172" s="15" t="s">
        <v>184</v>
      </c>
      <c r="F172" s="15" t="b">
        <f>IFERROR(__xludf.DUMMYFUNCTION("if(REGEXMATCH(C172,""x.com"")=TRUE,""Twitter"",if(REGEXMATCH(C172,""facebook"")=TRUE,""Facebook"",if(REGEXMATCH(C172,""instagram"")=TRUE,""Instagram"",if(REGEXMATCH(C172,""youtube"")=TRUE,""Youtube"",if(REGEXMATCH(C172,""tiktok"")=TRUE,""Tiktok"",if(REGEX"&amp;"MATCH(C172,""threads"")=TRUE,""Threads""))))))"),FALSE)</f>
        <v>0</v>
      </c>
      <c r="G172" s="15" t="s">
        <v>477</v>
      </c>
      <c r="H172" s="15" t="s">
        <v>407</v>
      </c>
      <c r="I172" s="15"/>
      <c r="J172" s="15" t="s">
        <v>188</v>
      </c>
      <c r="K172" s="15" t="s">
        <v>479</v>
      </c>
      <c r="L172" s="15"/>
    </row>
    <row r="173">
      <c r="A173" s="15">
        <v>172.0</v>
      </c>
      <c r="B173" s="23">
        <v>45910.0</v>
      </c>
      <c r="C173" s="19" t="s">
        <v>490</v>
      </c>
      <c r="D173" s="15"/>
      <c r="E173" s="15" t="s">
        <v>491</v>
      </c>
      <c r="F173" s="15" t="str">
        <f>IFERROR(__xludf.DUMMYFUNCTION("if(REGEXMATCH(C173,""x.com"")=TRUE,""Twitter"",if(REGEXMATCH(C173,""facebook"")=TRUE,""Facebook"",if(REGEXMATCH(C173,""instagram"")=TRUE,""Instagram"",if(REGEXMATCH(C173,""youtube"")=TRUE,""Youtube"",if(REGEXMATCH(C173,""tiktok"")=TRUE,""Tiktok"",if(REGEX"&amp;"MATCH(C173,""threads"")=TRUE,""Threads""))))))"),"Instagram")</f>
        <v>Instagram</v>
      </c>
      <c r="G173" s="15" t="s">
        <v>492</v>
      </c>
      <c r="H173" s="15" t="s">
        <v>410</v>
      </c>
      <c r="I173" s="15"/>
      <c r="J173" s="15" t="s">
        <v>188</v>
      </c>
      <c r="K173" s="15" t="s">
        <v>479</v>
      </c>
      <c r="L173" s="15"/>
    </row>
    <row r="174">
      <c r="A174" s="15">
        <v>173.0</v>
      </c>
      <c r="B174" s="23">
        <v>45910.0</v>
      </c>
      <c r="C174" s="19" t="s">
        <v>493</v>
      </c>
      <c r="D174" s="15"/>
      <c r="E174" s="15" t="s">
        <v>230</v>
      </c>
      <c r="F174" s="15" t="str">
        <f>IFERROR(__xludf.DUMMYFUNCTION("if(REGEXMATCH(C174,""x.com"")=TRUE,""Twitter"",if(REGEXMATCH(C174,""facebook"")=TRUE,""Facebook"",if(REGEXMATCH(C174,""instagram"")=TRUE,""Instagram"",if(REGEXMATCH(C174,""youtube"")=TRUE,""Youtube"",if(REGEXMATCH(C174,""tiktok"")=TRUE,""Tiktok"",if(REGEX"&amp;"MATCH(C174,""threads"")=TRUE,""Threads""))))))"),"Instagram")</f>
        <v>Instagram</v>
      </c>
      <c r="G174" s="15" t="s">
        <v>492</v>
      </c>
      <c r="H174" s="15" t="s">
        <v>410</v>
      </c>
      <c r="I174" s="15"/>
      <c r="J174" s="15" t="s">
        <v>188</v>
      </c>
      <c r="K174" s="15" t="s">
        <v>479</v>
      </c>
      <c r="L174" s="15"/>
    </row>
    <row r="175">
      <c r="A175" s="15">
        <v>174.0</v>
      </c>
      <c r="B175" s="23">
        <v>45910.0</v>
      </c>
      <c r="C175" s="19" t="s">
        <v>494</v>
      </c>
      <c r="D175" s="15"/>
      <c r="E175" s="15" t="s">
        <v>491</v>
      </c>
      <c r="F175" s="15" t="str">
        <f>IFERROR(__xludf.DUMMYFUNCTION("if(REGEXMATCH(C175,""x.com"")=TRUE,""Twitter"",if(REGEXMATCH(C175,""facebook"")=TRUE,""Facebook"",if(REGEXMATCH(C175,""instagram"")=TRUE,""Instagram"",if(REGEXMATCH(C175,""youtube"")=TRUE,""Youtube"",if(REGEXMATCH(C175,""tiktok"")=TRUE,""Tiktok"",if(REGEX"&amp;"MATCH(C175,""threads"")=TRUE,""Threads""))))))"),"Instagram")</f>
        <v>Instagram</v>
      </c>
      <c r="G175" s="15" t="s">
        <v>495</v>
      </c>
      <c r="H175" s="15" t="s">
        <v>410</v>
      </c>
      <c r="I175" s="15"/>
      <c r="J175" s="15" t="s">
        <v>188</v>
      </c>
      <c r="K175" s="15" t="s">
        <v>479</v>
      </c>
      <c r="L175" s="15"/>
    </row>
    <row r="176">
      <c r="A176" s="15">
        <v>175.0</v>
      </c>
      <c r="B176" s="23">
        <v>45910.0</v>
      </c>
      <c r="C176" s="19" t="s">
        <v>496</v>
      </c>
      <c r="D176" s="15"/>
      <c r="E176" s="15" t="s">
        <v>230</v>
      </c>
      <c r="F176" s="15" t="str">
        <f>IFERROR(__xludf.DUMMYFUNCTION("if(REGEXMATCH(C176,""x.com"")=TRUE,""Twitter"",if(REGEXMATCH(C176,""facebook"")=TRUE,""Facebook"",if(REGEXMATCH(C176,""instagram"")=TRUE,""Instagram"",if(REGEXMATCH(C176,""youtube"")=TRUE,""Youtube"",if(REGEXMATCH(C176,""tiktok"")=TRUE,""Tiktok"",if(REGEX"&amp;"MATCH(C176,""threads"")=TRUE,""Threads""))))))"),"Instagram")</f>
        <v>Instagram</v>
      </c>
      <c r="G176" s="15" t="s">
        <v>492</v>
      </c>
      <c r="H176" s="15" t="s">
        <v>410</v>
      </c>
      <c r="I176" s="15"/>
      <c r="J176" s="15" t="s">
        <v>188</v>
      </c>
      <c r="K176" s="15" t="s">
        <v>479</v>
      </c>
      <c r="L176" s="15"/>
    </row>
    <row r="177">
      <c r="A177" s="15">
        <v>176.0</v>
      </c>
      <c r="B177" s="23">
        <v>45910.0</v>
      </c>
      <c r="C177" s="19" t="s">
        <v>497</v>
      </c>
      <c r="D177" s="15"/>
      <c r="E177" s="15" t="s">
        <v>230</v>
      </c>
      <c r="F177" s="15" t="str">
        <f>IFERROR(__xludf.DUMMYFUNCTION("if(REGEXMATCH(C177,""x.com"")=TRUE,""Twitter"",if(REGEXMATCH(C177,""facebook"")=TRUE,""Facebook"",if(REGEXMATCH(C177,""instagram"")=TRUE,""Instagram"",if(REGEXMATCH(C177,""youtube"")=TRUE,""Youtube"",if(REGEXMATCH(C177,""tiktok"")=TRUE,""Tiktok"",if(REGEX"&amp;"MATCH(C177,""threads"")=TRUE,""Threads""))))))"),"Instagram")</f>
        <v>Instagram</v>
      </c>
      <c r="G177" s="15" t="s">
        <v>492</v>
      </c>
      <c r="H177" s="15" t="s">
        <v>410</v>
      </c>
      <c r="I177" s="15"/>
      <c r="J177" s="15" t="s">
        <v>188</v>
      </c>
      <c r="K177" s="15" t="s">
        <v>479</v>
      </c>
      <c r="L177" s="15"/>
    </row>
    <row r="178">
      <c r="A178" s="15">
        <v>177.0</v>
      </c>
      <c r="B178" s="23">
        <v>45910.0</v>
      </c>
      <c r="C178" s="19" t="s">
        <v>498</v>
      </c>
      <c r="D178" s="15"/>
      <c r="E178" s="15" t="s">
        <v>184</v>
      </c>
      <c r="F178" s="15" t="str">
        <f>IFERROR(__xludf.DUMMYFUNCTION("if(REGEXMATCH(C178,""x.com"")=TRUE,""Twitter"",if(REGEXMATCH(C178,""facebook"")=TRUE,""Facebook"",if(REGEXMATCH(C178,""instagram"")=TRUE,""Instagram"",if(REGEXMATCH(C178,""youtube"")=TRUE,""Youtube"",if(REGEXMATCH(C178,""tiktok"")=TRUE,""Tiktok"",if(REGEX"&amp;"MATCH(C178,""threads"")=TRUE,""Threads""))))))"),"Facebook")</f>
        <v>Facebook</v>
      </c>
      <c r="G178" s="15" t="s">
        <v>499</v>
      </c>
      <c r="H178" s="15" t="s">
        <v>410</v>
      </c>
      <c r="I178" s="15"/>
      <c r="J178" s="15" t="s">
        <v>188</v>
      </c>
      <c r="K178" s="15" t="s">
        <v>479</v>
      </c>
      <c r="L178" s="15"/>
    </row>
    <row r="179">
      <c r="A179" s="15">
        <v>178.0</v>
      </c>
      <c r="B179" s="23">
        <v>45910.0</v>
      </c>
      <c r="C179" s="19" t="s">
        <v>500</v>
      </c>
      <c r="D179" s="15"/>
      <c r="E179" s="15" t="s">
        <v>184</v>
      </c>
      <c r="F179" s="15" t="str">
        <f>IFERROR(__xludf.DUMMYFUNCTION("if(REGEXMATCH(C179,""x.com"")=TRUE,""Twitter"",if(REGEXMATCH(C179,""facebook"")=TRUE,""Facebook"",if(REGEXMATCH(C179,""instagram"")=TRUE,""Instagram"",if(REGEXMATCH(C179,""youtube"")=TRUE,""Youtube"",if(REGEXMATCH(C179,""tiktok"")=TRUE,""Tiktok"",if(REGEX"&amp;"MATCH(C179,""threads"")=TRUE,""Threads""))))))"),"Facebook")</f>
        <v>Facebook</v>
      </c>
      <c r="G179" s="15" t="s">
        <v>501</v>
      </c>
      <c r="H179" s="15" t="s">
        <v>410</v>
      </c>
      <c r="I179" s="15"/>
      <c r="J179" s="15" t="s">
        <v>188</v>
      </c>
      <c r="K179" s="15" t="s">
        <v>479</v>
      </c>
      <c r="L179" s="15"/>
    </row>
    <row r="180">
      <c r="A180" s="15">
        <v>179.0</v>
      </c>
      <c r="B180" s="23">
        <v>45910.0</v>
      </c>
      <c r="C180" s="19" t="s">
        <v>502</v>
      </c>
      <c r="D180" s="15"/>
      <c r="E180" s="15" t="s">
        <v>230</v>
      </c>
      <c r="F180" s="15" t="str">
        <f>IFERROR(__xludf.DUMMYFUNCTION("if(REGEXMATCH(C180,""x.com"")=TRUE,""Twitter"",if(REGEXMATCH(C180,""facebook"")=TRUE,""Facebook"",if(REGEXMATCH(C180,""instagram"")=TRUE,""Instagram"",if(REGEXMATCH(C180,""youtube"")=TRUE,""Youtube"",if(REGEXMATCH(C180,""tiktok"")=TRUE,""Tiktok"",if(REGEX"&amp;"MATCH(C180,""threads"")=TRUE,""Threads""))))))"),"Facebook")</f>
        <v>Facebook</v>
      </c>
      <c r="G180" s="15" t="s">
        <v>503</v>
      </c>
      <c r="H180" s="15" t="s">
        <v>410</v>
      </c>
      <c r="I180" s="15"/>
      <c r="J180" s="15" t="s">
        <v>188</v>
      </c>
      <c r="K180" s="15" t="s">
        <v>479</v>
      </c>
      <c r="L180" s="15"/>
    </row>
    <row r="181">
      <c r="A181" s="15">
        <v>180.0</v>
      </c>
      <c r="B181" s="23">
        <v>45910.0</v>
      </c>
      <c r="C181" s="19" t="s">
        <v>504</v>
      </c>
      <c r="D181" s="15"/>
      <c r="E181" s="15" t="s">
        <v>230</v>
      </c>
      <c r="F181" s="15" t="str">
        <f>IFERROR(__xludf.DUMMYFUNCTION("if(REGEXMATCH(C181,""x.com"")=TRUE,""Twitter"",if(REGEXMATCH(C181,""facebook"")=TRUE,""Facebook"",if(REGEXMATCH(C181,""instagram"")=TRUE,""Instagram"",if(REGEXMATCH(C181,""youtube"")=TRUE,""Youtube"",if(REGEXMATCH(C181,""tiktok"")=TRUE,""Tiktok"",if(REGEX"&amp;"MATCH(C181,""threads"")=TRUE,""Threads""))))))"),"Facebook")</f>
        <v>Facebook</v>
      </c>
      <c r="G181" s="15" t="s">
        <v>505</v>
      </c>
      <c r="H181" s="15" t="s">
        <v>410</v>
      </c>
      <c r="I181" s="15"/>
      <c r="J181" s="15" t="s">
        <v>188</v>
      </c>
      <c r="K181" s="15" t="s">
        <v>479</v>
      </c>
      <c r="L181" s="15"/>
    </row>
    <row r="182">
      <c r="A182" s="15">
        <v>181.0</v>
      </c>
      <c r="B182" s="23">
        <v>45910.0</v>
      </c>
      <c r="C182" s="19" t="s">
        <v>506</v>
      </c>
      <c r="D182" s="15"/>
      <c r="E182" s="15" t="s">
        <v>230</v>
      </c>
      <c r="F182" s="15" t="str">
        <f>IFERROR(__xludf.DUMMYFUNCTION("if(REGEXMATCH(C182,""x.com"")=TRUE,""Twitter"",if(REGEXMATCH(C182,""facebook"")=TRUE,""Facebook"",if(REGEXMATCH(C182,""instagram"")=TRUE,""Instagram"",if(REGEXMATCH(C182,""youtube"")=TRUE,""Youtube"",if(REGEXMATCH(C182,""tiktok"")=TRUE,""Tiktok"",if(REGEX"&amp;"MATCH(C182,""threads"")=TRUE,""Threads""))))))"),"Facebook")</f>
        <v>Facebook</v>
      </c>
      <c r="G182" s="15" t="s">
        <v>507</v>
      </c>
      <c r="H182" s="15" t="s">
        <v>410</v>
      </c>
      <c r="I182" s="15"/>
      <c r="J182" s="15" t="s">
        <v>188</v>
      </c>
      <c r="K182" s="15" t="s">
        <v>479</v>
      </c>
      <c r="L182" s="15"/>
    </row>
    <row r="183">
      <c r="A183" s="15">
        <v>182.0</v>
      </c>
      <c r="B183" s="23">
        <v>45910.0</v>
      </c>
      <c r="C183" s="19" t="s">
        <v>508</v>
      </c>
      <c r="D183" s="15"/>
      <c r="E183" s="15" t="s">
        <v>184</v>
      </c>
      <c r="F183" s="15" t="str">
        <f>IFERROR(__xludf.DUMMYFUNCTION("if(REGEXMATCH(C183,""x.com"")=TRUE,""Twitter"",if(REGEXMATCH(C183,""facebook"")=TRUE,""Facebook"",if(REGEXMATCH(C183,""instagram"")=TRUE,""Instagram"",if(REGEXMATCH(C183,""youtube"")=TRUE,""Youtube"",if(REGEXMATCH(C183,""tiktok"")=TRUE,""Tiktok"",if(REGEX"&amp;"MATCH(C183,""threads"")=TRUE,""Threads""))))))"),"Tiktok")</f>
        <v>Tiktok</v>
      </c>
      <c r="G183" s="15" t="s">
        <v>415</v>
      </c>
      <c r="H183" s="15" t="s">
        <v>410</v>
      </c>
      <c r="I183" s="15"/>
      <c r="J183" s="15" t="s">
        <v>188</v>
      </c>
      <c r="K183" s="15" t="s">
        <v>479</v>
      </c>
      <c r="L183" s="15"/>
    </row>
    <row r="184">
      <c r="A184" s="15">
        <v>183.0</v>
      </c>
      <c r="B184" s="23">
        <v>45910.0</v>
      </c>
      <c r="C184" s="19" t="s">
        <v>509</v>
      </c>
      <c r="D184" s="15"/>
      <c r="E184" s="15" t="s">
        <v>184</v>
      </c>
      <c r="F184" s="15" t="str">
        <f>IFERROR(__xludf.DUMMYFUNCTION("if(REGEXMATCH(C184,""x.com"")=TRUE,""Twitter"",if(REGEXMATCH(C184,""facebook"")=TRUE,""Facebook"",if(REGEXMATCH(C184,""instagram"")=TRUE,""Instagram"",if(REGEXMATCH(C184,""youtube"")=TRUE,""Youtube"",if(REGEXMATCH(C184,""tiktok"")=TRUE,""Tiktok"",if(REGEX"&amp;"MATCH(C184,""threads"")=TRUE,""Threads""))))))"),"Tiktok")</f>
        <v>Tiktok</v>
      </c>
      <c r="G184" s="15" t="s">
        <v>415</v>
      </c>
      <c r="H184" s="15" t="s">
        <v>410</v>
      </c>
      <c r="I184" s="15"/>
      <c r="J184" s="15" t="s">
        <v>188</v>
      </c>
      <c r="K184" s="15" t="s">
        <v>479</v>
      </c>
      <c r="L184" s="15"/>
    </row>
    <row r="185">
      <c r="A185" s="15">
        <v>184.0</v>
      </c>
      <c r="B185" s="23">
        <v>45910.0</v>
      </c>
      <c r="C185" s="19" t="s">
        <v>510</v>
      </c>
      <c r="D185" s="15"/>
      <c r="E185" s="15" t="s">
        <v>184</v>
      </c>
      <c r="F185" s="15" t="str">
        <f>IFERROR(__xludf.DUMMYFUNCTION("if(REGEXMATCH(C185,""x.com"")=TRUE,""Twitter"",if(REGEXMATCH(C185,""facebook"")=TRUE,""Facebook"",if(REGEXMATCH(C185,""instagram"")=TRUE,""Instagram"",if(REGEXMATCH(C185,""youtube"")=TRUE,""Youtube"",if(REGEXMATCH(C185,""tiktok"")=TRUE,""Tiktok"",if(REGEX"&amp;"MATCH(C185,""threads"")=TRUE,""Threads""))))))"),"Tiktok")</f>
        <v>Tiktok</v>
      </c>
      <c r="G185" s="15" t="s">
        <v>415</v>
      </c>
      <c r="H185" s="15" t="s">
        <v>410</v>
      </c>
      <c r="I185" s="15"/>
      <c r="J185" s="15" t="s">
        <v>188</v>
      </c>
      <c r="K185" s="15" t="s">
        <v>479</v>
      </c>
      <c r="L185" s="15"/>
    </row>
    <row r="186">
      <c r="A186" s="15">
        <v>185.0</v>
      </c>
      <c r="B186" s="23">
        <v>45910.0</v>
      </c>
      <c r="C186" s="19" t="s">
        <v>511</v>
      </c>
      <c r="D186" s="15"/>
      <c r="E186" s="15" t="s">
        <v>184</v>
      </c>
      <c r="F186" s="15" t="str">
        <f>IFERROR(__xludf.DUMMYFUNCTION("if(REGEXMATCH(C186,""x.com"")=TRUE,""Twitter"",if(REGEXMATCH(C186,""facebook"")=TRUE,""Facebook"",if(REGEXMATCH(C186,""instagram"")=TRUE,""Instagram"",if(REGEXMATCH(C186,""youtube"")=TRUE,""Youtube"",if(REGEXMATCH(C186,""tiktok"")=TRUE,""Tiktok"",if(REGEX"&amp;"MATCH(C186,""threads"")=TRUE,""Threads""))))))"),"Tiktok")</f>
        <v>Tiktok</v>
      </c>
      <c r="G186" s="15" t="s">
        <v>415</v>
      </c>
      <c r="H186" s="15" t="s">
        <v>410</v>
      </c>
      <c r="I186" s="15"/>
      <c r="J186" s="15" t="s">
        <v>188</v>
      </c>
      <c r="K186" s="15"/>
      <c r="L186" s="15"/>
    </row>
    <row r="187">
      <c r="A187" s="15">
        <v>186.0</v>
      </c>
      <c r="B187" s="23">
        <v>45910.0</v>
      </c>
      <c r="C187" s="19" t="s">
        <v>512</v>
      </c>
      <c r="D187" s="15"/>
      <c r="E187" s="15" t="s">
        <v>184</v>
      </c>
      <c r="F187" s="15" t="str">
        <f>IFERROR(__xludf.DUMMYFUNCTION("if(REGEXMATCH(C187,""x.com"")=TRUE,""Twitter"",if(REGEXMATCH(C187,""facebook"")=TRUE,""Facebook"",if(REGEXMATCH(C187,""instagram"")=TRUE,""Instagram"",if(REGEXMATCH(C187,""youtube"")=TRUE,""Youtube"",if(REGEXMATCH(C187,""tiktok"")=TRUE,""Tiktok"",if(REGEX"&amp;"MATCH(C187,""threads"")=TRUE,""Threads""))))))"),"Tiktok")</f>
        <v>Tiktok</v>
      </c>
      <c r="G187" s="15" t="s">
        <v>415</v>
      </c>
      <c r="H187" s="15" t="s">
        <v>410</v>
      </c>
      <c r="I187" s="15"/>
      <c r="J187" s="15" t="s">
        <v>188</v>
      </c>
      <c r="K187" s="15"/>
      <c r="L187" s="15"/>
    </row>
    <row r="188">
      <c r="A188" s="15">
        <v>187.0</v>
      </c>
      <c r="B188" s="23">
        <v>45910.0</v>
      </c>
      <c r="C188" s="19" t="s">
        <v>513</v>
      </c>
      <c r="D188" s="15"/>
      <c r="E188" s="15" t="s">
        <v>184</v>
      </c>
      <c r="F188" s="15" t="str">
        <f>IFERROR(__xludf.DUMMYFUNCTION("if(REGEXMATCH(C188,""x.com"")=TRUE,""Twitter"",if(REGEXMATCH(C188,""facebook"")=TRUE,""Facebook"",if(REGEXMATCH(C188,""instagram"")=TRUE,""Instagram"",if(REGEXMATCH(C188,""youtube"")=TRUE,""Youtube"",if(REGEXMATCH(C188,""tiktok"")=TRUE,""Tiktok"",if(REGEX"&amp;"MATCH(C188,""threads"")=TRUE,""Threads""))))))"),"Facebook")</f>
        <v>Facebook</v>
      </c>
      <c r="G188" s="15" t="s">
        <v>418</v>
      </c>
      <c r="H188" s="15" t="s">
        <v>410</v>
      </c>
      <c r="I188" s="15"/>
      <c r="J188" s="15" t="s">
        <v>188</v>
      </c>
      <c r="K188" s="15"/>
      <c r="L188" s="15"/>
    </row>
    <row r="189">
      <c r="A189" s="15">
        <v>188.0</v>
      </c>
      <c r="B189" s="23">
        <v>45910.0</v>
      </c>
      <c r="C189" s="19" t="s">
        <v>514</v>
      </c>
      <c r="D189" s="15"/>
      <c r="E189" s="15" t="s">
        <v>184</v>
      </c>
      <c r="F189" s="15" t="str">
        <f>IFERROR(__xludf.DUMMYFUNCTION("if(REGEXMATCH(C189,""x.com"")=TRUE,""Twitter"",if(REGEXMATCH(C189,""facebook"")=TRUE,""Facebook"",if(REGEXMATCH(C189,""instagram"")=TRUE,""Instagram"",if(REGEXMATCH(C189,""youtube"")=TRUE,""Youtube"",if(REGEXMATCH(C189,""tiktok"")=TRUE,""Tiktok"",if(REGEX"&amp;"MATCH(C189,""threads"")=TRUE,""Threads""))))))"),"Facebook")</f>
        <v>Facebook</v>
      </c>
      <c r="G189" s="15" t="s">
        <v>515</v>
      </c>
      <c r="H189" s="15" t="s">
        <v>410</v>
      </c>
      <c r="I189" s="15"/>
      <c r="J189" s="15" t="s">
        <v>188</v>
      </c>
      <c r="K189" s="15"/>
      <c r="L189" s="15"/>
    </row>
    <row r="190">
      <c r="A190" s="15">
        <v>189.0</v>
      </c>
      <c r="B190" s="23">
        <v>45910.0</v>
      </c>
      <c r="C190" s="19" t="s">
        <v>516</v>
      </c>
      <c r="D190" s="15"/>
      <c r="E190" s="15" t="s">
        <v>184</v>
      </c>
      <c r="F190" s="15" t="str">
        <f>IFERROR(__xludf.DUMMYFUNCTION("if(REGEXMATCH(C190,""x.com"")=TRUE,""Twitter"",if(REGEXMATCH(C190,""facebook"")=TRUE,""Facebook"",if(REGEXMATCH(C190,""instagram"")=TRUE,""Instagram"",if(REGEXMATCH(C190,""youtube"")=TRUE,""Youtube"",if(REGEXMATCH(C190,""tiktok"")=TRUE,""Tiktok"",if(REGEX"&amp;"MATCH(C190,""threads"")=TRUE,""Threads""))))))"),"Facebook")</f>
        <v>Facebook</v>
      </c>
      <c r="G190" s="15" t="s">
        <v>515</v>
      </c>
      <c r="H190" s="15" t="s">
        <v>410</v>
      </c>
      <c r="I190" s="15"/>
      <c r="J190" s="15" t="s">
        <v>188</v>
      </c>
      <c r="K190" s="15"/>
      <c r="L190" s="15"/>
    </row>
    <row r="191">
      <c r="A191" s="15">
        <v>190.0</v>
      </c>
      <c r="B191" s="23">
        <v>45910.0</v>
      </c>
      <c r="C191" s="19" t="s">
        <v>517</v>
      </c>
      <c r="D191" s="15"/>
      <c r="E191" s="15" t="s">
        <v>184</v>
      </c>
      <c r="F191" s="15" t="str">
        <f>IFERROR(__xludf.DUMMYFUNCTION("if(REGEXMATCH(C191,""x.com"")=TRUE,""Twitter"",if(REGEXMATCH(C191,""facebook"")=TRUE,""Facebook"",if(REGEXMATCH(C191,""instagram"")=TRUE,""Instagram"",if(REGEXMATCH(C191,""youtube"")=TRUE,""Youtube"",if(REGEXMATCH(C191,""tiktok"")=TRUE,""Tiktok"",if(REGEX"&amp;"MATCH(C191,""threads"")=TRUE,""Threads""))))))"),"Facebook")</f>
        <v>Facebook</v>
      </c>
      <c r="G191" s="15" t="s">
        <v>518</v>
      </c>
      <c r="H191" s="15" t="s">
        <v>410</v>
      </c>
      <c r="I191" s="15"/>
      <c r="J191" s="15" t="s">
        <v>188</v>
      </c>
      <c r="K191" s="15"/>
      <c r="L191" s="15"/>
    </row>
    <row r="192">
      <c r="A192" s="15">
        <v>191.0</v>
      </c>
      <c r="B192" s="23">
        <v>45910.0</v>
      </c>
      <c r="C192" s="19" t="s">
        <v>519</v>
      </c>
      <c r="D192" s="15"/>
      <c r="E192" s="15" t="s">
        <v>184</v>
      </c>
      <c r="F192" s="15" t="str">
        <f>IFERROR(__xludf.DUMMYFUNCTION("if(REGEXMATCH(C192,""x.com"")=TRUE,""Twitter"",if(REGEXMATCH(C192,""facebook"")=TRUE,""Facebook"",if(REGEXMATCH(C192,""instagram"")=TRUE,""Instagram"",if(REGEXMATCH(C192,""youtube"")=TRUE,""Youtube"",if(REGEXMATCH(C192,""tiktok"")=TRUE,""Tiktok"",if(REGEX"&amp;"MATCH(C192,""threads"")=TRUE,""Threads""))))))"),"Facebook")</f>
        <v>Facebook</v>
      </c>
      <c r="G192" s="15" t="s">
        <v>520</v>
      </c>
      <c r="H192" s="15" t="s">
        <v>410</v>
      </c>
      <c r="I192" s="15"/>
      <c r="J192" s="15" t="s">
        <v>188</v>
      </c>
      <c r="K192" s="15"/>
      <c r="L192" s="15"/>
    </row>
    <row r="193">
      <c r="A193" s="15">
        <v>192.0</v>
      </c>
      <c r="B193" s="23">
        <v>45910.0</v>
      </c>
      <c r="C193" s="19" t="s">
        <v>521</v>
      </c>
      <c r="D193" s="15"/>
      <c r="E193" s="15" t="s">
        <v>184</v>
      </c>
      <c r="F193" s="15" t="str">
        <f>IFERROR(__xludf.DUMMYFUNCTION("if(REGEXMATCH(C193,""x.com"")=TRUE,""Twitter"",if(REGEXMATCH(C193,""facebook"")=TRUE,""Facebook"",if(REGEXMATCH(C193,""instagram"")=TRUE,""Instagram"",if(REGEXMATCH(C193,""youtube"")=TRUE,""Youtube"",if(REGEXMATCH(C193,""tiktok"")=TRUE,""Tiktok"",if(REGEX"&amp;"MATCH(C193,""threads"")=TRUE,""Threads""))))))"),"Facebook")</f>
        <v>Facebook</v>
      </c>
      <c r="G193" s="15" t="s">
        <v>522</v>
      </c>
      <c r="H193" s="15" t="s">
        <v>410</v>
      </c>
      <c r="I193" s="15"/>
      <c r="J193" s="15" t="s">
        <v>188</v>
      </c>
      <c r="K193" s="15"/>
      <c r="L193" s="15"/>
    </row>
    <row r="194">
      <c r="A194" s="15">
        <v>193.0</v>
      </c>
      <c r="B194" s="23">
        <v>45910.0</v>
      </c>
      <c r="C194" s="19" t="s">
        <v>523</v>
      </c>
      <c r="D194" s="15"/>
      <c r="E194" s="15" t="s">
        <v>184</v>
      </c>
      <c r="F194" s="15" t="str">
        <f>IFERROR(__xludf.DUMMYFUNCTION("if(REGEXMATCH(C194,""x.com"")=TRUE,""Twitter"",if(REGEXMATCH(C194,""facebook"")=TRUE,""Facebook"",if(REGEXMATCH(C194,""instagram"")=TRUE,""Instagram"",if(REGEXMATCH(C194,""youtube"")=TRUE,""Youtube"",if(REGEXMATCH(C194,""tiktok"")=TRUE,""Tiktok"",if(REGEX"&amp;"MATCH(C194,""threads"")=TRUE,""Threads""))))))"),"Facebook")</f>
        <v>Facebook</v>
      </c>
      <c r="G194" s="15" t="s">
        <v>524</v>
      </c>
      <c r="H194" s="15" t="s">
        <v>410</v>
      </c>
      <c r="I194" s="15"/>
      <c r="J194" s="15" t="s">
        <v>188</v>
      </c>
      <c r="K194" s="15"/>
      <c r="L194" s="15"/>
    </row>
    <row r="195">
      <c r="A195" s="15">
        <v>194.0</v>
      </c>
      <c r="B195" s="23">
        <v>45910.0</v>
      </c>
      <c r="C195" s="19" t="s">
        <v>525</v>
      </c>
      <c r="D195" s="15"/>
      <c r="E195" s="15" t="s">
        <v>184</v>
      </c>
      <c r="F195" s="15" t="str">
        <f>IFERROR(__xludf.DUMMYFUNCTION("if(REGEXMATCH(C195,""x.com"")=TRUE,""Twitter"",if(REGEXMATCH(C195,""facebook"")=TRUE,""Facebook"",if(REGEXMATCH(C195,""instagram"")=TRUE,""Instagram"",if(REGEXMATCH(C195,""youtube"")=TRUE,""Youtube"",if(REGEXMATCH(C195,""tiktok"")=TRUE,""Tiktok"",if(REGEX"&amp;"MATCH(C195,""threads"")=TRUE,""Threads""))))))"),"Instagram")</f>
        <v>Instagram</v>
      </c>
      <c r="G195" s="15" t="s">
        <v>418</v>
      </c>
      <c r="H195" s="15" t="s">
        <v>410</v>
      </c>
      <c r="I195" s="15"/>
      <c r="J195" s="15" t="s">
        <v>188</v>
      </c>
      <c r="K195" s="15"/>
      <c r="L195" s="15"/>
    </row>
    <row r="196">
      <c r="A196" s="15">
        <v>195.0</v>
      </c>
      <c r="B196" s="23">
        <v>45910.0</v>
      </c>
      <c r="C196" s="19" t="s">
        <v>526</v>
      </c>
      <c r="D196" s="15"/>
      <c r="E196" s="15" t="s">
        <v>184</v>
      </c>
      <c r="F196" s="15" t="str">
        <f>IFERROR(__xludf.DUMMYFUNCTION("if(REGEXMATCH(C196,""x.com"")=TRUE,""Twitter"",if(REGEXMATCH(C196,""facebook"")=TRUE,""Facebook"",if(REGEXMATCH(C196,""instagram"")=TRUE,""Instagram"",if(REGEXMATCH(C196,""youtube"")=TRUE,""Youtube"",if(REGEXMATCH(C196,""tiktok"")=TRUE,""Tiktok"",if(REGEX"&amp;"MATCH(C196,""threads"")=TRUE,""Threads""))))))"),"Instagram")</f>
        <v>Instagram</v>
      </c>
      <c r="G196" s="15" t="s">
        <v>418</v>
      </c>
      <c r="H196" s="15" t="s">
        <v>410</v>
      </c>
      <c r="I196" s="15"/>
      <c r="J196" s="15" t="s">
        <v>188</v>
      </c>
      <c r="K196" s="15"/>
      <c r="L196" s="15"/>
    </row>
    <row r="197">
      <c r="A197" s="15">
        <v>196.0</v>
      </c>
      <c r="B197" s="23">
        <v>45910.0</v>
      </c>
      <c r="C197" s="19" t="s">
        <v>527</v>
      </c>
      <c r="D197" s="15"/>
      <c r="E197" s="15" t="s">
        <v>184</v>
      </c>
      <c r="F197" s="15" t="str">
        <f>IFERROR(__xludf.DUMMYFUNCTION("if(REGEXMATCH(C197,""x.com"")=TRUE,""Twitter"",if(REGEXMATCH(C197,""facebook"")=TRUE,""Facebook"",if(REGEXMATCH(C197,""instagram"")=TRUE,""Instagram"",if(REGEXMATCH(C197,""youtube"")=TRUE,""Youtube"",if(REGEXMATCH(C197,""tiktok"")=TRUE,""Tiktok"",if(REGEX"&amp;"MATCH(C197,""threads"")=TRUE,""Threads""))))))"),"Instagram")</f>
        <v>Instagram</v>
      </c>
      <c r="G197" s="15" t="s">
        <v>418</v>
      </c>
      <c r="H197" s="15" t="s">
        <v>410</v>
      </c>
      <c r="I197" s="15"/>
      <c r="J197" s="15" t="s">
        <v>188</v>
      </c>
      <c r="K197" s="15"/>
      <c r="L197" s="15"/>
    </row>
    <row r="198">
      <c r="A198" s="15">
        <v>197.0</v>
      </c>
      <c r="B198" s="23">
        <v>45910.0</v>
      </c>
      <c r="C198" s="19" t="s">
        <v>528</v>
      </c>
      <c r="D198" s="15"/>
      <c r="E198" s="15" t="s">
        <v>184</v>
      </c>
      <c r="F198" s="15" t="str">
        <f>IFERROR(__xludf.DUMMYFUNCTION("if(REGEXMATCH(C198,""x.com"")=TRUE,""Twitter"",if(REGEXMATCH(C198,""facebook"")=TRUE,""Facebook"",if(REGEXMATCH(C198,""instagram"")=TRUE,""Instagram"",if(REGEXMATCH(C198,""youtube"")=TRUE,""Youtube"",if(REGEXMATCH(C198,""tiktok"")=TRUE,""Tiktok"",if(REGEX"&amp;"MATCH(C198,""threads"")=TRUE,""Threads""))))))"),"Instagram")</f>
        <v>Instagram</v>
      </c>
      <c r="G198" s="15" t="s">
        <v>418</v>
      </c>
      <c r="H198" s="15" t="s">
        <v>410</v>
      </c>
      <c r="I198" s="15"/>
      <c r="J198" s="15" t="s">
        <v>188</v>
      </c>
      <c r="K198" s="15"/>
      <c r="L198" s="15"/>
    </row>
    <row r="199">
      <c r="A199" s="15">
        <v>198.0</v>
      </c>
      <c r="B199" s="23">
        <v>45911.0</v>
      </c>
      <c r="C199" s="19" t="s">
        <v>428</v>
      </c>
      <c r="D199" s="15"/>
      <c r="E199" s="15" t="s">
        <v>429</v>
      </c>
      <c r="F199" s="15"/>
      <c r="G199" s="15" t="s">
        <v>430</v>
      </c>
      <c r="H199" s="15" t="s">
        <v>361</v>
      </c>
      <c r="I199" s="15" t="s">
        <v>431</v>
      </c>
      <c r="J199" s="15" t="s">
        <v>188</v>
      </c>
      <c r="K199" s="15" t="s">
        <v>529</v>
      </c>
      <c r="L199" s="15"/>
    </row>
    <row r="200">
      <c r="A200" s="15">
        <v>199.0</v>
      </c>
      <c r="B200" s="23">
        <v>45911.0</v>
      </c>
      <c r="C200" s="19" t="s">
        <v>432</v>
      </c>
      <c r="D200" s="15"/>
      <c r="E200" s="15" t="s">
        <v>184</v>
      </c>
      <c r="F200" s="15"/>
      <c r="G200" s="15" t="s">
        <v>433</v>
      </c>
      <c r="H200" s="15" t="s">
        <v>361</v>
      </c>
      <c r="I200" s="15" t="s">
        <v>431</v>
      </c>
      <c r="J200" s="15" t="s">
        <v>188</v>
      </c>
      <c r="K200" s="15" t="s">
        <v>529</v>
      </c>
      <c r="L200" s="15"/>
    </row>
    <row r="201">
      <c r="A201" s="15">
        <v>200.0</v>
      </c>
      <c r="B201" s="23">
        <v>45911.0</v>
      </c>
      <c r="C201" s="19" t="s">
        <v>434</v>
      </c>
      <c r="D201" s="15"/>
      <c r="E201" s="15" t="s">
        <v>184</v>
      </c>
      <c r="F201" s="15"/>
      <c r="G201" s="15" t="s">
        <v>435</v>
      </c>
      <c r="H201" s="15" t="s">
        <v>361</v>
      </c>
      <c r="I201" s="15" t="s">
        <v>431</v>
      </c>
      <c r="J201" s="15" t="s">
        <v>188</v>
      </c>
      <c r="K201" s="15" t="s">
        <v>529</v>
      </c>
      <c r="L201" s="15"/>
    </row>
    <row r="202">
      <c r="A202" s="15">
        <v>201.0</v>
      </c>
      <c r="B202" s="23">
        <v>45911.0</v>
      </c>
      <c r="C202" s="19" t="s">
        <v>436</v>
      </c>
      <c r="D202" s="15"/>
      <c r="E202" s="15" t="s">
        <v>184</v>
      </c>
      <c r="F202" s="15"/>
      <c r="G202" s="15" t="s">
        <v>437</v>
      </c>
      <c r="H202" s="15" t="s">
        <v>361</v>
      </c>
      <c r="I202" s="15" t="s">
        <v>431</v>
      </c>
      <c r="J202" s="15" t="s">
        <v>188</v>
      </c>
      <c r="K202" s="15" t="s">
        <v>529</v>
      </c>
      <c r="L202" s="15"/>
    </row>
    <row r="203">
      <c r="A203" s="15">
        <v>202.0</v>
      </c>
      <c r="B203" s="23">
        <v>45911.0</v>
      </c>
      <c r="C203" s="19" t="s">
        <v>438</v>
      </c>
      <c r="D203" s="15"/>
      <c r="E203" s="15" t="s">
        <v>184</v>
      </c>
      <c r="F203" s="15"/>
      <c r="G203" s="15" t="s">
        <v>437</v>
      </c>
      <c r="H203" s="15" t="s">
        <v>361</v>
      </c>
      <c r="I203" s="15" t="s">
        <v>431</v>
      </c>
      <c r="J203" s="15" t="s">
        <v>188</v>
      </c>
      <c r="K203" s="15" t="s">
        <v>529</v>
      </c>
      <c r="L203" s="15"/>
    </row>
    <row r="204">
      <c r="A204" s="15">
        <v>203.0</v>
      </c>
      <c r="B204" s="23">
        <v>45911.0</v>
      </c>
      <c r="C204" s="19" t="s">
        <v>439</v>
      </c>
      <c r="D204" s="15"/>
      <c r="E204" s="15" t="s">
        <v>226</v>
      </c>
      <c r="F204" s="15"/>
      <c r="G204" s="15" t="s">
        <v>440</v>
      </c>
      <c r="H204" s="15" t="s">
        <v>441</v>
      </c>
      <c r="I204" s="15" t="s">
        <v>442</v>
      </c>
      <c r="J204" s="15" t="s">
        <v>188</v>
      </c>
      <c r="K204" s="15" t="s">
        <v>529</v>
      </c>
      <c r="L204" s="15"/>
    </row>
    <row r="205">
      <c r="A205" s="15">
        <v>204.0</v>
      </c>
      <c r="B205" s="23">
        <v>45911.0</v>
      </c>
      <c r="C205" s="19" t="s">
        <v>443</v>
      </c>
      <c r="D205" s="15"/>
      <c r="E205" s="15" t="s">
        <v>444</v>
      </c>
      <c r="F205" s="15"/>
      <c r="G205" s="15" t="s">
        <v>445</v>
      </c>
      <c r="H205" s="15" t="s">
        <v>361</v>
      </c>
      <c r="I205" s="15" t="s">
        <v>431</v>
      </c>
      <c r="J205" s="15" t="s">
        <v>188</v>
      </c>
      <c r="K205" s="15" t="s">
        <v>529</v>
      </c>
      <c r="L205" s="15"/>
    </row>
    <row r="206">
      <c r="A206" s="15">
        <v>205.0</v>
      </c>
      <c r="B206" s="23">
        <v>45911.0</v>
      </c>
      <c r="C206" s="19" t="s">
        <v>446</v>
      </c>
      <c r="D206" s="15"/>
      <c r="E206" s="15" t="s">
        <v>447</v>
      </c>
      <c r="F206" s="15"/>
      <c r="G206" s="15" t="s">
        <v>448</v>
      </c>
      <c r="H206" s="15" t="s">
        <v>441</v>
      </c>
      <c r="I206" s="15" t="s">
        <v>431</v>
      </c>
      <c r="J206" s="15" t="s">
        <v>188</v>
      </c>
      <c r="K206" s="15" t="s">
        <v>529</v>
      </c>
      <c r="L206" s="15"/>
    </row>
    <row r="207">
      <c r="A207" s="15">
        <v>206.0</v>
      </c>
      <c r="B207" s="23">
        <v>45911.0</v>
      </c>
      <c r="C207" s="19" t="s">
        <v>449</v>
      </c>
      <c r="D207" s="15"/>
      <c r="E207" s="15" t="s">
        <v>401</v>
      </c>
      <c r="F207" s="15"/>
      <c r="G207" s="15" t="s">
        <v>450</v>
      </c>
      <c r="H207" s="15" t="s">
        <v>441</v>
      </c>
      <c r="I207" s="15" t="s">
        <v>442</v>
      </c>
      <c r="J207" s="15" t="s">
        <v>188</v>
      </c>
      <c r="K207" s="15" t="s">
        <v>529</v>
      </c>
      <c r="L207" s="15"/>
    </row>
    <row r="208">
      <c r="A208" s="15">
        <v>207.0</v>
      </c>
      <c r="B208" s="23">
        <v>45911.0</v>
      </c>
      <c r="C208" s="15"/>
      <c r="D208" s="15"/>
      <c r="E208" s="15"/>
      <c r="F208" s="15"/>
      <c r="G208" s="15"/>
      <c r="H208" s="15"/>
      <c r="I208" s="15"/>
      <c r="J208" s="15"/>
      <c r="K208" s="15"/>
      <c r="L208" s="15"/>
    </row>
    <row r="209">
      <c r="A209" s="15">
        <v>208.0</v>
      </c>
      <c r="B209" s="23">
        <v>45911.0</v>
      </c>
      <c r="C209" s="15"/>
      <c r="D209" s="15"/>
      <c r="E209" s="15"/>
      <c r="F209" s="15"/>
      <c r="G209" s="15"/>
      <c r="H209" s="15"/>
      <c r="I209" s="15"/>
      <c r="J209" s="15"/>
      <c r="K209" s="15"/>
      <c r="L209" s="15"/>
    </row>
    <row r="210">
      <c r="A210" s="15">
        <v>209.0</v>
      </c>
      <c r="B210" s="23">
        <v>45911.0</v>
      </c>
      <c r="C210" s="19" t="s">
        <v>530</v>
      </c>
      <c r="D210" s="15"/>
      <c r="E210" s="15" t="s">
        <v>251</v>
      </c>
      <c r="F210" s="15"/>
      <c r="G210" s="15" t="s">
        <v>531</v>
      </c>
      <c r="H210" s="15" t="s">
        <v>441</v>
      </c>
      <c r="I210" s="15" t="s">
        <v>442</v>
      </c>
      <c r="J210" s="15" t="s">
        <v>188</v>
      </c>
      <c r="K210" s="15" t="s">
        <v>529</v>
      </c>
      <c r="L210" s="15"/>
    </row>
    <row r="211">
      <c r="A211" s="15">
        <v>210.0</v>
      </c>
      <c r="B211" s="23">
        <v>45911.0</v>
      </c>
      <c r="C211" s="19" t="s">
        <v>532</v>
      </c>
      <c r="D211" s="15"/>
      <c r="E211" s="15" t="s">
        <v>184</v>
      </c>
      <c r="F211" s="15"/>
      <c r="G211" s="15" t="s">
        <v>533</v>
      </c>
      <c r="H211" s="15" t="s">
        <v>534</v>
      </c>
      <c r="I211" s="15" t="s">
        <v>535</v>
      </c>
      <c r="J211" s="15" t="s">
        <v>188</v>
      </c>
      <c r="K211" s="15" t="s">
        <v>536</v>
      </c>
      <c r="L211" s="15"/>
    </row>
    <row r="212">
      <c r="A212" s="15">
        <v>211.0</v>
      </c>
      <c r="B212" s="23">
        <v>45911.0</v>
      </c>
      <c r="C212" s="19" t="s">
        <v>537</v>
      </c>
      <c r="D212" s="15"/>
      <c r="E212" s="15" t="s">
        <v>184</v>
      </c>
      <c r="F212" s="15"/>
      <c r="G212" s="15" t="s">
        <v>538</v>
      </c>
      <c r="H212" s="15" t="s">
        <v>534</v>
      </c>
      <c r="I212" s="15" t="s">
        <v>535</v>
      </c>
      <c r="J212" s="15" t="s">
        <v>188</v>
      </c>
      <c r="K212" s="15" t="s">
        <v>536</v>
      </c>
      <c r="L212" s="15"/>
    </row>
    <row r="213">
      <c r="A213" s="15">
        <v>212.0</v>
      </c>
      <c r="B213" s="23">
        <v>45911.0</v>
      </c>
      <c r="C213" s="19" t="s">
        <v>539</v>
      </c>
      <c r="D213" s="15"/>
      <c r="E213" s="15" t="s">
        <v>184</v>
      </c>
      <c r="F213" s="15"/>
      <c r="G213" s="15" t="s">
        <v>540</v>
      </c>
      <c r="H213" s="15" t="s">
        <v>534</v>
      </c>
      <c r="I213" s="15" t="s">
        <v>535</v>
      </c>
      <c r="J213" s="15" t="s">
        <v>188</v>
      </c>
      <c r="K213" s="15" t="s">
        <v>536</v>
      </c>
      <c r="L213" s="15"/>
    </row>
    <row r="214">
      <c r="A214" s="15">
        <v>213.0</v>
      </c>
      <c r="B214" s="23">
        <v>45911.0</v>
      </c>
      <c r="C214" s="19" t="s">
        <v>541</v>
      </c>
      <c r="D214" s="15"/>
      <c r="E214" s="15" t="s">
        <v>184</v>
      </c>
      <c r="F214" s="15"/>
      <c r="G214" s="15" t="s">
        <v>542</v>
      </c>
      <c r="H214" s="15" t="s">
        <v>543</v>
      </c>
      <c r="I214" s="15" t="s">
        <v>535</v>
      </c>
      <c r="J214" s="15" t="s">
        <v>188</v>
      </c>
      <c r="K214" s="15" t="s">
        <v>536</v>
      </c>
      <c r="L214" s="15"/>
    </row>
    <row r="215">
      <c r="A215" s="15">
        <v>214.0</v>
      </c>
      <c r="B215" s="23">
        <v>45911.0</v>
      </c>
      <c r="C215" s="19" t="s">
        <v>544</v>
      </c>
      <c r="D215" s="15"/>
      <c r="E215" s="15" t="s">
        <v>429</v>
      </c>
      <c r="F215" s="15"/>
      <c r="G215" s="15" t="s">
        <v>545</v>
      </c>
      <c r="H215" s="15" t="s">
        <v>546</v>
      </c>
      <c r="I215" s="15" t="s">
        <v>535</v>
      </c>
      <c r="J215" s="15" t="s">
        <v>188</v>
      </c>
      <c r="K215" s="15" t="s">
        <v>536</v>
      </c>
      <c r="L215" s="15"/>
    </row>
    <row r="216">
      <c r="A216" s="15">
        <v>215.0</v>
      </c>
      <c r="B216" s="23">
        <v>45911.0</v>
      </c>
      <c r="C216" s="19" t="s">
        <v>547</v>
      </c>
      <c r="D216" s="15"/>
      <c r="E216" s="15" t="s">
        <v>429</v>
      </c>
      <c r="F216" s="15"/>
      <c r="G216" s="15" t="s">
        <v>548</v>
      </c>
      <c r="H216" s="15" t="s">
        <v>549</v>
      </c>
      <c r="I216" s="15" t="s">
        <v>535</v>
      </c>
      <c r="J216" s="15" t="s">
        <v>188</v>
      </c>
      <c r="K216" s="15" t="s">
        <v>536</v>
      </c>
      <c r="L216" s="15"/>
    </row>
    <row r="217">
      <c r="A217" s="15">
        <v>216.0</v>
      </c>
      <c r="B217" s="23">
        <v>45911.0</v>
      </c>
      <c r="C217" s="19" t="s">
        <v>550</v>
      </c>
      <c r="D217" s="15"/>
      <c r="E217" s="15" t="s">
        <v>429</v>
      </c>
      <c r="F217" s="15"/>
      <c r="G217" s="15" t="s">
        <v>551</v>
      </c>
      <c r="H217" s="15" t="s">
        <v>546</v>
      </c>
      <c r="I217" s="15" t="s">
        <v>535</v>
      </c>
      <c r="J217" s="15" t="s">
        <v>188</v>
      </c>
      <c r="K217" s="15" t="s">
        <v>536</v>
      </c>
      <c r="L217" s="15"/>
    </row>
    <row r="218">
      <c r="A218" s="15">
        <v>217.0</v>
      </c>
      <c r="B218" s="23">
        <v>45911.0</v>
      </c>
      <c r="C218" s="19" t="s">
        <v>552</v>
      </c>
      <c r="D218" s="15"/>
      <c r="E218" s="15" t="s">
        <v>553</v>
      </c>
      <c r="F218" s="15"/>
      <c r="G218" s="15" t="s">
        <v>554</v>
      </c>
      <c r="H218" s="15" t="s">
        <v>555</v>
      </c>
      <c r="I218" s="15" t="s">
        <v>535</v>
      </c>
      <c r="J218" s="15" t="s">
        <v>188</v>
      </c>
      <c r="K218" s="15" t="s">
        <v>536</v>
      </c>
      <c r="L218" s="15"/>
    </row>
    <row r="219">
      <c r="A219" s="15">
        <v>218.0</v>
      </c>
      <c r="B219" s="23">
        <v>45911.0</v>
      </c>
      <c r="C219" s="19" t="s">
        <v>556</v>
      </c>
      <c r="D219" s="15"/>
      <c r="E219" s="15" t="s">
        <v>557</v>
      </c>
      <c r="F219" s="15"/>
      <c r="G219" s="15" t="s">
        <v>558</v>
      </c>
      <c r="H219" s="15" t="s">
        <v>559</v>
      </c>
      <c r="I219" s="15" t="s">
        <v>535</v>
      </c>
      <c r="J219" s="15" t="s">
        <v>188</v>
      </c>
      <c r="K219" s="15" t="s">
        <v>536</v>
      </c>
      <c r="L219" s="15"/>
    </row>
    <row r="220">
      <c r="A220" s="15">
        <v>219.0</v>
      </c>
      <c r="B220" s="23">
        <v>45911.0</v>
      </c>
      <c r="C220" s="19" t="s">
        <v>560</v>
      </c>
      <c r="D220" s="15"/>
      <c r="E220" s="15" t="s">
        <v>557</v>
      </c>
      <c r="F220" s="15"/>
      <c r="G220" s="15" t="s">
        <v>561</v>
      </c>
      <c r="H220" s="15" t="s">
        <v>559</v>
      </c>
      <c r="I220" s="15" t="s">
        <v>535</v>
      </c>
      <c r="J220" s="15" t="s">
        <v>188</v>
      </c>
      <c r="K220" s="15" t="s">
        <v>536</v>
      </c>
      <c r="L220" s="15"/>
    </row>
    <row r="221">
      <c r="A221" s="15">
        <v>220.0</v>
      </c>
      <c r="B221" s="23">
        <v>45911.0</v>
      </c>
      <c r="C221" s="19" t="s">
        <v>562</v>
      </c>
      <c r="D221" s="15"/>
      <c r="E221" s="15" t="s">
        <v>197</v>
      </c>
      <c r="F221" s="15"/>
      <c r="G221" s="15" t="s">
        <v>563</v>
      </c>
      <c r="H221" s="15" t="s">
        <v>559</v>
      </c>
      <c r="I221" s="15" t="s">
        <v>535</v>
      </c>
      <c r="J221" s="15" t="s">
        <v>188</v>
      </c>
      <c r="K221" s="15" t="s">
        <v>536</v>
      </c>
      <c r="L221" s="15"/>
    </row>
    <row r="222">
      <c r="A222" s="15">
        <v>221.0</v>
      </c>
      <c r="B222" s="23">
        <v>45911.0</v>
      </c>
      <c r="C222" s="19" t="s">
        <v>564</v>
      </c>
      <c r="D222" s="15"/>
      <c r="E222" s="15" t="s">
        <v>197</v>
      </c>
      <c r="F222" s="15"/>
      <c r="G222" s="15" t="s">
        <v>565</v>
      </c>
      <c r="H222" s="15" t="s">
        <v>559</v>
      </c>
      <c r="I222" s="15" t="s">
        <v>535</v>
      </c>
      <c r="J222" s="15" t="s">
        <v>188</v>
      </c>
      <c r="K222" s="15" t="s">
        <v>536</v>
      </c>
      <c r="L222" s="15"/>
    </row>
    <row r="223">
      <c r="A223" s="15">
        <v>222.0</v>
      </c>
      <c r="B223" s="23">
        <v>45911.0</v>
      </c>
      <c r="C223" s="19" t="s">
        <v>566</v>
      </c>
      <c r="D223" s="15"/>
      <c r="E223" s="15" t="s">
        <v>197</v>
      </c>
      <c r="F223" s="15"/>
      <c r="G223" s="15" t="s">
        <v>567</v>
      </c>
      <c r="H223" s="15" t="s">
        <v>559</v>
      </c>
      <c r="I223" s="15" t="s">
        <v>535</v>
      </c>
      <c r="J223" s="15" t="s">
        <v>188</v>
      </c>
      <c r="K223" s="15" t="s">
        <v>536</v>
      </c>
      <c r="L223" s="15"/>
    </row>
    <row r="224">
      <c r="A224" s="15">
        <v>223.0</v>
      </c>
      <c r="B224" s="23">
        <v>45911.0</v>
      </c>
      <c r="C224" s="19" t="s">
        <v>568</v>
      </c>
      <c r="D224" s="15"/>
      <c r="E224" s="15" t="s">
        <v>197</v>
      </c>
      <c r="F224" s="15"/>
      <c r="G224" s="15" t="s">
        <v>569</v>
      </c>
      <c r="H224" s="15" t="s">
        <v>559</v>
      </c>
      <c r="I224" s="15" t="s">
        <v>535</v>
      </c>
      <c r="J224" s="15" t="s">
        <v>188</v>
      </c>
      <c r="K224" s="15" t="s">
        <v>536</v>
      </c>
      <c r="L224" s="15"/>
    </row>
    <row r="225">
      <c r="A225" s="15">
        <v>224.0</v>
      </c>
      <c r="B225" s="23">
        <v>45911.0</v>
      </c>
      <c r="C225" s="19" t="s">
        <v>570</v>
      </c>
      <c r="D225" s="15"/>
      <c r="E225" s="15" t="s">
        <v>197</v>
      </c>
      <c r="F225" s="15"/>
      <c r="G225" s="15" t="s">
        <v>571</v>
      </c>
      <c r="H225" s="15" t="s">
        <v>559</v>
      </c>
      <c r="I225" s="15" t="s">
        <v>535</v>
      </c>
      <c r="J225" s="15" t="s">
        <v>188</v>
      </c>
      <c r="K225" s="15" t="s">
        <v>536</v>
      </c>
      <c r="L225" s="15"/>
    </row>
    <row r="226">
      <c r="A226" s="15">
        <v>225.0</v>
      </c>
      <c r="B226" s="23">
        <v>45911.0</v>
      </c>
      <c r="C226" s="19" t="s">
        <v>572</v>
      </c>
      <c r="D226" s="15"/>
      <c r="E226" s="15" t="s">
        <v>197</v>
      </c>
      <c r="F226" s="15"/>
      <c r="G226" s="15" t="s">
        <v>573</v>
      </c>
      <c r="H226" s="15" t="s">
        <v>559</v>
      </c>
      <c r="I226" s="15" t="s">
        <v>535</v>
      </c>
      <c r="J226" s="15" t="s">
        <v>188</v>
      </c>
      <c r="K226" s="15" t="s">
        <v>536</v>
      </c>
      <c r="L226" s="15"/>
    </row>
    <row r="227">
      <c r="A227" s="15">
        <v>226.0</v>
      </c>
      <c r="B227" s="23">
        <v>45911.0</v>
      </c>
      <c r="C227" s="19" t="s">
        <v>574</v>
      </c>
      <c r="D227" s="15"/>
      <c r="E227" s="15" t="s">
        <v>197</v>
      </c>
      <c r="F227" s="15"/>
      <c r="G227" s="15" t="s">
        <v>575</v>
      </c>
      <c r="H227" s="15" t="s">
        <v>559</v>
      </c>
      <c r="I227" s="15" t="s">
        <v>535</v>
      </c>
      <c r="J227" s="15" t="s">
        <v>188</v>
      </c>
      <c r="K227" s="15" t="s">
        <v>536</v>
      </c>
      <c r="L227" s="15"/>
    </row>
    <row r="228">
      <c r="A228" s="15">
        <v>227.0</v>
      </c>
      <c r="B228" s="23">
        <v>45911.0</v>
      </c>
      <c r="C228" s="19" t="s">
        <v>576</v>
      </c>
      <c r="D228" s="15"/>
      <c r="E228" s="15" t="s">
        <v>577</v>
      </c>
      <c r="F228" s="15"/>
      <c r="G228" s="15" t="s">
        <v>212</v>
      </c>
      <c r="H228" s="15" t="s">
        <v>213</v>
      </c>
      <c r="I228" s="15" t="s">
        <v>214</v>
      </c>
      <c r="J228" s="15" t="s">
        <v>188</v>
      </c>
      <c r="K228" s="15" t="s">
        <v>578</v>
      </c>
      <c r="L228" s="15"/>
    </row>
    <row r="229">
      <c r="A229" s="15">
        <v>228.0</v>
      </c>
      <c r="B229" s="23">
        <v>45911.0</v>
      </c>
      <c r="C229" s="19" t="s">
        <v>579</v>
      </c>
      <c r="D229" s="15"/>
      <c r="E229" s="15" t="s">
        <v>577</v>
      </c>
      <c r="F229" s="15"/>
      <c r="G229" s="15" t="s">
        <v>212</v>
      </c>
      <c r="H229" s="15" t="s">
        <v>213</v>
      </c>
      <c r="I229" s="15" t="s">
        <v>214</v>
      </c>
      <c r="J229" s="15" t="s">
        <v>188</v>
      </c>
      <c r="K229" s="15" t="s">
        <v>578</v>
      </c>
      <c r="L229" s="15"/>
    </row>
    <row r="230">
      <c r="A230" s="15">
        <v>229.0</v>
      </c>
      <c r="B230" s="23">
        <v>45911.0</v>
      </c>
      <c r="C230" s="20" t="s">
        <v>580</v>
      </c>
      <c r="D230" s="15"/>
      <c r="E230" s="15" t="s">
        <v>581</v>
      </c>
      <c r="F230" s="15"/>
      <c r="G230" s="15" t="s">
        <v>582</v>
      </c>
      <c r="H230" s="15" t="s">
        <v>583</v>
      </c>
      <c r="I230" s="15" t="s">
        <v>219</v>
      </c>
      <c r="J230" s="15" t="s">
        <v>188</v>
      </c>
      <c r="K230" s="15" t="s">
        <v>578</v>
      </c>
      <c r="L230" s="15"/>
    </row>
    <row r="231">
      <c r="A231" s="15">
        <v>230.0</v>
      </c>
      <c r="B231" s="23">
        <v>45911.0</v>
      </c>
      <c r="C231" s="25" t="s">
        <v>584</v>
      </c>
      <c r="D231" s="18"/>
      <c r="E231" s="18" t="s">
        <v>581</v>
      </c>
      <c r="F231" s="15"/>
      <c r="G231" s="18" t="s">
        <v>582</v>
      </c>
      <c r="H231" s="18" t="s">
        <v>583</v>
      </c>
      <c r="I231" s="18" t="s">
        <v>219</v>
      </c>
      <c r="J231" s="18" t="s">
        <v>422</v>
      </c>
      <c r="K231" s="18" t="s">
        <v>578</v>
      </c>
      <c r="L231" s="15"/>
    </row>
    <row r="232">
      <c r="A232" s="15">
        <v>231.0</v>
      </c>
      <c r="B232" s="23">
        <v>45911.0</v>
      </c>
      <c r="C232" s="25" t="s">
        <v>585</v>
      </c>
      <c r="D232" s="18"/>
      <c r="E232" s="18" t="s">
        <v>581</v>
      </c>
      <c r="F232" s="15"/>
      <c r="G232" s="18" t="s">
        <v>582</v>
      </c>
      <c r="H232" s="18" t="s">
        <v>583</v>
      </c>
      <c r="I232" s="18" t="s">
        <v>219</v>
      </c>
      <c r="J232" s="18" t="s">
        <v>422</v>
      </c>
      <c r="K232" s="18" t="s">
        <v>578</v>
      </c>
      <c r="L232" s="15"/>
    </row>
    <row r="233">
      <c r="A233" s="15">
        <v>232.0</v>
      </c>
      <c r="B233" s="23">
        <v>45911.0</v>
      </c>
      <c r="C233" s="25" t="s">
        <v>586</v>
      </c>
      <c r="D233" s="18"/>
      <c r="E233" s="18" t="s">
        <v>581</v>
      </c>
      <c r="F233" s="15"/>
      <c r="G233" s="18" t="s">
        <v>582</v>
      </c>
      <c r="H233" s="18" t="s">
        <v>583</v>
      </c>
      <c r="I233" s="18" t="s">
        <v>219</v>
      </c>
      <c r="J233" s="18" t="s">
        <v>422</v>
      </c>
      <c r="K233" s="18" t="s">
        <v>578</v>
      </c>
      <c r="L233" s="15"/>
    </row>
    <row r="234">
      <c r="A234" s="15">
        <v>233.0</v>
      </c>
      <c r="B234" s="23">
        <v>45911.0</v>
      </c>
      <c r="C234" s="19" t="s">
        <v>587</v>
      </c>
      <c r="D234" s="15"/>
      <c r="E234" s="15" t="s">
        <v>184</v>
      </c>
      <c r="F234" s="15"/>
      <c r="G234" s="15" t="s">
        <v>418</v>
      </c>
      <c r="H234" s="15" t="s">
        <v>410</v>
      </c>
      <c r="I234" s="15"/>
      <c r="J234" s="15" t="s">
        <v>188</v>
      </c>
      <c r="K234" s="15"/>
      <c r="L234" s="15"/>
    </row>
    <row r="235">
      <c r="A235" s="15">
        <v>234.0</v>
      </c>
      <c r="B235" s="23">
        <v>45911.0</v>
      </c>
      <c r="C235" s="19" t="s">
        <v>588</v>
      </c>
      <c r="D235" s="15"/>
      <c r="E235" s="15" t="s">
        <v>184</v>
      </c>
      <c r="F235" s="15"/>
      <c r="G235" s="15" t="s">
        <v>415</v>
      </c>
      <c r="H235" s="15" t="s">
        <v>410</v>
      </c>
      <c r="I235" s="15"/>
      <c r="J235" s="15" t="s">
        <v>188</v>
      </c>
      <c r="K235" s="15"/>
      <c r="L235" s="15"/>
    </row>
    <row r="236">
      <c r="A236" s="15">
        <v>235.0</v>
      </c>
      <c r="B236" s="23">
        <v>45911.0</v>
      </c>
      <c r="C236" s="19" t="s">
        <v>589</v>
      </c>
      <c r="D236" s="15"/>
      <c r="E236" s="15" t="s">
        <v>184</v>
      </c>
      <c r="F236" s="15"/>
      <c r="G236" s="15" t="s">
        <v>590</v>
      </c>
      <c r="H236" s="15" t="s">
        <v>410</v>
      </c>
      <c r="I236" s="15"/>
      <c r="J236" s="15" t="s">
        <v>188</v>
      </c>
      <c r="K236" s="15"/>
      <c r="L236" s="15"/>
    </row>
    <row r="237">
      <c r="A237" s="15">
        <v>236.0</v>
      </c>
      <c r="B237" s="23">
        <v>45911.0</v>
      </c>
      <c r="C237" s="19" t="s">
        <v>591</v>
      </c>
      <c r="D237" s="15"/>
      <c r="E237" s="15" t="s">
        <v>184</v>
      </c>
      <c r="F237" s="15"/>
      <c r="G237" s="15" t="s">
        <v>592</v>
      </c>
      <c r="H237" s="15" t="s">
        <v>410</v>
      </c>
      <c r="I237" s="15"/>
      <c r="J237" s="15" t="s">
        <v>188</v>
      </c>
      <c r="K237" s="15"/>
      <c r="L237" s="15"/>
    </row>
    <row r="238">
      <c r="A238" s="15">
        <v>237.0</v>
      </c>
      <c r="B238" s="23">
        <v>45911.0</v>
      </c>
      <c r="C238" s="19" t="s">
        <v>593</v>
      </c>
      <c r="D238" s="15"/>
      <c r="E238" s="15" t="s">
        <v>184</v>
      </c>
      <c r="F238" s="15"/>
      <c r="G238" s="15" t="s">
        <v>594</v>
      </c>
      <c r="H238" s="15" t="s">
        <v>410</v>
      </c>
      <c r="I238" s="15"/>
      <c r="J238" s="15" t="s">
        <v>188</v>
      </c>
      <c r="K238" s="15"/>
      <c r="L238" s="15"/>
    </row>
    <row r="239">
      <c r="A239" s="15">
        <v>238.0</v>
      </c>
      <c r="B239" s="23">
        <v>45911.0</v>
      </c>
      <c r="C239" s="19" t="s">
        <v>595</v>
      </c>
      <c r="D239" s="15"/>
      <c r="E239" s="15" t="s">
        <v>184</v>
      </c>
      <c r="F239" s="15"/>
      <c r="G239" s="15" t="s">
        <v>596</v>
      </c>
      <c r="H239" s="15" t="s">
        <v>410</v>
      </c>
      <c r="I239" s="15"/>
      <c r="J239" s="15" t="s">
        <v>188</v>
      </c>
      <c r="K239" s="15"/>
      <c r="L239" s="15"/>
    </row>
    <row r="240">
      <c r="A240" s="15">
        <v>239.0</v>
      </c>
      <c r="B240" s="23">
        <v>45911.0</v>
      </c>
      <c r="C240" s="19" t="s">
        <v>597</v>
      </c>
      <c r="D240" s="15"/>
      <c r="E240" s="15" t="s">
        <v>184</v>
      </c>
      <c r="F240" s="15"/>
      <c r="G240" s="15" t="s">
        <v>598</v>
      </c>
      <c r="H240" s="15" t="s">
        <v>410</v>
      </c>
      <c r="I240" s="15"/>
      <c r="J240" s="15" t="s">
        <v>188</v>
      </c>
      <c r="K240" s="15" t="s">
        <v>599</v>
      </c>
      <c r="L240" s="15"/>
    </row>
    <row r="241">
      <c r="A241" s="15">
        <v>240.0</v>
      </c>
      <c r="B241" s="23">
        <v>45911.0</v>
      </c>
      <c r="C241" s="19" t="s">
        <v>600</v>
      </c>
      <c r="D241" s="15"/>
      <c r="E241" s="15" t="s">
        <v>184</v>
      </c>
      <c r="F241" s="15"/>
      <c r="G241" s="15" t="s">
        <v>598</v>
      </c>
      <c r="H241" s="15" t="s">
        <v>410</v>
      </c>
      <c r="I241" s="15"/>
      <c r="J241" s="15" t="s">
        <v>188</v>
      </c>
      <c r="K241" s="15" t="s">
        <v>599</v>
      </c>
      <c r="L241" s="15"/>
    </row>
    <row r="242">
      <c r="A242" s="15">
        <v>241.0</v>
      </c>
      <c r="B242" s="23">
        <v>45911.0</v>
      </c>
      <c r="C242" s="19" t="s">
        <v>601</v>
      </c>
      <c r="D242" s="15"/>
      <c r="E242" s="15" t="s">
        <v>184</v>
      </c>
      <c r="F242" s="15"/>
      <c r="G242" s="15" t="s">
        <v>598</v>
      </c>
      <c r="H242" s="15" t="s">
        <v>410</v>
      </c>
      <c r="I242" s="15"/>
      <c r="J242" s="15" t="s">
        <v>188</v>
      </c>
      <c r="K242" s="15" t="s">
        <v>599</v>
      </c>
      <c r="L242" s="15"/>
    </row>
    <row r="243">
      <c r="A243" s="15">
        <v>242.0</v>
      </c>
      <c r="B243" s="23">
        <v>45911.0</v>
      </c>
      <c r="C243" s="20" t="s">
        <v>602</v>
      </c>
      <c r="D243" s="15"/>
      <c r="E243" s="15" t="s">
        <v>577</v>
      </c>
      <c r="F243" s="15"/>
      <c r="G243" s="15" t="s">
        <v>603</v>
      </c>
      <c r="H243" s="15" t="s">
        <v>604</v>
      </c>
      <c r="I243" s="15" t="s">
        <v>605</v>
      </c>
      <c r="J243" s="15" t="s">
        <v>188</v>
      </c>
      <c r="K243" s="15"/>
      <c r="L243" s="15"/>
    </row>
    <row r="244">
      <c r="A244" s="15">
        <v>243.0</v>
      </c>
      <c r="B244" s="23">
        <v>45911.0</v>
      </c>
      <c r="C244" s="19" t="s">
        <v>606</v>
      </c>
      <c r="D244" s="15"/>
      <c r="E244" s="15" t="s">
        <v>577</v>
      </c>
      <c r="F244" s="15"/>
      <c r="G244" s="15" t="s">
        <v>607</v>
      </c>
      <c r="H244" s="15" t="s">
        <v>604</v>
      </c>
      <c r="I244" s="15" t="s">
        <v>608</v>
      </c>
      <c r="J244" s="15" t="s">
        <v>188</v>
      </c>
      <c r="K244" s="15"/>
      <c r="L244" s="15"/>
    </row>
    <row r="245">
      <c r="A245" s="15">
        <v>244.0</v>
      </c>
      <c r="B245" s="23">
        <v>45911.0</v>
      </c>
      <c r="C245" s="19" t="s">
        <v>609</v>
      </c>
      <c r="D245" s="15"/>
      <c r="E245" s="15" t="s">
        <v>577</v>
      </c>
      <c r="F245" s="15"/>
      <c r="G245" s="15" t="s">
        <v>610</v>
      </c>
      <c r="H245" s="15" t="s">
        <v>604</v>
      </c>
      <c r="I245" s="15" t="s">
        <v>611</v>
      </c>
      <c r="J245" s="15" t="s">
        <v>188</v>
      </c>
      <c r="K245" s="15"/>
      <c r="L245" s="15"/>
    </row>
    <row r="246">
      <c r="A246" s="15">
        <v>245.0</v>
      </c>
      <c r="B246" s="23">
        <v>45911.0</v>
      </c>
      <c r="C246" s="19" t="s">
        <v>612</v>
      </c>
      <c r="D246" s="15"/>
      <c r="E246" s="15" t="s">
        <v>613</v>
      </c>
      <c r="F246" s="15"/>
      <c r="G246" s="15" t="s">
        <v>614</v>
      </c>
      <c r="H246" s="15" t="s">
        <v>615</v>
      </c>
      <c r="I246" s="15" t="s">
        <v>616</v>
      </c>
      <c r="J246" s="15" t="s">
        <v>188</v>
      </c>
      <c r="K246" s="15"/>
      <c r="L246" s="15"/>
    </row>
    <row r="247">
      <c r="A247" s="15">
        <v>246.0</v>
      </c>
      <c r="B247" s="23">
        <v>45912.0</v>
      </c>
      <c r="C247" s="19" t="s">
        <v>617</v>
      </c>
      <c r="D247" s="15"/>
      <c r="E247" s="15" t="s">
        <v>618</v>
      </c>
      <c r="F247" s="15" t="s">
        <v>619</v>
      </c>
      <c r="G247" s="15" t="s">
        <v>620</v>
      </c>
      <c r="H247" s="15" t="s">
        <v>546</v>
      </c>
      <c r="I247" s="15" t="s">
        <v>535</v>
      </c>
      <c r="J247" s="15" t="s">
        <v>188</v>
      </c>
      <c r="K247" s="15"/>
      <c r="L247" s="15"/>
    </row>
    <row r="248">
      <c r="A248" s="15">
        <v>247.0</v>
      </c>
      <c r="B248" s="23">
        <v>45912.0</v>
      </c>
      <c r="C248" s="19" t="s">
        <v>621</v>
      </c>
      <c r="D248" s="15"/>
      <c r="E248" s="15" t="s">
        <v>618</v>
      </c>
      <c r="F248" s="15" t="s">
        <v>622</v>
      </c>
      <c r="G248" s="15" t="s">
        <v>623</v>
      </c>
      <c r="H248" s="15" t="s">
        <v>546</v>
      </c>
      <c r="I248" s="15" t="s">
        <v>535</v>
      </c>
      <c r="J248" s="15" t="s">
        <v>188</v>
      </c>
      <c r="K248" s="15" t="s">
        <v>624</v>
      </c>
      <c r="L248" s="15"/>
    </row>
    <row r="249">
      <c r="A249" s="15">
        <v>248.0</v>
      </c>
      <c r="B249" s="23">
        <v>45912.0</v>
      </c>
      <c r="C249" s="19" t="s">
        <v>625</v>
      </c>
      <c r="D249" s="15"/>
      <c r="E249" s="15" t="s">
        <v>618</v>
      </c>
      <c r="F249" s="15" t="s">
        <v>622</v>
      </c>
      <c r="G249" s="15" t="s">
        <v>626</v>
      </c>
      <c r="H249" s="15" t="s">
        <v>546</v>
      </c>
      <c r="I249" s="15" t="s">
        <v>535</v>
      </c>
      <c r="J249" s="15" t="s">
        <v>188</v>
      </c>
      <c r="K249" s="15"/>
      <c r="L249" s="15"/>
    </row>
    <row r="250">
      <c r="A250" s="15">
        <v>249.0</v>
      </c>
      <c r="B250" s="23">
        <v>45912.0</v>
      </c>
      <c r="C250" s="19" t="s">
        <v>627</v>
      </c>
      <c r="D250" s="15"/>
      <c r="E250" s="15" t="s">
        <v>401</v>
      </c>
      <c r="F250" s="15" t="s">
        <v>622</v>
      </c>
      <c r="G250" s="15" t="s">
        <v>628</v>
      </c>
      <c r="H250" s="15" t="s">
        <v>629</v>
      </c>
      <c r="I250" s="15" t="s">
        <v>535</v>
      </c>
      <c r="J250" s="15" t="s">
        <v>188</v>
      </c>
      <c r="K250" s="15"/>
      <c r="L250" s="15"/>
    </row>
    <row r="251">
      <c r="A251" s="15">
        <v>250.0</v>
      </c>
      <c r="B251" s="23">
        <v>45912.0</v>
      </c>
      <c r="C251" s="19" t="s">
        <v>630</v>
      </c>
      <c r="D251" s="15"/>
      <c r="E251" s="15" t="s">
        <v>184</v>
      </c>
      <c r="F251" s="15" t="s">
        <v>622</v>
      </c>
      <c r="G251" s="15" t="s">
        <v>631</v>
      </c>
      <c r="H251" s="15" t="s">
        <v>534</v>
      </c>
      <c r="I251" s="15" t="s">
        <v>535</v>
      </c>
      <c r="J251" s="15" t="s">
        <v>188</v>
      </c>
      <c r="K251" s="15" t="s">
        <v>624</v>
      </c>
      <c r="L251" s="15"/>
    </row>
    <row r="252">
      <c r="A252" s="15">
        <v>251.0</v>
      </c>
      <c r="B252" s="23">
        <v>45912.0</v>
      </c>
      <c r="C252" s="19" t="s">
        <v>632</v>
      </c>
      <c r="D252" s="15"/>
      <c r="E252" s="15" t="s">
        <v>429</v>
      </c>
      <c r="F252" s="15" t="s">
        <v>622</v>
      </c>
      <c r="G252" s="15" t="s">
        <v>633</v>
      </c>
      <c r="H252" s="15" t="s">
        <v>546</v>
      </c>
      <c r="I252" s="15" t="s">
        <v>535</v>
      </c>
      <c r="J252" s="15" t="s">
        <v>188</v>
      </c>
      <c r="K252" s="15" t="s">
        <v>624</v>
      </c>
      <c r="L252" s="15"/>
    </row>
    <row r="253">
      <c r="A253" s="15">
        <v>252.0</v>
      </c>
      <c r="B253" s="23">
        <v>45912.0</v>
      </c>
      <c r="C253" s="19" t="s">
        <v>634</v>
      </c>
      <c r="D253" s="15"/>
      <c r="E253" s="15" t="s">
        <v>184</v>
      </c>
      <c r="F253" s="15" t="s">
        <v>619</v>
      </c>
      <c r="G253" s="15" t="s">
        <v>635</v>
      </c>
      <c r="H253" s="15" t="s">
        <v>534</v>
      </c>
      <c r="I253" s="15" t="s">
        <v>535</v>
      </c>
      <c r="J253" s="15" t="s">
        <v>188</v>
      </c>
      <c r="K253" s="15"/>
      <c r="L253" s="15"/>
    </row>
    <row r="254">
      <c r="A254" s="15">
        <v>253.0</v>
      </c>
      <c r="B254" s="23">
        <v>45912.0</v>
      </c>
      <c r="C254" s="19" t="s">
        <v>636</v>
      </c>
      <c r="D254" s="15"/>
      <c r="E254" s="15" t="s">
        <v>429</v>
      </c>
      <c r="F254" s="15" t="s">
        <v>622</v>
      </c>
      <c r="G254" s="15" t="s">
        <v>637</v>
      </c>
      <c r="H254" s="15" t="s">
        <v>546</v>
      </c>
      <c r="I254" s="15" t="s">
        <v>535</v>
      </c>
      <c r="J254" s="15" t="s">
        <v>188</v>
      </c>
      <c r="K254" s="15" t="s">
        <v>624</v>
      </c>
      <c r="L254" s="15"/>
    </row>
    <row r="255">
      <c r="A255" s="15">
        <v>254.0</v>
      </c>
      <c r="B255" s="23">
        <v>45912.0</v>
      </c>
      <c r="C255" s="19" t="s">
        <v>638</v>
      </c>
      <c r="D255" s="15"/>
      <c r="E255" s="15" t="s">
        <v>429</v>
      </c>
      <c r="F255" s="15" t="s">
        <v>622</v>
      </c>
      <c r="G255" s="15" t="s">
        <v>639</v>
      </c>
      <c r="H255" s="15" t="s">
        <v>546</v>
      </c>
      <c r="I255" s="15" t="s">
        <v>535</v>
      </c>
      <c r="J255" s="15" t="s">
        <v>188</v>
      </c>
      <c r="K255" s="15" t="s">
        <v>624</v>
      </c>
      <c r="L255" s="15"/>
    </row>
    <row r="256">
      <c r="A256" s="15">
        <v>255.0</v>
      </c>
      <c r="B256" s="23">
        <v>45912.0</v>
      </c>
      <c r="C256" s="19" t="s">
        <v>640</v>
      </c>
      <c r="D256" s="15"/>
      <c r="E256" s="15" t="s">
        <v>429</v>
      </c>
      <c r="F256" s="15" t="s">
        <v>622</v>
      </c>
      <c r="G256" s="15" t="s">
        <v>641</v>
      </c>
      <c r="H256" s="15" t="s">
        <v>546</v>
      </c>
      <c r="I256" s="15" t="s">
        <v>535</v>
      </c>
      <c r="J256" s="15" t="s">
        <v>188</v>
      </c>
      <c r="K256" s="15"/>
      <c r="L256" s="15"/>
    </row>
    <row r="257">
      <c r="A257" s="15">
        <v>256.0</v>
      </c>
      <c r="B257" s="23">
        <v>45912.0</v>
      </c>
      <c r="C257" s="19" t="s">
        <v>642</v>
      </c>
      <c r="D257" s="15"/>
      <c r="E257" s="15" t="s">
        <v>429</v>
      </c>
      <c r="F257" s="15" t="s">
        <v>622</v>
      </c>
      <c r="G257" s="15" t="s">
        <v>643</v>
      </c>
      <c r="H257" s="15" t="s">
        <v>546</v>
      </c>
      <c r="I257" s="15" t="s">
        <v>535</v>
      </c>
      <c r="J257" s="15" t="s">
        <v>188</v>
      </c>
      <c r="K257" s="15"/>
      <c r="L257" s="15"/>
    </row>
    <row r="258">
      <c r="A258" s="15">
        <v>257.0</v>
      </c>
      <c r="B258" s="23">
        <v>45912.0</v>
      </c>
      <c r="C258" s="22" t="s">
        <v>644</v>
      </c>
      <c r="D258" s="18"/>
      <c r="E258" s="18" t="s">
        <v>618</v>
      </c>
      <c r="F258" s="18" t="s">
        <v>622</v>
      </c>
      <c r="G258" s="18" t="s">
        <v>645</v>
      </c>
      <c r="H258" s="18" t="s">
        <v>546</v>
      </c>
      <c r="I258" s="18" t="s">
        <v>535</v>
      </c>
      <c r="J258" s="18" t="s">
        <v>422</v>
      </c>
      <c r="K258" s="18" t="s">
        <v>624</v>
      </c>
      <c r="L258" s="15"/>
    </row>
    <row r="259">
      <c r="A259" s="15">
        <v>258.0</v>
      </c>
      <c r="B259" s="23">
        <v>45912.0</v>
      </c>
      <c r="C259" s="19" t="s">
        <v>646</v>
      </c>
      <c r="D259" s="15"/>
      <c r="E259" s="15" t="s">
        <v>429</v>
      </c>
      <c r="F259" s="15" t="s">
        <v>622</v>
      </c>
      <c r="G259" s="15" t="s">
        <v>647</v>
      </c>
      <c r="H259" s="15" t="s">
        <v>546</v>
      </c>
      <c r="I259" s="15" t="s">
        <v>535</v>
      </c>
      <c r="J259" s="15" t="s">
        <v>188</v>
      </c>
      <c r="K259" s="15"/>
      <c r="L259" s="15"/>
    </row>
    <row r="260">
      <c r="A260" s="15">
        <v>259.0</v>
      </c>
      <c r="B260" s="23">
        <v>45912.0</v>
      </c>
      <c r="C260" s="19" t="s">
        <v>648</v>
      </c>
      <c r="D260" s="15"/>
      <c r="E260" s="15" t="s">
        <v>429</v>
      </c>
      <c r="F260" s="15" t="s">
        <v>405</v>
      </c>
      <c r="G260" s="15" t="s">
        <v>649</v>
      </c>
      <c r="H260" s="15" t="s">
        <v>546</v>
      </c>
      <c r="I260" s="15" t="s">
        <v>535</v>
      </c>
      <c r="J260" s="15" t="s">
        <v>188</v>
      </c>
      <c r="K260" s="15" t="s">
        <v>650</v>
      </c>
      <c r="L260" s="15"/>
    </row>
    <row r="261">
      <c r="A261" s="15">
        <v>260.0</v>
      </c>
      <c r="B261" s="23">
        <v>45912.0</v>
      </c>
      <c r="C261" s="19" t="s">
        <v>651</v>
      </c>
      <c r="D261" s="15"/>
      <c r="E261" s="15" t="s">
        <v>652</v>
      </c>
      <c r="F261" s="15" t="s">
        <v>405</v>
      </c>
      <c r="G261" s="15" t="s">
        <v>653</v>
      </c>
      <c r="H261" s="15" t="s">
        <v>654</v>
      </c>
      <c r="I261" s="15" t="s">
        <v>535</v>
      </c>
      <c r="J261" s="15" t="s">
        <v>188</v>
      </c>
      <c r="K261" s="15"/>
      <c r="L261" s="15"/>
    </row>
    <row r="262">
      <c r="A262" s="15">
        <v>261.0</v>
      </c>
      <c r="B262" s="23">
        <v>45912.0</v>
      </c>
      <c r="C262" s="19" t="s">
        <v>655</v>
      </c>
      <c r="D262" s="15"/>
      <c r="E262" s="15" t="s">
        <v>429</v>
      </c>
      <c r="F262" s="15" t="s">
        <v>405</v>
      </c>
      <c r="G262" s="15" t="s">
        <v>656</v>
      </c>
      <c r="H262" s="15" t="s">
        <v>546</v>
      </c>
      <c r="I262" s="15" t="s">
        <v>535</v>
      </c>
      <c r="J262" s="15" t="s">
        <v>188</v>
      </c>
      <c r="K262" s="15"/>
      <c r="L262" s="15"/>
    </row>
    <row r="263">
      <c r="A263" s="15">
        <v>262.0</v>
      </c>
      <c r="B263" s="23">
        <v>45912.0</v>
      </c>
      <c r="C263" s="19" t="s">
        <v>657</v>
      </c>
      <c r="D263" s="15"/>
      <c r="E263" s="15" t="s">
        <v>184</v>
      </c>
      <c r="F263" s="15" t="s">
        <v>405</v>
      </c>
      <c r="G263" s="15" t="s">
        <v>658</v>
      </c>
      <c r="H263" s="15" t="s">
        <v>534</v>
      </c>
      <c r="I263" s="15" t="s">
        <v>535</v>
      </c>
      <c r="J263" s="15" t="s">
        <v>188</v>
      </c>
      <c r="K263" s="15" t="s">
        <v>624</v>
      </c>
      <c r="L263" s="15"/>
    </row>
    <row r="264">
      <c r="A264" s="15">
        <v>263.0</v>
      </c>
      <c r="B264" s="23">
        <v>45912.0</v>
      </c>
      <c r="C264" s="19" t="s">
        <v>659</v>
      </c>
      <c r="D264" s="15"/>
      <c r="E264" s="15" t="s">
        <v>184</v>
      </c>
      <c r="F264" s="15" t="s">
        <v>405</v>
      </c>
      <c r="G264" s="15" t="s">
        <v>660</v>
      </c>
      <c r="H264" s="15" t="s">
        <v>534</v>
      </c>
      <c r="I264" s="15" t="s">
        <v>535</v>
      </c>
      <c r="J264" s="15" t="s">
        <v>188</v>
      </c>
      <c r="K264" s="15"/>
      <c r="L264" s="15"/>
    </row>
    <row r="265">
      <c r="A265" s="15">
        <v>264.0</v>
      </c>
      <c r="B265" s="23">
        <v>45912.0</v>
      </c>
      <c r="C265" s="19" t="s">
        <v>661</v>
      </c>
      <c r="D265" s="15"/>
      <c r="E265" s="15" t="s">
        <v>184</v>
      </c>
      <c r="F265" s="15" t="s">
        <v>405</v>
      </c>
      <c r="G265" s="15" t="s">
        <v>658</v>
      </c>
      <c r="H265" s="15" t="s">
        <v>534</v>
      </c>
      <c r="I265" s="15" t="s">
        <v>535</v>
      </c>
      <c r="J265" s="15" t="s">
        <v>188</v>
      </c>
      <c r="K265" s="15" t="s">
        <v>624</v>
      </c>
      <c r="L265" s="15"/>
    </row>
    <row r="266">
      <c r="A266" s="15">
        <v>265.0</v>
      </c>
      <c r="B266" s="23">
        <v>45912.0</v>
      </c>
      <c r="C266" s="19" t="s">
        <v>662</v>
      </c>
      <c r="D266" s="15"/>
      <c r="E266" s="15" t="s">
        <v>184</v>
      </c>
      <c r="F266" s="15" t="s">
        <v>405</v>
      </c>
      <c r="G266" s="15" t="s">
        <v>663</v>
      </c>
      <c r="H266" s="15" t="s">
        <v>534</v>
      </c>
      <c r="I266" s="15" t="s">
        <v>664</v>
      </c>
      <c r="J266" s="15" t="s">
        <v>188</v>
      </c>
      <c r="K266" s="15"/>
      <c r="L266" s="15"/>
    </row>
    <row r="267">
      <c r="A267" s="15">
        <v>266.0</v>
      </c>
      <c r="B267" s="23">
        <v>45912.0</v>
      </c>
      <c r="C267" s="19" t="s">
        <v>665</v>
      </c>
      <c r="D267" s="15"/>
      <c r="E267" s="15" t="s">
        <v>184</v>
      </c>
      <c r="F267" s="15" t="s">
        <v>666</v>
      </c>
      <c r="G267" s="15" t="s">
        <v>667</v>
      </c>
      <c r="H267" s="15" t="s">
        <v>534</v>
      </c>
      <c r="I267" s="15" t="s">
        <v>664</v>
      </c>
      <c r="J267" s="15" t="s">
        <v>188</v>
      </c>
      <c r="K267" s="15"/>
      <c r="L267" s="15"/>
    </row>
    <row r="268">
      <c r="A268" s="15">
        <v>267.0</v>
      </c>
      <c r="B268" s="23">
        <v>45912.0</v>
      </c>
      <c r="C268" s="19" t="s">
        <v>668</v>
      </c>
      <c r="D268" s="15"/>
      <c r="E268" s="15" t="s">
        <v>184</v>
      </c>
      <c r="F268" s="15" t="s">
        <v>622</v>
      </c>
      <c r="G268" s="15" t="s">
        <v>669</v>
      </c>
      <c r="H268" s="15" t="s">
        <v>534</v>
      </c>
      <c r="I268" s="15" t="s">
        <v>664</v>
      </c>
      <c r="J268" s="15" t="s">
        <v>188</v>
      </c>
      <c r="K268" s="15"/>
      <c r="L268" s="15"/>
    </row>
    <row r="269">
      <c r="A269" s="15">
        <v>268.0</v>
      </c>
      <c r="B269" s="23">
        <v>45912.0</v>
      </c>
      <c r="C269" s="19" t="s">
        <v>670</v>
      </c>
      <c r="D269" s="15"/>
      <c r="E269" s="15" t="s">
        <v>184</v>
      </c>
      <c r="F269" s="15" t="s">
        <v>666</v>
      </c>
      <c r="G269" s="15" t="s">
        <v>671</v>
      </c>
      <c r="H269" s="15" t="s">
        <v>534</v>
      </c>
      <c r="I269" s="15" t="s">
        <v>664</v>
      </c>
      <c r="J269" s="15" t="s">
        <v>188</v>
      </c>
      <c r="K269" s="15"/>
      <c r="L269" s="15"/>
    </row>
    <row r="270">
      <c r="A270" s="15">
        <v>269.0</v>
      </c>
      <c r="B270" s="23">
        <v>45912.0</v>
      </c>
      <c r="C270" s="15" t="s">
        <v>672</v>
      </c>
      <c r="D270" s="15"/>
      <c r="E270" s="15" t="s">
        <v>184</v>
      </c>
      <c r="F270" s="15" t="s">
        <v>666</v>
      </c>
      <c r="G270" s="15" t="s">
        <v>673</v>
      </c>
      <c r="H270" s="15" t="s">
        <v>534</v>
      </c>
      <c r="I270" s="15" t="s">
        <v>664</v>
      </c>
      <c r="J270" s="15" t="s">
        <v>188</v>
      </c>
      <c r="K270" s="15"/>
      <c r="L270" s="15"/>
    </row>
    <row r="271">
      <c r="A271" s="15">
        <v>270.0</v>
      </c>
      <c r="B271" s="23">
        <v>45912.0</v>
      </c>
      <c r="C271" s="19" t="s">
        <v>674</v>
      </c>
      <c r="D271" s="15"/>
      <c r="E271" s="15" t="s">
        <v>184</v>
      </c>
      <c r="F271" s="15" t="s">
        <v>666</v>
      </c>
      <c r="G271" s="15" t="s">
        <v>675</v>
      </c>
      <c r="H271" s="15" t="s">
        <v>534</v>
      </c>
      <c r="I271" s="15" t="s">
        <v>664</v>
      </c>
      <c r="J271" s="15" t="s">
        <v>188</v>
      </c>
      <c r="K271" s="15"/>
      <c r="L271" s="15"/>
    </row>
    <row r="272">
      <c r="A272" s="15">
        <v>271.0</v>
      </c>
      <c r="B272" s="23">
        <v>45912.0</v>
      </c>
      <c r="C272" s="19" t="s">
        <v>676</v>
      </c>
      <c r="D272" s="15"/>
      <c r="E272" s="15" t="s">
        <v>184</v>
      </c>
      <c r="F272" s="15" t="s">
        <v>666</v>
      </c>
      <c r="G272" s="15" t="s">
        <v>677</v>
      </c>
      <c r="H272" s="15" t="s">
        <v>534</v>
      </c>
      <c r="I272" s="15" t="s">
        <v>664</v>
      </c>
      <c r="J272" s="15" t="s">
        <v>188</v>
      </c>
      <c r="K272" s="15"/>
      <c r="L272" s="15"/>
    </row>
    <row r="273">
      <c r="A273" s="15">
        <v>272.0</v>
      </c>
      <c r="B273" s="23">
        <v>45912.0</v>
      </c>
      <c r="C273" s="19" t="s">
        <v>678</v>
      </c>
      <c r="D273" s="15"/>
      <c r="E273" s="15" t="s">
        <v>184</v>
      </c>
      <c r="F273" s="15" t="s">
        <v>666</v>
      </c>
      <c r="G273" s="15" t="s">
        <v>679</v>
      </c>
      <c r="H273" s="15" t="s">
        <v>534</v>
      </c>
      <c r="I273" s="15" t="s">
        <v>664</v>
      </c>
      <c r="J273" s="15" t="s">
        <v>188</v>
      </c>
      <c r="K273" s="15" t="s">
        <v>624</v>
      </c>
      <c r="L273" s="15"/>
    </row>
    <row r="274">
      <c r="A274" s="15">
        <v>273.0</v>
      </c>
      <c r="B274" s="23">
        <v>45912.0</v>
      </c>
      <c r="C274" s="19" t="s">
        <v>680</v>
      </c>
      <c r="D274" s="15"/>
      <c r="E274" s="15" t="s">
        <v>184</v>
      </c>
      <c r="F274" s="15" t="s">
        <v>666</v>
      </c>
      <c r="G274" s="15" t="s">
        <v>681</v>
      </c>
      <c r="H274" s="15" t="s">
        <v>534</v>
      </c>
      <c r="I274" s="15" t="s">
        <v>664</v>
      </c>
      <c r="J274" s="15" t="s">
        <v>188</v>
      </c>
      <c r="K274" s="15" t="s">
        <v>624</v>
      </c>
      <c r="L274" s="15"/>
    </row>
    <row r="275">
      <c r="A275" s="15">
        <v>274.0</v>
      </c>
      <c r="B275" s="23">
        <v>45912.0</v>
      </c>
      <c r="C275" s="19" t="s">
        <v>682</v>
      </c>
      <c r="D275" s="15"/>
      <c r="E275" s="15" t="s">
        <v>184</v>
      </c>
      <c r="F275" s="15" t="s">
        <v>666</v>
      </c>
      <c r="G275" s="15" t="s">
        <v>683</v>
      </c>
      <c r="H275" s="15" t="s">
        <v>534</v>
      </c>
      <c r="I275" s="15" t="s">
        <v>664</v>
      </c>
      <c r="J275" s="15" t="s">
        <v>188</v>
      </c>
      <c r="K275" s="15" t="s">
        <v>624</v>
      </c>
      <c r="L275" s="15"/>
    </row>
    <row r="276">
      <c r="A276" s="15">
        <v>275.0</v>
      </c>
      <c r="B276" s="23">
        <v>45912.0</v>
      </c>
      <c r="C276" s="19" t="s">
        <v>684</v>
      </c>
      <c r="D276" s="15"/>
      <c r="E276" s="15" t="s">
        <v>685</v>
      </c>
      <c r="F276" s="15" t="s">
        <v>686</v>
      </c>
      <c r="G276" s="15" t="s">
        <v>687</v>
      </c>
      <c r="H276" s="15" t="s">
        <v>688</v>
      </c>
      <c r="I276" s="15" t="s">
        <v>689</v>
      </c>
      <c r="J276" s="15" t="s">
        <v>188</v>
      </c>
      <c r="K276" s="15"/>
      <c r="L276" s="15"/>
    </row>
    <row r="277">
      <c r="A277" s="15">
        <v>276.0</v>
      </c>
      <c r="B277" s="23">
        <v>45912.0</v>
      </c>
      <c r="C277" s="20" t="s">
        <v>690</v>
      </c>
      <c r="D277" s="15"/>
      <c r="E277" s="15" t="s">
        <v>685</v>
      </c>
      <c r="F277" s="15" t="s">
        <v>686</v>
      </c>
      <c r="G277" s="15" t="s">
        <v>691</v>
      </c>
      <c r="H277" s="15" t="s">
        <v>692</v>
      </c>
      <c r="I277" s="15" t="s">
        <v>689</v>
      </c>
      <c r="J277" s="15" t="s">
        <v>188</v>
      </c>
      <c r="K277" s="15"/>
      <c r="L277" s="15"/>
    </row>
    <row r="278">
      <c r="A278" s="15">
        <v>277.0</v>
      </c>
      <c r="B278" s="23">
        <v>45912.0</v>
      </c>
      <c r="C278" s="19" t="s">
        <v>693</v>
      </c>
      <c r="D278" s="15"/>
      <c r="E278" s="15" t="s">
        <v>685</v>
      </c>
      <c r="F278" s="15" t="s">
        <v>686</v>
      </c>
      <c r="G278" s="15" t="s">
        <v>694</v>
      </c>
      <c r="H278" s="15" t="s">
        <v>692</v>
      </c>
      <c r="I278" s="15" t="s">
        <v>689</v>
      </c>
      <c r="J278" s="15" t="s">
        <v>188</v>
      </c>
      <c r="K278" s="15"/>
      <c r="L278" s="15"/>
    </row>
    <row r="279">
      <c r="A279" s="15">
        <v>278.0</v>
      </c>
      <c r="B279" s="23">
        <v>45912.0</v>
      </c>
      <c r="C279" s="19" t="s">
        <v>695</v>
      </c>
      <c r="D279" s="15"/>
      <c r="E279" s="15" t="s">
        <v>685</v>
      </c>
      <c r="F279" s="15" t="s">
        <v>686</v>
      </c>
      <c r="G279" s="15" t="s">
        <v>694</v>
      </c>
      <c r="H279" s="15" t="s">
        <v>692</v>
      </c>
      <c r="I279" s="15" t="s">
        <v>689</v>
      </c>
      <c r="J279" s="15" t="s">
        <v>188</v>
      </c>
      <c r="K279" s="15" t="s">
        <v>696</v>
      </c>
      <c r="L279" s="15"/>
    </row>
    <row r="280">
      <c r="A280" s="15">
        <v>279.0</v>
      </c>
      <c r="B280" s="23">
        <v>45912.0</v>
      </c>
      <c r="C280" s="20" t="s">
        <v>697</v>
      </c>
      <c r="D280" s="15"/>
      <c r="E280" s="15" t="s">
        <v>685</v>
      </c>
      <c r="F280" s="15" t="s">
        <v>686</v>
      </c>
      <c r="G280" s="15" t="s">
        <v>694</v>
      </c>
      <c r="H280" s="15" t="s">
        <v>692</v>
      </c>
      <c r="I280" s="15" t="s">
        <v>689</v>
      </c>
      <c r="J280" s="15" t="s">
        <v>188</v>
      </c>
      <c r="K280" s="15"/>
      <c r="L280" s="15"/>
    </row>
    <row r="281">
      <c r="A281" s="15">
        <v>280.0</v>
      </c>
      <c r="B281" s="23">
        <v>45912.0</v>
      </c>
      <c r="C281" s="20" t="s">
        <v>698</v>
      </c>
      <c r="D281" s="15"/>
      <c r="E281" s="15" t="s">
        <v>685</v>
      </c>
      <c r="F281" s="15" t="s">
        <v>405</v>
      </c>
      <c r="G281" s="15" t="s">
        <v>694</v>
      </c>
      <c r="H281" s="15" t="s">
        <v>688</v>
      </c>
      <c r="I281" s="15" t="s">
        <v>689</v>
      </c>
      <c r="J281" s="15" t="s">
        <v>188</v>
      </c>
      <c r="K281" s="15"/>
      <c r="L281" s="15"/>
    </row>
    <row r="282">
      <c r="A282" s="15">
        <v>281.0</v>
      </c>
      <c r="B282" s="23">
        <v>45912.0</v>
      </c>
      <c r="C282" s="18" t="s">
        <v>699</v>
      </c>
      <c r="D282" s="18"/>
      <c r="E282" s="18" t="s">
        <v>685</v>
      </c>
      <c r="F282" s="18" t="s">
        <v>686</v>
      </c>
      <c r="G282" s="18" t="s">
        <v>694</v>
      </c>
      <c r="H282" s="18" t="s">
        <v>692</v>
      </c>
      <c r="I282" s="18" t="s">
        <v>689</v>
      </c>
      <c r="J282" s="18" t="s">
        <v>422</v>
      </c>
      <c r="K282" s="18" t="s">
        <v>700</v>
      </c>
      <c r="L282" s="15"/>
    </row>
    <row r="283">
      <c r="A283" s="15">
        <v>282.0</v>
      </c>
      <c r="B283" s="23">
        <v>45912.0</v>
      </c>
      <c r="C283" s="22" t="s">
        <v>701</v>
      </c>
      <c r="D283" s="18"/>
      <c r="E283" s="18" t="s">
        <v>685</v>
      </c>
      <c r="F283" s="18" t="s">
        <v>702</v>
      </c>
      <c r="G283" s="18" t="s">
        <v>694</v>
      </c>
      <c r="H283" s="18" t="s">
        <v>692</v>
      </c>
      <c r="I283" s="18" t="s">
        <v>689</v>
      </c>
      <c r="J283" s="18" t="s">
        <v>422</v>
      </c>
      <c r="K283" s="18" t="s">
        <v>700</v>
      </c>
      <c r="L283" s="15"/>
    </row>
    <row r="284">
      <c r="A284" s="15">
        <v>283.0</v>
      </c>
      <c r="B284" s="23">
        <v>45912.0</v>
      </c>
      <c r="C284" s="22" t="s">
        <v>703</v>
      </c>
      <c r="D284" s="18"/>
      <c r="E284" s="18" t="s">
        <v>685</v>
      </c>
      <c r="F284" s="18" t="s">
        <v>686</v>
      </c>
      <c r="G284" s="18" t="s">
        <v>694</v>
      </c>
      <c r="H284" s="18" t="s">
        <v>692</v>
      </c>
      <c r="I284" s="18" t="s">
        <v>689</v>
      </c>
      <c r="J284" s="18" t="s">
        <v>422</v>
      </c>
      <c r="K284" s="18" t="s">
        <v>624</v>
      </c>
      <c r="L284" s="15"/>
    </row>
    <row r="285">
      <c r="A285" s="15">
        <v>284.0</v>
      </c>
      <c r="B285" s="23">
        <v>45912.0</v>
      </c>
      <c r="C285" s="19" t="s">
        <v>704</v>
      </c>
      <c r="D285" s="15"/>
      <c r="E285" s="15" t="s">
        <v>685</v>
      </c>
      <c r="F285" s="15" t="s">
        <v>686</v>
      </c>
      <c r="G285" s="15" t="s">
        <v>694</v>
      </c>
      <c r="H285" s="15" t="s">
        <v>692</v>
      </c>
      <c r="I285" s="15" t="s">
        <v>689</v>
      </c>
      <c r="J285" s="15" t="s">
        <v>188</v>
      </c>
      <c r="K285" s="15"/>
      <c r="L285" s="15"/>
    </row>
    <row r="286">
      <c r="A286" s="15">
        <v>285.0</v>
      </c>
      <c r="B286" s="23">
        <v>45912.0</v>
      </c>
      <c r="C286" s="20" t="s">
        <v>705</v>
      </c>
      <c r="D286" s="15"/>
      <c r="E286" s="15" t="s">
        <v>706</v>
      </c>
      <c r="F286" s="15" t="s">
        <v>405</v>
      </c>
      <c r="G286" s="15" t="s">
        <v>707</v>
      </c>
      <c r="H286" s="15" t="s">
        <v>708</v>
      </c>
      <c r="I286" s="15" t="s">
        <v>709</v>
      </c>
      <c r="J286" s="15" t="s">
        <v>188</v>
      </c>
      <c r="K286" s="15"/>
      <c r="L286" s="15"/>
    </row>
    <row r="287">
      <c r="A287" s="15">
        <v>286.0</v>
      </c>
      <c r="B287" s="23">
        <v>45912.0</v>
      </c>
      <c r="C287" s="19" t="s">
        <v>710</v>
      </c>
      <c r="D287" s="15"/>
      <c r="E287" s="15" t="s">
        <v>706</v>
      </c>
      <c r="F287" s="15" t="s">
        <v>405</v>
      </c>
      <c r="G287" s="15" t="s">
        <v>707</v>
      </c>
      <c r="H287" s="15" t="s">
        <v>711</v>
      </c>
      <c r="I287" s="15" t="s">
        <v>712</v>
      </c>
      <c r="J287" s="15" t="s">
        <v>188</v>
      </c>
      <c r="K287" s="15"/>
      <c r="L287" s="15"/>
    </row>
    <row r="288">
      <c r="A288" s="15">
        <v>287.0</v>
      </c>
      <c r="B288" s="23">
        <v>45913.0</v>
      </c>
      <c r="C288" s="19" t="s">
        <v>713</v>
      </c>
      <c r="D288" s="15"/>
      <c r="E288" s="15" t="s">
        <v>184</v>
      </c>
      <c r="F288" s="15" t="str">
        <f>IFERROR(__xludf.DUMMYFUNCTION("if(REGEXMATCH(C288,""x.com"")=TRUE,""Twitter"",if(REGEXMATCH(C288,""facebook"")=TRUE,""Facebook"",if(REGEXMATCH(C288,""instagram"")=TRUE,""Instagram"",if(REGEXMATCH(C288,""youtube"")=TRUE,""Youtube"",if(REGEXMATCH(C288,""tiktok"")=TRUE,""Tiktok"",if(REGEX"&amp;"MATCH(C288,""threads"")=TRUE,""Threads""))))))"),"Facebook")</f>
        <v>Facebook</v>
      </c>
      <c r="G288" s="15" t="s">
        <v>714</v>
      </c>
      <c r="H288" s="15" t="s">
        <v>453</v>
      </c>
      <c r="I288" s="15" t="s">
        <v>535</v>
      </c>
      <c r="J288" s="15" t="s">
        <v>188</v>
      </c>
      <c r="K288" s="15"/>
      <c r="L288" s="15"/>
    </row>
    <row r="289">
      <c r="A289" s="15">
        <v>288.0</v>
      </c>
      <c r="B289" s="23">
        <v>45913.0</v>
      </c>
      <c r="C289" s="19" t="s">
        <v>715</v>
      </c>
      <c r="D289" s="15"/>
      <c r="E289" s="15" t="s">
        <v>184</v>
      </c>
      <c r="F289" s="15" t="str">
        <f>IFERROR(__xludf.DUMMYFUNCTION("if(REGEXMATCH(C289,""x.com"")=TRUE,""Twitter"",if(REGEXMATCH(C289,""facebook"")=TRUE,""Facebook"",if(REGEXMATCH(C289,""instagram"")=TRUE,""Instagram"",if(REGEXMATCH(C289,""youtube"")=TRUE,""Youtube"",if(REGEXMATCH(C289,""tiktok"")=TRUE,""Tiktok"",if(REGEX"&amp;"MATCH(C289,""threads"")=TRUE,""Threads""))))))"),"Tiktok")</f>
        <v>Tiktok</v>
      </c>
      <c r="G289" s="15" t="s">
        <v>716</v>
      </c>
      <c r="H289" s="15" t="s">
        <v>453</v>
      </c>
      <c r="I289" s="15" t="s">
        <v>535</v>
      </c>
      <c r="J289" s="15" t="s">
        <v>188</v>
      </c>
      <c r="K289" s="15"/>
      <c r="L289" s="15"/>
    </row>
    <row r="290">
      <c r="A290" s="15">
        <v>289.0</v>
      </c>
      <c r="B290" s="23">
        <v>45913.0</v>
      </c>
      <c r="C290" s="19" t="s">
        <v>717</v>
      </c>
      <c r="D290" s="15"/>
      <c r="E290" s="15" t="s">
        <v>184</v>
      </c>
      <c r="F290" s="15" t="str">
        <f>IFERROR(__xludf.DUMMYFUNCTION("if(REGEXMATCH(C290,""x.com"")=TRUE,""Twitter"",if(REGEXMATCH(C290,""facebook"")=TRUE,""Facebook"",if(REGEXMATCH(C290,""instagram"")=TRUE,""Instagram"",if(REGEXMATCH(C290,""youtube"")=TRUE,""Youtube"",if(REGEXMATCH(C290,""tiktok"")=TRUE,""Tiktok"",if(REGEX"&amp;"MATCH(C290,""threads"")=TRUE,""Threads""))))))"),"Tiktok")</f>
        <v>Tiktok</v>
      </c>
      <c r="G290" s="15" t="s">
        <v>718</v>
      </c>
      <c r="H290" s="15" t="s">
        <v>453</v>
      </c>
      <c r="I290" s="15" t="s">
        <v>535</v>
      </c>
      <c r="J290" s="15" t="s">
        <v>188</v>
      </c>
      <c r="K290" s="15"/>
      <c r="L290" s="15"/>
    </row>
    <row r="291">
      <c r="A291" s="15">
        <v>290.0</v>
      </c>
      <c r="B291" s="23">
        <v>45913.0</v>
      </c>
      <c r="C291" s="19" t="s">
        <v>719</v>
      </c>
      <c r="D291" s="15"/>
      <c r="E291" s="15" t="s">
        <v>184</v>
      </c>
      <c r="F291" s="15" t="str">
        <f>IFERROR(__xludf.DUMMYFUNCTION("if(REGEXMATCH(C291,""x.com"")=TRUE,""Twitter"",if(REGEXMATCH(C291,""facebook"")=TRUE,""Facebook"",if(REGEXMATCH(C291,""instagram"")=TRUE,""Instagram"",if(REGEXMATCH(C291,""youtube"")=TRUE,""Youtube"",if(REGEXMATCH(C291,""tiktok"")=TRUE,""Tiktok"",if(REGEX"&amp;"MATCH(C291,""threads"")=TRUE,""Threads""))))))"),"Tiktok")</f>
        <v>Tiktok</v>
      </c>
      <c r="G291" s="15" t="s">
        <v>720</v>
      </c>
      <c r="H291" s="15" t="s">
        <v>453</v>
      </c>
      <c r="I291" s="15" t="s">
        <v>535</v>
      </c>
      <c r="J291" s="15" t="s">
        <v>188</v>
      </c>
      <c r="K291" s="15"/>
      <c r="L291" s="15"/>
    </row>
    <row r="292">
      <c r="A292" s="15">
        <v>291.0</v>
      </c>
      <c r="B292" s="23">
        <v>45913.0</v>
      </c>
      <c r="C292" s="19" t="s">
        <v>721</v>
      </c>
      <c r="D292" s="15"/>
      <c r="E292" s="15" t="s">
        <v>429</v>
      </c>
      <c r="F292" s="15" t="str">
        <f>IFERROR(__xludf.DUMMYFUNCTION("if(REGEXMATCH(C292,""x.com"")=TRUE,""Twitter"",if(REGEXMATCH(C292,""facebook"")=TRUE,""Facebook"",if(REGEXMATCH(C292,""instagram"")=TRUE,""Instagram"",if(REGEXMATCH(C292,""youtube"")=TRUE,""Youtube"",if(REGEXMATCH(C292,""tiktok"")=TRUE,""Tiktok"",if(REGEX"&amp;"MATCH(C292,""threads"")=TRUE,""Threads""))))))"),"Tiktok")</f>
        <v>Tiktok</v>
      </c>
      <c r="G292" s="15" t="s">
        <v>722</v>
      </c>
      <c r="H292" s="15" t="s">
        <v>453</v>
      </c>
      <c r="I292" s="15" t="s">
        <v>535</v>
      </c>
      <c r="J292" s="15" t="s">
        <v>188</v>
      </c>
      <c r="K292" s="15" t="s">
        <v>723</v>
      </c>
      <c r="L292" s="15"/>
    </row>
    <row r="293">
      <c r="A293" s="15">
        <v>292.0</v>
      </c>
      <c r="B293" s="23">
        <v>45913.0</v>
      </c>
      <c r="C293" s="19" t="s">
        <v>724</v>
      </c>
      <c r="D293" s="15"/>
      <c r="E293" s="15" t="s">
        <v>429</v>
      </c>
      <c r="F293" s="15" t="str">
        <f>IFERROR(__xludf.DUMMYFUNCTION("if(REGEXMATCH(C293,""x.com"")=TRUE,""Twitter"",if(REGEXMATCH(C293,""facebook"")=TRUE,""Facebook"",if(REGEXMATCH(C293,""instagram"")=TRUE,""Instagram"",if(REGEXMATCH(C293,""youtube"")=TRUE,""Youtube"",if(REGEXMATCH(C293,""tiktok"")=TRUE,""Tiktok"",if(REGEX"&amp;"MATCH(C293,""threads"")=TRUE,""Threads""))))))"),"Tiktok")</f>
        <v>Tiktok</v>
      </c>
      <c r="G293" s="15" t="s">
        <v>725</v>
      </c>
      <c r="H293" s="15" t="s">
        <v>453</v>
      </c>
      <c r="I293" s="15" t="s">
        <v>535</v>
      </c>
      <c r="J293" s="15" t="s">
        <v>188</v>
      </c>
      <c r="K293" s="15"/>
      <c r="L293" s="15"/>
    </row>
    <row r="294">
      <c r="A294" s="15">
        <v>293.0</v>
      </c>
      <c r="B294" s="23">
        <v>45913.0</v>
      </c>
      <c r="C294" s="19" t="s">
        <v>726</v>
      </c>
      <c r="D294" s="15"/>
      <c r="E294" s="15" t="s">
        <v>429</v>
      </c>
      <c r="F294" s="15" t="str">
        <f>IFERROR(__xludf.DUMMYFUNCTION("if(REGEXMATCH(C294,""x.com"")=TRUE,""Twitter"",if(REGEXMATCH(C294,""facebook"")=TRUE,""Facebook"",if(REGEXMATCH(C294,""instagram"")=TRUE,""Instagram"",if(REGEXMATCH(C294,""youtube"")=TRUE,""Youtube"",if(REGEXMATCH(C294,""tiktok"")=TRUE,""Tiktok"",if(REGEX"&amp;"MATCH(C294,""threads"")=TRUE,""Threads""))))))"),"Tiktok")</f>
        <v>Tiktok</v>
      </c>
      <c r="G294" s="15" t="s">
        <v>727</v>
      </c>
      <c r="H294" s="15" t="s">
        <v>453</v>
      </c>
      <c r="I294" s="15" t="s">
        <v>535</v>
      </c>
      <c r="J294" s="15" t="s">
        <v>188</v>
      </c>
      <c r="K294" s="15" t="s">
        <v>723</v>
      </c>
      <c r="L294" s="15"/>
    </row>
    <row r="295">
      <c r="A295" s="15">
        <v>294.0</v>
      </c>
      <c r="B295" s="23">
        <v>45913.0</v>
      </c>
      <c r="C295" s="19" t="s">
        <v>728</v>
      </c>
      <c r="D295" s="15"/>
      <c r="E295" s="15" t="s">
        <v>429</v>
      </c>
      <c r="F295" s="15" t="str">
        <f>IFERROR(__xludf.DUMMYFUNCTION("if(REGEXMATCH(C295,""x.com"")=TRUE,""Twitter"",if(REGEXMATCH(C295,""facebook"")=TRUE,""Facebook"",if(REGEXMATCH(C295,""instagram"")=TRUE,""Instagram"",if(REGEXMATCH(C295,""youtube"")=TRUE,""Youtube"",if(REGEXMATCH(C295,""tiktok"")=TRUE,""Tiktok"",if(REGEX"&amp;"MATCH(C295,""threads"")=TRUE,""Threads""))))))"),"Tiktok")</f>
        <v>Tiktok</v>
      </c>
      <c r="G295" s="15" t="s">
        <v>729</v>
      </c>
      <c r="H295" s="15" t="s">
        <v>453</v>
      </c>
      <c r="I295" s="15" t="s">
        <v>535</v>
      </c>
      <c r="J295" s="15" t="s">
        <v>188</v>
      </c>
      <c r="K295" s="15" t="s">
        <v>723</v>
      </c>
      <c r="L295" s="15"/>
    </row>
    <row r="296">
      <c r="A296" s="15">
        <v>295.0</v>
      </c>
      <c r="B296" s="23">
        <v>45913.0</v>
      </c>
      <c r="C296" s="19" t="s">
        <v>730</v>
      </c>
      <c r="D296" s="15"/>
      <c r="E296" s="15" t="s">
        <v>429</v>
      </c>
      <c r="F296" s="15" t="str">
        <f>IFERROR(__xludf.DUMMYFUNCTION("if(REGEXMATCH(C296,""x.com"")=TRUE,""Twitter"",if(REGEXMATCH(C296,""facebook"")=TRUE,""Facebook"",if(REGEXMATCH(C296,""instagram"")=TRUE,""Instagram"",if(REGEXMATCH(C296,""youtube"")=TRUE,""Youtube"",if(REGEXMATCH(C296,""tiktok"")=TRUE,""Tiktok"",if(REGEX"&amp;"MATCH(C296,""threads"")=TRUE,""Threads""))))))"),"Tiktok")</f>
        <v>Tiktok</v>
      </c>
      <c r="G296" s="15" t="s">
        <v>731</v>
      </c>
      <c r="H296" s="15" t="s">
        <v>453</v>
      </c>
      <c r="I296" s="15" t="s">
        <v>535</v>
      </c>
      <c r="J296" s="15" t="s">
        <v>188</v>
      </c>
      <c r="K296" s="15" t="s">
        <v>723</v>
      </c>
      <c r="L296" s="15"/>
    </row>
    <row r="297">
      <c r="A297" s="15">
        <v>296.0</v>
      </c>
      <c r="B297" s="23">
        <v>45913.0</v>
      </c>
      <c r="C297" s="19" t="s">
        <v>732</v>
      </c>
      <c r="D297" s="15"/>
      <c r="E297" s="15" t="s">
        <v>401</v>
      </c>
      <c r="F297" s="15" t="str">
        <f>IFERROR(__xludf.DUMMYFUNCTION("if(REGEXMATCH(C297,""x.com"")=TRUE,""Twitter"",if(REGEXMATCH(C297,""facebook"")=TRUE,""Facebook"",if(REGEXMATCH(C297,""instagram"")=TRUE,""Instagram"",if(REGEXMATCH(C297,""youtube"")=TRUE,""Youtube"",if(REGEXMATCH(C297,""tiktok"")=TRUE,""Tiktok"",if(REGEX"&amp;"MATCH(C297,""threads"")=TRUE,""Threads""))))))"),"Tiktok")</f>
        <v>Tiktok</v>
      </c>
      <c r="G297" s="15" t="s">
        <v>733</v>
      </c>
      <c r="H297" s="15" t="s">
        <v>453</v>
      </c>
      <c r="I297" s="15" t="s">
        <v>535</v>
      </c>
      <c r="J297" s="15" t="s">
        <v>188</v>
      </c>
      <c r="K297" s="15"/>
      <c r="L297" s="15"/>
    </row>
    <row r="298">
      <c r="A298" s="15">
        <v>297.0</v>
      </c>
      <c r="B298" s="23">
        <v>45913.0</v>
      </c>
      <c r="C298" s="19" t="s">
        <v>734</v>
      </c>
      <c r="D298" s="15"/>
      <c r="E298" s="15" t="s">
        <v>184</v>
      </c>
      <c r="F298" s="15" t="str">
        <f>IFERROR(__xludf.DUMMYFUNCTION("if(REGEXMATCH(C298,""x.com"")=TRUE,""Twitter"",if(REGEXMATCH(C298,""facebook"")=TRUE,""Facebook"",if(REGEXMATCH(C298,""instagram"")=TRUE,""Instagram"",if(REGEXMATCH(C298,""youtube"")=TRUE,""Youtube"",if(REGEXMATCH(C298,""tiktok"")=TRUE,""Tiktok"",if(REGEX"&amp;"MATCH(C298,""threads"")=TRUE,""Threads""))))))"),"Facebook")</f>
        <v>Facebook</v>
      </c>
      <c r="G298" s="15" t="s">
        <v>735</v>
      </c>
      <c r="H298" s="15" t="s">
        <v>453</v>
      </c>
      <c r="I298" s="15" t="s">
        <v>535</v>
      </c>
      <c r="J298" s="15" t="s">
        <v>188</v>
      </c>
      <c r="K298" s="15"/>
      <c r="L298" s="15"/>
    </row>
    <row r="299">
      <c r="A299" s="15">
        <v>298.0</v>
      </c>
      <c r="B299" s="23">
        <v>45913.0</v>
      </c>
      <c r="C299" s="19" t="s">
        <v>736</v>
      </c>
      <c r="D299" s="15"/>
      <c r="E299" s="15" t="s">
        <v>184</v>
      </c>
      <c r="F299" s="15" t="str">
        <f>IFERROR(__xludf.DUMMYFUNCTION("if(REGEXMATCH(C299,""x.com"")=TRUE,""Twitter"",if(REGEXMATCH(C299,""facebook"")=TRUE,""Facebook"",if(REGEXMATCH(C299,""instagram"")=TRUE,""Instagram"",if(REGEXMATCH(C299,""youtube"")=TRUE,""Youtube"",if(REGEXMATCH(C299,""tiktok"")=TRUE,""Tiktok"",if(REGEX"&amp;"MATCH(C299,""threads"")=TRUE,""Threads""))))))"),"Facebook")</f>
        <v>Facebook</v>
      </c>
      <c r="G299" s="15" t="s">
        <v>737</v>
      </c>
      <c r="H299" s="15" t="s">
        <v>453</v>
      </c>
      <c r="I299" s="15" t="s">
        <v>535</v>
      </c>
      <c r="J299" s="15" t="s">
        <v>188</v>
      </c>
      <c r="K299" s="15"/>
      <c r="L299" s="15"/>
    </row>
    <row r="300">
      <c r="A300" s="15">
        <v>299.0</v>
      </c>
      <c r="B300" s="23">
        <v>45913.0</v>
      </c>
      <c r="C300" s="19" t="s">
        <v>738</v>
      </c>
      <c r="D300" s="15"/>
      <c r="E300" s="15" t="s">
        <v>739</v>
      </c>
      <c r="F300" s="15" t="str">
        <f>IFERROR(__xludf.DUMMYFUNCTION("if(REGEXMATCH(C300,""x.com"")=TRUE,""Twitter"",if(REGEXMATCH(C300,""facebook"")=TRUE,""Facebook"",if(REGEXMATCH(C300,""instagram"")=TRUE,""Instagram"",if(REGEXMATCH(C300,""youtube"")=TRUE,""Youtube"",if(REGEXMATCH(C300,""tiktok"")=TRUE,""Tiktok"",if(REGEX"&amp;"MATCH(C300,""threads"")=TRUE,""Threads""))))))"),"Twitter")</f>
        <v>Twitter</v>
      </c>
      <c r="G300" s="15" t="s">
        <v>740</v>
      </c>
      <c r="H300" s="15" t="s">
        <v>453</v>
      </c>
      <c r="I300" s="15" t="s">
        <v>535</v>
      </c>
      <c r="J300" s="15" t="s">
        <v>188</v>
      </c>
      <c r="K300" s="15"/>
      <c r="L300" s="15"/>
    </row>
    <row r="301">
      <c r="A301" s="15">
        <v>300.0</v>
      </c>
      <c r="B301" s="23">
        <v>45913.0</v>
      </c>
      <c r="C301" s="19" t="s">
        <v>741</v>
      </c>
      <c r="D301" s="15"/>
      <c r="E301" s="15" t="s">
        <v>447</v>
      </c>
      <c r="F301" s="15" t="str">
        <f>IFERROR(__xludf.DUMMYFUNCTION("if(REGEXMATCH(C301,""x.com"")=TRUE,""Twitter"",if(REGEXMATCH(C301,""facebook"")=TRUE,""Facebook"",if(REGEXMATCH(C301,""instagram"")=TRUE,""Instagram"",if(REGEXMATCH(C301,""youtube"")=TRUE,""Youtube"",if(REGEXMATCH(C301,""tiktok"")=TRUE,""Tiktok"",if(REGEX"&amp;"MATCH(C301,""threads"")=TRUE,""Threads""))))))"),"Facebook")</f>
        <v>Facebook</v>
      </c>
      <c r="G301" s="15" t="s">
        <v>742</v>
      </c>
      <c r="H301" s="15" t="s">
        <v>453</v>
      </c>
      <c r="I301" s="15" t="s">
        <v>535</v>
      </c>
      <c r="J301" s="15" t="s">
        <v>188</v>
      </c>
      <c r="K301" s="15"/>
      <c r="L301" s="15"/>
    </row>
    <row r="302">
      <c r="A302" s="15">
        <v>301.0</v>
      </c>
      <c r="B302" s="23">
        <v>45913.0</v>
      </c>
      <c r="C302" s="19" t="s">
        <v>743</v>
      </c>
      <c r="D302" s="15"/>
      <c r="E302" s="15" t="s">
        <v>197</v>
      </c>
      <c r="F302" s="15" t="str">
        <f>IFERROR(__xludf.DUMMYFUNCTION("if(REGEXMATCH(C302,""x.com"")=TRUE,""Twitter"",if(REGEXMATCH(C302,""facebook"")=TRUE,""Facebook"",if(REGEXMATCH(C302,""instagram"")=TRUE,""Instagram"",if(REGEXMATCH(C302,""youtube"")=TRUE,""Youtube"",if(REGEXMATCH(C302,""tiktok"")=TRUE,""Tiktok"",if(REGEX"&amp;"MATCH(C302,""threads"")=TRUE,""Threads""))))))"),"Facebook")</f>
        <v>Facebook</v>
      </c>
      <c r="G302" s="15" t="s">
        <v>744</v>
      </c>
      <c r="H302" s="15" t="s">
        <v>453</v>
      </c>
      <c r="I302" s="15" t="s">
        <v>535</v>
      </c>
      <c r="J302" s="15" t="s">
        <v>188</v>
      </c>
      <c r="K302" s="15"/>
      <c r="L302" s="15"/>
    </row>
    <row r="303">
      <c r="A303" s="15">
        <v>302.0</v>
      </c>
      <c r="B303" s="23">
        <v>45913.0</v>
      </c>
      <c r="C303" s="19" t="s">
        <v>745</v>
      </c>
      <c r="D303" s="15"/>
      <c r="E303" s="15" t="s">
        <v>197</v>
      </c>
      <c r="F303" s="15" t="str">
        <f>IFERROR(__xludf.DUMMYFUNCTION("if(REGEXMATCH(C303,""x.com"")=TRUE,""Twitter"",if(REGEXMATCH(C303,""facebook"")=TRUE,""Facebook"",if(REGEXMATCH(C303,""instagram"")=TRUE,""Instagram"",if(REGEXMATCH(C303,""youtube"")=TRUE,""Youtube"",if(REGEXMATCH(C303,""tiktok"")=TRUE,""Tiktok"",if(REGEX"&amp;"MATCH(C303,""threads"")=TRUE,""Threads""))))))"),"Tiktok")</f>
        <v>Tiktok</v>
      </c>
      <c r="G303" s="15" t="s">
        <v>718</v>
      </c>
      <c r="H303" s="15" t="s">
        <v>453</v>
      </c>
      <c r="I303" s="15" t="s">
        <v>535</v>
      </c>
      <c r="J303" s="15" t="s">
        <v>188</v>
      </c>
      <c r="K303" s="15"/>
      <c r="L303" s="15"/>
    </row>
    <row r="304">
      <c r="A304" s="15">
        <v>303.0</v>
      </c>
      <c r="B304" s="23">
        <v>45913.0</v>
      </c>
      <c r="C304" s="19" t="s">
        <v>746</v>
      </c>
      <c r="D304" s="15"/>
      <c r="E304" s="15" t="s">
        <v>747</v>
      </c>
      <c r="F304" s="15" t="str">
        <f>IFERROR(__xludf.DUMMYFUNCTION("if(REGEXMATCH(C304,""x.com"")=TRUE,""Twitter"",if(REGEXMATCH(C304,""facebook"")=TRUE,""Facebook"",if(REGEXMATCH(C304,""instagram"")=TRUE,""Instagram"",if(REGEXMATCH(C304,""youtube"")=TRUE,""Youtube"",if(REGEXMATCH(C304,""tiktok"")=TRUE,""Tiktok"",if(REGEX"&amp;"MATCH(C304,""threads"")=TRUE,""Threads""))))))"),"Tiktok")</f>
        <v>Tiktok</v>
      </c>
      <c r="G304" s="15" t="s">
        <v>748</v>
      </c>
      <c r="H304" s="15" t="s">
        <v>453</v>
      </c>
      <c r="I304" s="15" t="s">
        <v>535</v>
      </c>
      <c r="J304" s="15" t="s">
        <v>188</v>
      </c>
      <c r="K304" s="15"/>
      <c r="L304" s="15"/>
    </row>
    <row r="305">
      <c r="A305" s="15">
        <v>304.0</v>
      </c>
      <c r="B305" s="23">
        <v>45913.0</v>
      </c>
      <c r="C305" s="19" t="s">
        <v>749</v>
      </c>
      <c r="D305" s="15"/>
      <c r="E305" s="15" t="s">
        <v>447</v>
      </c>
      <c r="F305" s="15" t="str">
        <f>IFERROR(__xludf.DUMMYFUNCTION("if(REGEXMATCH(C305,""x.com"")=TRUE,""Twitter"",if(REGEXMATCH(C305,""facebook"")=TRUE,""Facebook"",if(REGEXMATCH(C305,""instagram"")=TRUE,""Instagram"",if(REGEXMATCH(C305,""youtube"")=TRUE,""Youtube"",if(REGEXMATCH(C305,""tiktok"")=TRUE,""Tiktok"",if(REGEX"&amp;"MATCH(C305,""threads"")=TRUE,""Threads""))))))"),"Tiktok")</f>
        <v>Tiktok</v>
      </c>
      <c r="G305" s="15" t="s">
        <v>750</v>
      </c>
      <c r="H305" s="15" t="s">
        <v>453</v>
      </c>
      <c r="I305" s="15" t="s">
        <v>535</v>
      </c>
      <c r="J305" s="15" t="s">
        <v>188</v>
      </c>
      <c r="K305" s="15"/>
      <c r="L305" s="15"/>
    </row>
    <row r="306">
      <c r="A306" s="15">
        <v>305.0</v>
      </c>
      <c r="B306" s="23">
        <v>45913.0</v>
      </c>
      <c r="C306" s="19" t="s">
        <v>751</v>
      </c>
      <c r="D306" s="15"/>
      <c r="E306" s="15" t="s">
        <v>752</v>
      </c>
      <c r="F306" s="15" t="str">
        <f>IFERROR(__xludf.DUMMYFUNCTION("if(REGEXMATCH(C306,""x.com"")=TRUE,""Twitter"",if(REGEXMATCH(C306,""facebook"")=TRUE,""Facebook"",if(REGEXMATCH(C306,""instagram"")=TRUE,""Instagram"",if(REGEXMATCH(C306,""youtube"")=TRUE,""Youtube"",if(REGEXMATCH(C306,""tiktok"")=TRUE,""Tiktok"",if(REGEX"&amp;"MATCH(C306,""threads"")=TRUE,""Threads""))))))"),"Facebook")</f>
        <v>Facebook</v>
      </c>
      <c r="G306" s="15" t="s">
        <v>753</v>
      </c>
      <c r="H306" s="15" t="s">
        <v>453</v>
      </c>
      <c r="I306" s="15" t="s">
        <v>535</v>
      </c>
      <c r="J306" s="15" t="s">
        <v>188</v>
      </c>
      <c r="K306" s="15"/>
      <c r="L306" s="15"/>
    </row>
    <row r="307">
      <c r="A307" s="15">
        <v>306.0</v>
      </c>
      <c r="B307" s="23">
        <v>45913.0</v>
      </c>
      <c r="C307" s="19" t="s">
        <v>754</v>
      </c>
      <c r="D307" s="15"/>
      <c r="E307" s="15" t="s">
        <v>755</v>
      </c>
      <c r="F307" s="15" t="str">
        <f>IFERROR(__xludf.DUMMYFUNCTION("if(REGEXMATCH(C307,""x.com"")=TRUE,""Twitter"",if(REGEXMATCH(C307,""facebook"")=TRUE,""Facebook"",if(REGEXMATCH(C307,""instagram"")=TRUE,""Instagram"",if(REGEXMATCH(C307,""youtube"")=TRUE,""Youtube"",if(REGEXMATCH(C307,""tiktok"")=TRUE,""Tiktok"",if(REGEX"&amp;"MATCH(C307,""threads"")=TRUE,""Threads""))))))"),"Facebook")</f>
        <v>Facebook</v>
      </c>
      <c r="G307" s="20" t="s">
        <v>756</v>
      </c>
      <c r="H307" s="15" t="s">
        <v>453</v>
      </c>
      <c r="I307" s="15" t="s">
        <v>535</v>
      </c>
      <c r="J307" s="15" t="s">
        <v>188</v>
      </c>
      <c r="K307" s="15"/>
      <c r="L307" s="15"/>
    </row>
    <row r="308">
      <c r="A308" s="15">
        <v>307.0</v>
      </c>
      <c r="B308" s="23">
        <v>45913.0</v>
      </c>
      <c r="C308" s="19" t="s">
        <v>757</v>
      </c>
      <c r="D308" s="15"/>
      <c r="E308" s="15" t="s">
        <v>758</v>
      </c>
      <c r="F308" s="15"/>
      <c r="G308" s="15" t="s">
        <v>759</v>
      </c>
      <c r="H308" s="15" t="s">
        <v>760</v>
      </c>
      <c r="I308" s="15" t="s">
        <v>689</v>
      </c>
      <c r="J308" s="15" t="s">
        <v>188</v>
      </c>
      <c r="K308" s="15"/>
      <c r="L308" s="15"/>
    </row>
    <row r="309">
      <c r="A309" s="15">
        <v>308.0</v>
      </c>
      <c r="B309" s="23">
        <v>45913.0</v>
      </c>
      <c r="C309" s="19" t="s">
        <v>761</v>
      </c>
      <c r="D309" s="15"/>
      <c r="E309" s="15" t="s">
        <v>758</v>
      </c>
      <c r="F309" s="15"/>
      <c r="G309" s="15" t="s">
        <v>759</v>
      </c>
      <c r="H309" s="15" t="s">
        <v>760</v>
      </c>
      <c r="I309" s="15" t="s">
        <v>689</v>
      </c>
      <c r="J309" s="15" t="s">
        <v>188</v>
      </c>
      <c r="K309" s="15"/>
      <c r="L309" s="15"/>
    </row>
    <row r="310">
      <c r="A310" s="15">
        <v>309.0</v>
      </c>
      <c r="B310" s="23">
        <v>45913.0</v>
      </c>
      <c r="C310" s="19" t="s">
        <v>762</v>
      </c>
      <c r="D310" s="15"/>
      <c r="E310" s="15" t="s">
        <v>758</v>
      </c>
      <c r="F310" s="15"/>
      <c r="G310" s="15" t="s">
        <v>759</v>
      </c>
      <c r="H310" s="15" t="s">
        <v>760</v>
      </c>
      <c r="I310" s="15" t="s">
        <v>689</v>
      </c>
      <c r="J310" s="15" t="s">
        <v>188</v>
      </c>
      <c r="K310" s="15"/>
      <c r="L310" s="15"/>
    </row>
    <row r="311">
      <c r="A311" s="15">
        <v>310.0</v>
      </c>
      <c r="B311" s="23">
        <v>45913.0</v>
      </c>
      <c r="C311" s="19" t="s">
        <v>763</v>
      </c>
      <c r="D311" s="15"/>
      <c r="E311" s="15" t="s">
        <v>758</v>
      </c>
      <c r="F311" s="15"/>
      <c r="G311" s="15" t="s">
        <v>759</v>
      </c>
      <c r="H311" s="15" t="s">
        <v>760</v>
      </c>
      <c r="I311" s="15" t="s">
        <v>689</v>
      </c>
      <c r="J311" s="15" t="s">
        <v>188</v>
      </c>
      <c r="K311" s="15"/>
      <c r="L311" s="15"/>
    </row>
    <row r="312">
      <c r="A312" s="15">
        <v>311.0</v>
      </c>
      <c r="B312" s="23">
        <v>45913.0</v>
      </c>
      <c r="C312" s="19" t="s">
        <v>764</v>
      </c>
      <c r="D312" s="15"/>
      <c r="E312" s="15" t="s">
        <v>758</v>
      </c>
      <c r="F312" s="15"/>
      <c r="G312" s="15" t="s">
        <v>759</v>
      </c>
      <c r="H312" s="15" t="s">
        <v>760</v>
      </c>
      <c r="I312" s="15" t="s">
        <v>689</v>
      </c>
      <c r="J312" s="15" t="s">
        <v>188</v>
      </c>
      <c r="K312" s="15"/>
      <c r="L312" s="15"/>
    </row>
    <row r="313">
      <c r="A313" s="15">
        <v>312.0</v>
      </c>
      <c r="B313" s="23">
        <v>45913.0</v>
      </c>
      <c r="C313" s="19" t="s">
        <v>765</v>
      </c>
      <c r="D313" s="15"/>
      <c r="E313" s="15" t="s">
        <v>758</v>
      </c>
      <c r="F313" s="15"/>
      <c r="G313" s="15" t="s">
        <v>759</v>
      </c>
      <c r="H313" s="15" t="s">
        <v>760</v>
      </c>
      <c r="I313" s="15" t="s">
        <v>689</v>
      </c>
      <c r="J313" s="15" t="s">
        <v>188</v>
      </c>
      <c r="K313" s="15"/>
      <c r="L313" s="15"/>
    </row>
    <row r="314">
      <c r="A314" s="15">
        <v>313.0</v>
      </c>
      <c r="B314" s="23">
        <v>45913.0</v>
      </c>
      <c r="C314" s="19" t="s">
        <v>766</v>
      </c>
      <c r="D314" s="15"/>
      <c r="E314" s="15" t="s">
        <v>758</v>
      </c>
      <c r="F314" s="15"/>
      <c r="G314" s="15" t="s">
        <v>759</v>
      </c>
      <c r="H314" s="15" t="s">
        <v>760</v>
      </c>
      <c r="I314" s="15" t="s">
        <v>689</v>
      </c>
      <c r="J314" s="15" t="s">
        <v>188</v>
      </c>
      <c r="K314" s="15"/>
      <c r="L314" s="15"/>
    </row>
    <row r="315">
      <c r="A315" s="15">
        <v>314.0</v>
      </c>
      <c r="B315" s="23">
        <v>45913.0</v>
      </c>
      <c r="C315" s="19" t="s">
        <v>767</v>
      </c>
      <c r="D315" s="15"/>
      <c r="E315" s="15" t="s">
        <v>758</v>
      </c>
      <c r="F315" s="15"/>
      <c r="G315" s="15" t="s">
        <v>759</v>
      </c>
      <c r="H315" s="15" t="s">
        <v>760</v>
      </c>
      <c r="I315" s="15" t="s">
        <v>689</v>
      </c>
      <c r="J315" s="15" t="s">
        <v>188</v>
      </c>
      <c r="K315" s="15"/>
      <c r="L315" s="15"/>
    </row>
    <row r="316">
      <c r="A316" s="15">
        <v>315.0</v>
      </c>
      <c r="B316" s="23">
        <v>45913.0</v>
      </c>
      <c r="C316" s="19" t="s">
        <v>768</v>
      </c>
      <c r="D316" s="15"/>
      <c r="E316" s="15" t="s">
        <v>758</v>
      </c>
      <c r="F316" s="15"/>
      <c r="G316" s="15" t="s">
        <v>759</v>
      </c>
      <c r="H316" s="15" t="s">
        <v>760</v>
      </c>
      <c r="I316" s="15" t="s">
        <v>689</v>
      </c>
      <c r="J316" s="15" t="s">
        <v>188</v>
      </c>
      <c r="K316" s="15"/>
      <c r="L316" s="15"/>
    </row>
    <row r="317">
      <c r="A317" s="15">
        <v>316.0</v>
      </c>
      <c r="B317" s="23">
        <v>45913.0</v>
      </c>
      <c r="C317" s="19" t="s">
        <v>769</v>
      </c>
      <c r="D317" s="15"/>
      <c r="E317" s="15" t="s">
        <v>758</v>
      </c>
      <c r="F317" s="15"/>
      <c r="G317" s="15" t="s">
        <v>759</v>
      </c>
      <c r="H317" s="15" t="s">
        <v>760</v>
      </c>
      <c r="I317" s="15" t="s">
        <v>689</v>
      </c>
      <c r="J317" s="15" t="s">
        <v>188</v>
      </c>
      <c r="K317" s="15"/>
      <c r="L317" s="15"/>
    </row>
    <row r="318">
      <c r="A318" s="15">
        <v>317.0</v>
      </c>
      <c r="B318" s="23">
        <v>45913.0</v>
      </c>
      <c r="C318" s="19" t="s">
        <v>770</v>
      </c>
      <c r="D318" s="15"/>
      <c r="E318" s="15" t="s">
        <v>758</v>
      </c>
      <c r="F318" s="15"/>
      <c r="G318" s="15" t="s">
        <v>759</v>
      </c>
      <c r="H318" s="15" t="s">
        <v>760</v>
      </c>
      <c r="I318" s="15" t="s">
        <v>689</v>
      </c>
      <c r="J318" s="15" t="s">
        <v>188</v>
      </c>
      <c r="K318" s="15"/>
      <c r="L318" s="15"/>
    </row>
    <row r="319">
      <c r="A319" s="15">
        <v>318.0</v>
      </c>
      <c r="B319" s="23">
        <v>45913.0</v>
      </c>
      <c r="C319" s="19" t="s">
        <v>771</v>
      </c>
      <c r="D319" s="15"/>
      <c r="E319" s="15" t="s">
        <v>401</v>
      </c>
      <c r="F319" s="15" t="str">
        <f>IFERROR(__xludf.DUMMYFUNCTION("if(REGEXMATCH(C319,""x.com"")=TRUE,""Twitter"",if(REGEXMATCH(C319,""facebook"")=TRUE,""Facebook"",if(REGEXMATCH(C319,""instagram"")=TRUE,""Instagram"",if(REGEXMATCH(C319,""youtube"")=TRUE,""Youtube"",if(REGEXMATCH(C319,""tiktok"")=TRUE,""Tiktok"",if(REGEX"&amp;"MATCH(C319,""threads"")=TRUE,""Threads""))))))"),"Facebook")</f>
        <v>Facebook</v>
      </c>
      <c r="G319" s="15" t="s">
        <v>402</v>
      </c>
      <c r="H319" s="15" t="s">
        <v>772</v>
      </c>
      <c r="I319" s="15" t="s">
        <v>689</v>
      </c>
      <c r="J319" s="15" t="s">
        <v>188</v>
      </c>
      <c r="K319" s="15"/>
      <c r="L319" s="15"/>
    </row>
    <row r="320">
      <c r="A320" s="15">
        <v>319.0</v>
      </c>
      <c r="B320" s="23">
        <v>45913.0</v>
      </c>
      <c r="C320" s="19" t="s">
        <v>773</v>
      </c>
      <c r="D320" s="15"/>
      <c r="E320" s="15" t="s">
        <v>401</v>
      </c>
      <c r="F320" s="15" t="str">
        <f>IFERROR(__xludf.DUMMYFUNCTION("if(REGEXMATCH(C320,""x.com"")=TRUE,""Twitter"",if(REGEXMATCH(C320,""facebook"")=TRUE,""Facebook"",if(REGEXMATCH(C320,""instagram"")=TRUE,""Instagram"",if(REGEXMATCH(C320,""youtube"")=TRUE,""Youtube"",if(REGEXMATCH(C320,""tiktok"")=TRUE,""Tiktok"",if(REGEX"&amp;"MATCH(C320,""threads"")=TRUE,""Threads""))))))"),"Facebook")</f>
        <v>Facebook</v>
      </c>
      <c r="G320" s="15" t="s">
        <v>402</v>
      </c>
      <c r="H320" s="15" t="s">
        <v>772</v>
      </c>
      <c r="I320" s="15" t="s">
        <v>689</v>
      </c>
      <c r="J320" s="15" t="s">
        <v>188</v>
      </c>
      <c r="K320" s="15"/>
      <c r="L320" s="15"/>
    </row>
    <row r="321">
      <c r="A321" s="15">
        <v>320.0</v>
      </c>
      <c r="B321" s="23">
        <v>45913.0</v>
      </c>
      <c r="C321" s="19" t="s">
        <v>774</v>
      </c>
      <c r="D321" s="15"/>
      <c r="E321" s="15" t="s">
        <v>401</v>
      </c>
      <c r="F321" s="15" t="str">
        <f>IFERROR(__xludf.DUMMYFUNCTION("if(REGEXMATCH(C321,""x.com"")=TRUE,""Twitter"",if(REGEXMATCH(C321,""facebook"")=TRUE,""Facebook"",if(REGEXMATCH(C321,""instagram"")=TRUE,""Instagram"",if(REGEXMATCH(C321,""youtube"")=TRUE,""Youtube"",if(REGEXMATCH(C321,""tiktok"")=TRUE,""Tiktok"",if(REGEX"&amp;"MATCH(C321,""threads"")=TRUE,""Threads""))))))"),"Facebook")</f>
        <v>Facebook</v>
      </c>
      <c r="G321" s="15" t="s">
        <v>402</v>
      </c>
      <c r="H321" s="15" t="s">
        <v>772</v>
      </c>
      <c r="I321" s="15" t="s">
        <v>689</v>
      </c>
      <c r="J321" s="15" t="s">
        <v>188</v>
      </c>
      <c r="K321" s="15"/>
      <c r="L321" s="15"/>
    </row>
    <row r="322">
      <c r="A322" s="15">
        <v>321.0</v>
      </c>
      <c r="B322" s="23">
        <v>45913.0</v>
      </c>
      <c r="C322" s="19" t="s">
        <v>775</v>
      </c>
      <c r="D322" s="15"/>
      <c r="E322" s="15" t="s">
        <v>401</v>
      </c>
      <c r="F322" s="15" t="str">
        <f>IFERROR(__xludf.DUMMYFUNCTION("if(REGEXMATCH(C322,""x.com"")=TRUE,""Twitter"",if(REGEXMATCH(C322,""facebook"")=TRUE,""Facebook"",if(REGEXMATCH(C322,""instagram"")=TRUE,""Instagram"",if(REGEXMATCH(C322,""youtube"")=TRUE,""Youtube"",if(REGEXMATCH(C322,""tiktok"")=TRUE,""Tiktok"",if(REGEX"&amp;"MATCH(C322,""threads"")=TRUE,""Threads""))))))"),"Facebook")</f>
        <v>Facebook</v>
      </c>
      <c r="G322" s="15" t="s">
        <v>402</v>
      </c>
      <c r="H322" s="15" t="s">
        <v>772</v>
      </c>
      <c r="I322" s="15" t="s">
        <v>689</v>
      </c>
      <c r="J322" s="15" t="s">
        <v>188</v>
      </c>
      <c r="K322" s="15"/>
      <c r="L322" s="15"/>
    </row>
    <row r="323">
      <c r="A323" s="15">
        <v>322.0</v>
      </c>
      <c r="B323" s="23">
        <v>45913.0</v>
      </c>
      <c r="C323" s="19" t="s">
        <v>776</v>
      </c>
      <c r="D323" s="15"/>
      <c r="E323" s="15" t="s">
        <v>401</v>
      </c>
      <c r="F323" s="15" t="str">
        <f>IFERROR(__xludf.DUMMYFUNCTION("if(REGEXMATCH(C323,""x.com"")=TRUE,""Twitter"",if(REGEXMATCH(C323,""facebook"")=TRUE,""Facebook"",if(REGEXMATCH(C323,""instagram"")=TRUE,""Instagram"",if(REGEXMATCH(C323,""youtube"")=TRUE,""Youtube"",if(REGEXMATCH(C323,""tiktok"")=TRUE,""Tiktok"",if(REGEX"&amp;"MATCH(C323,""threads"")=TRUE,""Threads""))))))"),"Facebook")</f>
        <v>Facebook</v>
      </c>
      <c r="G323" s="15" t="s">
        <v>402</v>
      </c>
      <c r="H323" s="15" t="s">
        <v>772</v>
      </c>
      <c r="I323" s="15" t="s">
        <v>689</v>
      </c>
      <c r="J323" s="15" t="s">
        <v>188</v>
      </c>
      <c r="K323" s="15"/>
      <c r="L323" s="15"/>
    </row>
    <row r="324">
      <c r="A324" s="15">
        <v>323.0</v>
      </c>
      <c r="B324" s="23">
        <v>45914.0</v>
      </c>
      <c r="C324" s="19" t="s">
        <v>777</v>
      </c>
      <c r="D324" s="15"/>
      <c r="E324" s="15" t="s">
        <v>184</v>
      </c>
      <c r="F324" s="15" t="str">
        <f>IFERROR(__xludf.DUMMYFUNCTION("if(REGEXMATCH(C324,""x.com"")=TRUE,""Twitter"",if(REGEXMATCH(C324,""facebook"")=TRUE,""Facebook"",if(REGEXMATCH(C324,""instagram"")=TRUE,""Instagram"",if(REGEXMATCH(C324,""youtube"")=TRUE,""Youtube"",if(REGEXMATCH(C324,""tiktok"")=TRUE,""Tiktok"",if(REGEX"&amp;"MATCH(C324,""threads"")=TRUE,""Threads""))))))"),"Tiktok")</f>
        <v>Tiktok</v>
      </c>
      <c r="G324" s="15" t="s">
        <v>778</v>
      </c>
      <c r="H324" s="15" t="s">
        <v>779</v>
      </c>
      <c r="I324" s="15" t="s">
        <v>780</v>
      </c>
      <c r="J324" s="15" t="s">
        <v>188</v>
      </c>
      <c r="K324" s="15"/>
      <c r="L324" s="15"/>
    </row>
    <row r="325">
      <c r="A325" s="15">
        <v>324.0</v>
      </c>
      <c r="B325" s="23">
        <v>45914.0</v>
      </c>
      <c r="C325" s="19" t="s">
        <v>781</v>
      </c>
      <c r="D325" s="15"/>
      <c r="E325" s="15" t="s">
        <v>429</v>
      </c>
      <c r="F325" s="15" t="str">
        <f>IFERROR(__xludf.DUMMYFUNCTION("if(REGEXMATCH(C325,""x.com"")=TRUE,""Twitter"",if(REGEXMATCH(C325,""facebook"")=TRUE,""Facebook"",if(REGEXMATCH(C325,""instagram"")=TRUE,""Instagram"",if(REGEXMATCH(C325,""youtube"")=TRUE,""Youtube"",if(REGEXMATCH(C325,""tiktok"")=TRUE,""Tiktok"",if(REGEX"&amp;"MATCH(C325,""threads"")=TRUE,""Threads""))))))"),"Tiktok")</f>
        <v>Tiktok</v>
      </c>
      <c r="G325" s="15" t="s">
        <v>782</v>
      </c>
      <c r="H325" s="15" t="s">
        <v>779</v>
      </c>
      <c r="I325" s="15"/>
      <c r="J325" s="15" t="s">
        <v>188</v>
      </c>
      <c r="K325" s="15"/>
      <c r="L325" s="15"/>
    </row>
    <row r="326">
      <c r="A326" s="15">
        <v>325.0</v>
      </c>
      <c r="B326" s="23">
        <v>45914.0</v>
      </c>
      <c r="C326" s="19" t="s">
        <v>783</v>
      </c>
      <c r="D326" s="15"/>
      <c r="E326" s="15" t="s">
        <v>429</v>
      </c>
      <c r="F326" s="15" t="str">
        <f>IFERROR(__xludf.DUMMYFUNCTION("if(REGEXMATCH(C326,""x.com"")=TRUE,""Twitter"",if(REGEXMATCH(C326,""facebook"")=TRUE,""Facebook"",if(REGEXMATCH(C326,""instagram"")=TRUE,""Instagram"",if(REGEXMATCH(C326,""youtube"")=TRUE,""Youtube"",if(REGEXMATCH(C326,""tiktok"")=TRUE,""Tiktok"",if(REGEX"&amp;"MATCH(C326,""threads"")=TRUE,""Threads""))))))"),"Tiktok")</f>
        <v>Tiktok</v>
      </c>
      <c r="G326" s="15" t="s">
        <v>784</v>
      </c>
      <c r="H326" s="15" t="s">
        <v>779</v>
      </c>
      <c r="I326" s="15"/>
      <c r="J326" s="15" t="s">
        <v>188</v>
      </c>
      <c r="K326" s="15"/>
      <c r="L326" s="15"/>
    </row>
    <row r="327">
      <c r="A327" s="15">
        <v>326.0</v>
      </c>
      <c r="B327" s="23">
        <v>45914.0</v>
      </c>
      <c r="C327" s="19" t="s">
        <v>785</v>
      </c>
      <c r="D327" s="15"/>
      <c r="E327" s="15" t="s">
        <v>429</v>
      </c>
      <c r="F327" s="15" t="str">
        <f>IFERROR(__xludf.DUMMYFUNCTION("if(REGEXMATCH(C327,""x.com"")=TRUE,""Twitter"",if(REGEXMATCH(C327,""facebook"")=TRUE,""Facebook"",if(REGEXMATCH(C327,""instagram"")=TRUE,""Instagram"",if(REGEXMATCH(C327,""youtube"")=TRUE,""Youtube"",if(REGEXMATCH(C327,""tiktok"")=TRUE,""Tiktok"",if(REGEX"&amp;"MATCH(C327,""threads"")=TRUE,""Threads""))))))"),"Tiktok")</f>
        <v>Tiktok</v>
      </c>
      <c r="G327" s="15" t="s">
        <v>786</v>
      </c>
      <c r="H327" s="15" t="s">
        <v>779</v>
      </c>
      <c r="I327" s="15"/>
      <c r="J327" s="15" t="s">
        <v>188</v>
      </c>
      <c r="K327" s="15"/>
      <c r="L327" s="15"/>
    </row>
    <row r="328">
      <c r="A328" s="15">
        <v>327.0</v>
      </c>
      <c r="B328" s="23">
        <v>45914.0</v>
      </c>
      <c r="C328" s="19" t="s">
        <v>787</v>
      </c>
      <c r="D328" s="15"/>
      <c r="E328" s="15" t="s">
        <v>429</v>
      </c>
      <c r="F328" s="15" t="str">
        <f>IFERROR(__xludf.DUMMYFUNCTION("if(REGEXMATCH(C328,""x.com"")=TRUE,""Twitter"",if(REGEXMATCH(C328,""facebook"")=TRUE,""Facebook"",if(REGEXMATCH(C328,""instagram"")=TRUE,""Instagram"",if(REGEXMATCH(C328,""youtube"")=TRUE,""Youtube"",if(REGEXMATCH(C328,""tiktok"")=TRUE,""Tiktok"",if(REGEX"&amp;"MATCH(C328,""threads"")=TRUE,""Threads""))))))"),"Tiktok")</f>
        <v>Tiktok</v>
      </c>
      <c r="G328" s="15" t="s">
        <v>788</v>
      </c>
      <c r="H328" s="15" t="s">
        <v>779</v>
      </c>
      <c r="I328" s="15"/>
      <c r="J328" s="15" t="s">
        <v>188</v>
      </c>
      <c r="K328" s="15"/>
      <c r="L328" s="15"/>
    </row>
    <row r="329">
      <c r="A329" s="15">
        <v>328.0</v>
      </c>
      <c r="B329" s="23">
        <v>45914.0</v>
      </c>
      <c r="C329" s="19" t="s">
        <v>789</v>
      </c>
      <c r="D329" s="15"/>
      <c r="E329" s="15" t="s">
        <v>429</v>
      </c>
      <c r="F329" s="15" t="str">
        <f>IFERROR(__xludf.DUMMYFUNCTION("if(REGEXMATCH(C329,""x.com"")=TRUE,""Twitter"",if(REGEXMATCH(C329,""facebook"")=TRUE,""Facebook"",if(REGEXMATCH(C329,""instagram"")=TRUE,""Instagram"",if(REGEXMATCH(C329,""youtube"")=TRUE,""Youtube"",if(REGEXMATCH(C329,""tiktok"")=TRUE,""Tiktok"",if(REGEX"&amp;"MATCH(C329,""threads"")=TRUE,""Threads""))))))"),"Facebook")</f>
        <v>Facebook</v>
      </c>
      <c r="G329" s="15" t="s">
        <v>790</v>
      </c>
      <c r="H329" s="15" t="s">
        <v>779</v>
      </c>
      <c r="I329" s="15"/>
      <c r="J329" s="15" t="s">
        <v>188</v>
      </c>
      <c r="K329" s="15"/>
      <c r="L329" s="15"/>
    </row>
    <row r="330">
      <c r="A330" s="15">
        <v>329.0</v>
      </c>
      <c r="B330" s="23">
        <v>45914.0</v>
      </c>
      <c r="C330" s="19" t="s">
        <v>791</v>
      </c>
      <c r="D330" s="15"/>
      <c r="E330" s="15" t="s">
        <v>184</v>
      </c>
      <c r="F330" s="15" t="str">
        <f>IFERROR(__xludf.DUMMYFUNCTION("if(REGEXMATCH(C330,""x.com"")=TRUE,""Twitter"",if(REGEXMATCH(C330,""facebook"")=TRUE,""Facebook"",if(REGEXMATCH(C330,""instagram"")=TRUE,""Instagram"",if(REGEXMATCH(C330,""youtube"")=TRUE,""Youtube"",if(REGEXMATCH(C330,""tiktok"")=TRUE,""Tiktok"",if(REGEX"&amp;"MATCH(C330,""threads"")=TRUE,""Threads""))))))"),"Facebook")</f>
        <v>Facebook</v>
      </c>
      <c r="G330" s="15" t="s">
        <v>792</v>
      </c>
      <c r="H330" s="15" t="s">
        <v>779</v>
      </c>
      <c r="I330" s="15"/>
      <c r="J330" s="15" t="s">
        <v>188</v>
      </c>
      <c r="K330" s="15"/>
      <c r="L330" s="15"/>
    </row>
    <row r="331">
      <c r="A331" s="15">
        <v>330.0</v>
      </c>
      <c r="B331" s="23">
        <v>45914.0</v>
      </c>
      <c r="C331" s="19" t="s">
        <v>793</v>
      </c>
      <c r="D331" s="15"/>
      <c r="E331" s="15" t="s">
        <v>184</v>
      </c>
      <c r="F331" s="15" t="str">
        <f>IFERROR(__xludf.DUMMYFUNCTION("if(REGEXMATCH(C331,""x.com"")=TRUE,""Twitter"",if(REGEXMATCH(C331,""facebook"")=TRUE,""Facebook"",if(REGEXMATCH(C331,""instagram"")=TRUE,""Instagram"",if(REGEXMATCH(C331,""youtube"")=TRUE,""Youtube"",if(REGEXMATCH(C331,""tiktok"")=TRUE,""Tiktok"",if(REGEX"&amp;"MATCH(C331,""threads"")=TRUE,""Threads""))))))"),"Twitter")</f>
        <v>Twitter</v>
      </c>
      <c r="G331" s="15" t="s">
        <v>794</v>
      </c>
      <c r="H331" s="15" t="s">
        <v>779</v>
      </c>
      <c r="I331" s="15"/>
      <c r="J331" s="15" t="s">
        <v>188</v>
      </c>
      <c r="K331" s="15"/>
      <c r="L331" s="15"/>
    </row>
    <row r="332">
      <c r="A332" s="15">
        <v>331.0</v>
      </c>
      <c r="B332" s="23">
        <v>45914.0</v>
      </c>
      <c r="C332" s="19" t="s">
        <v>795</v>
      </c>
      <c r="D332" s="15"/>
      <c r="E332" s="15" t="s">
        <v>184</v>
      </c>
      <c r="F332" s="15" t="str">
        <f>IFERROR(__xludf.DUMMYFUNCTION("if(REGEXMATCH(C332,""x.com"")=TRUE,""Twitter"",if(REGEXMATCH(C332,""facebook"")=TRUE,""Facebook"",if(REGEXMATCH(C332,""instagram"")=TRUE,""Instagram"",if(REGEXMATCH(C332,""youtube"")=TRUE,""Youtube"",if(REGEXMATCH(C332,""tiktok"")=TRUE,""Tiktok"",if(REGEX"&amp;"MATCH(C332,""threads"")=TRUE,""Threads""))))))"),"Twitter")</f>
        <v>Twitter</v>
      </c>
      <c r="G332" s="15" t="s">
        <v>796</v>
      </c>
      <c r="H332" s="15"/>
      <c r="I332" s="15"/>
      <c r="J332" s="15" t="s">
        <v>188</v>
      </c>
      <c r="K332" s="15"/>
      <c r="L332" s="15"/>
    </row>
    <row r="333">
      <c r="A333" s="15">
        <v>332.0</v>
      </c>
      <c r="B333" s="23">
        <v>45914.0</v>
      </c>
      <c r="C333" s="19" t="s">
        <v>797</v>
      </c>
      <c r="D333" s="15"/>
      <c r="E333" s="15" t="s">
        <v>798</v>
      </c>
      <c r="F333" s="15" t="str">
        <f>IFERROR(__xludf.DUMMYFUNCTION("if(REGEXMATCH(C333,""x.com"")=TRUE,""Twitter"",if(REGEXMATCH(C333,""facebook"")=TRUE,""Facebook"",if(REGEXMATCH(C333,""instagram"")=TRUE,""Instagram"",if(REGEXMATCH(C333,""youtube"")=TRUE,""Youtube"",if(REGEXMATCH(C333,""tiktok"")=TRUE,""Tiktok"",if(REGEX"&amp;"MATCH(C333,""threads"")=TRUE,""Threads""))))))"),"Twitter")</f>
        <v>Twitter</v>
      </c>
      <c r="G333" s="15" t="s">
        <v>799</v>
      </c>
      <c r="H333" s="15"/>
      <c r="I333" s="15"/>
      <c r="J333" s="15" t="s">
        <v>188</v>
      </c>
      <c r="K333" s="15"/>
      <c r="L333" s="15"/>
    </row>
    <row r="334">
      <c r="A334" s="15">
        <v>333.0</v>
      </c>
      <c r="B334" s="23">
        <v>45914.0</v>
      </c>
      <c r="C334" s="19" t="s">
        <v>800</v>
      </c>
      <c r="D334" s="15"/>
      <c r="E334" s="15" t="s">
        <v>226</v>
      </c>
      <c r="F334" s="15" t="str">
        <f>IFERROR(__xludf.DUMMYFUNCTION("if(REGEXMATCH(C334,""x.com"")=TRUE,""Twitter"",if(REGEXMATCH(C334,""facebook"")=TRUE,""Facebook"",if(REGEXMATCH(C334,""instagram"")=TRUE,""Instagram"",if(REGEXMATCH(C334,""youtube"")=TRUE,""Youtube"",if(REGEXMATCH(C334,""tiktok"")=TRUE,""Tiktok"",if(REGEX"&amp;"MATCH(C334,""threads"")=TRUE,""Threads""))))))"),"Facebook")</f>
        <v>Facebook</v>
      </c>
      <c r="G334" s="15" t="s">
        <v>801</v>
      </c>
      <c r="H334" s="15"/>
      <c r="I334" s="15"/>
      <c r="J334" s="15" t="s">
        <v>188</v>
      </c>
      <c r="K334" s="15"/>
      <c r="L334" s="15"/>
    </row>
    <row r="335">
      <c r="A335" s="15">
        <v>334.0</v>
      </c>
      <c r="B335" s="23">
        <v>45914.0</v>
      </c>
      <c r="C335" s="19" t="s">
        <v>802</v>
      </c>
      <c r="D335" s="15"/>
      <c r="E335" s="15" t="s">
        <v>202</v>
      </c>
      <c r="F335" s="15" t="str">
        <f>IFERROR(__xludf.DUMMYFUNCTION("if(REGEXMATCH(C335,""x.com"")=TRUE,""Twitter"",if(REGEXMATCH(C335,""facebook"")=TRUE,""Facebook"",if(REGEXMATCH(C335,""instagram"")=TRUE,""Instagram"",if(REGEXMATCH(C335,""youtube"")=TRUE,""Youtube"",if(REGEXMATCH(C335,""tiktok"")=TRUE,""Tiktok"",if(REGEX"&amp;"MATCH(C335,""threads"")=TRUE,""Threads""))))))"),"Facebook")</f>
        <v>Facebook</v>
      </c>
      <c r="G335" s="15" t="s">
        <v>803</v>
      </c>
      <c r="H335" s="15"/>
      <c r="I335" s="15"/>
      <c r="J335" s="15" t="s">
        <v>188</v>
      </c>
      <c r="K335" s="15"/>
      <c r="L335" s="15"/>
    </row>
    <row r="336">
      <c r="A336" s="15">
        <v>335.0</v>
      </c>
      <c r="B336" s="23">
        <v>45914.0</v>
      </c>
      <c r="C336" s="19" t="s">
        <v>804</v>
      </c>
      <c r="D336" s="15"/>
      <c r="E336" s="15" t="s">
        <v>226</v>
      </c>
      <c r="F336" s="15" t="str">
        <f>IFERROR(__xludf.DUMMYFUNCTION("if(REGEXMATCH(C336,""x.com"")=TRUE,""Twitter"",if(REGEXMATCH(C336,""facebook"")=TRUE,""Facebook"",if(REGEXMATCH(C336,""instagram"")=TRUE,""Instagram"",if(REGEXMATCH(C336,""youtube"")=TRUE,""Youtube"",if(REGEXMATCH(C336,""tiktok"")=TRUE,""Tiktok"",if(REGEX"&amp;"MATCH(C336,""threads"")=TRUE,""Threads""))))))"),"Facebook")</f>
        <v>Facebook</v>
      </c>
      <c r="G336" s="15" t="s">
        <v>805</v>
      </c>
      <c r="H336" s="15"/>
      <c r="I336" s="15"/>
      <c r="J336" s="15" t="s">
        <v>188</v>
      </c>
      <c r="K336" s="15"/>
      <c r="L336" s="15"/>
    </row>
    <row r="337">
      <c r="A337" s="15">
        <v>336.0</v>
      </c>
      <c r="B337" s="23">
        <v>45914.0</v>
      </c>
      <c r="C337" s="19" t="s">
        <v>806</v>
      </c>
      <c r="D337" s="15"/>
      <c r="E337" s="15" t="s">
        <v>798</v>
      </c>
      <c r="F337" s="15" t="str">
        <f>IFERROR(__xludf.DUMMYFUNCTION("if(REGEXMATCH(C337,""x.com"")=TRUE,""Twitter"",if(REGEXMATCH(C337,""facebook"")=TRUE,""Facebook"",if(REGEXMATCH(C337,""instagram"")=TRUE,""Instagram"",if(REGEXMATCH(C337,""youtube"")=TRUE,""Youtube"",if(REGEXMATCH(C337,""tiktok"")=TRUE,""Tiktok"",if(REGEX"&amp;"MATCH(C337,""threads"")=TRUE,""Threads""))))))"),"Facebook")</f>
        <v>Facebook</v>
      </c>
      <c r="G337" s="15" t="s">
        <v>807</v>
      </c>
      <c r="H337" s="15"/>
      <c r="I337" s="15"/>
      <c r="J337" s="15" t="s">
        <v>188</v>
      </c>
      <c r="K337" s="15"/>
      <c r="L337" s="15"/>
    </row>
    <row r="338">
      <c r="A338" s="15">
        <v>337.0</v>
      </c>
      <c r="B338" s="23">
        <v>45914.0</v>
      </c>
      <c r="C338" s="19" t="s">
        <v>808</v>
      </c>
      <c r="D338" s="15"/>
      <c r="E338" s="15" t="s">
        <v>798</v>
      </c>
      <c r="F338" s="15" t="str">
        <f>IFERROR(__xludf.DUMMYFUNCTION("if(REGEXMATCH(C338,""x.com"")=TRUE,""Twitter"",if(REGEXMATCH(C338,""facebook"")=TRUE,""Facebook"",if(REGEXMATCH(C338,""instagram"")=TRUE,""Instagram"",if(REGEXMATCH(C338,""youtube"")=TRUE,""Youtube"",if(REGEXMATCH(C338,""tiktok"")=TRUE,""Tiktok"",if(REGEX"&amp;"MATCH(C338,""threads"")=TRUE,""Threads""))))))"),"Facebook")</f>
        <v>Facebook</v>
      </c>
      <c r="G338" s="15" t="s">
        <v>809</v>
      </c>
      <c r="H338" s="15"/>
      <c r="I338" s="15"/>
      <c r="J338" s="15" t="s">
        <v>188</v>
      </c>
      <c r="K338" s="15"/>
      <c r="L338" s="15"/>
    </row>
    <row r="339">
      <c r="A339" s="15">
        <v>338.0</v>
      </c>
      <c r="B339" s="23">
        <v>45914.0</v>
      </c>
      <c r="C339" s="19" t="s">
        <v>810</v>
      </c>
      <c r="D339" s="15"/>
      <c r="E339" s="15" t="s">
        <v>798</v>
      </c>
      <c r="F339" s="15" t="str">
        <f>IFERROR(__xludf.DUMMYFUNCTION("if(REGEXMATCH(C339,""x.com"")=TRUE,""Twitter"",if(REGEXMATCH(C339,""facebook"")=TRUE,""Facebook"",if(REGEXMATCH(C339,""instagram"")=TRUE,""Instagram"",if(REGEXMATCH(C339,""youtube"")=TRUE,""Youtube"",if(REGEXMATCH(C339,""tiktok"")=TRUE,""Tiktok"",if(REGEX"&amp;"MATCH(C339,""threads"")=TRUE,""Threads""))))))"),"Facebook")</f>
        <v>Facebook</v>
      </c>
      <c r="G339" s="15" t="s">
        <v>811</v>
      </c>
      <c r="H339" s="15"/>
      <c r="I339" s="15"/>
      <c r="J339" s="15" t="s">
        <v>188</v>
      </c>
      <c r="K339" s="15"/>
      <c r="L339" s="15"/>
    </row>
    <row r="340">
      <c r="A340" s="15">
        <v>339.0</v>
      </c>
      <c r="B340" s="23">
        <v>45914.0</v>
      </c>
      <c r="C340" s="19" t="s">
        <v>812</v>
      </c>
      <c r="D340" s="15"/>
      <c r="E340" s="15" t="s">
        <v>401</v>
      </c>
      <c r="F340" s="15" t="str">
        <f>IFERROR(__xludf.DUMMYFUNCTION("if(REGEXMATCH(C340,""x.com"")=TRUE,""Twitter"",if(REGEXMATCH(C340,""facebook"")=TRUE,""Facebook"",if(REGEXMATCH(C340,""instagram"")=TRUE,""Instagram"",if(REGEXMATCH(C340,""youtube"")=TRUE,""Youtube"",if(REGEXMATCH(C340,""tiktok"")=TRUE,""Tiktok"",if(REGEX"&amp;"MATCH(C340,""threads"")=TRUE,""Threads""))))))"),"Facebook")</f>
        <v>Facebook</v>
      </c>
      <c r="G340" s="15" t="s">
        <v>402</v>
      </c>
      <c r="H340" s="15" t="s">
        <v>772</v>
      </c>
      <c r="I340" s="15" t="s">
        <v>689</v>
      </c>
      <c r="J340" s="15" t="s">
        <v>188</v>
      </c>
      <c r="K340" s="15"/>
      <c r="L340" s="15"/>
    </row>
    <row r="341">
      <c r="A341" s="15">
        <v>340.0</v>
      </c>
      <c r="B341" s="23">
        <v>45914.0</v>
      </c>
      <c r="C341" s="20" t="s">
        <v>813</v>
      </c>
      <c r="D341" s="15"/>
      <c r="E341" s="15" t="s">
        <v>401</v>
      </c>
      <c r="F341" s="15" t="str">
        <f>IFERROR(__xludf.DUMMYFUNCTION("if(REGEXMATCH(C341,""x.com"")=TRUE,""Twitter"",if(REGEXMATCH(C341,""facebook"")=TRUE,""Facebook"",if(REGEXMATCH(C341,""instagram"")=TRUE,""Instagram"",if(REGEXMATCH(C341,""youtube"")=TRUE,""Youtube"",if(REGEXMATCH(C341,""tiktok"")=TRUE,""Tiktok"",if(REGEX"&amp;"MATCH(C341,""threads"")=TRUE,""Threads""))))))"),"Facebook")</f>
        <v>Facebook</v>
      </c>
      <c r="G341" s="15" t="s">
        <v>402</v>
      </c>
      <c r="H341" s="15" t="s">
        <v>772</v>
      </c>
      <c r="I341" s="15" t="s">
        <v>689</v>
      </c>
      <c r="J341" s="15" t="s">
        <v>188</v>
      </c>
      <c r="K341" s="15"/>
      <c r="L341" s="15"/>
    </row>
    <row r="342">
      <c r="A342" s="15">
        <v>341.0</v>
      </c>
      <c r="B342" s="23">
        <v>45914.0</v>
      </c>
      <c r="C342" s="19" t="s">
        <v>814</v>
      </c>
      <c r="D342" s="15"/>
      <c r="E342" s="15" t="s">
        <v>401</v>
      </c>
      <c r="F342" s="15" t="str">
        <f>IFERROR(__xludf.DUMMYFUNCTION("if(REGEXMATCH(C342,""x.com"")=TRUE,""Twitter"",if(REGEXMATCH(C342,""facebook"")=TRUE,""Facebook"",if(REGEXMATCH(C342,""instagram"")=TRUE,""Instagram"",if(REGEXMATCH(C342,""youtube"")=TRUE,""Youtube"",if(REGEXMATCH(C342,""tiktok"")=TRUE,""Tiktok"",if(REGEX"&amp;"MATCH(C342,""threads"")=TRUE,""Threads""))))))"),"Facebook")</f>
        <v>Facebook</v>
      </c>
      <c r="G342" s="15" t="s">
        <v>402</v>
      </c>
      <c r="H342" s="15" t="s">
        <v>772</v>
      </c>
      <c r="I342" s="15" t="s">
        <v>689</v>
      </c>
      <c r="J342" s="15" t="s">
        <v>188</v>
      </c>
      <c r="K342" s="15"/>
      <c r="L342" s="15"/>
    </row>
    <row r="343">
      <c r="A343" s="15">
        <v>342.0</v>
      </c>
      <c r="B343" s="23">
        <v>45914.0</v>
      </c>
      <c r="C343" s="19" t="s">
        <v>776</v>
      </c>
      <c r="D343" s="15"/>
      <c r="E343" s="15" t="s">
        <v>401</v>
      </c>
      <c r="F343" s="15" t="str">
        <f>IFERROR(__xludf.DUMMYFUNCTION("if(REGEXMATCH(C343,""x.com"")=TRUE,""Twitter"",if(REGEXMATCH(C343,""facebook"")=TRUE,""Facebook"",if(REGEXMATCH(C343,""instagram"")=TRUE,""Instagram"",if(REGEXMATCH(C343,""youtube"")=TRUE,""Youtube"",if(REGEXMATCH(C343,""tiktok"")=TRUE,""Tiktok"",if(REGEX"&amp;"MATCH(C343,""threads"")=TRUE,""Threads""))))))"),"Facebook")</f>
        <v>Facebook</v>
      </c>
      <c r="G343" s="15" t="s">
        <v>402</v>
      </c>
      <c r="H343" s="15" t="s">
        <v>772</v>
      </c>
      <c r="I343" s="15" t="s">
        <v>689</v>
      </c>
      <c r="J343" s="15" t="s">
        <v>188</v>
      </c>
      <c r="K343" s="15"/>
      <c r="L343" s="15"/>
    </row>
    <row r="344">
      <c r="A344" s="15">
        <v>343.0</v>
      </c>
      <c r="B344" s="23">
        <v>45914.0</v>
      </c>
      <c r="C344" s="20" t="s">
        <v>815</v>
      </c>
      <c r="D344" s="15"/>
      <c r="E344" s="15" t="s">
        <v>401</v>
      </c>
      <c r="F344" s="15" t="str">
        <f>IFERROR(__xludf.DUMMYFUNCTION("if(REGEXMATCH(C344,""x.com"")=TRUE,""Twitter"",if(REGEXMATCH(C344,""facebook"")=TRUE,""Facebook"",if(REGEXMATCH(C344,""instagram"")=TRUE,""Instagram"",if(REGEXMATCH(C344,""youtube"")=TRUE,""Youtube"",if(REGEXMATCH(C344,""tiktok"")=TRUE,""Tiktok"",if(REGEX"&amp;"MATCH(C344,""threads"")=TRUE,""Threads""))))))"),"Facebook")</f>
        <v>Facebook</v>
      </c>
      <c r="G344" s="15" t="s">
        <v>402</v>
      </c>
      <c r="H344" s="15" t="s">
        <v>772</v>
      </c>
      <c r="I344" s="15" t="s">
        <v>689</v>
      </c>
      <c r="J344" s="15" t="s">
        <v>188</v>
      </c>
      <c r="K344" s="15"/>
      <c r="L344" s="15"/>
    </row>
    <row r="345">
      <c r="A345" s="15">
        <v>344.0</v>
      </c>
      <c r="B345" s="23">
        <v>45914.0</v>
      </c>
      <c r="C345" s="20" t="s">
        <v>816</v>
      </c>
      <c r="D345" s="15"/>
      <c r="E345" s="15" t="s">
        <v>401</v>
      </c>
      <c r="F345" s="15" t="str">
        <f>IFERROR(__xludf.DUMMYFUNCTION("if(REGEXMATCH(C345,""x.com"")=TRUE,""Twitter"",if(REGEXMATCH(C345,""facebook"")=TRUE,""Facebook"",if(REGEXMATCH(C345,""instagram"")=TRUE,""Instagram"",if(REGEXMATCH(C345,""youtube"")=TRUE,""Youtube"",if(REGEXMATCH(C345,""tiktok"")=TRUE,""Tiktok"",if(REGEX"&amp;"MATCH(C345,""threads"")=TRUE,""Threads""))))))"),"Facebook")</f>
        <v>Facebook</v>
      </c>
      <c r="G345" s="15" t="s">
        <v>402</v>
      </c>
      <c r="H345" s="15" t="s">
        <v>772</v>
      </c>
      <c r="I345" s="15" t="s">
        <v>689</v>
      </c>
      <c r="J345" s="15" t="s">
        <v>188</v>
      </c>
      <c r="K345" s="15"/>
      <c r="L345" s="15"/>
    </row>
    <row r="346">
      <c r="A346" s="15">
        <v>345.0</v>
      </c>
      <c r="B346" s="23">
        <v>45914.0</v>
      </c>
      <c r="C346" s="19" t="s">
        <v>817</v>
      </c>
      <c r="D346" s="15"/>
      <c r="E346" s="15" t="s">
        <v>401</v>
      </c>
      <c r="F346" s="15" t="str">
        <f>IFERROR(__xludf.DUMMYFUNCTION("if(REGEXMATCH(C346,""x.com"")=TRUE,""Twitter"",if(REGEXMATCH(C346,""facebook"")=TRUE,""Facebook"",if(REGEXMATCH(C346,""instagram"")=TRUE,""Instagram"",if(REGEXMATCH(C346,""youtube"")=TRUE,""Youtube"",if(REGEXMATCH(C346,""tiktok"")=TRUE,""Tiktok"",if(REGEX"&amp;"MATCH(C346,""threads"")=TRUE,""Threads""))))))"),"Facebook")</f>
        <v>Facebook</v>
      </c>
      <c r="G346" s="15" t="s">
        <v>402</v>
      </c>
      <c r="H346" s="15" t="s">
        <v>772</v>
      </c>
      <c r="I346" s="15" t="s">
        <v>689</v>
      </c>
      <c r="J346" s="15" t="s">
        <v>188</v>
      </c>
      <c r="K346" s="15"/>
      <c r="L346" s="15"/>
    </row>
    <row r="347">
      <c r="A347" s="15">
        <v>346.0</v>
      </c>
      <c r="B347" s="23">
        <v>45914.0</v>
      </c>
      <c r="C347" s="19" t="s">
        <v>818</v>
      </c>
      <c r="D347" s="15"/>
      <c r="E347" s="15" t="s">
        <v>184</v>
      </c>
      <c r="F347" s="15" t="str">
        <f>IFERROR(__xludf.DUMMYFUNCTION("if(REGEXMATCH(C347,""x.com"")=TRUE,""Twitter"",if(REGEXMATCH(C347,""facebook"")=TRUE,""Facebook"",if(REGEXMATCH(C347,""instagram"")=TRUE,""Instagram"",if(REGEXMATCH(C347,""youtube"")=TRUE,""Youtube"",if(REGEXMATCH(C347,""tiktok"")=TRUE,""Tiktok"",if(REGEX"&amp;"MATCH(C347,""threads"")=TRUE,""Threads""))))))"),"Instagram")</f>
        <v>Instagram</v>
      </c>
      <c r="G347" s="15" t="s">
        <v>819</v>
      </c>
      <c r="H347" s="15" t="s">
        <v>407</v>
      </c>
      <c r="I347" s="15"/>
      <c r="J347" s="15" t="s">
        <v>188</v>
      </c>
      <c r="K347" s="15"/>
      <c r="L347" s="15"/>
    </row>
    <row r="348">
      <c r="A348" s="15">
        <v>347.0</v>
      </c>
      <c r="B348" s="23">
        <v>45914.0</v>
      </c>
      <c r="C348" s="19" t="s">
        <v>820</v>
      </c>
      <c r="D348" s="15"/>
      <c r="E348" s="15" t="s">
        <v>184</v>
      </c>
      <c r="F348" s="15" t="str">
        <f>IFERROR(__xludf.DUMMYFUNCTION("if(REGEXMATCH(C348,""x.com"")=TRUE,""Twitter"",if(REGEXMATCH(C348,""facebook"")=TRUE,""Facebook"",if(REGEXMATCH(C348,""instagram"")=TRUE,""Instagram"",if(REGEXMATCH(C348,""youtube"")=TRUE,""Youtube"",if(REGEXMATCH(C348,""tiktok"")=TRUE,""Tiktok"",if(REGEX"&amp;"MATCH(C348,""threads"")=TRUE,""Threads""))))))"),"Instagram")</f>
        <v>Instagram</v>
      </c>
      <c r="G348" s="15" t="s">
        <v>819</v>
      </c>
      <c r="H348" s="15" t="s">
        <v>407</v>
      </c>
      <c r="I348" s="15"/>
      <c r="J348" s="15" t="s">
        <v>188</v>
      </c>
      <c r="K348" s="15"/>
      <c r="L348" s="15"/>
    </row>
    <row r="349">
      <c r="A349" s="15">
        <v>348.0</v>
      </c>
      <c r="B349" s="23">
        <v>45914.0</v>
      </c>
      <c r="C349" s="19" t="s">
        <v>821</v>
      </c>
      <c r="D349" s="15"/>
      <c r="E349" s="15" t="s">
        <v>184</v>
      </c>
      <c r="F349" s="15" t="str">
        <f>IFERROR(__xludf.DUMMYFUNCTION("if(REGEXMATCH(C349,""x.com"")=TRUE,""Twitter"",if(REGEXMATCH(C349,""facebook"")=TRUE,""Facebook"",if(REGEXMATCH(C349,""instagram"")=TRUE,""Instagram"",if(REGEXMATCH(C349,""youtube"")=TRUE,""Youtube"",if(REGEXMATCH(C349,""tiktok"")=TRUE,""Tiktok"",if(REGEX"&amp;"MATCH(C349,""threads"")=TRUE,""Threads""))))))"),"Facebook")</f>
        <v>Facebook</v>
      </c>
      <c r="G349" s="15" t="s">
        <v>822</v>
      </c>
      <c r="H349" s="15" t="s">
        <v>410</v>
      </c>
      <c r="I349" s="15"/>
      <c r="J349" s="15" t="s">
        <v>188</v>
      </c>
      <c r="K349" s="15"/>
      <c r="L349" s="15"/>
    </row>
    <row r="350">
      <c r="A350" s="15">
        <v>349.0</v>
      </c>
      <c r="B350" s="23">
        <v>45914.0</v>
      </c>
      <c r="C350" s="19" t="s">
        <v>823</v>
      </c>
      <c r="D350" s="15"/>
      <c r="E350" s="15" t="s">
        <v>184</v>
      </c>
      <c r="F350" s="15" t="str">
        <f>IFERROR(__xludf.DUMMYFUNCTION("if(REGEXMATCH(C350,""x.com"")=TRUE,""Twitter"",if(REGEXMATCH(C350,""facebook"")=TRUE,""Facebook"",if(REGEXMATCH(C350,""instagram"")=TRUE,""Instagram"",if(REGEXMATCH(C350,""youtube"")=TRUE,""Youtube"",if(REGEXMATCH(C350,""tiktok"")=TRUE,""Tiktok"",if(REGEX"&amp;"MATCH(C350,""threads"")=TRUE,""Threads""))))))"),"Facebook")</f>
        <v>Facebook</v>
      </c>
      <c r="G350" s="15" t="s">
        <v>822</v>
      </c>
      <c r="H350" s="15" t="s">
        <v>410</v>
      </c>
      <c r="I350" s="15"/>
      <c r="J350" s="15" t="s">
        <v>188</v>
      </c>
      <c r="K350" s="15"/>
      <c r="L350" s="15"/>
    </row>
    <row r="351">
      <c r="A351" s="15">
        <v>350.0</v>
      </c>
      <c r="B351" s="23">
        <v>45914.0</v>
      </c>
      <c r="C351" s="19" t="s">
        <v>824</v>
      </c>
      <c r="D351" s="15"/>
      <c r="E351" s="15" t="s">
        <v>184</v>
      </c>
      <c r="F351" s="15" t="str">
        <f>IFERROR(__xludf.DUMMYFUNCTION("if(REGEXMATCH(C351,""x.com"")=TRUE,""Twitter"",if(REGEXMATCH(C351,""facebook"")=TRUE,""Facebook"",if(REGEXMATCH(C351,""instagram"")=TRUE,""Instagram"",if(REGEXMATCH(C351,""youtube"")=TRUE,""Youtube"",if(REGEXMATCH(C351,""tiktok"")=TRUE,""Tiktok"",if(REGEX"&amp;"MATCH(C351,""threads"")=TRUE,""Threads""))))))"),"Facebook")</f>
        <v>Facebook</v>
      </c>
      <c r="G351" s="15" t="s">
        <v>825</v>
      </c>
      <c r="H351" s="15" t="s">
        <v>410</v>
      </c>
      <c r="I351" s="15"/>
      <c r="J351" s="15" t="s">
        <v>188</v>
      </c>
      <c r="K351" s="15"/>
      <c r="L351" s="15"/>
    </row>
    <row r="352">
      <c r="A352" s="15">
        <v>351.0</v>
      </c>
      <c r="B352" s="23">
        <v>45914.0</v>
      </c>
      <c r="C352" s="19" t="s">
        <v>826</v>
      </c>
      <c r="D352" s="15"/>
      <c r="E352" s="15" t="s">
        <v>184</v>
      </c>
      <c r="F352" s="15" t="str">
        <f>IFERROR(__xludf.DUMMYFUNCTION("if(REGEXMATCH(C352,""x.com"")=TRUE,""Twitter"",if(REGEXMATCH(C352,""facebook"")=TRUE,""Facebook"",if(REGEXMATCH(C352,""instagram"")=TRUE,""Instagram"",if(REGEXMATCH(C352,""youtube"")=TRUE,""Youtube"",if(REGEXMATCH(C352,""tiktok"")=TRUE,""Tiktok"",if(REGEX"&amp;"MATCH(C352,""threads"")=TRUE,""Threads""))))))"),"Tiktok")</f>
        <v>Tiktok</v>
      </c>
      <c r="G352" s="15" t="s">
        <v>827</v>
      </c>
      <c r="H352" s="15" t="s">
        <v>410</v>
      </c>
      <c r="I352" s="15"/>
      <c r="J352" s="15" t="s">
        <v>188</v>
      </c>
      <c r="K352" s="15"/>
      <c r="L352" s="15"/>
    </row>
    <row r="353">
      <c r="A353" s="15">
        <v>352.0</v>
      </c>
      <c r="B353" s="23">
        <v>45914.0</v>
      </c>
      <c r="C353" s="19" t="s">
        <v>828</v>
      </c>
      <c r="D353" s="15"/>
      <c r="E353" s="15" t="s">
        <v>184</v>
      </c>
      <c r="F353" s="15" t="str">
        <f>IFERROR(__xludf.DUMMYFUNCTION("if(REGEXMATCH(C353,""x.com"")=TRUE,""Twitter"",if(REGEXMATCH(C353,""facebook"")=TRUE,""Facebook"",if(REGEXMATCH(C353,""instagram"")=TRUE,""Instagram"",if(REGEXMATCH(C353,""youtube"")=TRUE,""Youtube"",if(REGEXMATCH(C353,""tiktok"")=TRUE,""Tiktok"",if(REGEX"&amp;"MATCH(C353,""threads"")=TRUE,""Threads""))))))"),"Tiktok")</f>
        <v>Tiktok</v>
      </c>
      <c r="G353" s="15" t="s">
        <v>827</v>
      </c>
      <c r="H353" s="15" t="s">
        <v>410</v>
      </c>
      <c r="I353" s="15"/>
      <c r="J353" s="15" t="s">
        <v>188</v>
      </c>
      <c r="K353" s="15"/>
      <c r="L353" s="15"/>
    </row>
    <row r="354">
      <c r="A354" s="15">
        <v>353.0</v>
      </c>
      <c r="B354" s="23">
        <v>45915.0</v>
      </c>
      <c r="C354" s="15" t="s">
        <v>829</v>
      </c>
      <c r="D354" s="15"/>
      <c r="E354" s="15" t="s">
        <v>184</v>
      </c>
      <c r="F354" s="15" t="s">
        <v>622</v>
      </c>
      <c r="G354" s="15" t="s">
        <v>830</v>
      </c>
      <c r="H354" s="15" t="s">
        <v>534</v>
      </c>
      <c r="I354" s="15" t="s">
        <v>535</v>
      </c>
      <c r="J354" s="15" t="s">
        <v>188</v>
      </c>
      <c r="K354" s="15"/>
      <c r="L354" s="15"/>
    </row>
    <row r="355">
      <c r="A355" s="15">
        <v>354.0</v>
      </c>
      <c r="B355" s="23">
        <v>45915.0</v>
      </c>
      <c r="C355" s="24" t="s">
        <v>831</v>
      </c>
      <c r="D355" s="15"/>
      <c r="E355" s="15" t="s">
        <v>184</v>
      </c>
      <c r="F355" s="15" t="s">
        <v>619</v>
      </c>
      <c r="G355" s="15" t="s">
        <v>832</v>
      </c>
      <c r="H355" s="15" t="s">
        <v>534</v>
      </c>
      <c r="I355" s="15" t="s">
        <v>535</v>
      </c>
      <c r="J355" s="15" t="s">
        <v>188</v>
      </c>
      <c r="K355" s="15"/>
      <c r="L355" s="15"/>
    </row>
    <row r="356">
      <c r="A356" s="15">
        <v>355.0</v>
      </c>
      <c r="B356" s="23">
        <v>45915.0</v>
      </c>
      <c r="C356" s="24" t="s">
        <v>833</v>
      </c>
      <c r="D356" s="15"/>
      <c r="E356" s="15" t="s">
        <v>184</v>
      </c>
      <c r="F356" s="15" t="s">
        <v>619</v>
      </c>
      <c r="G356" s="15" t="s">
        <v>834</v>
      </c>
      <c r="H356" s="15" t="s">
        <v>534</v>
      </c>
      <c r="I356" s="15" t="s">
        <v>535</v>
      </c>
      <c r="J356" s="15" t="s">
        <v>188</v>
      </c>
      <c r="K356" s="15"/>
      <c r="L356" s="15"/>
    </row>
    <row r="357">
      <c r="A357" s="15">
        <v>356.0</v>
      </c>
      <c r="B357" s="23">
        <v>45915.0</v>
      </c>
      <c r="C357" s="24" t="s">
        <v>835</v>
      </c>
      <c r="D357" s="15"/>
      <c r="E357" s="15" t="s">
        <v>184</v>
      </c>
      <c r="F357" s="15" t="s">
        <v>619</v>
      </c>
      <c r="G357" s="15" t="s">
        <v>836</v>
      </c>
      <c r="H357" s="15" t="s">
        <v>534</v>
      </c>
      <c r="I357" s="15" t="s">
        <v>535</v>
      </c>
      <c r="J357" s="15" t="s">
        <v>188</v>
      </c>
      <c r="K357" s="15"/>
      <c r="L357" s="15"/>
    </row>
    <row r="358">
      <c r="A358" s="15">
        <v>357.0</v>
      </c>
      <c r="B358" s="23">
        <v>45915.0</v>
      </c>
      <c r="C358" s="24" t="s">
        <v>837</v>
      </c>
      <c r="D358" s="15"/>
      <c r="E358" s="15"/>
      <c r="F358" s="15" t="s">
        <v>619</v>
      </c>
      <c r="G358" s="15" t="s">
        <v>838</v>
      </c>
      <c r="H358" s="15" t="s">
        <v>534</v>
      </c>
      <c r="I358" s="15" t="s">
        <v>535</v>
      </c>
      <c r="J358" s="15" t="s">
        <v>188</v>
      </c>
      <c r="K358" s="15"/>
      <c r="L358" s="15"/>
    </row>
    <row r="359">
      <c r="A359" s="15">
        <v>358.0</v>
      </c>
      <c r="B359" s="23">
        <v>45915.0</v>
      </c>
      <c r="C359" s="24" t="s">
        <v>839</v>
      </c>
      <c r="D359" s="15"/>
      <c r="E359" s="15" t="s">
        <v>184</v>
      </c>
      <c r="F359" s="15" t="s">
        <v>619</v>
      </c>
      <c r="G359" s="15" t="s">
        <v>840</v>
      </c>
      <c r="H359" s="15" t="s">
        <v>534</v>
      </c>
      <c r="I359" s="15" t="s">
        <v>535</v>
      </c>
      <c r="J359" s="15" t="s">
        <v>188</v>
      </c>
      <c r="K359" s="15"/>
      <c r="L359" s="15"/>
    </row>
    <row r="360">
      <c r="A360" s="15">
        <v>359.0</v>
      </c>
      <c r="B360" s="23">
        <v>45915.0</v>
      </c>
      <c r="C360" s="24" t="s">
        <v>841</v>
      </c>
      <c r="D360" s="15"/>
      <c r="E360" s="15" t="s">
        <v>184</v>
      </c>
      <c r="F360" s="15" t="s">
        <v>619</v>
      </c>
      <c r="G360" s="15" t="s">
        <v>842</v>
      </c>
      <c r="H360" s="15" t="s">
        <v>534</v>
      </c>
      <c r="I360" s="15" t="s">
        <v>535</v>
      </c>
      <c r="J360" s="15" t="s">
        <v>188</v>
      </c>
      <c r="K360" s="15"/>
      <c r="L360" s="15"/>
    </row>
    <row r="361">
      <c r="A361" s="15">
        <v>360.0</v>
      </c>
      <c r="B361" s="23">
        <v>45915.0</v>
      </c>
      <c r="C361" s="24" t="s">
        <v>843</v>
      </c>
      <c r="D361" s="15"/>
      <c r="E361" s="15" t="s">
        <v>184</v>
      </c>
      <c r="F361" s="15" t="s">
        <v>622</v>
      </c>
      <c r="G361" s="15" t="s">
        <v>844</v>
      </c>
      <c r="H361" s="15" t="s">
        <v>534</v>
      </c>
      <c r="I361" s="15" t="s">
        <v>535</v>
      </c>
      <c r="J361" s="15" t="s">
        <v>188</v>
      </c>
      <c r="K361" s="15"/>
      <c r="L361" s="15"/>
    </row>
    <row r="362">
      <c r="A362" s="15">
        <v>361.0</v>
      </c>
      <c r="B362" s="23">
        <v>45915.0</v>
      </c>
      <c r="C362" s="24" t="s">
        <v>845</v>
      </c>
      <c r="D362" s="15"/>
      <c r="E362" s="15" t="s">
        <v>184</v>
      </c>
      <c r="F362" s="15" t="s">
        <v>622</v>
      </c>
      <c r="G362" s="15" t="s">
        <v>846</v>
      </c>
      <c r="H362" s="15" t="s">
        <v>534</v>
      </c>
      <c r="I362" s="15" t="s">
        <v>535</v>
      </c>
      <c r="J362" s="15" t="s">
        <v>188</v>
      </c>
      <c r="K362" s="15"/>
      <c r="L362" s="15"/>
    </row>
    <row r="363">
      <c r="A363" s="15">
        <v>362.0</v>
      </c>
      <c r="B363" s="23">
        <v>45915.0</v>
      </c>
      <c r="C363" s="24" t="s">
        <v>847</v>
      </c>
      <c r="D363" s="15"/>
      <c r="E363" s="15" t="s">
        <v>184</v>
      </c>
      <c r="F363" s="15" t="s">
        <v>622</v>
      </c>
      <c r="G363" s="15" t="s">
        <v>848</v>
      </c>
      <c r="H363" s="15" t="s">
        <v>534</v>
      </c>
      <c r="I363" s="15" t="s">
        <v>535</v>
      </c>
      <c r="J363" s="15" t="s">
        <v>188</v>
      </c>
      <c r="K363" s="15"/>
      <c r="L363" s="15"/>
    </row>
    <row r="364">
      <c r="A364" s="15">
        <v>363.0</v>
      </c>
      <c r="B364" s="23">
        <v>45915.0</v>
      </c>
      <c r="C364" s="24" t="s">
        <v>849</v>
      </c>
      <c r="D364" s="15"/>
      <c r="E364" s="15" t="s">
        <v>850</v>
      </c>
      <c r="F364" s="15" t="s">
        <v>619</v>
      </c>
      <c r="G364" s="15" t="s">
        <v>851</v>
      </c>
      <c r="H364" s="15" t="s">
        <v>852</v>
      </c>
      <c r="I364" s="15" t="s">
        <v>535</v>
      </c>
      <c r="J364" s="15" t="s">
        <v>188</v>
      </c>
      <c r="K364" s="15"/>
      <c r="L364" s="15"/>
    </row>
    <row r="365">
      <c r="A365" s="15">
        <v>364.0</v>
      </c>
      <c r="B365" s="23">
        <v>45915.0</v>
      </c>
      <c r="C365" s="24" t="s">
        <v>853</v>
      </c>
      <c r="D365" s="15"/>
      <c r="E365" s="15" t="s">
        <v>854</v>
      </c>
      <c r="F365" s="15" t="s">
        <v>619</v>
      </c>
      <c r="G365" s="15" t="s">
        <v>855</v>
      </c>
      <c r="H365" s="15" t="s">
        <v>852</v>
      </c>
      <c r="I365" s="15" t="s">
        <v>535</v>
      </c>
      <c r="J365" s="15" t="s">
        <v>188</v>
      </c>
      <c r="K365" s="15"/>
      <c r="L365" s="15"/>
    </row>
    <row r="366">
      <c r="A366" s="15">
        <v>365.0</v>
      </c>
      <c r="B366" s="23">
        <v>45915.0</v>
      </c>
      <c r="C366" s="24" t="s">
        <v>856</v>
      </c>
      <c r="D366" s="15"/>
      <c r="E366" s="15" t="s">
        <v>854</v>
      </c>
      <c r="F366" s="15" t="s">
        <v>619</v>
      </c>
      <c r="G366" s="15" t="s">
        <v>857</v>
      </c>
      <c r="H366" s="15" t="s">
        <v>852</v>
      </c>
      <c r="I366" s="15" t="s">
        <v>535</v>
      </c>
      <c r="J366" s="15" t="s">
        <v>188</v>
      </c>
      <c r="K366" s="15"/>
      <c r="L366" s="15"/>
    </row>
    <row r="367">
      <c r="A367" s="15">
        <v>366.0</v>
      </c>
      <c r="B367" s="23">
        <v>45915.0</v>
      </c>
      <c r="C367" s="24" t="s">
        <v>858</v>
      </c>
      <c r="D367" s="15"/>
      <c r="E367" s="15" t="s">
        <v>859</v>
      </c>
      <c r="F367" s="15" t="s">
        <v>619</v>
      </c>
      <c r="G367" s="15" t="s">
        <v>860</v>
      </c>
      <c r="H367" s="15" t="s">
        <v>852</v>
      </c>
      <c r="I367" s="15" t="s">
        <v>535</v>
      </c>
      <c r="J367" s="15" t="s">
        <v>188</v>
      </c>
      <c r="K367" s="15"/>
      <c r="L367" s="15"/>
    </row>
    <row r="368">
      <c r="A368" s="15">
        <v>367.0</v>
      </c>
      <c r="B368" s="23">
        <v>45915.0</v>
      </c>
      <c r="C368" s="24" t="s">
        <v>861</v>
      </c>
      <c r="D368" s="15"/>
      <c r="E368" s="15" t="s">
        <v>859</v>
      </c>
      <c r="F368" s="15" t="s">
        <v>619</v>
      </c>
      <c r="G368" s="15" t="s">
        <v>862</v>
      </c>
      <c r="H368" s="15" t="s">
        <v>852</v>
      </c>
      <c r="I368" s="15" t="s">
        <v>535</v>
      </c>
      <c r="J368" s="15" t="s">
        <v>188</v>
      </c>
      <c r="K368" s="15"/>
      <c r="L368" s="15"/>
    </row>
    <row r="369">
      <c r="A369" s="15">
        <v>368.0</v>
      </c>
      <c r="B369" s="23">
        <v>45915.0</v>
      </c>
      <c r="C369" s="24" t="s">
        <v>863</v>
      </c>
      <c r="D369" s="15"/>
      <c r="E369" s="15" t="s">
        <v>854</v>
      </c>
      <c r="F369" s="15" t="s">
        <v>619</v>
      </c>
      <c r="G369" s="15" t="s">
        <v>864</v>
      </c>
      <c r="H369" s="15" t="s">
        <v>852</v>
      </c>
      <c r="I369" s="15" t="s">
        <v>535</v>
      </c>
      <c r="J369" s="15" t="s">
        <v>188</v>
      </c>
      <c r="K369" s="15"/>
      <c r="L369" s="15"/>
    </row>
    <row r="370">
      <c r="A370" s="15">
        <v>369.0</v>
      </c>
      <c r="B370" s="23">
        <v>45915.0</v>
      </c>
      <c r="C370" s="24" t="s">
        <v>865</v>
      </c>
      <c r="D370" s="15"/>
      <c r="E370" s="15" t="s">
        <v>854</v>
      </c>
      <c r="F370" s="15" t="s">
        <v>619</v>
      </c>
      <c r="G370" s="15" t="s">
        <v>866</v>
      </c>
      <c r="H370" s="15" t="s">
        <v>852</v>
      </c>
      <c r="I370" s="15" t="s">
        <v>535</v>
      </c>
      <c r="J370" s="15" t="s">
        <v>188</v>
      </c>
      <c r="K370" s="15"/>
      <c r="L370" s="15"/>
    </row>
    <row r="371">
      <c r="A371" s="15">
        <v>370.0</v>
      </c>
      <c r="B371" s="23">
        <v>45915.0</v>
      </c>
      <c r="C371" s="24" t="s">
        <v>867</v>
      </c>
      <c r="D371" s="15"/>
      <c r="E371" s="15" t="s">
        <v>854</v>
      </c>
      <c r="F371" s="15" t="s">
        <v>619</v>
      </c>
      <c r="G371" s="15" t="s">
        <v>868</v>
      </c>
      <c r="H371" s="15" t="s">
        <v>852</v>
      </c>
      <c r="I371" s="15" t="s">
        <v>535</v>
      </c>
      <c r="J371" s="15" t="s">
        <v>188</v>
      </c>
      <c r="K371" s="15"/>
      <c r="L371" s="15"/>
    </row>
    <row r="372">
      <c r="A372" s="15">
        <v>371.0</v>
      </c>
      <c r="B372" s="23">
        <v>45915.0</v>
      </c>
      <c r="C372" s="24" t="s">
        <v>869</v>
      </c>
      <c r="D372" s="15"/>
      <c r="E372" s="15" t="s">
        <v>870</v>
      </c>
      <c r="F372" s="15" t="s">
        <v>619</v>
      </c>
      <c r="G372" s="15" t="s">
        <v>871</v>
      </c>
      <c r="H372" s="15" t="s">
        <v>852</v>
      </c>
      <c r="I372" s="15" t="s">
        <v>535</v>
      </c>
      <c r="J372" s="15" t="s">
        <v>188</v>
      </c>
      <c r="K372" s="15"/>
      <c r="L372" s="15"/>
    </row>
    <row r="373">
      <c r="A373" s="15">
        <v>372.0</v>
      </c>
      <c r="B373" s="23">
        <v>45915.0</v>
      </c>
      <c r="C373" s="24" t="s">
        <v>872</v>
      </c>
      <c r="D373" s="15"/>
      <c r="E373" s="15" t="s">
        <v>859</v>
      </c>
      <c r="F373" s="15" t="s">
        <v>619</v>
      </c>
      <c r="G373" s="15" t="s">
        <v>873</v>
      </c>
      <c r="H373" s="15" t="s">
        <v>852</v>
      </c>
      <c r="I373" s="15" t="s">
        <v>535</v>
      </c>
      <c r="J373" s="15" t="s">
        <v>188</v>
      </c>
      <c r="K373" s="15"/>
      <c r="L373" s="15"/>
    </row>
    <row r="374">
      <c r="A374" s="15">
        <v>373.0</v>
      </c>
      <c r="B374" s="23">
        <v>45915.0</v>
      </c>
      <c r="C374" s="24" t="s">
        <v>874</v>
      </c>
      <c r="D374" s="15"/>
      <c r="E374" s="15" t="s">
        <v>854</v>
      </c>
      <c r="F374" s="15" t="s">
        <v>619</v>
      </c>
      <c r="G374" s="15" t="s">
        <v>875</v>
      </c>
      <c r="H374" s="15" t="s">
        <v>852</v>
      </c>
      <c r="I374" s="15" t="s">
        <v>535</v>
      </c>
      <c r="J374" s="15" t="s">
        <v>188</v>
      </c>
      <c r="K374" s="15"/>
      <c r="L374" s="15"/>
    </row>
    <row r="375">
      <c r="A375" s="15">
        <v>374.0</v>
      </c>
      <c r="B375" s="15"/>
      <c r="C375" s="15"/>
      <c r="D375" s="15"/>
      <c r="E375" s="15"/>
      <c r="F375" s="15"/>
      <c r="G375" s="15"/>
      <c r="H375" s="15"/>
      <c r="I375" s="15"/>
      <c r="J375" s="15"/>
      <c r="K375" s="15"/>
      <c r="L375" s="15"/>
    </row>
    <row r="376">
      <c r="A376" s="15">
        <v>375.0</v>
      </c>
      <c r="B376" s="15"/>
      <c r="C376" s="15"/>
      <c r="D376" s="15"/>
      <c r="E376" s="15"/>
      <c r="F376" s="15"/>
      <c r="G376" s="15"/>
      <c r="H376" s="15"/>
      <c r="I376" s="15"/>
      <c r="J376" s="15"/>
      <c r="K376" s="15"/>
      <c r="L376" s="15"/>
    </row>
    <row r="377">
      <c r="A377" s="15">
        <v>376.0</v>
      </c>
      <c r="B377" s="23">
        <v>45915.0</v>
      </c>
      <c r="C377" s="20" t="s">
        <v>876</v>
      </c>
      <c r="D377" s="15"/>
      <c r="E377" s="15" t="s">
        <v>577</v>
      </c>
      <c r="F377" s="15" t="s">
        <v>702</v>
      </c>
      <c r="G377" s="15" t="s">
        <v>212</v>
      </c>
      <c r="H377" s="15" t="s">
        <v>213</v>
      </c>
      <c r="I377" s="15" t="s">
        <v>214</v>
      </c>
      <c r="J377" s="15" t="s">
        <v>422</v>
      </c>
      <c r="K377" s="15" t="s">
        <v>877</v>
      </c>
      <c r="L377" s="15"/>
    </row>
    <row r="378">
      <c r="A378" s="15">
        <v>377.0</v>
      </c>
      <c r="B378" s="23">
        <v>45915.0</v>
      </c>
      <c r="C378" s="20" t="s">
        <v>878</v>
      </c>
      <c r="D378" s="15"/>
      <c r="E378" s="15" t="s">
        <v>577</v>
      </c>
      <c r="F378" s="15" t="s">
        <v>622</v>
      </c>
      <c r="G378" s="15" t="s">
        <v>212</v>
      </c>
      <c r="H378" s="15" t="s">
        <v>213</v>
      </c>
      <c r="I378" s="15" t="s">
        <v>214</v>
      </c>
      <c r="J378" s="15" t="s">
        <v>188</v>
      </c>
      <c r="K378" s="15"/>
      <c r="L378" s="15"/>
    </row>
    <row r="379">
      <c r="A379" s="15">
        <v>378.0</v>
      </c>
      <c r="B379" s="23">
        <v>45915.0</v>
      </c>
      <c r="C379" s="20" t="s">
        <v>879</v>
      </c>
      <c r="D379" s="15"/>
      <c r="E379" s="15" t="s">
        <v>577</v>
      </c>
      <c r="F379" s="15" t="s">
        <v>622</v>
      </c>
      <c r="G379" s="15" t="s">
        <v>212</v>
      </c>
      <c r="H379" s="15" t="s">
        <v>213</v>
      </c>
      <c r="I379" s="15" t="s">
        <v>214</v>
      </c>
      <c r="J379" s="15" t="s">
        <v>422</v>
      </c>
      <c r="K379" s="15" t="s">
        <v>877</v>
      </c>
      <c r="L379" s="15"/>
    </row>
    <row r="380">
      <c r="A380" s="15">
        <v>379.0</v>
      </c>
      <c r="B380" s="23">
        <v>45915.0</v>
      </c>
      <c r="C380" s="19" t="s">
        <v>880</v>
      </c>
      <c r="D380" s="15"/>
      <c r="E380" s="15" t="s">
        <v>577</v>
      </c>
      <c r="F380" s="15" t="s">
        <v>622</v>
      </c>
      <c r="G380" s="15" t="s">
        <v>212</v>
      </c>
      <c r="H380" s="15" t="s">
        <v>213</v>
      </c>
      <c r="I380" s="15" t="s">
        <v>214</v>
      </c>
      <c r="J380" s="15" t="s">
        <v>188</v>
      </c>
      <c r="K380" s="15"/>
      <c r="L380" s="15"/>
    </row>
    <row r="381">
      <c r="A381" s="15">
        <v>380.0</v>
      </c>
      <c r="B381" s="23">
        <v>45915.0</v>
      </c>
      <c r="C381" s="20" t="s">
        <v>881</v>
      </c>
      <c r="D381" s="15"/>
      <c r="E381" s="15" t="s">
        <v>577</v>
      </c>
      <c r="F381" s="15" t="s">
        <v>622</v>
      </c>
      <c r="G381" s="15" t="s">
        <v>212</v>
      </c>
      <c r="H381" s="15" t="s">
        <v>213</v>
      </c>
      <c r="I381" s="15" t="s">
        <v>214</v>
      </c>
      <c r="J381" s="15" t="s">
        <v>422</v>
      </c>
      <c r="K381" s="15" t="s">
        <v>877</v>
      </c>
      <c r="L381" s="15"/>
    </row>
    <row r="382">
      <c r="A382" s="15">
        <v>381.0</v>
      </c>
      <c r="B382" s="23">
        <v>45915.0</v>
      </c>
      <c r="C382" s="20" t="s">
        <v>882</v>
      </c>
      <c r="D382" s="15"/>
      <c r="E382" s="15" t="s">
        <v>577</v>
      </c>
      <c r="F382" s="15" t="s">
        <v>622</v>
      </c>
      <c r="G382" s="15" t="s">
        <v>212</v>
      </c>
      <c r="H382" s="15" t="s">
        <v>213</v>
      </c>
      <c r="I382" s="15" t="s">
        <v>214</v>
      </c>
      <c r="J382" s="15" t="s">
        <v>422</v>
      </c>
      <c r="K382" s="15" t="s">
        <v>877</v>
      </c>
      <c r="L382" s="15"/>
    </row>
    <row r="383">
      <c r="A383" s="15">
        <v>382.0</v>
      </c>
      <c r="B383" s="23">
        <v>45915.0</v>
      </c>
      <c r="C383" s="20" t="s">
        <v>883</v>
      </c>
      <c r="D383" s="15"/>
      <c r="E383" s="15" t="s">
        <v>577</v>
      </c>
      <c r="F383" s="15" t="s">
        <v>884</v>
      </c>
      <c r="G383" s="15" t="s">
        <v>212</v>
      </c>
      <c r="H383" s="15" t="s">
        <v>213</v>
      </c>
      <c r="I383" s="15" t="s">
        <v>214</v>
      </c>
      <c r="J383" s="15" t="s">
        <v>422</v>
      </c>
      <c r="K383" s="15" t="s">
        <v>877</v>
      </c>
      <c r="L383" s="15"/>
    </row>
    <row r="384">
      <c r="A384" s="15">
        <v>383.0</v>
      </c>
      <c r="B384" s="23">
        <v>45915.0</v>
      </c>
      <c r="C384" s="19" t="s">
        <v>885</v>
      </c>
      <c r="D384" s="15"/>
      <c r="E384" s="15" t="s">
        <v>577</v>
      </c>
      <c r="F384" s="15" t="s">
        <v>405</v>
      </c>
      <c r="G384" s="15" t="s">
        <v>212</v>
      </c>
      <c r="H384" s="15" t="s">
        <v>213</v>
      </c>
      <c r="I384" s="15" t="s">
        <v>214</v>
      </c>
      <c r="J384" s="15" t="s">
        <v>422</v>
      </c>
      <c r="K384" s="15" t="s">
        <v>877</v>
      </c>
      <c r="L384" s="15"/>
    </row>
    <row r="385">
      <c r="A385" s="15">
        <v>384.0</v>
      </c>
      <c r="B385" s="23">
        <v>45915.0</v>
      </c>
      <c r="C385" s="19" t="s">
        <v>886</v>
      </c>
      <c r="D385" s="15"/>
      <c r="E385" s="15" t="s">
        <v>577</v>
      </c>
      <c r="F385" s="15" t="s">
        <v>619</v>
      </c>
      <c r="G385" s="15" t="s">
        <v>212</v>
      </c>
      <c r="H385" s="15" t="s">
        <v>213</v>
      </c>
      <c r="I385" s="15" t="s">
        <v>214</v>
      </c>
      <c r="J385" s="15" t="s">
        <v>422</v>
      </c>
      <c r="K385" s="15" t="s">
        <v>877</v>
      </c>
      <c r="L385" s="15"/>
    </row>
    <row r="386">
      <c r="A386" s="15">
        <v>385.0</v>
      </c>
      <c r="B386" s="23">
        <v>45915.0</v>
      </c>
      <c r="C386" s="19" t="s">
        <v>887</v>
      </c>
      <c r="D386" s="15"/>
      <c r="E386" s="15" t="s">
        <v>577</v>
      </c>
      <c r="F386" s="15" t="s">
        <v>619</v>
      </c>
      <c r="G386" s="15" t="s">
        <v>212</v>
      </c>
      <c r="H386" s="15" t="s">
        <v>213</v>
      </c>
      <c r="I386" s="15" t="s">
        <v>214</v>
      </c>
      <c r="J386" s="15" t="s">
        <v>188</v>
      </c>
      <c r="K386" s="15"/>
      <c r="L386" s="15"/>
    </row>
    <row r="387">
      <c r="A387" s="15">
        <v>386.0</v>
      </c>
      <c r="B387" s="23">
        <v>45915.0</v>
      </c>
      <c r="C387" s="19" t="s">
        <v>888</v>
      </c>
      <c r="D387" s="15"/>
      <c r="E387" s="15" t="s">
        <v>577</v>
      </c>
      <c r="F387" s="15" t="s">
        <v>619</v>
      </c>
      <c r="G387" s="15" t="s">
        <v>212</v>
      </c>
      <c r="H387" s="15" t="s">
        <v>213</v>
      </c>
      <c r="I387" s="15" t="s">
        <v>214</v>
      </c>
      <c r="J387" s="15" t="s">
        <v>188</v>
      </c>
      <c r="K387" s="15"/>
      <c r="L387" s="15"/>
    </row>
    <row r="388">
      <c r="A388" s="15">
        <v>387.0</v>
      </c>
      <c r="B388" s="23">
        <v>45915.0</v>
      </c>
      <c r="C388" s="19" t="s">
        <v>889</v>
      </c>
      <c r="D388" s="15"/>
      <c r="E388" s="15" t="s">
        <v>577</v>
      </c>
      <c r="F388" s="15" t="s">
        <v>619</v>
      </c>
      <c r="G388" s="15" t="s">
        <v>212</v>
      </c>
      <c r="H388" s="15" t="s">
        <v>213</v>
      </c>
      <c r="I388" s="15" t="s">
        <v>214</v>
      </c>
      <c r="J388" s="15" t="s">
        <v>188</v>
      </c>
      <c r="K388" s="15"/>
      <c r="L388" s="15"/>
    </row>
    <row r="389">
      <c r="A389" s="15">
        <v>388.0</v>
      </c>
      <c r="B389" s="23">
        <v>45915.0</v>
      </c>
      <c r="C389" s="20" t="s">
        <v>890</v>
      </c>
      <c r="D389" s="15"/>
      <c r="E389" s="15" t="s">
        <v>577</v>
      </c>
      <c r="F389" s="15" t="s">
        <v>619</v>
      </c>
      <c r="G389" s="15" t="s">
        <v>212</v>
      </c>
      <c r="H389" s="15" t="s">
        <v>213</v>
      </c>
      <c r="I389" s="15" t="s">
        <v>214</v>
      </c>
      <c r="J389" s="15" t="s">
        <v>188</v>
      </c>
      <c r="K389" s="15"/>
      <c r="L389" s="15"/>
    </row>
    <row r="390">
      <c r="A390" s="15">
        <v>389.0</v>
      </c>
      <c r="B390" s="23">
        <v>45915.0</v>
      </c>
      <c r="C390" s="20" t="s">
        <v>891</v>
      </c>
      <c r="D390" s="15"/>
      <c r="E390" s="15" t="s">
        <v>577</v>
      </c>
      <c r="F390" s="15" t="s">
        <v>619</v>
      </c>
      <c r="G390" s="15" t="s">
        <v>212</v>
      </c>
      <c r="H390" s="15" t="s">
        <v>213</v>
      </c>
      <c r="I390" s="15" t="s">
        <v>214</v>
      </c>
      <c r="J390" s="15" t="s">
        <v>188</v>
      </c>
      <c r="K390" s="15"/>
      <c r="L390" s="15"/>
    </row>
    <row r="391">
      <c r="A391" s="15">
        <v>390.0</v>
      </c>
      <c r="B391" s="23">
        <v>45915.0</v>
      </c>
      <c r="C391" s="19" t="s">
        <v>892</v>
      </c>
      <c r="D391" s="15"/>
      <c r="E391" s="15" t="s">
        <v>577</v>
      </c>
      <c r="F391" s="15" t="s">
        <v>619</v>
      </c>
      <c r="G391" s="15" t="s">
        <v>212</v>
      </c>
      <c r="H391" s="15" t="s">
        <v>213</v>
      </c>
      <c r="I391" s="15" t="s">
        <v>214</v>
      </c>
      <c r="J391" s="15" t="s">
        <v>188</v>
      </c>
      <c r="K391" s="15"/>
      <c r="L391" s="15"/>
    </row>
    <row r="392">
      <c r="A392" s="15">
        <v>391.0</v>
      </c>
      <c r="B392" s="23">
        <v>45915.0</v>
      </c>
      <c r="C392" s="20" t="s">
        <v>893</v>
      </c>
      <c r="D392" s="15"/>
      <c r="E392" s="15" t="s">
        <v>577</v>
      </c>
      <c r="F392" s="15" t="s">
        <v>619</v>
      </c>
      <c r="G392" s="15" t="s">
        <v>212</v>
      </c>
      <c r="H392" s="15" t="s">
        <v>213</v>
      </c>
      <c r="I392" s="15" t="s">
        <v>214</v>
      </c>
      <c r="J392" s="15" t="s">
        <v>188</v>
      </c>
      <c r="K392" s="15"/>
      <c r="L392" s="15"/>
    </row>
    <row r="393">
      <c r="A393" s="15">
        <v>392.0</v>
      </c>
      <c r="B393" s="23">
        <v>45915.0</v>
      </c>
      <c r="C393" s="20" t="s">
        <v>894</v>
      </c>
      <c r="D393" s="15"/>
      <c r="E393" s="15" t="s">
        <v>577</v>
      </c>
      <c r="F393" s="15" t="s">
        <v>619</v>
      </c>
      <c r="G393" s="15" t="s">
        <v>212</v>
      </c>
      <c r="H393" s="15" t="s">
        <v>213</v>
      </c>
      <c r="I393" s="15" t="s">
        <v>214</v>
      </c>
      <c r="J393" s="15" t="s">
        <v>188</v>
      </c>
      <c r="K393" s="15"/>
      <c r="L393" s="15"/>
    </row>
    <row r="394">
      <c r="A394" s="15">
        <v>393.0</v>
      </c>
      <c r="B394" s="23">
        <v>45915.0</v>
      </c>
      <c r="C394" s="20" t="s">
        <v>895</v>
      </c>
      <c r="D394" s="15"/>
      <c r="E394" s="15" t="s">
        <v>577</v>
      </c>
      <c r="F394" s="15" t="s">
        <v>619</v>
      </c>
      <c r="G394" s="15" t="s">
        <v>212</v>
      </c>
      <c r="H394" s="15" t="s">
        <v>213</v>
      </c>
      <c r="I394" s="15" t="s">
        <v>214</v>
      </c>
      <c r="J394" s="15" t="s">
        <v>422</v>
      </c>
      <c r="K394" s="15" t="s">
        <v>877</v>
      </c>
      <c r="L394" s="15"/>
    </row>
    <row r="395">
      <c r="A395" s="15">
        <v>394.0</v>
      </c>
      <c r="B395" s="23">
        <v>45915.0</v>
      </c>
      <c r="C395" s="19" t="s">
        <v>896</v>
      </c>
      <c r="D395" s="15"/>
      <c r="E395" s="15" t="s">
        <v>577</v>
      </c>
      <c r="F395" s="15" t="s">
        <v>619</v>
      </c>
      <c r="G395" s="15" t="s">
        <v>212</v>
      </c>
      <c r="H395" s="15" t="s">
        <v>213</v>
      </c>
      <c r="I395" s="15" t="s">
        <v>214</v>
      </c>
      <c r="J395" s="15" t="s">
        <v>188</v>
      </c>
      <c r="K395" s="15"/>
      <c r="L395" s="15"/>
    </row>
    <row r="396">
      <c r="A396" s="15">
        <v>395.0</v>
      </c>
      <c r="B396" s="23">
        <v>45915.0</v>
      </c>
      <c r="C396" s="19" t="s">
        <v>897</v>
      </c>
      <c r="D396" s="15"/>
      <c r="E396" s="15" t="s">
        <v>581</v>
      </c>
      <c r="F396" s="15" t="s">
        <v>619</v>
      </c>
      <c r="G396" s="15" t="s">
        <v>898</v>
      </c>
      <c r="H396" s="15" t="s">
        <v>583</v>
      </c>
      <c r="I396" s="15" t="s">
        <v>899</v>
      </c>
      <c r="J396" s="15" t="s">
        <v>188</v>
      </c>
      <c r="K396" s="15"/>
      <c r="L396" s="15"/>
    </row>
    <row r="397">
      <c r="A397" s="15">
        <v>396.0</v>
      </c>
      <c r="B397" s="23">
        <v>45915.0</v>
      </c>
      <c r="C397" s="19" t="s">
        <v>900</v>
      </c>
      <c r="D397" s="15"/>
      <c r="E397" s="15" t="s">
        <v>577</v>
      </c>
      <c r="F397" s="15" t="s">
        <v>405</v>
      </c>
      <c r="G397" s="15" t="s">
        <v>212</v>
      </c>
      <c r="H397" s="15" t="s">
        <v>213</v>
      </c>
      <c r="I397" s="15" t="s">
        <v>214</v>
      </c>
      <c r="J397" s="15" t="s">
        <v>188</v>
      </c>
      <c r="K397" s="15"/>
      <c r="L397" s="15"/>
    </row>
    <row r="398">
      <c r="A398" s="15">
        <v>397.0</v>
      </c>
      <c r="B398" s="23">
        <v>45915.0</v>
      </c>
      <c r="C398" s="19" t="s">
        <v>901</v>
      </c>
      <c r="D398" s="15"/>
      <c r="E398" s="15" t="s">
        <v>577</v>
      </c>
      <c r="F398" s="15" t="s">
        <v>405</v>
      </c>
      <c r="G398" s="15" t="s">
        <v>212</v>
      </c>
      <c r="H398" s="15" t="s">
        <v>213</v>
      </c>
      <c r="I398" s="15" t="s">
        <v>214</v>
      </c>
      <c r="J398" s="15" t="s">
        <v>188</v>
      </c>
      <c r="K398" s="15"/>
      <c r="L398" s="15"/>
    </row>
    <row r="399">
      <c r="A399" s="15">
        <v>398.0</v>
      </c>
      <c r="B399" s="23">
        <v>45915.0</v>
      </c>
      <c r="C399" s="20" t="s">
        <v>902</v>
      </c>
      <c r="D399" s="15"/>
      <c r="E399" s="15" t="s">
        <v>577</v>
      </c>
      <c r="F399" s="15" t="s">
        <v>405</v>
      </c>
      <c r="G399" s="15" t="s">
        <v>212</v>
      </c>
      <c r="H399" s="15" t="s">
        <v>213</v>
      </c>
      <c r="I399" s="15" t="s">
        <v>214</v>
      </c>
      <c r="J399" s="15" t="s">
        <v>188</v>
      </c>
      <c r="K399" s="15"/>
      <c r="L399" s="15"/>
    </row>
    <row r="400">
      <c r="A400" s="15">
        <v>399.0</v>
      </c>
      <c r="B400" s="23">
        <v>45915.0</v>
      </c>
      <c r="C400" s="20" t="s">
        <v>903</v>
      </c>
      <c r="D400" s="15"/>
      <c r="E400" s="15" t="s">
        <v>577</v>
      </c>
      <c r="F400" s="15" t="s">
        <v>405</v>
      </c>
      <c r="G400" s="15" t="s">
        <v>212</v>
      </c>
      <c r="H400" s="15" t="s">
        <v>213</v>
      </c>
      <c r="I400" s="15" t="s">
        <v>214</v>
      </c>
      <c r="J400" s="15" t="s">
        <v>188</v>
      </c>
      <c r="K400" s="15"/>
      <c r="L400" s="15"/>
    </row>
    <row r="401">
      <c r="A401" s="15">
        <v>400.0</v>
      </c>
      <c r="B401" s="23">
        <v>45915.0</v>
      </c>
      <c r="C401" s="20" t="s">
        <v>904</v>
      </c>
      <c r="D401" s="15"/>
      <c r="E401" s="15" t="s">
        <v>577</v>
      </c>
      <c r="F401" s="15" t="s">
        <v>405</v>
      </c>
      <c r="G401" s="15" t="s">
        <v>212</v>
      </c>
      <c r="H401" s="15" t="s">
        <v>213</v>
      </c>
      <c r="I401" s="15" t="s">
        <v>214</v>
      </c>
      <c r="J401" s="15" t="s">
        <v>188</v>
      </c>
      <c r="K401" s="15"/>
      <c r="L401" s="15"/>
    </row>
    <row r="402">
      <c r="A402" s="15">
        <v>401.0</v>
      </c>
      <c r="B402" s="23">
        <v>45916.0</v>
      </c>
      <c r="C402" s="15" t="s">
        <v>905</v>
      </c>
      <c r="D402" s="15"/>
      <c r="E402" s="15" t="s">
        <v>184</v>
      </c>
      <c r="F402" s="15" t="s">
        <v>405</v>
      </c>
      <c r="G402" s="15" t="s">
        <v>906</v>
      </c>
      <c r="H402" s="15" t="s">
        <v>546</v>
      </c>
      <c r="I402" s="15" t="s">
        <v>535</v>
      </c>
      <c r="J402" s="15" t="s">
        <v>188</v>
      </c>
      <c r="K402" s="15"/>
      <c r="L402" s="15"/>
    </row>
    <row r="403">
      <c r="A403" s="15">
        <v>402.0</v>
      </c>
      <c r="B403" s="23">
        <v>45916.0</v>
      </c>
      <c r="C403" s="15" t="s">
        <v>907</v>
      </c>
      <c r="D403" s="15"/>
      <c r="E403" s="15" t="s">
        <v>184</v>
      </c>
      <c r="F403" s="15" t="s">
        <v>405</v>
      </c>
      <c r="G403" s="15" t="s">
        <v>908</v>
      </c>
      <c r="H403" s="15" t="s">
        <v>546</v>
      </c>
      <c r="I403" s="15" t="s">
        <v>535</v>
      </c>
      <c r="J403" s="15" t="s">
        <v>188</v>
      </c>
      <c r="K403" s="15"/>
      <c r="L403" s="15"/>
    </row>
    <row r="404">
      <c r="A404" s="15">
        <v>403.0</v>
      </c>
      <c r="B404" s="23">
        <v>45916.0</v>
      </c>
      <c r="C404" s="15" t="s">
        <v>909</v>
      </c>
      <c r="D404" s="15"/>
      <c r="E404" s="15" t="s">
        <v>184</v>
      </c>
      <c r="F404" s="15" t="s">
        <v>405</v>
      </c>
      <c r="G404" s="15" t="s">
        <v>906</v>
      </c>
      <c r="H404" s="15" t="s">
        <v>546</v>
      </c>
      <c r="I404" s="15" t="s">
        <v>535</v>
      </c>
      <c r="J404" s="15" t="s">
        <v>188</v>
      </c>
      <c r="K404" s="15"/>
      <c r="L404" s="15"/>
    </row>
    <row r="405">
      <c r="A405" s="15">
        <v>404.0</v>
      </c>
      <c r="B405" s="23">
        <v>45916.0</v>
      </c>
      <c r="C405" s="15" t="s">
        <v>910</v>
      </c>
      <c r="D405" s="15"/>
      <c r="E405" s="15" t="s">
        <v>184</v>
      </c>
      <c r="F405" s="15" t="s">
        <v>686</v>
      </c>
      <c r="G405" s="15" t="s">
        <v>911</v>
      </c>
      <c r="H405" s="15" t="s">
        <v>546</v>
      </c>
      <c r="I405" s="15" t="s">
        <v>535</v>
      </c>
      <c r="J405" s="15" t="s">
        <v>188</v>
      </c>
      <c r="K405" s="15"/>
      <c r="L405" s="15"/>
    </row>
    <row r="406">
      <c r="A406" s="15">
        <v>405.0</v>
      </c>
      <c r="B406" s="23">
        <v>45916.0</v>
      </c>
      <c r="C406" s="15" t="s">
        <v>912</v>
      </c>
      <c r="D406" s="15"/>
      <c r="E406" s="15" t="s">
        <v>184</v>
      </c>
      <c r="F406" s="15" t="s">
        <v>686</v>
      </c>
      <c r="G406" s="15" t="s">
        <v>913</v>
      </c>
      <c r="H406" s="15" t="s">
        <v>546</v>
      </c>
      <c r="I406" s="15" t="s">
        <v>535</v>
      </c>
      <c r="J406" s="15" t="s">
        <v>188</v>
      </c>
      <c r="K406" s="15"/>
      <c r="L406" s="15"/>
    </row>
    <row r="407">
      <c r="A407" s="15">
        <v>406.0</v>
      </c>
      <c r="B407" s="23">
        <v>45916.0</v>
      </c>
      <c r="C407" s="15" t="s">
        <v>914</v>
      </c>
      <c r="D407" s="15"/>
      <c r="E407" s="15" t="s">
        <v>184</v>
      </c>
      <c r="F407" s="15" t="s">
        <v>686</v>
      </c>
      <c r="G407" s="15" t="s">
        <v>915</v>
      </c>
      <c r="H407" s="15" t="s">
        <v>546</v>
      </c>
      <c r="I407" s="15" t="s">
        <v>535</v>
      </c>
      <c r="J407" s="15" t="s">
        <v>188</v>
      </c>
      <c r="K407" s="15"/>
      <c r="L407" s="15"/>
    </row>
    <row r="408">
      <c r="A408" s="15">
        <v>407.0</v>
      </c>
      <c r="B408" s="23">
        <v>45916.0</v>
      </c>
      <c r="C408" s="15" t="s">
        <v>916</v>
      </c>
      <c r="D408" s="15"/>
      <c r="E408" s="15" t="s">
        <v>184</v>
      </c>
      <c r="F408" s="15" t="s">
        <v>686</v>
      </c>
      <c r="G408" s="15" t="s">
        <v>917</v>
      </c>
      <c r="H408" s="15" t="s">
        <v>546</v>
      </c>
      <c r="I408" s="15" t="s">
        <v>535</v>
      </c>
      <c r="J408" s="15" t="s">
        <v>422</v>
      </c>
      <c r="K408" s="15"/>
      <c r="L408" s="15"/>
    </row>
    <row r="409">
      <c r="A409" s="15">
        <v>408.0</v>
      </c>
      <c r="B409" s="23">
        <v>45916.0</v>
      </c>
      <c r="C409" s="15" t="s">
        <v>918</v>
      </c>
      <c r="D409" s="15"/>
      <c r="E409" s="15" t="s">
        <v>184</v>
      </c>
      <c r="F409" s="15" t="s">
        <v>622</v>
      </c>
      <c r="G409" s="15" t="s">
        <v>919</v>
      </c>
      <c r="H409" s="15" t="s">
        <v>546</v>
      </c>
      <c r="I409" s="15" t="s">
        <v>535</v>
      </c>
      <c r="J409" s="15" t="s">
        <v>188</v>
      </c>
      <c r="K409" s="15"/>
      <c r="L409" s="15"/>
    </row>
    <row r="410">
      <c r="A410" s="15">
        <v>409.0</v>
      </c>
      <c r="B410" s="23">
        <v>45916.0</v>
      </c>
      <c r="C410" s="15" t="s">
        <v>920</v>
      </c>
      <c r="D410" s="15"/>
      <c r="E410" s="15" t="s">
        <v>184</v>
      </c>
      <c r="F410" s="15" t="s">
        <v>622</v>
      </c>
      <c r="G410" s="15" t="s">
        <v>921</v>
      </c>
      <c r="H410" s="15" t="s">
        <v>534</v>
      </c>
      <c r="I410" s="15" t="s">
        <v>535</v>
      </c>
      <c r="J410" s="15" t="s">
        <v>188</v>
      </c>
      <c r="K410" s="15"/>
      <c r="L410" s="15"/>
    </row>
    <row r="411">
      <c r="A411" s="15">
        <v>410.0</v>
      </c>
      <c r="B411" s="23">
        <v>45916.0</v>
      </c>
      <c r="C411" s="15" t="s">
        <v>922</v>
      </c>
      <c r="D411" s="15"/>
      <c r="E411" s="15" t="s">
        <v>429</v>
      </c>
      <c r="F411" s="15" t="s">
        <v>622</v>
      </c>
      <c r="G411" s="15" t="s">
        <v>923</v>
      </c>
      <c r="H411" s="15" t="s">
        <v>546</v>
      </c>
      <c r="I411" s="15" t="s">
        <v>535</v>
      </c>
      <c r="J411" s="15" t="s">
        <v>188</v>
      </c>
      <c r="K411" s="15"/>
      <c r="L411" s="15"/>
    </row>
    <row r="412">
      <c r="A412" s="15">
        <v>411.0</v>
      </c>
      <c r="B412" s="23">
        <v>45916.0</v>
      </c>
      <c r="C412" s="15" t="s">
        <v>924</v>
      </c>
      <c r="D412" s="15"/>
      <c r="E412" s="15" t="s">
        <v>429</v>
      </c>
      <c r="F412" s="15" t="s">
        <v>622</v>
      </c>
      <c r="G412" s="15" t="s">
        <v>925</v>
      </c>
      <c r="H412" s="15" t="s">
        <v>546</v>
      </c>
      <c r="I412" s="15" t="s">
        <v>535</v>
      </c>
      <c r="J412" s="15" t="s">
        <v>188</v>
      </c>
      <c r="K412" s="15"/>
      <c r="L412" s="15"/>
    </row>
    <row r="413">
      <c r="A413" s="15">
        <v>412.0</v>
      </c>
      <c r="B413" s="23">
        <v>45916.0</v>
      </c>
      <c r="C413" s="15" t="s">
        <v>926</v>
      </c>
      <c r="D413" s="15"/>
      <c r="E413" s="15" t="s">
        <v>429</v>
      </c>
      <c r="F413" s="15" t="s">
        <v>622</v>
      </c>
      <c r="G413" s="15" t="s">
        <v>927</v>
      </c>
      <c r="H413" s="15" t="s">
        <v>546</v>
      </c>
      <c r="I413" s="15" t="s">
        <v>535</v>
      </c>
      <c r="J413" s="15" t="s">
        <v>188</v>
      </c>
      <c r="K413" s="15"/>
      <c r="L413" s="15"/>
    </row>
    <row r="414">
      <c r="A414" s="15">
        <v>413.0</v>
      </c>
      <c r="B414" s="23">
        <v>45916.0</v>
      </c>
      <c r="C414" s="15" t="s">
        <v>928</v>
      </c>
      <c r="D414" s="15"/>
      <c r="E414" s="15" t="s">
        <v>202</v>
      </c>
      <c r="F414" s="15" t="s">
        <v>622</v>
      </c>
      <c r="G414" s="15" t="s">
        <v>929</v>
      </c>
      <c r="H414" s="15" t="s">
        <v>546</v>
      </c>
      <c r="I414" s="15" t="s">
        <v>535</v>
      </c>
      <c r="J414" s="15" t="s">
        <v>188</v>
      </c>
      <c r="K414" s="15"/>
      <c r="L414" s="15"/>
    </row>
    <row r="415">
      <c r="A415" s="15">
        <v>414.0</v>
      </c>
      <c r="B415" s="23">
        <v>45916.0</v>
      </c>
      <c r="C415" s="15" t="s">
        <v>930</v>
      </c>
      <c r="D415" s="15"/>
      <c r="E415" s="15" t="s">
        <v>184</v>
      </c>
      <c r="F415" s="15" t="s">
        <v>622</v>
      </c>
      <c r="G415" s="15" t="s">
        <v>931</v>
      </c>
      <c r="H415" s="15" t="s">
        <v>546</v>
      </c>
      <c r="I415" s="15" t="s">
        <v>535</v>
      </c>
      <c r="J415" s="15" t="s">
        <v>188</v>
      </c>
      <c r="K415" s="15"/>
      <c r="L415" s="15"/>
    </row>
    <row r="416">
      <c r="A416" s="15">
        <v>415.0</v>
      </c>
      <c r="B416" s="23">
        <v>45916.0</v>
      </c>
      <c r="C416" s="15" t="s">
        <v>932</v>
      </c>
      <c r="D416" s="15"/>
      <c r="E416" s="15" t="s">
        <v>652</v>
      </c>
      <c r="F416" s="15" t="s">
        <v>622</v>
      </c>
      <c r="G416" s="15" t="s">
        <v>933</v>
      </c>
      <c r="H416" s="15" t="s">
        <v>546</v>
      </c>
      <c r="I416" s="15" t="s">
        <v>535</v>
      </c>
      <c r="J416" s="15" t="s">
        <v>188</v>
      </c>
      <c r="K416" s="15"/>
      <c r="L416" s="15"/>
    </row>
    <row r="417">
      <c r="A417" s="15">
        <v>416.0</v>
      </c>
      <c r="B417" s="23">
        <v>45916.0</v>
      </c>
      <c r="C417" s="15" t="s">
        <v>934</v>
      </c>
      <c r="D417" s="15"/>
      <c r="E417" s="15" t="s">
        <v>429</v>
      </c>
      <c r="F417" s="15" t="s">
        <v>622</v>
      </c>
      <c r="G417" s="15" t="s">
        <v>935</v>
      </c>
      <c r="H417" s="15" t="s">
        <v>546</v>
      </c>
      <c r="I417" s="15" t="s">
        <v>535</v>
      </c>
      <c r="J417" s="15" t="s">
        <v>188</v>
      </c>
      <c r="K417" s="15"/>
      <c r="L417" s="15"/>
    </row>
    <row r="418">
      <c r="A418" s="15">
        <v>417.0</v>
      </c>
      <c r="B418" s="23">
        <v>45916.0</v>
      </c>
      <c r="C418" s="15" t="s">
        <v>936</v>
      </c>
      <c r="D418" s="15"/>
      <c r="E418" s="15" t="s">
        <v>401</v>
      </c>
      <c r="F418" s="15" t="s">
        <v>622</v>
      </c>
      <c r="G418" s="15" t="s">
        <v>937</v>
      </c>
      <c r="H418" s="15" t="s">
        <v>938</v>
      </c>
      <c r="I418" s="15" t="s">
        <v>939</v>
      </c>
      <c r="J418" s="15" t="s">
        <v>188</v>
      </c>
      <c r="K418" s="15"/>
      <c r="L418" s="15"/>
    </row>
    <row r="419">
      <c r="A419" s="15">
        <v>418.0</v>
      </c>
      <c r="B419" s="23">
        <v>45916.0</v>
      </c>
      <c r="C419" s="15" t="s">
        <v>940</v>
      </c>
      <c r="D419" s="15"/>
      <c r="E419" s="15" t="s">
        <v>401</v>
      </c>
      <c r="F419" s="15" t="s">
        <v>622</v>
      </c>
      <c r="G419" s="15" t="s">
        <v>937</v>
      </c>
      <c r="H419" s="15" t="s">
        <v>938</v>
      </c>
      <c r="I419" s="15" t="s">
        <v>939</v>
      </c>
      <c r="J419" s="15" t="s">
        <v>188</v>
      </c>
      <c r="K419" s="15"/>
      <c r="L419" s="15"/>
    </row>
    <row r="420">
      <c r="A420" s="15">
        <v>419.0</v>
      </c>
      <c r="B420" s="23">
        <v>45916.0</v>
      </c>
      <c r="C420" s="15" t="s">
        <v>941</v>
      </c>
      <c r="D420" s="15"/>
      <c r="E420" s="15" t="s">
        <v>401</v>
      </c>
      <c r="F420" s="15" t="s">
        <v>622</v>
      </c>
      <c r="G420" s="15" t="s">
        <v>937</v>
      </c>
      <c r="H420" s="15" t="s">
        <v>938</v>
      </c>
      <c r="I420" s="15" t="s">
        <v>939</v>
      </c>
      <c r="J420" s="15" t="s">
        <v>188</v>
      </c>
      <c r="K420" s="15"/>
      <c r="L420" s="15"/>
    </row>
    <row r="421">
      <c r="A421" s="15">
        <v>420.0</v>
      </c>
      <c r="B421" s="23">
        <v>45916.0</v>
      </c>
      <c r="C421" s="15" t="s">
        <v>942</v>
      </c>
      <c r="D421" s="15"/>
      <c r="E421" s="15" t="s">
        <v>401</v>
      </c>
      <c r="F421" s="15" t="s">
        <v>622</v>
      </c>
      <c r="G421" s="15" t="s">
        <v>937</v>
      </c>
      <c r="H421" s="15" t="s">
        <v>938</v>
      </c>
      <c r="I421" s="15" t="s">
        <v>939</v>
      </c>
      <c r="J421" s="15" t="s">
        <v>188</v>
      </c>
      <c r="K421" s="15"/>
      <c r="L421" s="15"/>
    </row>
    <row r="422">
      <c r="A422" s="15">
        <v>421.0</v>
      </c>
      <c r="B422" s="23">
        <v>45916.0</v>
      </c>
      <c r="C422" s="15" t="s">
        <v>943</v>
      </c>
      <c r="D422" s="15"/>
      <c r="E422" s="15" t="s">
        <v>401</v>
      </c>
      <c r="F422" s="15" t="s">
        <v>622</v>
      </c>
      <c r="G422" s="15" t="s">
        <v>937</v>
      </c>
      <c r="H422" s="15" t="s">
        <v>938</v>
      </c>
      <c r="I422" s="15" t="s">
        <v>939</v>
      </c>
      <c r="J422" s="15" t="s">
        <v>188</v>
      </c>
      <c r="K422" s="15"/>
      <c r="L422" s="15"/>
    </row>
    <row r="423">
      <c r="A423" s="15">
        <v>422.0</v>
      </c>
      <c r="B423" s="23">
        <v>45916.0</v>
      </c>
      <c r="C423" s="15" t="s">
        <v>944</v>
      </c>
      <c r="D423" s="15"/>
      <c r="E423" s="15" t="s">
        <v>577</v>
      </c>
      <c r="F423" s="15" t="s">
        <v>622</v>
      </c>
      <c r="G423" s="15" t="s">
        <v>945</v>
      </c>
      <c r="H423" s="15" t="s">
        <v>946</v>
      </c>
      <c r="I423" s="15" t="s">
        <v>947</v>
      </c>
      <c r="J423" s="15" t="s">
        <v>188</v>
      </c>
      <c r="K423" s="15"/>
      <c r="L423" s="15"/>
    </row>
    <row r="424">
      <c r="A424" s="15">
        <v>423.0</v>
      </c>
      <c r="B424" s="23">
        <v>45916.0</v>
      </c>
      <c r="C424" s="15" t="s">
        <v>948</v>
      </c>
      <c r="D424" s="15"/>
      <c r="E424" s="15" t="s">
        <v>577</v>
      </c>
      <c r="F424" s="15" t="s">
        <v>622</v>
      </c>
      <c r="G424" s="15" t="s">
        <v>945</v>
      </c>
      <c r="H424" s="15" t="s">
        <v>946</v>
      </c>
      <c r="I424" s="15" t="s">
        <v>947</v>
      </c>
      <c r="J424" s="15" t="s">
        <v>188</v>
      </c>
      <c r="K424" s="15"/>
      <c r="L424" s="15"/>
    </row>
    <row r="425">
      <c r="A425" s="15">
        <v>424.0</v>
      </c>
      <c r="B425" s="23">
        <v>45916.0</v>
      </c>
      <c r="C425" s="15" t="s">
        <v>949</v>
      </c>
      <c r="D425" s="15"/>
      <c r="E425" s="15" t="s">
        <v>577</v>
      </c>
      <c r="F425" s="15" t="s">
        <v>622</v>
      </c>
      <c r="G425" s="15" t="s">
        <v>945</v>
      </c>
      <c r="H425" s="15" t="s">
        <v>946</v>
      </c>
      <c r="I425" s="15" t="s">
        <v>947</v>
      </c>
      <c r="J425" s="15" t="s">
        <v>188</v>
      </c>
      <c r="K425" s="15"/>
      <c r="L425" s="15"/>
    </row>
    <row r="426">
      <c r="A426" s="15">
        <v>425.0</v>
      </c>
      <c r="B426" s="23">
        <v>45916.0</v>
      </c>
      <c r="C426" s="15" t="s">
        <v>950</v>
      </c>
      <c r="D426" s="15"/>
      <c r="E426" s="15" t="s">
        <v>577</v>
      </c>
      <c r="F426" s="15" t="s">
        <v>622</v>
      </c>
      <c r="G426" s="15" t="s">
        <v>945</v>
      </c>
      <c r="H426" s="15" t="s">
        <v>946</v>
      </c>
      <c r="I426" s="15" t="s">
        <v>947</v>
      </c>
      <c r="J426" s="15" t="s">
        <v>188</v>
      </c>
      <c r="K426" s="15"/>
      <c r="L426" s="15"/>
    </row>
    <row r="427">
      <c r="A427" s="15">
        <v>426.0</v>
      </c>
      <c r="B427" s="23">
        <v>45916.0</v>
      </c>
      <c r="C427" s="15" t="s">
        <v>951</v>
      </c>
      <c r="D427" s="15"/>
      <c r="E427" s="15" t="s">
        <v>397</v>
      </c>
      <c r="F427" s="15" t="s">
        <v>686</v>
      </c>
      <c r="G427" s="15" t="s">
        <v>952</v>
      </c>
      <c r="H427" s="15" t="s">
        <v>946</v>
      </c>
      <c r="I427" s="15" t="s">
        <v>953</v>
      </c>
      <c r="J427" s="15" t="s">
        <v>188</v>
      </c>
      <c r="K427" s="15"/>
      <c r="L427" s="15"/>
    </row>
    <row r="428">
      <c r="A428" s="15">
        <v>427.0</v>
      </c>
      <c r="B428" s="23">
        <v>45916.0</v>
      </c>
      <c r="C428" s="15" t="s">
        <v>954</v>
      </c>
      <c r="D428" s="15"/>
      <c r="E428" s="15" t="s">
        <v>397</v>
      </c>
      <c r="F428" s="15" t="s">
        <v>686</v>
      </c>
      <c r="G428" s="15" t="s">
        <v>952</v>
      </c>
      <c r="H428" s="15" t="s">
        <v>946</v>
      </c>
      <c r="I428" s="15" t="s">
        <v>953</v>
      </c>
      <c r="J428" s="15" t="s">
        <v>188</v>
      </c>
      <c r="K428" s="15"/>
      <c r="L428" s="15"/>
    </row>
    <row r="429">
      <c r="A429" s="15">
        <v>428.0</v>
      </c>
      <c r="B429" s="23">
        <v>45916.0</v>
      </c>
      <c r="C429" s="15" t="s">
        <v>955</v>
      </c>
      <c r="D429" s="15"/>
      <c r="E429" s="15" t="s">
        <v>397</v>
      </c>
      <c r="F429" s="15" t="s">
        <v>686</v>
      </c>
      <c r="G429" s="15" t="s">
        <v>952</v>
      </c>
      <c r="H429" s="15" t="s">
        <v>946</v>
      </c>
      <c r="I429" s="15" t="s">
        <v>953</v>
      </c>
      <c r="J429" s="15" t="s">
        <v>188</v>
      </c>
      <c r="K429" s="15"/>
      <c r="L429" s="15"/>
    </row>
    <row r="430">
      <c r="A430" s="15">
        <v>429.0</v>
      </c>
      <c r="B430" s="23">
        <v>45916.0</v>
      </c>
      <c r="C430" s="15" t="s">
        <v>956</v>
      </c>
      <c r="D430" s="15"/>
      <c r="E430" s="15" t="s">
        <v>397</v>
      </c>
      <c r="F430" s="15" t="s">
        <v>686</v>
      </c>
      <c r="G430" s="15" t="s">
        <v>952</v>
      </c>
      <c r="H430" s="15" t="s">
        <v>946</v>
      </c>
      <c r="I430" s="15" t="s">
        <v>953</v>
      </c>
      <c r="J430" s="15" t="s">
        <v>188</v>
      </c>
      <c r="K430" s="15"/>
      <c r="L430" s="15"/>
    </row>
    <row r="431">
      <c r="A431" s="15">
        <v>430.0</v>
      </c>
      <c r="B431" s="23">
        <v>45916.0</v>
      </c>
      <c r="C431" s="15" t="s">
        <v>957</v>
      </c>
      <c r="D431" s="15"/>
      <c r="E431" s="15" t="s">
        <v>397</v>
      </c>
      <c r="F431" s="15" t="s">
        <v>405</v>
      </c>
      <c r="G431" s="15" t="s">
        <v>952</v>
      </c>
      <c r="H431" s="15" t="s">
        <v>946</v>
      </c>
      <c r="I431" s="15" t="s">
        <v>953</v>
      </c>
      <c r="J431" s="15" t="s">
        <v>188</v>
      </c>
      <c r="K431" s="15"/>
      <c r="L431" s="15"/>
    </row>
    <row r="432">
      <c r="A432" s="15">
        <v>431.0</v>
      </c>
      <c r="B432" s="23">
        <v>45916.0</v>
      </c>
      <c r="C432" s="15" t="s">
        <v>958</v>
      </c>
      <c r="D432" s="15"/>
      <c r="E432" s="15" t="s">
        <v>397</v>
      </c>
      <c r="F432" s="15" t="s">
        <v>702</v>
      </c>
      <c r="G432" s="15" t="s">
        <v>952</v>
      </c>
      <c r="H432" s="15" t="s">
        <v>946</v>
      </c>
      <c r="I432" s="15" t="s">
        <v>953</v>
      </c>
      <c r="J432" s="15" t="s">
        <v>188</v>
      </c>
      <c r="K432" s="15"/>
      <c r="L432" s="15"/>
    </row>
    <row r="433">
      <c r="A433" s="15">
        <v>432.0</v>
      </c>
      <c r="B433" s="23">
        <v>45916.0</v>
      </c>
      <c r="C433" s="15" t="s">
        <v>959</v>
      </c>
      <c r="D433" s="15"/>
      <c r="E433" s="15" t="s">
        <v>397</v>
      </c>
      <c r="F433" s="15" t="s">
        <v>405</v>
      </c>
      <c r="G433" s="15" t="s">
        <v>952</v>
      </c>
      <c r="H433" s="15" t="s">
        <v>946</v>
      </c>
      <c r="I433" s="15" t="s">
        <v>953</v>
      </c>
      <c r="J433" s="15" t="s">
        <v>188</v>
      </c>
      <c r="K433" s="15"/>
      <c r="L433" s="15"/>
    </row>
    <row r="434">
      <c r="A434" s="15">
        <v>433.0</v>
      </c>
      <c r="B434" s="23">
        <v>45916.0</v>
      </c>
      <c r="C434" s="15" t="s">
        <v>960</v>
      </c>
      <c r="D434" s="15"/>
      <c r="E434" s="15" t="s">
        <v>401</v>
      </c>
      <c r="F434" s="15" t="s">
        <v>622</v>
      </c>
      <c r="G434" s="15" t="s">
        <v>937</v>
      </c>
      <c r="H434" s="15" t="s">
        <v>938</v>
      </c>
      <c r="I434" s="15" t="s">
        <v>939</v>
      </c>
      <c r="J434" s="15" t="s">
        <v>188</v>
      </c>
      <c r="K434" s="15"/>
      <c r="L434" s="15"/>
    </row>
    <row r="435">
      <c r="A435" s="15">
        <v>434.0</v>
      </c>
      <c r="B435" s="23">
        <v>45916.0</v>
      </c>
      <c r="C435" s="15" t="s">
        <v>961</v>
      </c>
      <c r="D435" s="15"/>
      <c r="E435" s="15" t="s">
        <v>401</v>
      </c>
      <c r="F435" s="15" t="s">
        <v>622</v>
      </c>
      <c r="G435" s="15" t="s">
        <v>937</v>
      </c>
      <c r="H435" s="15" t="s">
        <v>938</v>
      </c>
      <c r="I435" s="15" t="s">
        <v>939</v>
      </c>
      <c r="J435" s="15" t="s">
        <v>188</v>
      </c>
      <c r="K435" s="15"/>
      <c r="L435" s="15"/>
    </row>
    <row r="436">
      <c r="A436" s="15">
        <v>435.0</v>
      </c>
      <c r="B436" s="23">
        <v>45916.0</v>
      </c>
      <c r="C436" s="15" t="s">
        <v>962</v>
      </c>
      <c r="D436" s="15"/>
      <c r="E436" s="15" t="s">
        <v>401</v>
      </c>
      <c r="F436" s="15" t="s">
        <v>622</v>
      </c>
      <c r="G436" s="15" t="s">
        <v>937</v>
      </c>
      <c r="H436" s="15" t="s">
        <v>938</v>
      </c>
      <c r="I436" s="15" t="s">
        <v>939</v>
      </c>
      <c r="J436" s="15" t="s">
        <v>188</v>
      </c>
      <c r="K436" s="15"/>
      <c r="L436" s="15"/>
    </row>
    <row r="437">
      <c r="A437" s="15">
        <v>436.0</v>
      </c>
      <c r="B437" s="23">
        <v>45916.0</v>
      </c>
      <c r="C437" s="15" t="s">
        <v>963</v>
      </c>
      <c r="D437" s="15"/>
      <c r="E437" s="15" t="s">
        <v>401</v>
      </c>
      <c r="F437" s="15" t="s">
        <v>622</v>
      </c>
      <c r="G437" s="15" t="s">
        <v>937</v>
      </c>
      <c r="H437" s="15" t="s">
        <v>938</v>
      </c>
      <c r="I437" s="15" t="s">
        <v>939</v>
      </c>
      <c r="J437" s="15" t="s">
        <v>188</v>
      </c>
      <c r="K437" s="15"/>
      <c r="L437" s="15"/>
    </row>
    <row r="438">
      <c r="A438" s="15">
        <v>437.0</v>
      </c>
      <c r="B438" s="23">
        <v>45916.0</v>
      </c>
      <c r="C438" s="15" t="s">
        <v>964</v>
      </c>
      <c r="D438" s="15"/>
      <c r="E438" s="15" t="s">
        <v>401</v>
      </c>
      <c r="F438" s="15" t="s">
        <v>622</v>
      </c>
      <c r="G438" s="15" t="s">
        <v>937</v>
      </c>
      <c r="H438" s="15" t="s">
        <v>938</v>
      </c>
      <c r="I438" s="15" t="s">
        <v>939</v>
      </c>
      <c r="J438" s="15" t="s">
        <v>188</v>
      </c>
      <c r="K438" s="15"/>
      <c r="L438" s="15"/>
    </row>
    <row r="439">
      <c r="A439" s="15">
        <v>438.0</v>
      </c>
      <c r="B439" s="23">
        <v>45916.0</v>
      </c>
      <c r="C439" s="15" t="s">
        <v>965</v>
      </c>
      <c r="D439" s="15"/>
      <c r="E439" s="15" t="s">
        <v>401</v>
      </c>
      <c r="F439" s="15" t="s">
        <v>622</v>
      </c>
      <c r="G439" s="15" t="s">
        <v>937</v>
      </c>
      <c r="H439" s="15" t="s">
        <v>938</v>
      </c>
      <c r="I439" s="15" t="s">
        <v>939</v>
      </c>
      <c r="J439" s="15" t="s">
        <v>188</v>
      </c>
      <c r="K439" s="15"/>
      <c r="L439" s="15"/>
    </row>
    <row r="440">
      <c r="A440" s="15">
        <v>439.0</v>
      </c>
      <c r="B440" s="23">
        <v>45916.0</v>
      </c>
      <c r="C440" s="15" t="s">
        <v>966</v>
      </c>
      <c r="D440" s="15"/>
      <c r="E440" s="15" t="s">
        <v>401</v>
      </c>
      <c r="F440" s="15" t="s">
        <v>622</v>
      </c>
      <c r="G440" s="15" t="s">
        <v>937</v>
      </c>
      <c r="H440" s="15" t="s">
        <v>938</v>
      </c>
      <c r="I440" s="15" t="s">
        <v>939</v>
      </c>
      <c r="J440" s="15" t="s">
        <v>188</v>
      </c>
      <c r="K440" s="15"/>
      <c r="L440" s="15"/>
    </row>
    <row r="441">
      <c r="A441" s="15">
        <v>440.0</v>
      </c>
      <c r="B441" s="23">
        <v>45916.0</v>
      </c>
      <c r="C441" s="15" t="s">
        <v>967</v>
      </c>
      <c r="D441" s="15"/>
      <c r="E441" s="15" t="s">
        <v>401</v>
      </c>
      <c r="F441" s="15" t="s">
        <v>622</v>
      </c>
      <c r="G441" s="15" t="s">
        <v>937</v>
      </c>
      <c r="H441" s="15" t="s">
        <v>938</v>
      </c>
      <c r="I441" s="15" t="s">
        <v>939</v>
      </c>
      <c r="J441" s="15" t="s">
        <v>188</v>
      </c>
      <c r="K441" s="15"/>
      <c r="L441" s="15"/>
    </row>
    <row r="442">
      <c r="A442" s="15">
        <v>441.0</v>
      </c>
      <c r="B442" s="23">
        <v>45916.0</v>
      </c>
      <c r="C442" s="15" t="s">
        <v>968</v>
      </c>
      <c r="D442" s="15"/>
      <c r="E442" s="15" t="s">
        <v>401</v>
      </c>
      <c r="F442" s="15" t="s">
        <v>622</v>
      </c>
      <c r="G442" s="15" t="s">
        <v>937</v>
      </c>
      <c r="H442" s="15" t="s">
        <v>938</v>
      </c>
      <c r="I442" s="15" t="s">
        <v>939</v>
      </c>
      <c r="J442" s="15" t="s">
        <v>188</v>
      </c>
      <c r="K442" s="15"/>
      <c r="L442" s="15"/>
    </row>
    <row r="443">
      <c r="A443" s="15">
        <v>442.0</v>
      </c>
      <c r="B443" s="23">
        <v>45916.0</v>
      </c>
      <c r="C443" s="15" t="s">
        <v>969</v>
      </c>
      <c r="D443" s="15"/>
      <c r="E443" s="15" t="s">
        <v>401</v>
      </c>
      <c r="F443" s="15" t="s">
        <v>622</v>
      </c>
      <c r="G443" s="15" t="s">
        <v>937</v>
      </c>
      <c r="H443" s="15" t="s">
        <v>938</v>
      </c>
      <c r="I443" s="15" t="s">
        <v>939</v>
      </c>
      <c r="J443" s="15" t="s">
        <v>188</v>
      </c>
      <c r="K443" s="15"/>
      <c r="L443" s="15"/>
    </row>
    <row r="444">
      <c r="A444" s="15">
        <v>443.0</v>
      </c>
      <c r="B444" s="23">
        <v>45916.0</v>
      </c>
      <c r="C444" s="15" t="s">
        <v>970</v>
      </c>
      <c r="D444" s="15"/>
      <c r="E444" s="15" t="s">
        <v>397</v>
      </c>
      <c r="F444" s="15" t="s">
        <v>622</v>
      </c>
      <c r="G444" s="15" t="s">
        <v>952</v>
      </c>
      <c r="H444" s="15" t="s">
        <v>946</v>
      </c>
      <c r="I444" s="15" t="s">
        <v>953</v>
      </c>
      <c r="J444" s="15" t="s">
        <v>188</v>
      </c>
      <c r="K444" s="15"/>
      <c r="L444" s="15"/>
    </row>
    <row r="445">
      <c r="A445" s="15">
        <v>444.0</v>
      </c>
      <c r="B445" s="23">
        <v>45916.0</v>
      </c>
      <c r="C445" s="15" t="s">
        <v>971</v>
      </c>
      <c r="D445" s="15"/>
      <c r="E445" s="15" t="s">
        <v>397</v>
      </c>
      <c r="F445" s="15" t="s">
        <v>622</v>
      </c>
      <c r="G445" s="15" t="s">
        <v>952</v>
      </c>
      <c r="H445" s="15" t="s">
        <v>946</v>
      </c>
      <c r="I445" s="15" t="s">
        <v>953</v>
      </c>
      <c r="J445" s="15" t="s">
        <v>188</v>
      </c>
      <c r="K445" s="15"/>
      <c r="L445" s="15"/>
    </row>
    <row r="446">
      <c r="A446" s="15">
        <v>445.0</v>
      </c>
      <c r="B446" s="23">
        <v>45916.0</v>
      </c>
      <c r="C446" s="15" t="s">
        <v>972</v>
      </c>
      <c r="D446" s="15"/>
      <c r="E446" s="15" t="s">
        <v>401</v>
      </c>
      <c r="F446" s="15" t="s">
        <v>622</v>
      </c>
      <c r="G446" s="15" t="s">
        <v>937</v>
      </c>
      <c r="H446" s="15" t="s">
        <v>938</v>
      </c>
      <c r="I446" s="15" t="s">
        <v>939</v>
      </c>
      <c r="J446" s="15" t="s">
        <v>188</v>
      </c>
      <c r="K446" s="15"/>
      <c r="L446" s="15"/>
    </row>
    <row r="447">
      <c r="A447" s="15">
        <v>446.0</v>
      </c>
      <c r="B447" s="23">
        <v>45916.0</v>
      </c>
      <c r="C447" s="15" t="s">
        <v>973</v>
      </c>
      <c r="D447" s="15"/>
      <c r="E447" s="15" t="s">
        <v>401</v>
      </c>
      <c r="F447" s="15" t="s">
        <v>622</v>
      </c>
      <c r="G447" s="15" t="s">
        <v>937</v>
      </c>
      <c r="H447" s="15" t="s">
        <v>938</v>
      </c>
      <c r="I447" s="15" t="s">
        <v>939</v>
      </c>
      <c r="J447" s="15" t="s">
        <v>188</v>
      </c>
      <c r="K447" s="15"/>
      <c r="L447" s="15"/>
    </row>
    <row r="448">
      <c r="A448" s="15">
        <v>447.0</v>
      </c>
      <c r="B448" s="23">
        <v>45916.0</v>
      </c>
      <c r="C448" s="15" t="s">
        <v>974</v>
      </c>
      <c r="D448" s="15"/>
      <c r="E448" s="15" t="s">
        <v>401</v>
      </c>
      <c r="F448" s="15" t="s">
        <v>622</v>
      </c>
      <c r="G448" s="15" t="s">
        <v>937</v>
      </c>
      <c r="H448" s="15" t="s">
        <v>938</v>
      </c>
      <c r="I448" s="15" t="s">
        <v>939</v>
      </c>
      <c r="J448" s="15" t="s">
        <v>188</v>
      </c>
      <c r="K448" s="15"/>
      <c r="L448" s="15"/>
    </row>
    <row r="449">
      <c r="A449" s="15">
        <v>448.0</v>
      </c>
      <c r="B449" s="23">
        <v>45916.0</v>
      </c>
      <c r="C449" s="15" t="s">
        <v>975</v>
      </c>
      <c r="D449" s="15"/>
      <c r="E449" s="15" t="s">
        <v>613</v>
      </c>
      <c r="F449" s="15" t="s">
        <v>622</v>
      </c>
      <c r="G449" s="15" t="s">
        <v>952</v>
      </c>
      <c r="H449" s="15" t="s">
        <v>946</v>
      </c>
      <c r="I449" s="15" t="s">
        <v>953</v>
      </c>
      <c r="J449" s="15" t="s">
        <v>188</v>
      </c>
      <c r="K449" s="15"/>
      <c r="L449" s="15"/>
    </row>
    <row r="450">
      <c r="A450" s="15">
        <v>449.0</v>
      </c>
      <c r="B450" s="23">
        <v>45916.0</v>
      </c>
      <c r="C450" s="15" t="s">
        <v>976</v>
      </c>
      <c r="D450" s="15"/>
      <c r="E450" s="15" t="s">
        <v>613</v>
      </c>
      <c r="F450" s="15" t="s">
        <v>622</v>
      </c>
      <c r="G450" s="15" t="s">
        <v>952</v>
      </c>
      <c r="H450" s="15" t="s">
        <v>946</v>
      </c>
      <c r="I450" s="15" t="s">
        <v>953</v>
      </c>
      <c r="J450" s="15" t="s">
        <v>188</v>
      </c>
      <c r="K450" s="15"/>
      <c r="L450" s="15"/>
    </row>
    <row r="451">
      <c r="A451" s="15">
        <v>450.0</v>
      </c>
      <c r="B451" s="23">
        <v>45916.0</v>
      </c>
      <c r="C451" s="15" t="s">
        <v>977</v>
      </c>
      <c r="D451" s="15"/>
      <c r="E451" s="15" t="s">
        <v>401</v>
      </c>
      <c r="F451" s="15" t="s">
        <v>622</v>
      </c>
      <c r="G451" s="15" t="s">
        <v>937</v>
      </c>
      <c r="H451" s="15" t="s">
        <v>938</v>
      </c>
      <c r="I451" s="15" t="s">
        <v>939</v>
      </c>
      <c r="J451" s="15" t="s">
        <v>188</v>
      </c>
      <c r="K451" s="15"/>
      <c r="L451" s="15"/>
    </row>
    <row r="452">
      <c r="A452" s="15">
        <v>451.0</v>
      </c>
      <c r="B452" s="23">
        <v>45916.0</v>
      </c>
      <c r="C452" s="15" t="s">
        <v>978</v>
      </c>
      <c r="D452" s="15"/>
      <c r="E452" s="15" t="s">
        <v>613</v>
      </c>
      <c r="F452" s="15" t="s">
        <v>622</v>
      </c>
      <c r="G452" s="15" t="s">
        <v>952</v>
      </c>
      <c r="H452" s="15" t="s">
        <v>946</v>
      </c>
      <c r="I452" s="15" t="s">
        <v>979</v>
      </c>
      <c r="J452" s="15" t="s">
        <v>188</v>
      </c>
      <c r="K452" s="15"/>
      <c r="L452" s="15"/>
    </row>
    <row r="453">
      <c r="A453" s="15">
        <v>452.0</v>
      </c>
      <c r="B453" s="23">
        <v>45916.0</v>
      </c>
      <c r="C453" s="15" t="s">
        <v>980</v>
      </c>
      <c r="D453" s="15"/>
      <c r="E453" s="15" t="s">
        <v>401</v>
      </c>
      <c r="F453" s="15" t="s">
        <v>622</v>
      </c>
      <c r="G453" s="15" t="s">
        <v>937</v>
      </c>
      <c r="H453" s="15" t="s">
        <v>938</v>
      </c>
      <c r="I453" s="15" t="s">
        <v>939</v>
      </c>
      <c r="J453" s="15" t="s">
        <v>188</v>
      </c>
      <c r="K453" s="15"/>
      <c r="L453" s="15"/>
    </row>
    <row r="454">
      <c r="A454" s="15">
        <v>453.0</v>
      </c>
      <c r="B454" s="23">
        <v>45916.0</v>
      </c>
      <c r="C454" s="15" t="s">
        <v>981</v>
      </c>
      <c r="D454" s="15"/>
      <c r="E454" s="15" t="s">
        <v>401</v>
      </c>
      <c r="F454" s="15" t="s">
        <v>622</v>
      </c>
      <c r="G454" s="15" t="s">
        <v>937</v>
      </c>
      <c r="H454" s="15" t="s">
        <v>938</v>
      </c>
      <c r="I454" s="15" t="s">
        <v>939</v>
      </c>
      <c r="J454" s="15" t="s">
        <v>188</v>
      </c>
      <c r="K454" s="15"/>
      <c r="L454" s="15"/>
    </row>
    <row r="455">
      <c r="A455" s="15">
        <v>454.0</v>
      </c>
      <c r="B455" s="23">
        <v>45916.0</v>
      </c>
      <c r="C455" s="15" t="s">
        <v>982</v>
      </c>
      <c r="D455" s="15"/>
      <c r="E455" s="15" t="s">
        <v>401</v>
      </c>
      <c r="F455" s="15" t="s">
        <v>622</v>
      </c>
      <c r="G455" s="15" t="s">
        <v>937</v>
      </c>
      <c r="H455" s="15" t="s">
        <v>938</v>
      </c>
      <c r="I455" s="15" t="s">
        <v>939</v>
      </c>
      <c r="J455" s="15" t="s">
        <v>188</v>
      </c>
      <c r="K455" s="15"/>
      <c r="L455" s="15"/>
    </row>
    <row r="456">
      <c r="A456" s="15">
        <v>455.0</v>
      </c>
      <c r="B456" s="23">
        <v>45916.0</v>
      </c>
      <c r="C456" s="15" t="s">
        <v>983</v>
      </c>
      <c r="D456" s="15"/>
      <c r="E456" s="15" t="s">
        <v>401</v>
      </c>
      <c r="F456" s="15" t="s">
        <v>622</v>
      </c>
      <c r="G456" s="15" t="s">
        <v>937</v>
      </c>
      <c r="H456" s="15" t="s">
        <v>938</v>
      </c>
      <c r="I456" s="15" t="s">
        <v>939</v>
      </c>
      <c r="J456" s="15" t="s">
        <v>188</v>
      </c>
      <c r="K456" s="15"/>
      <c r="L456" s="15"/>
    </row>
    <row r="457">
      <c r="A457" s="15">
        <v>456.0</v>
      </c>
      <c r="B457" s="23">
        <v>45916.0</v>
      </c>
      <c r="C457" s="15" t="s">
        <v>984</v>
      </c>
      <c r="D457" s="15"/>
      <c r="E457" s="15" t="s">
        <v>401</v>
      </c>
      <c r="F457" s="15" t="s">
        <v>622</v>
      </c>
      <c r="G457" s="15" t="s">
        <v>937</v>
      </c>
      <c r="H457" s="15" t="s">
        <v>938</v>
      </c>
      <c r="I457" s="15" t="s">
        <v>939</v>
      </c>
      <c r="J457" s="15" t="s">
        <v>188</v>
      </c>
      <c r="K457" s="15"/>
      <c r="L457" s="15"/>
    </row>
    <row r="458">
      <c r="A458" s="15">
        <v>457.0</v>
      </c>
      <c r="B458" s="23">
        <v>45916.0</v>
      </c>
      <c r="C458" s="15" t="s">
        <v>985</v>
      </c>
      <c r="D458" s="15"/>
      <c r="E458" s="15" t="s">
        <v>401</v>
      </c>
      <c r="F458" s="15" t="s">
        <v>622</v>
      </c>
      <c r="G458" s="15" t="s">
        <v>937</v>
      </c>
      <c r="H458" s="15" t="s">
        <v>938</v>
      </c>
      <c r="I458" s="15" t="s">
        <v>939</v>
      </c>
      <c r="J458" s="15" t="s">
        <v>188</v>
      </c>
      <c r="K458" s="15"/>
      <c r="L458" s="15"/>
    </row>
    <row r="459">
      <c r="A459" s="15">
        <v>458.0</v>
      </c>
      <c r="B459" s="23">
        <v>45916.0</v>
      </c>
      <c r="C459" s="15" t="s">
        <v>986</v>
      </c>
      <c r="D459" s="15"/>
      <c r="E459" s="15" t="s">
        <v>401</v>
      </c>
      <c r="F459" s="15" t="s">
        <v>622</v>
      </c>
      <c r="G459" s="15" t="s">
        <v>937</v>
      </c>
      <c r="H459" s="15" t="s">
        <v>938</v>
      </c>
      <c r="I459" s="15" t="s">
        <v>939</v>
      </c>
      <c r="J459" s="15" t="s">
        <v>188</v>
      </c>
      <c r="K459" s="15"/>
      <c r="L459" s="15"/>
    </row>
    <row r="460">
      <c r="A460" s="15">
        <v>459.0</v>
      </c>
      <c r="B460" s="23">
        <v>45916.0</v>
      </c>
      <c r="C460" s="15" t="s">
        <v>987</v>
      </c>
      <c r="D460" s="15"/>
      <c r="E460" s="15" t="s">
        <v>401</v>
      </c>
      <c r="F460" s="15" t="s">
        <v>622</v>
      </c>
      <c r="G460" s="15" t="s">
        <v>937</v>
      </c>
      <c r="H460" s="15" t="s">
        <v>938</v>
      </c>
      <c r="I460" s="15" t="s">
        <v>939</v>
      </c>
      <c r="J460" s="15" t="s">
        <v>188</v>
      </c>
      <c r="K460" s="15"/>
      <c r="L460" s="15"/>
    </row>
    <row r="461">
      <c r="A461" s="15">
        <v>460.0</v>
      </c>
      <c r="B461" s="23">
        <v>45916.0</v>
      </c>
      <c r="C461" s="15" t="s">
        <v>988</v>
      </c>
      <c r="D461" s="15"/>
      <c r="E461" s="15" t="s">
        <v>401</v>
      </c>
      <c r="F461" s="15" t="s">
        <v>622</v>
      </c>
      <c r="G461" s="15" t="s">
        <v>937</v>
      </c>
      <c r="H461" s="15" t="s">
        <v>938</v>
      </c>
      <c r="I461" s="15" t="s">
        <v>939</v>
      </c>
      <c r="J461" s="15" t="s">
        <v>188</v>
      </c>
      <c r="K461" s="15"/>
      <c r="L461" s="15"/>
    </row>
    <row r="462">
      <c r="A462" s="15">
        <v>461.0</v>
      </c>
      <c r="B462" s="23">
        <v>45916.0</v>
      </c>
      <c r="C462" s="15" t="s">
        <v>989</v>
      </c>
      <c r="D462" s="15"/>
      <c r="E462" s="15" t="s">
        <v>401</v>
      </c>
      <c r="F462" s="15" t="s">
        <v>622</v>
      </c>
      <c r="G462" s="15" t="s">
        <v>937</v>
      </c>
      <c r="H462" s="15" t="s">
        <v>938</v>
      </c>
      <c r="I462" s="15" t="s">
        <v>939</v>
      </c>
      <c r="J462" s="15" t="s">
        <v>188</v>
      </c>
      <c r="K462" s="15"/>
      <c r="L462" s="15"/>
    </row>
    <row r="463">
      <c r="A463" s="15">
        <v>462.0</v>
      </c>
      <c r="B463" s="23">
        <v>45916.0</v>
      </c>
      <c r="C463" s="15" t="s">
        <v>990</v>
      </c>
      <c r="D463" s="15"/>
      <c r="E463" s="15" t="s">
        <v>401</v>
      </c>
      <c r="F463" s="15" t="s">
        <v>622</v>
      </c>
      <c r="G463" s="15" t="s">
        <v>937</v>
      </c>
      <c r="H463" s="15" t="s">
        <v>938</v>
      </c>
      <c r="I463" s="15" t="s">
        <v>939</v>
      </c>
      <c r="J463" s="15" t="s">
        <v>188</v>
      </c>
      <c r="K463" s="15"/>
      <c r="L463" s="15"/>
    </row>
    <row r="464">
      <c r="A464" s="15">
        <v>463.0</v>
      </c>
      <c r="B464" s="23">
        <v>45916.0</v>
      </c>
      <c r="C464" s="15" t="s">
        <v>991</v>
      </c>
      <c r="D464" s="15"/>
      <c r="E464" s="15" t="s">
        <v>401</v>
      </c>
      <c r="F464" s="15" t="s">
        <v>622</v>
      </c>
      <c r="G464" s="15" t="s">
        <v>937</v>
      </c>
      <c r="H464" s="15" t="s">
        <v>938</v>
      </c>
      <c r="I464" s="15" t="s">
        <v>939</v>
      </c>
      <c r="J464" s="15" t="s">
        <v>188</v>
      </c>
      <c r="K464" s="15"/>
      <c r="L464" s="15"/>
    </row>
    <row r="465">
      <c r="A465" s="15">
        <v>464.0</v>
      </c>
      <c r="B465" s="23">
        <v>45916.0</v>
      </c>
      <c r="C465" s="15" t="s">
        <v>992</v>
      </c>
      <c r="D465" s="15"/>
      <c r="E465" s="15" t="s">
        <v>401</v>
      </c>
      <c r="F465" s="15" t="s">
        <v>622</v>
      </c>
      <c r="G465" s="15" t="s">
        <v>937</v>
      </c>
      <c r="H465" s="15" t="s">
        <v>938</v>
      </c>
      <c r="I465" s="15" t="s">
        <v>939</v>
      </c>
      <c r="J465" s="15" t="s">
        <v>188</v>
      </c>
      <c r="K465" s="15"/>
      <c r="L465" s="15"/>
    </row>
    <row r="466">
      <c r="A466" s="15">
        <v>465.0</v>
      </c>
      <c r="B466" s="23">
        <v>45916.0</v>
      </c>
      <c r="C466" s="15" t="s">
        <v>993</v>
      </c>
      <c r="D466" s="15"/>
      <c r="E466" s="15" t="s">
        <v>401</v>
      </c>
      <c r="F466" s="15" t="s">
        <v>622</v>
      </c>
      <c r="G466" s="15" t="s">
        <v>937</v>
      </c>
      <c r="H466" s="15" t="s">
        <v>938</v>
      </c>
      <c r="I466" s="15" t="s">
        <v>939</v>
      </c>
      <c r="J466" s="15" t="s">
        <v>188</v>
      </c>
      <c r="K466" s="15"/>
      <c r="L466" s="15"/>
    </row>
    <row r="467">
      <c r="A467" s="15">
        <v>466.0</v>
      </c>
      <c r="B467" s="23">
        <v>45916.0</v>
      </c>
      <c r="C467" s="15" t="s">
        <v>994</v>
      </c>
      <c r="D467" s="15"/>
      <c r="E467" s="15" t="s">
        <v>401</v>
      </c>
      <c r="F467" s="15" t="s">
        <v>622</v>
      </c>
      <c r="G467" s="15" t="s">
        <v>937</v>
      </c>
      <c r="H467" s="15" t="s">
        <v>938</v>
      </c>
      <c r="I467" s="15" t="s">
        <v>939</v>
      </c>
      <c r="J467" s="15" t="s">
        <v>188</v>
      </c>
      <c r="K467" s="15"/>
      <c r="L467" s="15"/>
    </row>
    <row r="468">
      <c r="A468" s="15">
        <v>467.0</v>
      </c>
      <c r="B468" s="23">
        <v>45916.0</v>
      </c>
      <c r="C468" s="15" t="s">
        <v>995</v>
      </c>
      <c r="D468" s="15"/>
      <c r="E468" s="15" t="s">
        <v>401</v>
      </c>
      <c r="F468" s="15" t="s">
        <v>622</v>
      </c>
      <c r="G468" s="15" t="s">
        <v>937</v>
      </c>
      <c r="H468" s="15" t="s">
        <v>938</v>
      </c>
      <c r="I468" s="15" t="s">
        <v>939</v>
      </c>
      <c r="J468" s="15" t="s">
        <v>188</v>
      </c>
      <c r="K468" s="15"/>
      <c r="L468" s="15"/>
    </row>
    <row r="469">
      <c r="A469" s="15">
        <v>468.0</v>
      </c>
      <c r="B469" s="23">
        <v>45916.0</v>
      </c>
      <c r="C469" s="15" t="s">
        <v>996</v>
      </c>
      <c r="D469" s="15"/>
      <c r="E469" s="15" t="s">
        <v>401</v>
      </c>
      <c r="F469" s="15" t="s">
        <v>622</v>
      </c>
      <c r="G469" s="15" t="s">
        <v>937</v>
      </c>
      <c r="H469" s="15" t="s">
        <v>938</v>
      </c>
      <c r="I469" s="15" t="s">
        <v>939</v>
      </c>
      <c r="J469" s="15" t="s">
        <v>188</v>
      </c>
      <c r="K469" s="15"/>
      <c r="L469" s="15"/>
    </row>
    <row r="470">
      <c r="A470" s="15">
        <v>469.0</v>
      </c>
      <c r="B470" s="23">
        <v>45916.0</v>
      </c>
      <c r="C470" s="15" t="s">
        <v>997</v>
      </c>
      <c r="D470" s="15"/>
      <c r="E470" s="15" t="s">
        <v>401</v>
      </c>
      <c r="F470" s="15" t="s">
        <v>622</v>
      </c>
      <c r="G470" s="15" t="s">
        <v>937</v>
      </c>
      <c r="H470" s="15" t="s">
        <v>938</v>
      </c>
      <c r="I470" s="15" t="s">
        <v>939</v>
      </c>
      <c r="J470" s="15" t="s">
        <v>188</v>
      </c>
      <c r="K470" s="15"/>
      <c r="L470" s="15"/>
    </row>
    <row r="471">
      <c r="A471" s="15">
        <v>470.0</v>
      </c>
      <c r="B471" s="23">
        <v>45916.0</v>
      </c>
      <c r="C471" s="15" t="s">
        <v>998</v>
      </c>
      <c r="D471" s="15"/>
      <c r="E471" s="15" t="s">
        <v>401</v>
      </c>
      <c r="F471" s="15" t="s">
        <v>622</v>
      </c>
      <c r="G471" s="15" t="s">
        <v>937</v>
      </c>
      <c r="H471" s="15" t="s">
        <v>938</v>
      </c>
      <c r="I471" s="15" t="s">
        <v>939</v>
      </c>
      <c r="J471" s="15" t="s">
        <v>188</v>
      </c>
      <c r="K471" s="15"/>
      <c r="L471" s="15"/>
    </row>
    <row r="472">
      <c r="A472" s="15">
        <v>471.0</v>
      </c>
      <c r="B472" s="23">
        <v>45916.0</v>
      </c>
      <c r="C472" s="15" t="s">
        <v>999</v>
      </c>
      <c r="D472" s="15"/>
      <c r="E472" s="15" t="s">
        <v>401</v>
      </c>
      <c r="F472" s="15" t="s">
        <v>622</v>
      </c>
      <c r="G472" s="15" t="s">
        <v>937</v>
      </c>
      <c r="H472" s="15" t="s">
        <v>938</v>
      </c>
      <c r="I472" s="15" t="s">
        <v>939</v>
      </c>
      <c r="J472" s="15" t="s">
        <v>188</v>
      </c>
      <c r="K472" s="15"/>
      <c r="L472" s="15"/>
    </row>
    <row r="473">
      <c r="A473" s="15">
        <v>472.0</v>
      </c>
      <c r="B473" s="23">
        <v>45916.0</v>
      </c>
      <c r="C473" s="15" t="s">
        <v>1000</v>
      </c>
      <c r="D473" s="15"/>
      <c r="E473" s="15" t="s">
        <v>401</v>
      </c>
      <c r="F473" s="15" t="s">
        <v>622</v>
      </c>
      <c r="G473" s="15" t="s">
        <v>937</v>
      </c>
      <c r="H473" s="15" t="s">
        <v>938</v>
      </c>
      <c r="I473" s="15" t="s">
        <v>939</v>
      </c>
      <c r="J473" s="15" t="s">
        <v>188</v>
      </c>
      <c r="K473" s="15"/>
      <c r="L473" s="15"/>
    </row>
    <row r="474">
      <c r="A474" s="15">
        <v>473.0</v>
      </c>
      <c r="B474" s="23">
        <v>45916.0</v>
      </c>
      <c r="C474" s="15" t="s">
        <v>1001</v>
      </c>
      <c r="D474" s="15"/>
      <c r="E474" s="15" t="s">
        <v>401</v>
      </c>
      <c r="F474" s="15" t="s">
        <v>622</v>
      </c>
      <c r="G474" s="15" t="s">
        <v>937</v>
      </c>
      <c r="H474" s="15" t="s">
        <v>938</v>
      </c>
      <c r="I474" s="15" t="s">
        <v>939</v>
      </c>
      <c r="J474" s="15" t="s">
        <v>188</v>
      </c>
      <c r="K474" s="15"/>
      <c r="L474" s="15"/>
    </row>
    <row r="475">
      <c r="A475" s="15">
        <v>474.0</v>
      </c>
      <c r="B475" s="23">
        <v>45916.0</v>
      </c>
      <c r="C475" s="15" t="s">
        <v>1002</v>
      </c>
      <c r="D475" s="15"/>
      <c r="E475" s="15" t="s">
        <v>401</v>
      </c>
      <c r="F475" s="15" t="s">
        <v>622</v>
      </c>
      <c r="G475" s="15" t="s">
        <v>937</v>
      </c>
      <c r="H475" s="15" t="s">
        <v>938</v>
      </c>
      <c r="I475" s="15" t="s">
        <v>939</v>
      </c>
      <c r="J475" s="15" t="s">
        <v>188</v>
      </c>
      <c r="K475" s="15"/>
      <c r="L475" s="15"/>
    </row>
    <row r="476">
      <c r="A476" s="15">
        <v>475.0</v>
      </c>
      <c r="B476" s="23">
        <v>45916.0</v>
      </c>
      <c r="C476" s="15" t="s">
        <v>1003</v>
      </c>
      <c r="D476" s="15"/>
      <c r="E476" s="15" t="s">
        <v>401</v>
      </c>
      <c r="F476" s="15" t="s">
        <v>622</v>
      </c>
      <c r="G476" s="15" t="s">
        <v>937</v>
      </c>
      <c r="H476" s="15" t="s">
        <v>938</v>
      </c>
      <c r="I476" s="15" t="s">
        <v>939</v>
      </c>
      <c r="J476" s="15" t="s">
        <v>188</v>
      </c>
      <c r="K476" s="15"/>
      <c r="L476" s="15"/>
    </row>
    <row r="477">
      <c r="A477" s="15">
        <v>476.0</v>
      </c>
      <c r="B477" s="23">
        <v>45916.0</v>
      </c>
      <c r="C477" s="15" t="s">
        <v>1004</v>
      </c>
      <c r="D477" s="15"/>
      <c r="E477" s="15" t="s">
        <v>401</v>
      </c>
      <c r="F477" s="15" t="s">
        <v>622</v>
      </c>
      <c r="G477" s="15" t="s">
        <v>937</v>
      </c>
      <c r="H477" s="15" t="s">
        <v>938</v>
      </c>
      <c r="I477" s="15" t="s">
        <v>939</v>
      </c>
      <c r="J477" s="15" t="s">
        <v>188</v>
      </c>
      <c r="K477" s="15"/>
      <c r="L477" s="15"/>
    </row>
    <row r="478">
      <c r="A478" s="15">
        <v>477.0</v>
      </c>
      <c r="B478" s="23">
        <v>45916.0</v>
      </c>
      <c r="C478" s="15" t="s">
        <v>1005</v>
      </c>
      <c r="D478" s="15"/>
      <c r="E478" s="15" t="s">
        <v>401</v>
      </c>
      <c r="F478" s="15" t="s">
        <v>622</v>
      </c>
      <c r="G478" s="15" t="s">
        <v>937</v>
      </c>
      <c r="H478" s="15" t="s">
        <v>938</v>
      </c>
      <c r="I478" s="15" t="s">
        <v>939</v>
      </c>
      <c r="J478" s="15" t="s">
        <v>188</v>
      </c>
      <c r="K478" s="15"/>
      <c r="L478" s="15"/>
    </row>
    <row r="479">
      <c r="A479" s="15">
        <v>478.0</v>
      </c>
      <c r="B479" s="23">
        <v>45916.0</v>
      </c>
      <c r="C479" s="15" t="s">
        <v>1006</v>
      </c>
      <c r="D479" s="15"/>
      <c r="E479" s="15" t="s">
        <v>401</v>
      </c>
      <c r="F479" s="15" t="s">
        <v>622</v>
      </c>
      <c r="G479" s="15" t="s">
        <v>937</v>
      </c>
      <c r="H479" s="15" t="s">
        <v>938</v>
      </c>
      <c r="I479" s="15" t="s">
        <v>939</v>
      </c>
      <c r="J479" s="15" t="s">
        <v>188</v>
      </c>
      <c r="K479" s="15"/>
      <c r="L479" s="15"/>
    </row>
    <row r="480">
      <c r="A480" s="15">
        <v>479.0</v>
      </c>
      <c r="B480" s="23">
        <v>45916.0</v>
      </c>
      <c r="C480" s="15" t="s">
        <v>1007</v>
      </c>
      <c r="D480" s="15"/>
      <c r="E480" s="15" t="s">
        <v>401</v>
      </c>
      <c r="F480" s="15" t="s">
        <v>622</v>
      </c>
      <c r="G480" s="15" t="s">
        <v>937</v>
      </c>
      <c r="H480" s="15" t="s">
        <v>938</v>
      </c>
      <c r="I480" s="15" t="s">
        <v>939</v>
      </c>
      <c r="J480" s="15" t="s">
        <v>188</v>
      </c>
      <c r="K480" s="15"/>
      <c r="L480" s="15"/>
    </row>
    <row r="481">
      <c r="A481" s="15">
        <v>480.0</v>
      </c>
      <c r="B481" s="23">
        <v>45916.0</v>
      </c>
      <c r="C481" s="15" t="s">
        <v>1008</v>
      </c>
      <c r="D481" s="15"/>
      <c r="E481" s="15" t="s">
        <v>401</v>
      </c>
      <c r="F481" s="15" t="s">
        <v>622</v>
      </c>
      <c r="G481" s="15" t="s">
        <v>937</v>
      </c>
      <c r="H481" s="15" t="s">
        <v>938</v>
      </c>
      <c r="I481" s="15" t="s">
        <v>939</v>
      </c>
      <c r="J481" s="15" t="s">
        <v>188</v>
      </c>
      <c r="K481" s="15"/>
      <c r="L481" s="15"/>
    </row>
    <row r="482">
      <c r="A482" s="15">
        <v>481.0</v>
      </c>
      <c r="B482" s="23">
        <v>45916.0</v>
      </c>
      <c r="C482" s="15" t="s">
        <v>1009</v>
      </c>
      <c r="D482" s="15"/>
      <c r="E482" s="15" t="s">
        <v>401</v>
      </c>
      <c r="F482" s="15" t="s">
        <v>622</v>
      </c>
      <c r="G482" s="15" t="s">
        <v>937</v>
      </c>
      <c r="H482" s="15" t="s">
        <v>938</v>
      </c>
      <c r="I482" s="15" t="s">
        <v>939</v>
      </c>
      <c r="J482" s="15" t="s">
        <v>188</v>
      </c>
      <c r="K482" s="15"/>
      <c r="L482" s="15"/>
    </row>
    <row r="483">
      <c r="A483" s="15">
        <v>482.0</v>
      </c>
      <c r="B483" s="23">
        <v>45916.0</v>
      </c>
      <c r="C483" s="15" t="s">
        <v>1010</v>
      </c>
      <c r="D483" s="15"/>
      <c r="E483" s="15" t="s">
        <v>401</v>
      </c>
      <c r="F483" s="15" t="s">
        <v>622</v>
      </c>
      <c r="G483" s="15" t="s">
        <v>937</v>
      </c>
      <c r="H483" s="15" t="s">
        <v>938</v>
      </c>
      <c r="I483" s="15" t="s">
        <v>939</v>
      </c>
      <c r="J483" s="15" t="s">
        <v>188</v>
      </c>
      <c r="K483" s="15"/>
      <c r="L483" s="15"/>
    </row>
    <row r="484">
      <c r="A484" s="15">
        <v>483.0</v>
      </c>
      <c r="B484" s="23">
        <v>45916.0</v>
      </c>
      <c r="C484" s="15" t="s">
        <v>1011</v>
      </c>
      <c r="D484" s="15"/>
      <c r="E484" s="15" t="s">
        <v>401</v>
      </c>
      <c r="F484" s="15" t="s">
        <v>622</v>
      </c>
      <c r="G484" s="15" t="s">
        <v>937</v>
      </c>
      <c r="H484" s="15" t="s">
        <v>938</v>
      </c>
      <c r="I484" s="15" t="s">
        <v>939</v>
      </c>
      <c r="J484" s="15" t="s">
        <v>188</v>
      </c>
      <c r="K484" s="15"/>
      <c r="L484" s="15"/>
    </row>
    <row r="485">
      <c r="A485" s="15">
        <v>484.0</v>
      </c>
      <c r="B485" s="23">
        <v>45916.0</v>
      </c>
      <c r="C485" s="15" t="s">
        <v>1012</v>
      </c>
      <c r="D485" s="15"/>
      <c r="E485" s="15" t="s">
        <v>401</v>
      </c>
      <c r="F485" s="15" t="s">
        <v>622</v>
      </c>
      <c r="G485" s="15" t="s">
        <v>937</v>
      </c>
      <c r="H485" s="15" t="s">
        <v>938</v>
      </c>
      <c r="I485" s="15" t="s">
        <v>939</v>
      </c>
      <c r="J485" s="15" t="s">
        <v>188</v>
      </c>
      <c r="K485" s="15"/>
      <c r="L485" s="15"/>
    </row>
    <row r="486">
      <c r="A486" s="15">
        <v>485.0</v>
      </c>
      <c r="B486" s="23">
        <v>45916.0</v>
      </c>
      <c r="C486" s="15" t="s">
        <v>1013</v>
      </c>
      <c r="D486" s="15"/>
      <c r="E486" s="15" t="s">
        <v>401</v>
      </c>
      <c r="F486" s="15" t="s">
        <v>622</v>
      </c>
      <c r="G486" s="15" t="s">
        <v>937</v>
      </c>
      <c r="H486" s="15" t="s">
        <v>938</v>
      </c>
      <c r="I486" s="15" t="s">
        <v>939</v>
      </c>
      <c r="J486" s="15" t="s">
        <v>188</v>
      </c>
      <c r="K486" s="15"/>
      <c r="L486" s="15"/>
    </row>
    <row r="487">
      <c r="A487" s="15">
        <v>486.0</v>
      </c>
      <c r="B487" s="23">
        <v>45916.0</v>
      </c>
      <c r="C487" s="15" t="s">
        <v>1014</v>
      </c>
      <c r="D487" s="15"/>
      <c r="E487" s="15" t="s">
        <v>401</v>
      </c>
      <c r="F487" s="15" t="s">
        <v>622</v>
      </c>
      <c r="G487" s="15" t="s">
        <v>937</v>
      </c>
      <c r="H487" s="15" t="s">
        <v>938</v>
      </c>
      <c r="I487" s="15" t="s">
        <v>939</v>
      </c>
      <c r="J487" s="15" t="s">
        <v>188</v>
      </c>
      <c r="K487" s="15"/>
      <c r="L487" s="15"/>
    </row>
    <row r="488">
      <c r="A488" s="15">
        <v>487.0</v>
      </c>
      <c r="B488" s="23">
        <v>45916.0</v>
      </c>
      <c r="C488" s="15" t="s">
        <v>1015</v>
      </c>
      <c r="D488" s="15"/>
      <c r="E488" s="15" t="s">
        <v>401</v>
      </c>
      <c r="F488" s="15" t="s">
        <v>622</v>
      </c>
      <c r="G488" s="15" t="s">
        <v>937</v>
      </c>
      <c r="H488" s="15" t="s">
        <v>938</v>
      </c>
      <c r="I488" s="15" t="s">
        <v>939</v>
      </c>
      <c r="J488" s="15" t="s">
        <v>188</v>
      </c>
      <c r="K488" s="15"/>
      <c r="L488" s="15"/>
    </row>
    <row r="489">
      <c r="A489" s="15">
        <v>488.0</v>
      </c>
      <c r="B489" s="23">
        <v>45916.0</v>
      </c>
      <c r="C489" s="15" t="s">
        <v>1016</v>
      </c>
      <c r="D489" s="15"/>
      <c r="E489" s="15" t="s">
        <v>401</v>
      </c>
      <c r="F489" s="15" t="s">
        <v>622</v>
      </c>
      <c r="G489" s="15" t="s">
        <v>937</v>
      </c>
      <c r="H489" s="15" t="s">
        <v>938</v>
      </c>
      <c r="I489" s="15" t="s">
        <v>939</v>
      </c>
      <c r="J489" s="15" t="s">
        <v>188</v>
      </c>
      <c r="K489" s="15"/>
      <c r="L489" s="15"/>
    </row>
    <row r="490">
      <c r="A490" s="15">
        <v>489.0</v>
      </c>
      <c r="B490" s="23">
        <v>45916.0</v>
      </c>
      <c r="C490" s="15" t="s">
        <v>1017</v>
      </c>
      <c r="D490" s="15"/>
      <c r="E490" s="15" t="s">
        <v>401</v>
      </c>
      <c r="F490" s="15" t="s">
        <v>622</v>
      </c>
      <c r="G490" s="15" t="s">
        <v>937</v>
      </c>
      <c r="H490" s="15" t="s">
        <v>938</v>
      </c>
      <c r="I490" s="15" t="s">
        <v>939</v>
      </c>
      <c r="J490" s="15" t="s">
        <v>188</v>
      </c>
      <c r="K490" s="15"/>
      <c r="L490" s="15"/>
    </row>
    <row r="491">
      <c r="A491" s="15">
        <v>490.0</v>
      </c>
      <c r="B491" s="23">
        <v>45916.0</v>
      </c>
      <c r="C491" s="15" t="s">
        <v>1018</v>
      </c>
      <c r="D491" s="15"/>
      <c r="E491" s="15" t="s">
        <v>401</v>
      </c>
      <c r="F491" s="15" t="s">
        <v>622</v>
      </c>
      <c r="G491" s="15" t="s">
        <v>937</v>
      </c>
      <c r="H491" s="15" t="s">
        <v>938</v>
      </c>
      <c r="I491" s="15" t="s">
        <v>939</v>
      </c>
      <c r="J491" s="15" t="s">
        <v>188</v>
      </c>
      <c r="K491" s="15"/>
      <c r="L491" s="15"/>
    </row>
    <row r="492">
      <c r="A492" s="15">
        <v>491.0</v>
      </c>
      <c r="B492" s="23">
        <v>45916.0</v>
      </c>
      <c r="C492" s="15" t="s">
        <v>1019</v>
      </c>
      <c r="D492" s="15"/>
      <c r="E492" s="15" t="s">
        <v>401</v>
      </c>
      <c r="F492" s="15" t="s">
        <v>622</v>
      </c>
      <c r="G492" s="15" t="s">
        <v>937</v>
      </c>
      <c r="H492" s="15" t="s">
        <v>938</v>
      </c>
      <c r="I492" s="15" t="s">
        <v>939</v>
      </c>
      <c r="J492" s="15" t="s">
        <v>188</v>
      </c>
      <c r="K492" s="15"/>
      <c r="L492" s="15"/>
    </row>
    <row r="493">
      <c r="A493" s="15">
        <v>492.0</v>
      </c>
      <c r="B493" s="23">
        <v>45916.0</v>
      </c>
      <c r="C493" s="15" t="s">
        <v>1020</v>
      </c>
      <c r="D493" s="15"/>
      <c r="E493" s="15" t="s">
        <v>401</v>
      </c>
      <c r="F493" s="15" t="s">
        <v>622</v>
      </c>
      <c r="G493" s="15" t="s">
        <v>937</v>
      </c>
      <c r="H493" s="15" t="s">
        <v>938</v>
      </c>
      <c r="I493" s="15" t="s">
        <v>939</v>
      </c>
      <c r="J493" s="15" t="s">
        <v>188</v>
      </c>
      <c r="K493" s="15"/>
      <c r="L493" s="15"/>
    </row>
    <row r="494">
      <c r="A494" s="15">
        <v>493.0</v>
      </c>
      <c r="B494" s="23">
        <v>45916.0</v>
      </c>
      <c r="C494" s="15" t="s">
        <v>1021</v>
      </c>
      <c r="D494" s="15"/>
      <c r="E494" s="15" t="s">
        <v>577</v>
      </c>
      <c r="F494" s="15" t="s">
        <v>622</v>
      </c>
      <c r="G494" s="15" t="s">
        <v>945</v>
      </c>
      <c r="H494" s="15" t="s">
        <v>946</v>
      </c>
      <c r="I494" s="15" t="s">
        <v>947</v>
      </c>
      <c r="J494" s="15" t="s">
        <v>188</v>
      </c>
      <c r="K494" s="15"/>
      <c r="L494" s="15"/>
    </row>
    <row r="495">
      <c r="A495" s="15">
        <v>494.0</v>
      </c>
      <c r="B495" s="23">
        <v>45916.0</v>
      </c>
      <c r="C495" s="15" t="s">
        <v>1022</v>
      </c>
      <c r="D495" s="15"/>
      <c r="E495" s="15" t="s">
        <v>577</v>
      </c>
      <c r="F495" s="15" t="s">
        <v>622</v>
      </c>
      <c r="G495" s="15" t="s">
        <v>945</v>
      </c>
      <c r="H495" s="15" t="s">
        <v>946</v>
      </c>
      <c r="I495" s="15" t="s">
        <v>947</v>
      </c>
      <c r="J495" s="15" t="s">
        <v>188</v>
      </c>
      <c r="K495" s="15"/>
      <c r="L495" s="15"/>
    </row>
    <row r="496">
      <c r="A496" s="15">
        <v>495.0</v>
      </c>
      <c r="B496" s="23">
        <v>45916.0</v>
      </c>
      <c r="C496" s="15" t="s">
        <v>1023</v>
      </c>
      <c r="D496" s="15"/>
      <c r="E496" s="15" t="s">
        <v>577</v>
      </c>
      <c r="F496" s="15" t="s">
        <v>622</v>
      </c>
      <c r="G496" s="15" t="s">
        <v>945</v>
      </c>
      <c r="H496" s="15" t="s">
        <v>946</v>
      </c>
      <c r="I496" s="15" t="s">
        <v>947</v>
      </c>
      <c r="J496" s="15" t="s">
        <v>188</v>
      </c>
      <c r="K496" s="15"/>
      <c r="L496" s="15"/>
    </row>
    <row r="497">
      <c r="A497" s="15">
        <v>496.0</v>
      </c>
      <c r="B497" s="23">
        <v>45916.0</v>
      </c>
      <c r="C497" s="15" t="s">
        <v>1024</v>
      </c>
      <c r="D497" s="15"/>
      <c r="E497" s="15" t="s">
        <v>577</v>
      </c>
      <c r="F497" s="15" t="s">
        <v>622</v>
      </c>
      <c r="G497" s="15" t="s">
        <v>945</v>
      </c>
      <c r="H497" s="15" t="s">
        <v>946</v>
      </c>
      <c r="I497" s="15" t="s">
        <v>947</v>
      </c>
      <c r="J497" s="15" t="s">
        <v>188</v>
      </c>
      <c r="K497" s="15"/>
      <c r="L497" s="15"/>
    </row>
    <row r="498">
      <c r="A498" s="15">
        <v>497.0</v>
      </c>
      <c r="B498" s="23">
        <v>45916.0</v>
      </c>
      <c r="C498" s="15" t="s">
        <v>1025</v>
      </c>
      <c r="D498" s="15"/>
      <c r="E498" s="15" t="s">
        <v>577</v>
      </c>
      <c r="F498" s="15" t="s">
        <v>622</v>
      </c>
      <c r="G498" s="15" t="s">
        <v>945</v>
      </c>
      <c r="H498" s="15" t="s">
        <v>946</v>
      </c>
      <c r="I498" s="15" t="s">
        <v>947</v>
      </c>
      <c r="J498" s="15" t="s">
        <v>188</v>
      </c>
      <c r="K498" s="15"/>
      <c r="L498" s="15"/>
    </row>
    <row r="499">
      <c r="A499" s="15">
        <v>498.0</v>
      </c>
      <c r="B499" s="23">
        <v>45916.0</v>
      </c>
      <c r="C499" s="15" t="s">
        <v>950</v>
      </c>
      <c r="D499" s="15"/>
      <c r="E499" s="15" t="s">
        <v>577</v>
      </c>
      <c r="F499" s="15" t="s">
        <v>622</v>
      </c>
      <c r="G499" s="15" t="s">
        <v>945</v>
      </c>
      <c r="H499" s="15" t="s">
        <v>946</v>
      </c>
      <c r="I499" s="15" t="s">
        <v>947</v>
      </c>
      <c r="J499" s="15" t="s">
        <v>188</v>
      </c>
      <c r="K499" s="15"/>
      <c r="L499" s="15"/>
    </row>
    <row r="500">
      <c r="A500" s="15">
        <v>499.0</v>
      </c>
      <c r="B500" s="23">
        <v>45916.0</v>
      </c>
      <c r="C500" s="15" t="s">
        <v>1026</v>
      </c>
      <c r="D500" s="15"/>
      <c r="E500" s="15" t="s">
        <v>577</v>
      </c>
      <c r="F500" s="15" t="s">
        <v>622</v>
      </c>
      <c r="G500" s="15" t="s">
        <v>945</v>
      </c>
      <c r="H500" s="15" t="s">
        <v>946</v>
      </c>
      <c r="I500" s="15" t="s">
        <v>947</v>
      </c>
      <c r="J500" s="15" t="s">
        <v>188</v>
      </c>
      <c r="K500" s="15"/>
      <c r="L500" s="15"/>
    </row>
    <row r="501">
      <c r="A501" s="15">
        <v>500.0</v>
      </c>
      <c r="B501" s="23">
        <v>45916.0</v>
      </c>
      <c r="C501" s="15" t="s">
        <v>948</v>
      </c>
      <c r="D501" s="15"/>
      <c r="E501" s="15" t="s">
        <v>577</v>
      </c>
      <c r="F501" s="15" t="s">
        <v>622</v>
      </c>
      <c r="G501" s="15" t="s">
        <v>945</v>
      </c>
      <c r="H501" s="15" t="s">
        <v>946</v>
      </c>
      <c r="I501" s="15" t="s">
        <v>947</v>
      </c>
      <c r="J501" s="15" t="s">
        <v>188</v>
      </c>
      <c r="K501" s="15"/>
      <c r="L501" s="15"/>
    </row>
    <row r="502">
      <c r="A502" s="15">
        <v>501.0</v>
      </c>
      <c r="B502" s="23">
        <v>45916.0</v>
      </c>
      <c r="C502" s="15" t="s">
        <v>1027</v>
      </c>
      <c r="D502" s="15"/>
      <c r="E502" s="15" t="s">
        <v>577</v>
      </c>
      <c r="F502" s="15" t="s">
        <v>622</v>
      </c>
      <c r="G502" s="15" t="s">
        <v>945</v>
      </c>
      <c r="H502" s="15" t="s">
        <v>946</v>
      </c>
      <c r="I502" s="15" t="s">
        <v>947</v>
      </c>
      <c r="J502" s="15" t="s">
        <v>188</v>
      </c>
      <c r="K502" s="15"/>
      <c r="L502" s="15"/>
    </row>
    <row r="503">
      <c r="A503" s="15">
        <v>502.0</v>
      </c>
      <c r="B503" s="23">
        <v>45916.0</v>
      </c>
      <c r="C503" s="15" t="s">
        <v>1028</v>
      </c>
      <c r="D503" s="15"/>
      <c r="E503" s="15" t="s">
        <v>577</v>
      </c>
      <c r="F503" s="15" t="s">
        <v>622</v>
      </c>
      <c r="G503" s="15" t="s">
        <v>945</v>
      </c>
      <c r="H503" s="15" t="s">
        <v>946</v>
      </c>
      <c r="I503" s="15" t="s">
        <v>947</v>
      </c>
      <c r="J503" s="15" t="s">
        <v>188</v>
      </c>
      <c r="K503" s="15"/>
      <c r="L503" s="15"/>
    </row>
    <row r="504">
      <c r="A504" s="15">
        <v>503.0</v>
      </c>
      <c r="B504" s="23">
        <v>45916.0</v>
      </c>
      <c r="C504" s="15" t="s">
        <v>1029</v>
      </c>
      <c r="D504" s="15"/>
      <c r="E504" s="15" t="s">
        <v>577</v>
      </c>
      <c r="F504" s="15" t="s">
        <v>622</v>
      </c>
      <c r="G504" s="15" t="s">
        <v>945</v>
      </c>
      <c r="H504" s="15" t="s">
        <v>946</v>
      </c>
      <c r="I504" s="15" t="s">
        <v>947</v>
      </c>
      <c r="J504" s="15" t="s">
        <v>188</v>
      </c>
      <c r="K504" s="15"/>
      <c r="L504" s="15"/>
    </row>
    <row r="505">
      <c r="A505" s="15">
        <v>504.0</v>
      </c>
      <c r="B505" s="23">
        <v>45916.0</v>
      </c>
      <c r="C505" s="15" t="s">
        <v>1030</v>
      </c>
      <c r="D505" s="15"/>
      <c r="E505" s="15" t="s">
        <v>577</v>
      </c>
      <c r="F505" s="15" t="s">
        <v>622</v>
      </c>
      <c r="G505" s="15" t="s">
        <v>945</v>
      </c>
      <c r="H505" s="15" t="s">
        <v>946</v>
      </c>
      <c r="I505" s="15" t="s">
        <v>947</v>
      </c>
      <c r="J505" s="15" t="s">
        <v>188</v>
      </c>
      <c r="K505" s="15"/>
      <c r="L505" s="15"/>
    </row>
    <row r="506">
      <c r="A506" s="15">
        <v>505.0</v>
      </c>
      <c r="B506" s="23">
        <v>45916.0</v>
      </c>
      <c r="C506" s="24" t="s">
        <v>1031</v>
      </c>
      <c r="D506" s="15"/>
      <c r="E506" s="15" t="s">
        <v>577</v>
      </c>
      <c r="F506" s="15" t="s">
        <v>622</v>
      </c>
      <c r="G506" s="15" t="s">
        <v>945</v>
      </c>
      <c r="H506" s="15" t="s">
        <v>946</v>
      </c>
      <c r="I506" s="15" t="s">
        <v>947</v>
      </c>
      <c r="J506" s="15" t="s">
        <v>188</v>
      </c>
      <c r="K506" s="15"/>
      <c r="L506" s="15"/>
    </row>
    <row r="507">
      <c r="A507" s="15">
        <v>506.0</v>
      </c>
      <c r="B507" s="23">
        <v>45916.0</v>
      </c>
      <c r="C507" s="15" t="s">
        <v>1032</v>
      </c>
      <c r="D507" s="15"/>
      <c r="E507" s="15" t="s">
        <v>577</v>
      </c>
      <c r="F507" s="15" t="s">
        <v>622</v>
      </c>
      <c r="G507" s="15" t="s">
        <v>945</v>
      </c>
      <c r="H507" s="15" t="s">
        <v>946</v>
      </c>
      <c r="I507" s="15" t="s">
        <v>947</v>
      </c>
      <c r="J507" s="15" t="s">
        <v>188</v>
      </c>
      <c r="K507" s="15"/>
      <c r="L507" s="15"/>
    </row>
    <row r="508">
      <c r="A508" s="15">
        <v>507.0</v>
      </c>
      <c r="B508" s="23">
        <v>45916.0</v>
      </c>
      <c r="C508" s="15" t="s">
        <v>1033</v>
      </c>
      <c r="D508" s="15"/>
      <c r="E508" s="15" t="s">
        <v>577</v>
      </c>
      <c r="F508" s="15" t="s">
        <v>622</v>
      </c>
      <c r="G508" s="15" t="s">
        <v>945</v>
      </c>
      <c r="H508" s="15" t="s">
        <v>946</v>
      </c>
      <c r="I508" s="15" t="s">
        <v>947</v>
      </c>
      <c r="J508" s="15" t="s">
        <v>188</v>
      </c>
      <c r="K508" s="15"/>
      <c r="L508" s="15"/>
    </row>
    <row r="509">
      <c r="A509" s="15">
        <v>508.0</v>
      </c>
      <c r="B509" s="23">
        <v>45916.0</v>
      </c>
      <c r="C509" s="15" t="s">
        <v>948</v>
      </c>
      <c r="D509" s="15"/>
      <c r="E509" s="15" t="s">
        <v>577</v>
      </c>
      <c r="F509" s="15" t="s">
        <v>622</v>
      </c>
      <c r="G509" s="15" t="s">
        <v>945</v>
      </c>
      <c r="H509" s="15" t="s">
        <v>946</v>
      </c>
      <c r="I509" s="15" t="s">
        <v>947</v>
      </c>
      <c r="J509" s="15" t="s">
        <v>188</v>
      </c>
      <c r="K509" s="15"/>
      <c r="L509" s="15"/>
    </row>
    <row r="510">
      <c r="A510" s="15">
        <v>509.0</v>
      </c>
      <c r="B510" s="23">
        <v>45916.0</v>
      </c>
      <c r="C510" s="15" t="s">
        <v>1034</v>
      </c>
      <c r="D510" s="15"/>
      <c r="E510" s="15" t="s">
        <v>577</v>
      </c>
      <c r="F510" s="15" t="s">
        <v>622</v>
      </c>
      <c r="G510" s="15" t="s">
        <v>945</v>
      </c>
      <c r="H510" s="15" t="s">
        <v>946</v>
      </c>
      <c r="I510" s="15" t="s">
        <v>947</v>
      </c>
      <c r="J510" s="15" t="s">
        <v>188</v>
      </c>
      <c r="K510" s="15"/>
      <c r="L510" s="15"/>
    </row>
    <row r="511">
      <c r="A511" s="15">
        <v>510.0</v>
      </c>
      <c r="B511" s="23">
        <v>45916.0</v>
      </c>
      <c r="C511" s="15" t="s">
        <v>1035</v>
      </c>
      <c r="D511" s="15"/>
      <c r="E511" s="15" t="s">
        <v>577</v>
      </c>
      <c r="F511" s="15" t="s">
        <v>622</v>
      </c>
      <c r="G511" s="15" t="s">
        <v>945</v>
      </c>
      <c r="H511" s="15" t="s">
        <v>946</v>
      </c>
      <c r="I511" s="15" t="s">
        <v>947</v>
      </c>
      <c r="J511" s="15" t="s">
        <v>188</v>
      </c>
      <c r="K511" s="15"/>
      <c r="L511" s="15"/>
    </row>
    <row r="512">
      <c r="A512" s="15">
        <v>511.0</v>
      </c>
      <c r="B512" s="23">
        <v>45916.0</v>
      </c>
      <c r="C512" s="15" t="s">
        <v>1036</v>
      </c>
      <c r="D512" s="15"/>
      <c r="E512" s="15" t="s">
        <v>577</v>
      </c>
      <c r="F512" s="15" t="s">
        <v>622</v>
      </c>
      <c r="G512" s="15" t="s">
        <v>945</v>
      </c>
      <c r="H512" s="15" t="s">
        <v>946</v>
      </c>
      <c r="I512" s="15" t="s">
        <v>947</v>
      </c>
      <c r="J512" s="15" t="s">
        <v>188</v>
      </c>
      <c r="K512" s="15"/>
      <c r="L512" s="15"/>
    </row>
    <row r="513">
      <c r="A513" s="15">
        <v>512.0</v>
      </c>
      <c r="B513" s="23">
        <v>45916.0</v>
      </c>
      <c r="C513" s="15" t="s">
        <v>1037</v>
      </c>
      <c r="D513" s="15"/>
      <c r="E513" s="15" t="s">
        <v>577</v>
      </c>
      <c r="F513" s="15" t="s">
        <v>622</v>
      </c>
      <c r="G513" s="15" t="s">
        <v>945</v>
      </c>
      <c r="H513" s="15" t="s">
        <v>946</v>
      </c>
      <c r="I513" s="15" t="s">
        <v>947</v>
      </c>
      <c r="J513" s="15" t="s">
        <v>188</v>
      </c>
      <c r="K513" s="15"/>
      <c r="L513" s="15"/>
    </row>
    <row r="514">
      <c r="A514" s="15">
        <v>513.0</v>
      </c>
      <c r="B514" s="23">
        <v>45916.0</v>
      </c>
      <c r="C514" s="15" t="s">
        <v>1038</v>
      </c>
      <c r="D514" s="15"/>
      <c r="E514" s="15" t="s">
        <v>577</v>
      </c>
      <c r="F514" s="15" t="s">
        <v>1039</v>
      </c>
      <c r="G514" s="15" t="s">
        <v>945</v>
      </c>
      <c r="H514" s="15" t="s">
        <v>946</v>
      </c>
      <c r="I514" s="15" t="s">
        <v>947</v>
      </c>
      <c r="J514" s="15" t="s">
        <v>422</v>
      </c>
      <c r="K514" s="15" t="s">
        <v>1040</v>
      </c>
      <c r="L514" s="15"/>
    </row>
    <row r="515">
      <c r="A515" s="15">
        <v>514.0</v>
      </c>
      <c r="B515" s="23">
        <v>45916.0</v>
      </c>
      <c r="C515" s="15" t="s">
        <v>1034</v>
      </c>
      <c r="D515" s="15"/>
      <c r="E515" s="15" t="s">
        <v>577</v>
      </c>
      <c r="F515" s="15" t="s">
        <v>622</v>
      </c>
      <c r="G515" s="15" t="s">
        <v>945</v>
      </c>
      <c r="H515" s="15" t="s">
        <v>946</v>
      </c>
      <c r="I515" s="15" t="s">
        <v>947</v>
      </c>
      <c r="J515" s="15" t="s">
        <v>188</v>
      </c>
      <c r="K515" s="15"/>
      <c r="L515" s="15"/>
    </row>
    <row r="516">
      <c r="A516" s="15">
        <v>515.0</v>
      </c>
      <c r="B516" s="23">
        <v>45916.0</v>
      </c>
      <c r="C516" s="15" t="s">
        <v>948</v>
      </c>
      <c r="D516" s="15"/>
      <c r="E516" s="15" t="s">
        <v>577</v>
      </c>
      <c r="F516" s="15" t="s">
        <v>622</v>
      </c>
      <c r="G516" s="15" t="s">
        <v>945</v>
      </c>
      <c r="H516" s="15" t="s">
        <v>946</v>
      </c>
      <c r="I516" s="15" t="s">
        <v>947</v>
      </c>
      <c r="J516" s="15" t="s">
        <v>188</v>
      </c>
      <c r="K516" s="15"/>
      <c r="L516" s="15"/>
    </row>
    <row r="517">
      <c r="A517" s="15">
        <v>516.0</v>
      </c>
      <c r="B517" s="23">
        <v>45916.0</v>
      </c>
      <c r="C517" s="15" t="s">
        <v>1033</v>
      </c>
      <c r="D517" s="15"/>
      <c r="E517" s="15" t="s">
        <v>577</v>
      </c>
      <c r="F517" s="15" t="s">
        <v>622</v>
      </c>
      <c r="G517" s="15" t="s">
        <v>945</v>
      </c>
      <c r="H517" s="15" t="s">
        <v>946</v>
      </c>
      <c r="I517" s="15" t="s">
        <v>947</v>
      </c>
      <c r="J517" s="15" t="s">
        <v>188</v>
      </c>
      <c r="K517" s="15"/>
      <c r="L517" s="15"/>
    </row>
    <row r="518">
      <c r="A518" s="15">
        <v>517.0</v>
      </c>
      <c r="B518" s="23">
        <v>45916.0</v>
      </c>
      <c r="C518" s="15" t="s">
        <v>1041</v>
      </c>
      <c r="D518" s="15"/>
      <c r="E518" s="15" t="s">
        <v>577</v>
      </c>
      <c r="F518" s="15" t="s">
        <v>622</v>
      </c>
      <c r="G518" s="15" t="s">
        <v>945</v>
      </c>
      <c r="H518" s="15" t="s">
        <v>946</v>
      </c>
      <c r="I518" s="15" t="s">
        <v>947</v>
      </c>
      <c r="J518" s="15" t="s">
        <v>188</v>
      </c>
      <c r="K518" s="15"/>
      <c r="L518" s="15"/>
    </row>
    <row r="519">
      <c r="A519" s="15">
        <v>518.0</v>
      </c>
      <c r="B519" s="23">
        <v>45916.0</v>
      </c>
      <c r="C519" s="15" t="s">
        <v>1042</v>
      </c>
      <c r="D519" s="15"/>
      <c r="E519" s="15" t="s">
        <v>577</v>
      </c>
      <c r="F519" s="15" t="s">
        <v>622</v>
      </c>
      <c r="G519" s="15" t="s">
        <v>945</v>
      </c>
      <c r="H519" s="15" t="s">
        <v>946</v>
      </c>
      <c r="I519" s="15" t="s">
        <v>947</v>
      </c>
      <c r="J519" s="15" t="s">
        <v>188</v>
      </c>
      <c r="K519" s="15"/>
      <c r="L519" s="15"/>
    </row>
    <row r="520">
      <c r="A520" s="15">
        <v>519.0</v>
      </c>
      <c r="B520" s="23">
        <v>45916.0</v>
      </c>
      <c r="C520" s="15" t="s">
        <v>1031</v>
      </c>
      <c r="D520" s="15"/>
      <c r="E520" s="15" t="s">
        <v>577</v>
      </c>
      <c r="F520" s="15" t="s">
        <v>622</v>
      </c>
      <c r="G520" s="15" t="s">
        <v>945</v>
      </c>
      <c r="H520" s="15" t="s">
        <v>946</v>
      </c>
      <c r="I520" s="15" t="s">
        <v>947</v>
      </c>
      <c r="J520" s="15" t="s">
        <v>188</v>
      </c>
      <c r="K520" s="15"/>
      <c r="L520" s="15"/>
    </row>
    <row r="521">
      <c r="A521" s="15">
        <v>520.0</v>
      </c>
      <c r="B521" s="23">
        <v>45916.0</v>
      </c>
      <c r="C521" s="15" t="s">
        <v>1043</v>
      </c>
      <c r="D521" s="15"/>
      <c r="E521" s="15" t="s">
        <v>577</v>
      </c>
      <c r="F521" s="15" t="s">
        <v>622</v>
      </c>
      <c r="G521" s="15" t="s">
        <v>945</v>
      </c>
      <c r="H521" s="15" t="s">
        <v>946</v>
      </c>
      <c r="I521" s="15" t="s">
        <v>947</v>
      </c>
      <c r="J521" s="15" t="s">
        <v>188</v>
      </c>
      <c r="K521" s="15"/>
      <c r="L521" s="15"/>
    </row>
    <row r="522">
      <c r="A522" s="15">
        <v>521.0</v>
      </c>
      <c r="B522" s="23">
        <v>45916.0</v>
      </c>
      <c r="C522" s="15" t="s">
        <v>1030</v>
      </c>
      <c r="D522" s="15"/>
      <c r="E522" s="15" t="s">
        <v>577</v>
      </c>
      <c r="F522" s="15" t="s">
        <v>622</v>
      </c>
      <c r="G522" s="15" t="s">
        <v>945</v>
      </c>
      <c r="H522" s="15" t="s">
        <v>946</v>
      </c>
      <c r="I522" s="15" t="s">
        <v>947</v>
      </c>
      <c r="J522" s="15" t="s">
        <v>188</v>
      </c>
      <c r="K522" s="15"/>
      <c r="L522" s="15"/>
    </row>
    <row r="523">
      <c r="A523" s="15">
        <v>522.0</v>
      </c>
      <c r="B523" s="23">
        <v>45916.0</v>
      </c>
      <c r="C523" s="15" t="s">
        <v>1029</v>
      </c>
      <c r="D523" s="15"/>
      <c r="E523" s="15" t="s">
        <v>577</v>
      </c>
      <c r="F523" s="15" t="s">
        <v>622</v>
      </c>
      <c r="G523" s="15" t="s">
        <v>945</v>
      </c>
      <c r="H523" s="15" t="s">
        <v>946</v>
      </c>
      <c r="I523" s="15" t="s">
        <v>947</v>
      </c>
      <c r="J523" s="15" t="s">
        <v>188</v>
      </c>
      <c r="K523" s="15"/>
      <c r="L523" s="15"/>
    </row>
    <row r="524">
      <c r="A524" s="15">
        <v>523.0</v>
      </c>
      <c r="B524" s="23">
        <v>45916.0</v>
      </c>
      <c r="C524" s="15" t="s">
        <v>1028</v>
      </c>
      <c r="D524" s="15"/>
      <c r="E524" s="15" t="s">
        <v>577</v>
      </c>
      <c r="F524" s="15" t="s">
        <v>622</v>
      </c>
      <c r="G524" s="15" t="s">
        <v>945</v>
      </c>
      <c r="H524" s="15" t="s">
        <v>946</v>
      </c>
      <c r="I524" s="15" t="s">
        <v>947</v>
      </c>
      <c r="J524" s="15" t="s">
        <v>188</v>
      </c>
      <c r="K524" s="15"/>
      <c r="L524" s="15"/>
    </row>
    <row r="525">
      <c r="A525" s="15">
        <v>524.0</v>
      </c>
      <c r="B525" s="23">
        <v>45916.0</v>
      </c>
      <c r="C525" s="15" t="s">
        <v>1035</v>
      </c>
      <c r="D525" s="15"/>
      <c r="E525" s="15" t="s">
        <v>577</v>
      </c>
      <c r="F525" s="15" t="s">
        <v>622</v>
      </c>
      <c r="G525" s="15" t="s">
        <v>945</v>
      </c>
      <c r="H525" s="15" t="s">
        <v>946</v>
      </c>
      <c r="I525" s="15" t="s">
        <v>947</v>
      </c>
      <c r="J525" s="15" t="s">
        <v>188</v>
      </c>
      <c r="K525" s="15"/>
      <c r="L525" s="15"/>
    </row>
    <row r="526">
      <c r="A526" s="15">
        <v>525.0</v>
      </c>
      <c r="B526" s="23">
        <v>45916.0</v>
      </c>
      <c r="C526" s="15" t="s">
        <v>1044</v>
      </c>
      <c r="D526" s="15"/>
      <c r="E526" s="15" t="s">
        <v>577</v>
      </c>
      <c r="F526" s="15" t="s">
        <v>622</v>
      </c>
      <c r="G526" s="15" t="s">
        <v>945</v>
      </c>
      <c r="H526" s="15" t="s">
        <v>946</v>
      </c>
      <c r="I526" s="15" t="s">
        <v>947</v>
      </c>
      <c r="J526" s="15" t="s">
        <v>188</v>
      </c>
      <c r="K526" s="15"/>
      <c r="L526" s="15"/>
    </row>
    <row r="527">
      <c r="A527" s="15">
        <v>526.0</v>
      </c>
      <c r="B527" s="23">
        <v>45916.0</v>
      </c>
      <c r="C527" s="15" t="s">
        <v>1045</v>
      </c>
      <c r="D527" s="15"/>
      <c r="E527" s="15" t="s">
        <v>577</v>
      </c>
      <c r="F527" s="15" t="s">
        <v>622</v>
      </c>
      <c r="G527" s="15" t="s">
        <v>945</v>
      </c>
      <c r="H527" s="15" t="s">
        <v>946</v>
      </c>
      <c r="I527" s="15" t="s">
        <v>947</v>
      </c>
      <c r="J527" s="15" t="s">
        <v>188</v>
      </c>
      <c r="K527" s="15"/>
      <c r="L527" s="15"/>
    </row>
    <row r="528">
      <c r="A528" s="15">
        <v>527.0</v>
      </c>
      <c r="B528" s="23">
        <v>45916.0</v>
      </c>
      <c r="C528" s="15" t="s">
        <v>1046</v>
      </c>
      <c r="D528" s="15"/>
      <c r="E528" s="15" t="s">
        <v>577</v>
      </c>
      <c r="F528" s="15" t="s">
        <v>622</v>
      </c>
      <c r="G528" s="15" t="s">
        <v>945</v>
      </c>
      <c r="H528" s="15" t="s">
        <v>946</v>
      </c>
      <c r="I528" s="15" t="s">
        <v>947</v>
      </c>
      <c r="J528" s="15" t="s">
        <v>188</v>
      </c>
      <c r="K528" s="15"/>
      <c r="L528" s="15"/>
    </row>
    <row r="529">
      <c r="A529" s="15">
        <v>528.0</v>
      </c>
      <c r="B529" s="23">
        <v>45916.0</v>
      </c>
      <c r="C529" s="15" t="s">
        <v>1047</v>
      </c>
      <c r="D529" s="15"/>
      <c r="E529" s="15" t="s">
        <v>577</v>
      </c>
      <c r="F529" s="15" t="s">
        <v>686</v>
      </c>
      <c r="G529" s="15" t="s">
        <v>945</v>
      </c>
      <c r="H529" s="15" t="s">
        <v>946</v>
      </c>
      <c r="I529" s="15" t="s">
        <v>947</v>
      </c>
      <c r="J529" s="15" t="s">
        <v>188</v>
      </c>
      <c r="K529" s="15"/>
      <c r="L529" s="15"/>
    </row>
    <row r="530">
      <c r="A530" s="15">
        <v>529.0</v>
      </c>
      <c r="B530" s="23">
        <v>45916.0</v>
      </c>
      <c r="C530" s="15" t="s">
        <v>1048</v>
      </c>
      <c r="D530" s="15"/>
      <c r="E530" s="15" t="s">
        <v>577</v>
      </c>
      <c r="F530" s="15" t="s">
        <v>686</v>
      </c>
      <c r="G530" s="15" t="s">
        <v>945</v>
      </c>
      <c r="H530" s="15" t="s">
        <v>946</v>
      </c>
      <c r="I530" s="15" t="s">
        <v>947</v>
      </c>
      <c r="J530" s="15" t="s">
        <v>188</v>
      </c>
      <c r="K530" s="15"/>
      <c r="L530" s="15"/>
    </row>
    <row r="531">
      <c r="A531" s="15">
        <v>530.0</v>
      </c>
      <c r="B531" s="23">
        <v>45916.0</v>
      </c>
      <c r="C531" s="15" t="s">
        <v>1049</v>
      </c>
      <c r="D531" s="15"/>
      <c r="E531" s="15" t="s">
        <v>577</v>
      </c>
      <c r="F531" s="15" t="s">
        <v>686</v>
      </c>
      <c r="G531" s="15" t="s">
        <v>945</v>
      </c>
      <c r="H531" s="15" t="s">
        <v>946</v>
      </c>
      <c r="I531" s="15" t="s">
        <v>947</v>
      </c>
      <c r="J531" s="15" t="s">
        <v>188</v>
      </c>
      <c r="K531" s="15"/>
      <c r="L531" s="15"/>
    </row>
    <row r="532">
      <c r="A532" s="15">
        <v>531.0</v>
      </c>
      <c r="B532" s="23">
        <v>45916.0</v>
      </c>
      <c r="C532" s="15" t="s">
        <v>1050</v>
      </c>
      <c r="D532" s="15"/>
      <c r="E532" s="15" t="s">
        <v>577</v>
      </c>
      <c r="F532" s="15" t="s">
        <v>686</v>
      </c>
      <c r="G532" s="15" t="s">
        <v>945</v>
      </c>
      <c r="H532" s="15" t="s">
        <v>946</v>
      </c>
      <c r="I532" s="15" t="s">
        <v>947</v>
      </c>
      <c r="J532" s="15" t="s">
        <v>188</v>
      </c>
      <c r="K532" s="15"/>
      <c r="L532" s="15"/>
    </row>
    <row r="533">
      <c r="A533" s="15">
        <v>532.0</v>
      </c>
      <c r="B533" s="23">
        <v>45916.0</v>
      </c>
      <c r="C533" s="15" t="s">
        <v>1051</v>
      </c>
      <c r="D533" s="15"/>
      <c r="E533" s="15" t="s">
        <v>577</v>
      </c>
      <c r="F533" s="15" t="s">
        <v>622</v>
      </c>
      <c r="G533" s="15" t="s">
        <v>945</v>
      </c>
      <c r="H533" s="15" t="s">
        <v>946</v>
      </c>
      <c r="I533" s="15" t="s">
        <v>947</v>
      </c>
      <c r="J533" s="15" t="s">
        <v>188</v>
      </c>
      <c r="K533" s="15"/>
      <c r="L533" s="15"/>
    </row>
    <row r="534">
      <c r="A534" s="15">
        <v>533.0</v>
      </c>
      <c r="B534" s="23">
        <v>45916.0</v>
      </c>
      <c r="C534" s="15" t="s">
        <v>1052</v>
      </c>
      <c r="D534" s="15"/>
      <c r="E534" s="15" t="s">
        <v>577</v>
      </c>
      <c r="F534" s="15" t="s">
        <v>622</v>
      </c>
      <c r="G534" s="15" t="s">
        <v>945</v>
      </c>
      <c r="H534" s="15" t="s">
        <v>946</v>
      </c>
      <c r="I534" s="15" t="s">
        <v>947</v>
      </c>
      <c r="J534" s="15" t="s">
        <v>188</v>
      </c>
      <c r="K534" s="15"/>
      <c r="L534" s="15"/>
    </row>
    <row r="535">
      <c r="A535" s="15">
        <v>534.0</v>
      </c>
      <c r="B535" s="23">
        <v>45916.0</v>
      </c>
      <c r="C535" s="15" t="s">
        <v>1053</v>
      </c>
      <c r="D535" s="15"/>
      <c r="E535" s="15" t="s">
        <v>577</v>
      </c>
      <c r="F535" s="15" t="s">
        <v>622</v>
      </c>
      <c r="G535" s="15" t="s">
        <v>945</v>
      </c>
      <c r="H535" s="15" t="s">
        <v>946</v>
      </c>
      <c r="I535" s="15" t="s">
        <v>947</v>
      </c>
      <c r="J535" s="15" t="s">
        <v>188</v>
      </c>
      <c r="K535" s="15"/>
      <c r="L535" s="15"/>
    </row>
    <row r="536">
      <c r="A536" s="15">
        <v>535.0</v>
      </c>
      <c r="B536" s="23">
        <v>45916.0</v>
      </c>
      <c r="C536" s="15" t="s">
        <v>1054</v>
      </c>
      <c r="D536" s="15"/>
      <c r="E536" s="15" t="s">
        <v>577</v>
      </c>
      <c r="F536" s="15" t="s">
        <v>622</v>
      </c>
      <c r="G536" s="15" t="s">
        <v>945</v>
      </c>
      <c r="H536" s="15" t="s">
        <v>946</v>
      </c>
      <c r="I536" s="15" t="s">
        <v>947</v>
      </c>
      <c r="J536" s="15" t="s">
        <v>188</v>
      </c>
      <c r="K536" s="15"/>
      <c r="L536" s="15"/>
    </row>
    <row r="537">
      <c r="A537" s="15">
        <v>536.0</v>
      </c>
      <c r="B537" s="23">
        <v>45916.0</v>
      </c>
      <c r="C537" s="15" t="s">
        <v>1055</v>
      </c>
      <c r="D537" s="15"/>
      <c r="E537" s="15" t="s">
        <v>577</v>
      </c>
      <c r="F537" s="15" t="s">
        <v>622</v>
      </c>
      <c r="G537" s="15" t="s">
        <v>945</v>
      </c>
      <c r="H537" s="15" t="s">
        <v>946</v>
      </c>
      <c r="I537" s="15" t="s">
        <v>947</v>
      </c>
      <c r="J537" s="15" t="s">
        <v>188</v>
      </c>
      <c r="K537" s="15"/>
      <c r="L537" s="15"/>
    </row>
    <row r="538">
      <c r="A538" s="15">
        <v>537.0</v>
      </c>
      <c r="B538" s="23">
        <v>45916.0</v>
      </c>
      <c r="C538" s="15" t="s">
        <v>1056</v>
      </c>
      <c r="D538" s="15"/>
      <c r="E538" s="15" t="s">
        <v>577</v>
      </c>
      <c r="F538" s="15" t="s">
        <v>622</v>
      </c>
      <c r="G538" s="15" t="s">
        <v>945</v>
      </c>
      <c r="H538" s="15" t="s">
        <v>946</v>
      </c>
      <c r="I538" s="15" t="s">
        <v>947</v>
      </c>
      <c r="J538" s="15" t="s">
        <v>188</v>
      </c>
      <c r="K538" s="15"/>
      <c r="L538" s="15"/>
    </row>
    <row r="539">
      <c r="A539" s="15">
        <v>538.0</v>
      </c>
      <c r="B539" s="23">
        <v>45916.0</v>
      </c>
      <c r="C539" s="15" t="s">
        <v>1057</v>
      </c>
      <c r="D539" s="15"/>
      <c r="E539" s="15" t="s">
        <v>577</v>
      </c>
      <c r="F539" s="15" t="s">
        <v>622</v>
      </c>
      <c r="G539" s="15" t="s">
        <v>945</v>
      </c>
      <c r="H539" s="15" t="s">
        <v>946</v>
      </c>
      <c r="I539" s="15" t="s">
        <v>947</v>
      </c>
      <c r="J539" s="15" t="s">
        <v>188</v>
      </c>
      <c r="K539" s="15"/>
      <c r="L539" s="15"/>
    </row>
    <row r="540">
      <c r="A540" s="15">
        <v>539.0</v>
      </c>
      <c r="B540" s="23">
        <v>45916.0</v>
      </c>
      <c r="C540" s="15" t="s">
        <v>1058</v>
      </c>
      <c r="D540" s="15"/>
      <c r="E540" s="15" t="s">
        <v>577</v>
      </c>
      <c r="F540" s="15" t="s">
        <v>622</v>
      </c>
      <c r="G540" s="15" t="s">
        <v>945</v>
      </c>
      <c r="H540" s="15" t="s">
        <v>946</v>
      </c>
      <c r="I540" s="15" t="s">
        <v>947</v>
      </c>
      <c r="J540" s="15" t="s">
        <v>188</v>
      </c>
      <c r="K540" s="15"/>
      <c r="L540" s="15"/>
    </row>
    <row r="541">
      <c r="A541" s="15">
        <v>540.0</v>
      </c>
      <c r="B541" s="23">
        <v>45916.0</v>
      </c>
      <c r="C541" s="15" t="s">
        <v>1059</v>
      </c>
      <c r="D541" s="15"/>
      <c r="E541" s="15" t="s">
        <v>577</v>
      </c>
      <c r="F541" s="15" t="s">
        <v>622</v>
      </c>
      <c r="G541" s="15" t="s">
        <v>945</v>
      </c>
      <c r="H541" s="15" t="s">
        <v>946</v>
      </c>
      <c r="I541" s="15" t="s">
        <v>947</v>
      </c>
      <c r="J541" s="15" t="s">
        <v>188</v>
      </c>
      <c r="K541" s="15"/>
      <c r="L541" s="15"/>
    </row>
    <row r="542">
      <c r="A542" s="15">
        <v>541.0</v>
      </c>
      <c r="B542" s="23">
        <v>45916.0</v>
      </c>
      <c r="C542" s="15" t="s">
        <v>1060</v>
      </c>
      <c r="D542" s="15"/>
      <c r="E542" s="15" t="s">
        <v>577</v>
      </c>
      <c r="F542" s="15" t="s">
        <v>622</v>
      </c>
      <c r="G542" s="15" t="s">
        <v>945</v>
      </c>
      <c r="H542" s="15" t="s">
        <v>946</v>
      </c>
      <c r="I542" s="15" t="s">
        <v>947</v>
      </c>
      <c r="J542" s="15" t="s">
        <v>188</v>
      </c>
      <c r="K542" s="15"/>
      <c r="L542" s="15"/>
    </row>
    <row r="543">
      <c r="A543" s="15">
        <v>542.0</v>
      </c>
      <c r="B543" s="23">
        <v>45916.0</v>
      </c>
      <c r="C543" s="15" t="s">
        <v>1061</v>
      </c>
      <c r="D543" s="15"/>
      <c r="E543" s="15" t="s">
        <v>577</v>
      </c>
      <c r="F543" s="15" t="s">
        <v>622</v>
      </c>
      <c r="G543" s="15" t="s">
        <v>945</v>
      </c>
      <c r="H543" s="15" t="s">
        <v>946</v>
      </c>
      <c r="I543" s="15" t="s">
        <v>947</v>
      </c>
      <c r="J543" s="15" t="s">
        <v>188</v>
      </c>
      <c r="K543" s="15"/>
      <c r="L543" s="15"/>
    </row>
    <row r="544">
      <c r="A544" s="15">
        <v>543.0</v>
      </c>
      <c r="B544" s="23">
        <v>45916.0</v>
      </c>
      <c r="C544" s="15" t="s">
        <v>1062</v>
      </c>
      <c r="D544" s="15"/>
      <c r="E544" s="15" t="s">
        <v>577</v>
      </c>
      <c r="F544" s="15" t="s">
        <v>622</v>
      </c>
      <c r="G544" s="15" t="s">
        <v>945</v>
      </c>
      <c r="H544" s="15" t="s">
        <v>946</v>
      </c>
      <c r="I544" s="15" t="s">
        <v>947</v>
      </c>
      <c r="J544" s="15" t="s">
        <v>188</v>
      </c>
      <c r="K544" s="15"/>
      <c r="L544" s="15"/>
    </row>
    <row r="545">
      <c r="A545" s="15">
        <v>544.0</v>
      </c>
      <c r="B545" s="23">
        <v>45916.0</v>
      </c>
      <c r="C545" s="15" t="s">
        <v>1063</v>
      </c>
      <c r="D545" s="15"/>
      <c r="E545" s="15" t="s">
        <v>577</v>
      </c>
      <c r="F545" s="15" t="s">
        <v>622</v>
      </c>
      <c r="G545" s="15" t="s">
        <v>945</v>
      </c>
      <c r="H545" s="15" t="s">
        <v>946</v>
      </c>
      <c r="I545" s="15" t="s">
        <v>947</v>
      </c>
      <c r="J545" s="15" t="s">
        <v>188</v>
      </c>
      <c r="K545" s="15"/>
      <c r="L545" s="15"/>
    </row>
    <row r="546">
      <c r="A546" s="15">
        <v>545.0</v>
      </c>
      <c r="B546" s="23">
        <v>45916.0</v>
      </c>
      <c r="C546" s="15" t="s">
        <v>1064</v>
      </c>
      <c r="D546" s="15"/>
      <c r="E546" s="15" t="s">
        <v>577</v>
      </c>
      <c r="F546" s="15" t="s">
        <v>622</v>
      </c>
      <c r="G546" s="15" t="s">
        <v>945</v>
      </c>
      <c r="H546" s="15" t="s">
        <v>946</v>
      </c>
      <c r="I546" s="15" t="s">
        <v>947</v>
      </c>
      <c r="J546" s="15" t="s">
        <v>188</v>
      </c>
      <c r="K546" s="15"/>
      <c r="L546" s="15"/>
    </row>
    <row r="547">
      <c r="A547" s="15">
        <v>546.0</v>
      </c>
      <c r="B547" s="23">
        <v>45916.0</v>
      </c>
      <c r="C547" s="15" t="s">
        <v>1065</v>
      </c>
      <c r="D547" s="15"/>
      <c r="E547" s="15" t="s">
        <v>577</v>
      </c>
      <c r="F547" s="15" t="s">
        <v>622</v>
      </c>
      <c r="G547" s="15" t="s">
        <v>945</v>
      </c>
      <c r="H547" s="15" t="s">
        <v>946</v>
      </c>
      <c r="I547" s="15" t="s">
        <v>947</v>
      </c>
      <c r="J547" s="15" t="s">
        <v>188</v>
      </c>
      <c r="K547" s="15"/>
      <c r="L547" s="15"/>
    </row>
    <row r="548">
      <c r="A548" s="15">
        <v>547.0</v>
      </c>
      <c r="B548" s="23">
        <v>45916.0</v>
      </c>
      <c r="C548" s="15" t="s">
        <v>1066</v>
      </c>
      <c r="D548" s="15"/>
      <c r="E548" s="15" t="s">
        <v>577</v>
      </c>
      <c r="F548" s="15" t="s">
        <v>622</v>
      </c>
      <c r="G548" s="15" t="s">
        <v>945</v>
      </c>
      <c r="H548" s="15" t="s">
        <v>946</v>
      </c>
      <c r="I548" s="15" t="s">
        <v>947</v>
      </c>
      <c r="J548" s="15" t="s">
        <v>188</v>
      </c>
      <c r="K548" s="15"/>
      <c r="L548" s="15"/>
    </row>
    <row r="549">
      <c r="A549" s="15">
        <v>548.0</v>
      </c>
      <c r="B549" s="23">
        <v>45916.0</v>
      </c>
      <c r="C549" s="15" t="s">
        <v>1067</v>
      </c>
      <c r="D549" s="15"/>
      <c r="E549" s="15" t="s">
        <v>577</v>
      </c>
      <c r="F549" s="15" t="s">
        <v>622</v>
      </c>
      <c r="G549" s="15" t="s">
        <v>945</v>
      </c>
      <c r="H549" s="15" t="s">
        <v>946</v>
      </c>
      <c r="I549" s="15" t="s">
        <v>947</v>
      </c>
      <c r="J549" s="15" t="s">
        <v>188</v>
      </c>
      <c r="K549" s="15"/>
      <c r="L549" s="15"/>
    </row>
    <row r="550">
      <c r="A550" s="15">
        <v>549.0</v>
      </c>
      <c r="B550" s="23">
        <v>45916.0</v>
      </c>
      <c r="C550" s="15" t="s">
        <v>1068</v>
      </c>
      <c r="D550" s="15"/>
      <c r="E550" s="15" t="s">
        <v>577</v>
      </c>
      <c r="F550" s="15" t="s">
        <v>622</v>
      </c>
      <c r="G550" s="15" t="s">
        <v>945</v>
      </c>
      <c r="H550" s="15" t="s">
        <v>946</v>
      </c>
      <c r="I550" s="15" t="s">
        <v>947</v>
      </c>
      <c r="J550" s="15" t="s">
        <v>188</v>
      </c>
      <c r="K550" s="15"/>
      <c r="L550" s="15"/>
    </row>
    <row r="551">
      <c r="A551" s="15">
        <v>550.0</v>
      </c>
      <c r="B551" s="23">
        <v>45916.0</v>
      </c>
      <c r="C551" s="15" t="s">
        <v>1069</v>
      </c>
      <c r="D551" s="15"/>
      <c r="E551" s="15" t="s">
        <v>577</v>
      </c>
      <c r="F551" s="15" t="s">
        <v>622</v>
      </c>
      <c r="G551" s="15" t="s">
        <v>945</v>
      </c>
      <c r="H551" s="15" t="s">
        <v>946</v>
      </c>
      <c r="I551" s="15" t="s">
        <v>947</v>
      </c>
      <c r="J551" s="15" t="s">
        <v>188</v>
      </c>
      <c r="K551" s="15"/>
      <c r="L551" s="15"/>
    </row>
    <row r="552">
      <c r="A552" s="15">
        <v>551.0</v>
      </c>
      <c r="B552" s="23">
        <v>45916.0</v>
      </c>
      <c r="C552" s="15" t="s">
        <v>1070</v>
      </c>
      <c r="D552" s="15"/>
      <c r="E552" s="15" t="s">
        <v>577</v>
      </c>
      <c r="F552" s="15" t="s">
        <v>622</v>
      </c>
      <c r="G552" s="15" t="s">
        <v>945</v>
      </c>
      <c r="H552" s="15" t="s">
        <v>946</v>
      </c>
      <c r="I552" s="15" t="s">
        <v>947</v>
      </c>
      <c r="J552" s="15" t="s">
        <v>188</v>
      </c>
      <c r="K552" s="15"/>
      <c r="L552" s="15"/>
    </row>
    <row r="553">
      <c r="A553" s="15">
        <v>552.0</v>
      </c>
      <c r="B553" s="23">
        <v>45916.0</v>
      </c>
      <c r="C553" s="15" t="s">
        <v>1071</v>
      </c>
      <c r="D553" s="15"/>
      <c r="E553" s="15"/>
      <c r="F553" s="15" t="s">
        <v>405</v>
      </c>
      <c r="G553" s="15"/>
      <c r="H553" s="15"/>
      <c r="I553" s="15"/>
      <c r="J553" s="15"/>
      <c r="K553" s="15"/>
      <c r="L553" s="15"/>
    </row>
    <row r="554">
      <c r="A554" s="15">
        <v>553.0</v>
      </c>
      <c r="B554" s="23">
        <v>45916.0</v>
      </c>
      <c r="C554" s="15" t="s">
        <v>1072</v>
      </c>
      <c r="D554" s="15"/>
      <c r="E554" s="15" t="s">
        <v>184</v>
      </c>
      <c r="F554" s="15" t="s">
        <v>622</v>
      </c>
      <c r="G554" s="15" t="s">
        <v>822</v>
      </c>
      <c r="H554" s="15" t="s">
        <v>410</v>
      </c>
      <c r="I554" s="15"/>
      <c r="J554" s="15"/>
      <c r="K554" s="15"/>
      <c r="L554" s="15"/>
    </row>
    <row r="555">
      <c r="A555" s="15">
        <v>554.0</v>
      </c>
      <c r="B555" s="23">
        <v>45916.0</v>
      </c>
      <c r="C555" s="15" t="s">
        <v>1073</v>
      </c>
      <c r="D555" s="15"/>
      <c r="E555" s="15" t="s">
        <v>184</v>
      </c>
      <c r="F555" s="15" t="s">
        <v>622</v>
      </c>
      <c r="G555" s="15" t="s">
        <v>822</v>
      </c>
      <c r="H555" s="15" t="s">
        <v>410</v>
      </c>
      <c r="I555" s="15"/>
      <c r="J555" s="15"/>
      <c r="K555" s="15"/>
      <c r="L555" s="15"/>
    </row>
    <row r="556">
      <c r="A556" s="15">
        <v>555.0</v>
      </c>
      <c r="B556" s="23">
        <v>45916.0</v>
      </c>
      <c r="C556" s="15" t="s">
        <v>1074</v>
      </c>
      <c r="D556" s="15"/>
      <c r="E556" s="15" t="s">
        <v>184</v>
      </c>
      <c r="F556" s="15" t="s">
        <v>702</v>
      </c>
      <c r="G556" s="15" t="s">
        <v>1075</v>
      </c>
      <c r="H556" s="15" t="s">
        <v>410</v>
      </c>
      <c r="I556" s="15"/>
      <c r="J556" s="15"/>
      <c r="K556" s="15"/>
      <c r="L556" s="15"/>
    </row>
    <row r="557">
      <c r="A557" s="15">
        <v>556.0</v>
      </c>
      <c r="B557" s="23">
        <v>45916.0</v>
      </c>
      <c r="C557" s="15" t="s">
        <v>1076</v>
      </c>
      <c r="D557" s="15"/>
      <c r="E557" s="15" t="s">
        <v>184</v>
      </c>
      <c r="F557" s="15" t="s">
        <v>702</v>
      </c>
      <c r="G557" s="15" t="s">
        <v>1077</v>
      </c>
      <c r="H557" s="15" t="s">
        <v>410</v>
      </c>
      <c r="I557" s="15"/>
      <c r="J557" s="15"/>
      <c r="K557" s="15"/>
      <c r="L557" s="15"/>
    </row>
    <row r="558">
      <c r="A558" s="15">
        <v>557.0</v>
      </c>
      <c r="B558" s="23">
        <v>45917.0</v>
      </c>
      <c r="C558" s="19" t="s">
        <v>1078</v>
      </c>
      <c r="D558" s="15"/>
      <c r="E558" s="15" t="s">
        <v>197</v>
      </c>
      <c r="F558" s="15" t="str">
        <f>IFERROR(__xludf.DUMMYFUNCTION("if(REGEXMATCH(C558,""x.com"")=TRUE,""Twitter"",if(REGEXMATCH(C558,""facebook"")=TRUE,""Facebook"",if(REGEXMATCH(C558,""instagram"")=TRUE,""Instagram"",if(REGEXMATCH(C558,""youtube"")=TRUE,""Youtube"",if(REGEXMATCH(C558,""tiktok"")=TRUE,""Tiktok"",if(REGEX"&amp;"MATCH(C558,""threads"")=TRUE,""Threads""))))))"),"Twitter")</f>
        <v>Twitter</v>
      </c>
      <c r="G558" s="15" t="s">
        <v>1079</v>
      </c>
      <c r="H558" s="15" t="s">
        <v>1080</v>
      </c>
      <c r="I558" s="14" t="s">
        <v>780</v>
      </c>
      <c r="J558" s="14" t="s">
        <v>188</v>
      </c>
      <c r="K558" s="15"/>
      <c r="L558" s="15"/>
    </row>
    <row r="559">
      <c r="A559" s="15">
        <v>558.0</v>
      </c>
      <c r="B559" s="23">
        <v>45917.0</v>
      </c>
      <c r="C559" s="19" t="s">
        <v>1081</v>
      </c>
      <c r="D559" s="15"/>
      <c r="E559" s="15" t="s">
        <v>197</v>
      </c>
      <c r="F559" s="15" t="str">
        <f>IFERROR(__xludf.DUMMYFUNCTION("if(REGEXMATCH(C559,""x.com"")=TRUE,""Twitter"",if(REGEXMATCH(C559,""facebook"")=TRUE,""Facebook"",if(REGEXMATCH(C559,""instagram"")=TRUE,""Instagram"",if(REGEXMATCH(C559,""youtube"")=TRUE,""Youtube"",if(REGEXMATCH(C559,""tiktok"")=TRUE,""Tiktok"",if(REGEX"&amp;"MATCH(C559,""threads"")=TRUE,""Threads""))))))"),"Twitter")</f>
        <v>Twitter</v>
      </c>
      <c r="G559" s="15" t="s">
        <v>1082</v>
      </c>
      <c r="H559" s="15" t="s">
        <v>1080</v>
      </c>
      <c r="I559" s="15" t="s">
        <v>780</v>
      </c>
      <c r="J559" s="14" t="s">
        <v>188</v>
      </c>
      <c r="K559" s="15"/>
      <c r="L559" s="15"/>
    </row>
    <row r="560">
      <c r="A560" s="15">
        <v>559.0</v>
      </c>
      <c r="B560" s="23">
        <v>45917.0</v>
      </c>
      <c r="C560" s="19" t="s">
        <v>1083</v>
      </c>
      <c r="D560" s="15"/>
      <c r="E560" s="15" t="s">
        <v>197</v>
      </c>
      <c r="F560" s="15" t="str">
        <f>IFERROR(__xludf.DUMMYFUNCTION("if(REGEXMATCH(C560,""x.com"")=TRUE,""Twitter"",if(REGEXMATCH(C560,""facebook"")=TRUE,""Facebook"",if(REGEXMATCH(C560,""instagram"")=TRUE,""Instagram"",if(REGEXMATCH(C560,""youtube"")=TRUE,""Youtube"",if(REGEXMATCH(C560,""tiktok"")=TRUE,""Tiktok"",if(REGEX"&amp;"MATCH(C560,""threads"")=TRUE,""Threads""))))))"),"Twitter")</f>
        <v>Twitter</v>
      </c>
      <c r="G560" s="15" t="s">
        <v>1084</v>
      </c>
      <c r="H560" s="15" t="s">
        <v>1080</v>
      </c>
      <c r="I560" s="15" t="s">
        <v>780</v>
      </c>
      <c r="J560" s="14" t="s">
        <v>422</v>
      </c>
      <c r="K560" s="15" t="s">
        <v>1085</v>
      </c>
      <c r="L560" s="15"/>
    </row>
    <row r="561">
      <c r="A561" s="15">
        <v>560.0</v>
      </c>
      <c r="B561" s="23">
        <v>45917.0</v>
      </c>
      <c r="C561" s="19" t="s">
        <v>1086</v>
      </c>
      <c r="D561" s="15"/>
      <c r="E561" s="15" t="s">
        <v>197</v>
      </c>
      <c r="F561" s="15" t="str">
        <f>IFERROR(__xludf.DUMMYFUNCTION("if(REGEXMATCH(C561,""x.com"")=TRUE,""Twitter"",if(REGEXMATCH(C561,""facebook"")=TRUE,""Facebook"",if(REGEXMATCH(C561,""instagram"")=TRUE,""Instagram"",if(REGEXMATCH(C561,""youtube"")=TRUE,""Youtube"",if(REGEXMATCH(C561,""tiktok"")=TRUE,""Tiktok"",if(REGEX"&amp;"MATCH(C561,""threads"")=TRUE,""Threads""))))))"),"Twitter")</f>
        <v>Twitter</v>
      </c>
      <c r="G561" s="15" t="s">
        <v>1087</v>
      </c>
      <c r="H561" s="15" t="s">
        <v>1080</v>
      </c>
      <c r="I561" s="15" t="s">
        <v>780</v>
      </c>
      <c r="J561" s="14" t="s">
        <v>188</v>
      </c>
      <c r="K561" s="15"/>
      <c r="L561" s="15"/>
    </row>
    <row r="562">
      <c r="A562" s="15">
        <v>561.0</v>
      </c>
      <c r="B562" s="23">
        <v>45917.0</v>
      </c>
      <c r="C562" s="19" t="s">
        <v>1088</v>
      </c>
      <c r="D562" s="15"/>
      <c r="E562" s="15" t="s">
        <v>197</v>
      </c>
      <c r="F562" s="15" t="str">
        <f>IFERROR(__xludf.DUMMYFUNCTION("if(REGEXMATCH(C562,""x.com"")=TRUE,""Twitter"",if(REGEXMATCH(C562,""facebook"")=TRUE,""Facebook"",if(REGEXMATCH(C562,""instagram"")=TRUE,""Instagram"",if(REGEXMATCH(C562,""youtube"")=TRUE,""Youtube"",if(REGEXMATCH(C562,""tiktok"")=TRUE,""Tiktok"",if(REGEX"&amp;"MATCH(C562,""threads"")=TRUE,""Threads""))))))"),"Twitter")</f>
        <v>Twitter</v>
      </c>
      <c r="G562" s="15" t="s">
        <v>1089</v>
      </c>
      <c r="H562" s="15" t="s">
        <v>1080</v>
      </c>
      <c r="I562" s="15" t="s">
        <v>780</v>
      </c>
      <c r="J562" s="14" t="s">
        <v>188</v>
      </c>
      <c r="K562" s="15"/>
      <c r="L562" s="15"/>
    </row>
    <row r="563">
      <c r="A563" s="15">
        <v>562.0</v>
      </c>
      <c r="B563" s="23">
        <v>45917.0</v>
      </c>
      <c r="C563" s="19" t="s">
        <v>1090</v>
      </c>
      <c r="D563" s="15"/>
      <c r="E563" s="15" t="s">
        <v>197</v>
      </c>
      <c r="F563" s="15" t="str">
        <f>IFERROR(__xludf.DUMMYFUNCTION("if(REGEXMATCH(C563,""x.com"")=TRUE,""Twitter"",if(REGEXMATCH(C563,""facebook"")=TRUE,""Facebook"",if(REGEXMATCH(C563,""instagram"")=TRUE,""Instagram"",if(REGEXMATCH(C563,""youtube"")=TRUE,""Youtube"",if(REGEXMATCH(C563,""tiktok"")=TRUE,""Tiktok"",if(REGEX"&amp;"MATCH(C563,""threads"")=TRUE,""Threads""))))))"),"Twitter")</f>
        <v>Twitter</v>
      </c>
      <c r="G563" s="15" t="s">
        <v>1091</v>
      </c>
      <c r="H563" s="15" t="s">
        <v>1080</v>
      </c>
      <c r="I563" s="15" t="s">
        <v>780</v>
      </c>
      <c r="J563" s="14" t="s">
        <v>188</v>
      </c>
      <c r="K563" s="15"/>
      <c r="L563" s="15"/>
    </row>
    <row r="564">
      <c r="A564" s="15">
        <v>563.0</v>
      </c>
      <c r="B564" s="23">
        <v>45917.0</v>
      </c>
      <c r="C564" s="19" t="s">
        <v>1092</v>
      </c>
      <c r="D564" s="15"/>
      <c r="E564" s="15" t="s">
        <v>197</v>
      </c>
      <c r="F564" s="15" t="str">
        <f>IFERROR(__xludf.DUMMYFUNCTION("if(REGEXMATCH(C564,""x.com"")=TRUE,""Twitter"",if(REGEXMATCH(C564,""facebook"")=TRUE,""Facebook"",if(REGEXMATCH(C564,""instagram"")=TRUE,""Instagram"",if(REGEXMATCH(C564,""youtube"")=TRUE,""Youtube"",if(REGEXMATCH(C564,""tiktok"")=TRUE,""Tiktok"",if(REGEX"&amp;"MATCH(C564,""threads"")=TRUE,""Threads""))))))"),"Twitter")</f>
        <v>Twitter</v>
      </c>
      <c r="G564" s="15" t="s">
        <v>1093</v>
      </c>
      <c r="H564" s="15" t="s">
        <v>1080</v>
      </c>
      <c r="I564" s="15" t="s">
        <v>780</v>
      </c>
      <c r="J564" s="14" t="s">
        <v>188</v>
      </c>
      <c r="K564" s="15"/>
      <c r="L564" s="15"/>
    </row>
    <row r="565">
      <c r="A565" s="15">
        <v>564.0</v>
      </c>
      <c r="B565" s="23">
        <v>45917.0</v>
      </c>
      <c r="C565" s="19" t="s">
        <v>1094</v>
      </c>
      <c r="D565" s="15"/>
      <c r="E565" s="15" t="s">
        <v>197</v>
      </c>
      <c r="F565" s="15" t="str">
        <f>IFERROR(__xludf.DUMMYFUNCTION("if(REGEXMATCH(C565,""x.com"")=TRUE,""Twitter"",if(REGEXMATCH(C565,""facebook"")=TRUE,""Facebook"",if(REGEXMATCH(C565,""instagram"")=TRUE,""Instagram"",if(REGEXMATCH(C565,""youtube"")=TRUE,""Youtube"",if(REGEXMATCH(C565,""tiktok"")=TRUE,""Tiktok"",if(REGEX"&amp;"MATCH(C565,""threads"")=TRUE,""Threads""))))))"),"Twitter")</f>
        <v>Twitter</v>
      </c>
      <c r="G565" s="15" t="s">
        <v>1095</v>
      </c>
      <c r="H565" s="15" t="s">
        <v>1080</v>
      </c>
      <c r="I565" s="15" t="s">
        <v>780</v>
      </c>
      <c r="J565" s="14" t="s">
        <v>188</v>
      </c>
      <c r="K565" s="15"/>
      <c r="L565" s="15"/>
    </row>
    <row r="566">
      <c r="A566" s="15">
        <v>565.0</v>
      </c>
      <c r="B566" s="23">
        <v>45917.0</v>
      </c>
      <c r="C566" s="19" t="s">
        <v>1096</v>
      </c>
      <c r="D566" s="15"/>
      <c r="E566" s="15" t="s">
        <v>197</v>
      </c>
      <c r="F566" s="15" t="str">
        <f>IFERROR(__xludf.DUMMYFUNCTION("if(REGEXMATCH(C566,""x.com"")=TRUE,""Twitter"",if(REGEXMATCH(C566,""facebook"")=TRUE,""Facebook"",if(REGEXMATCH(C566,""instagram"")=TRUE,""Instagram"",if(REGEXMATCH(C566,""youtube"")=TRUE,""Youtube"",if(REGEXMATCH(C566,""tiktok"")=TRUE,""Tiktok"",if(REGEX"&amp;"MATCH(C566,""threads"")=TRUE,""Threads""))))))"),"Twitter")</f>
        <v>Twitter</v>
      </c>
      <c r="G566" s="15" t="s">
        <v>1097</v>
      </c>
      <c r="H566" s="15" t="s">
        <v>1080</v>
      </c>
      <c r="I566" s="15" t="s">
        <v>780</v>
      </c>
      <c r="J566" s="14" t="s">
        <v>188</v>
      </c>
      <c r="K566" s="15"/>
      <c r="L566" s="15"/>
    </row>
    <row r="567">
      <c r="A567" s="15">
        <v>566.0</v>
      </c>
      <c r="B567" s="23">
        <v>45917.0</v>
      </c>
      <c r="C567" s="19" t="s">
        <v>1098</v>
      </c>
      <c r="D567" s="15"/>
      <c r="E567" s="15" t="s">
        <v>197</v>
      </c>
      <c r="F567" s="15" t="str">
        <f>IFERROR(__xludf.DUMMYFUNCTION("if(REGEXMATCH(C567,""x.com"")=TRUE,""Twitter"",if(REGEXMATCH(C567,""facebook"")=TRUE,""Facebook"",if(REGEXMATCH(C567,""instagram"")=TRUE,""Instagram"",if(REGEXMATCH(C567,""youtube"")=TRUE,""Youtube"",if(REGEXMATCH(C567,""tiktok"")=TRUE,""Tiktok"",if(REGEX"&amp;"MATCH(C567,""threads"")=TRUE,""Threads""))))))"),"Facebook")</f>
        <v>Facebook</v>
      </c>
      <c r="G567" s="15" t="s">
        <v>1099</v>
      </c>
      <c r="H567" s="15" t="s">
        <v>1080</v>
      </c>
      <c r="I567" s="15" t="s">
        <v>780</v>
      </c>
      <c r="J567" s="14" t="s">
        <v>188</v>
      </c>
      <c r="K567" s="15"/>
      <c r="L567" s="15"/>
    </row>
    <row r="568">
      <c r="A568" s="15">
        <v>567.0</v>
      </c>
      <c r="B568" s="23">
        <v>45917.0</v>
      </c>
      <c r="C568" s="19" t="s">
        <v>1100</v>
      </c>
      <c r="D568" s="15"/>
      <c r="E568" s="15" t="s">
        <v>197</v>
      </c>
      <c r="F568" s="15" t="str">
        <f>IFERROR(__xludf.DUMMYFUNCTION("if(REGEXMATCH(C568,""x.com"")=TRUE,""Twitter"",if(REGEXMATCH(C568,""facebook"")=TRUE,""Facebook"",if(REGEXMATCH(C568,""instagram"")=TRUE,""Instagram"",if(REGEXMATCH(C568,""youtube"")=TRUE,""Youtube"",if(REGEXMATCH(C568,""tiktok"")=TRUE,""Tiktok"",if(REGEX"&amp;"MATCH(C568,""threads"")=TRUE,""Threads""))))))"),"Facebook")</f>
        <v>Facebook</v>
      </c>
      <c r="G568" s="15" t="s">
        <v>1101</v>
      </c>
      <c r="H568" s="15" t="s">
        <v>1080</v>
      </c>
      <c r="I568" s="15" t="s">
        <v>780</v>
      </c>
      <c r="J568" s="14" t="s">
        <v>188</v>
      </c>
      <c r="K568" s="15"/>
      <c r="L568" s="15"/>
    </row>
    <row r="569">
      <c r="A569" s="15">
        <v>568.0</v>
      </c>
      <c r="B569" s="23">
        <v>45917.0</v>
      </c>
      <c r="C569" s="19" t="s">
        <v>1102</v>
      </c>
      <c r="D569" s="15"/>
      <c r="E569" s="15" t="s">
        <v>197</v>
      </c>
      <c r="F569" s="15" t="str">
        <f>IFERROR(__xludf.DUMMYFUNCTION("if(REGEXMATCH(C569,""x.com"")=TRUE,""Twitter"",if(REGEXMATCH(C569,""facebook"")=TRUE,""Facebook"",if(REGEXMATCH(C569,""instagram"")=TRUE,""Instagram"",if(REGEXMATCH(C569,""youtube"")=TRUE,""Youtube"",if(REGEXMATCH(C569,""tiktok"")=TRUE,""Tiktok"",if(REGEX"&amp;"MATCH(C569,""threads"")=TRUE,""Threads""))))))"),"Facebook")</f>
        <v>Facebook</v>
      </c>
      <c r="G569" s="15" t="s">
        <v>1103</v>
      </c>
      <c r="H569" s="15" t="s">
        <v>1080</v>
      </c>
      <c r="I569" s="15" t="s">
        <v>780</v>
      </c>
      <c r="J569" s="14" t="s">
        <v>188</v>
      </c>
      <c r="K569" s="15"/>
      <c r="L569" s="15"/>
    </row>
    <row r="570">
      <c r="A570" s="15">
        <v>569.0</v>
      </c>
      <c r="B570" s="23">
        <v>45917.0</v>
      </c>
      <c r="C570" s="19" t="s">
        <v>1104</v>
      </c>
      <c r="D570" s="15"/>
      <c r="E570" s="15" t="s">
        <v>197</v>
      </c>
      <c r="F570" s="15" t="str">
        <f>IFERROR(__xludf.DUMMYFUNCTION("if(REGEXMATCH(C570,""x.com"")=TRUE,""Twitter"",if(REGEXMATCH(C570,""facebook"")=TRUE,""Facebook"",if(REGEXMATCH(C570,""instagram"")=TRUE,""Instagram"",if(REGEXMATCH(C570,""youtube"")=TRUE,""Youtube"",if(REGEXMATCH(C570,""tiktok"")=TRUE,""Tiktok"",if(REGEX"&amp;"MATCH(C570,""threads"")=TRUE,""Threads""))))))"),"Facebook")</f>
        <v>Facebook</v>
      </c>
      <c r="G570" s="15" t="s">
        <v>1105</v>
      </c>
      <c r="H570" s="15" t="s">
        <v>1080</v>
      </c>
      <c r="I570" s="15" t="s">
        <v>780</v>
      </c>
      <c r="J570" s="14" t="s">
        <v>188</v>
      </c>
      <c r="K570" s="15"/>
      <c r="L570" s="15"/>
    </row>
    <row r="571">
      <c r="A571" s="15">
        <v>570.0</v>
      </c>
      <c r="B571" s="23">
        <v>45917.0</v>
      </c>
      <c r="C571" s="20" t="s">
        <v>1106</v>
      </c>
      <c r="D571" s="15"/>
      <c r="E571" s="15" t="s">
        <v>197</v>
      </c>
      <c r="F571" s="15" t="str">
        <f>IFERROR(__xludf.DUMMYFUNCTION("if(REGEXMATCH(C571,""x.com"")=TRUE,""Twitter"",if(REGEXMATCH(C571,""facebook"")=TRUE,""Facebook"",if(REGEXMATCH(C571,""instagram"")=TRUE,""Instagram"",if(REGEXMATCH(C571,""youtube"")=TRUE,""Youtube"",if(REGEXMATCH(C571,""tiktok"")=TRUE,""Tiktok"",if(REGEX"&amp;"MATCH(C571,""threads"")=TRUE,""Threads""))))))"),"Facebook")</f>
        <v>Facebook</v>
      </c>
      <c r="G571" s="15" t="s">
        <v>1107</v>
      </c>
      <c r="H571" s="15" t="s">
        <v>1080</v>
      </c>
      <c r="I571" s="15" t="s">
        <v>780</v>
      </c>
      <c r="J571" s="14" t="s">
        <v>188</v>
      </c>
      <c r="K571" s="15"/>
      <c r="L571" s="15"/>
    </row>
    <row r="572">
      <c r="A572" s="15">
        <v>571.0</v>
      </c>
      <c r="B572" s="23">
        <v>45917.0</v>
      </c>
      <c r="C572" s="19" t="s">
        <v>1108</v>
      </c>
      <c r="D572" s="15"/>
      <c r="E572" s="15" t="s">
        <v>197</v>
      </c>
      <c r="F572" s="15" t="str">
        <f>IFERROR(__xludf.DUMMYFUNCTION("if(REGEXMATCH(C572,""x.com"")=TRUE,""Twitter"",if(REGEXMATCH(C572,""facebook"")=TRUE,""Facebook"",if(REGEXMATCH(C572,""instagram"")=TRUE,""Instagram"",if(REGEXMATCH(C572,""youtube"")=TRUE,""Youtube"",if(REGEXMATCH(C572,""tiktok"")=TRUE,""Tiktok"",if(REGEX"&amp;"MATCH(C572,""threads"")=TRUE,""Threads""))))))"),"Facebook")</f>
        <v>Facebook</v>
      </c>
      <c r="G572" s="15" t="s">
        <v>1107</v>
      </c>
      <c r="H572" s="15" t="s">
        <v>1080</v>
      </c>
      <c r="I572" s="15" t="s">
        <v>780</v>
      </c>
      <c r="J572" s="14" t="s">
        <v>188</v>
      </c>
      <c r="K572" s="15"/>
      <c r="L572" s="15"/>
    </row>
    <row r="573">
      <c r="A573" s="15">
        <v>572.0</v>
      </c>
      <c r="B573" s="23">
        <v>45917.0</v>
      </c>
      <c r="C573" s="19" t="s">
        <v>1109</v>
      </c>
      <c r="D573" s="15"/>
      <c r="E573" s="15" t="s">
        <v>197</v>
      </c>
      <c r="F573" s="15" t="str">
        <f>IFERROR(__xludf.DUMMYFUNCTION("if(REGEXMATCH(C573,""x.com"")=TRUE,""Twitter"",if(REGEXMATCH(C573,""facebook"")=TRUE,""Facebook"",if(REGEXMATCH(C573,""instagram"")=TRUE,""Instagram"",if(REGEXMATCH(C573,""youtube"")=TRUE,""Youtube"",if(REGEXMATCH(C573,""tiktok"")=TRUE,""Tiktok"",if(REGEX"&amp;"MATCH(C573,""threads"")=TRUE,""Threads""))))))"),"Facebook")</f>
        <v>Facebook</v>
      </c>
      <c r="G573" s="15" t="s">
        <v>1110</v>
      </c>
      <c r="H573" s="15" t="s">
        <v>1080</v>
      </c>
      <c r="I573" s="15" t="s">
        <v>780</v>
      </c>
      <c r="J573" s="14" t="s">
        <v>188</v>
      </c>
      <c r="K573" s="15"/>
      <c r="L573" s="15"/>
    </row>
    <row r="574">
      <c r="A574" s="15">
        <v>573.0</v>
      </c>
      <c r="B574" s="23">
        <v>45917.0</v>
      </c>
      <c r="C574" s="19" t="s">
        <v>1111</v>
      </c>
      <c r="D574" s="15"/>
      <c r="E574" s="15" t="s">
        <v>197</v>
      </c>
      <c r="F574" s="15" t="str">
        <f>IFERROR(__xludf.DUMMYFUNCTION("if(REGEXMATCH(C574,""x.com"")=TRUE,""Twitter"",if(REGEXMATCH(C574,""facebook"")=TRUE,""Facebook"",if(REGEXMATCH(C574,""instagram"")=TRUE,""Instagram"",if(REGEXMATCH(C574,""youtube"")=TRUE,""Youtube"",if(REGEXMATCH(C574,""tiktok"")=TRUE,""Tiktok"",if(REGEX"&amp;"MATCH(C574,""threads"")=TRUE,""Threads""))))))"),"Tiktok")</f>
        <v>Tiktok</v>
      </c>
      <c r="G574" s="15" t="s">
        <v>1112</v>
      </c>
      <c r="H574" s="15" t="s">
        <v>1080</v>
      </c>
      <c r="I574" s="15" t="s">
        <v>780</v>
      </c>
      <c r="J574" s="14" t="s">
        <v>188</v>
      </c>
      <c r="K574" s="15"/>
      <c r="L574" s="15"/>
    </row>
    <row r="575">
      <c r="A575" s="15">
        <v>574.0</v>
      </c>
      <c r="B575" s="23">
        <v>45917.0</v>
      </c>
      <c r="C575" s="15"/>
      <c r="D575" s="15"/>
      <c r="E575" s="15" t="s">
        <v>197</v>
      </c>
      <c r="F575" s="15" t="b">
        <f>IFERROR(__xludf.DUMMYFUNCTION("if(REGEXMATCH(C575,""x.com"")=TRUE,""Twitter"",if(REGEXMATCH(C575,""facebook"")=TRUE,""Facebook"",if(REGEXMATCH(C575,""instagram"")=TRUE,""Instagram"",if(REGEXMATCH(C575,""youtube"")=TRUE,""Youtube"",if(REGEXMATCH(C575,""tiktok"")=TRUE,""Tiktok"",if(REGEX"&amp;"MATCH(C575,""threads"")=TRUE,""Threads""))))))"),FALSE)</f>
        <v>0</v>
      </c>
      <c r="G575" s="15" t="s">
        <v>1113</v>
      </c>
      <c r="H575" s="15" t="s">
        <v>1080</v>
      </c>
      <c r="I575" s="15" t="s">
        <v>780</v>
      </c>
      <c r="J575" s="14" t="s">
        <v>188</v>
      </c>
      <c r="K575" s="15" t="s">
        <v>1114</v>
      </c>
      <c r="L575" s="15"/>
    </row>
    <row r="576">
      <c r="A576" s="15">
        <v>575.0</v>
      </c>
      <c r="B576" s="23">
        <v>45917.0</v>
      </c>
      <c r="C576" s="19" t="s">
        <v>1115</v>
      </c>
      <c r="D576" s="15"/>
      <c r="E576" s="15" t="s">
        <v>197</v>
      </c>
      <c r="F576" s="15" t="str">
        <f>IFERROR(__xludf.DUMMYFUNCTION("if(REGEXMATCH(C576,""x.com"")=TRUE,""Twitter"",if(REGEXMATCH(C576,""facebook"")=TRUE,""Facebook"",if(REGEXMATCH(C576,""instagram"")=TRUE,""Instagram"",if(REGEXMATCH(C576,""youtube"")=TRUE,""Youtube"",if(REGEXMATCH(C576,""tiktok"")=TRUE,""Tiktok"",if(REGEX"&amp;"MATCH(C576,""threads"")=TRUE,""Threads""))))))"),"Youtube")</f>
        <v>Youtube</v>
      </c>
      <c r="G576" s="15" t="s">
        <v>1116</v>
      </c>
      <c r="H576" s="15" t="s">
        <v>1080</v>
      </c>
      <c r="I576" s="15" t="s">
        <v>780</v>
      </c>
      <c r="J576" s="14" t="s">
        <v>188</v>
      </c>
      <c r="K576" s="15"/>
      <c r="L576" s="15"/>
    </row>
    <row r="577">
      <c r="A577" s="15">
        <v>576.0</v>
      </c>
      <c r="B577" s="23">
        <v>45917.0</v>
      </c>
      <c r="C577" s="20" t="s">
        <v>1117</v>
      </c>
      <c r="D577" s="15"/>
      <c r="E577" s="15" t="s">
        <v>197</v>
      </c>
      <c r="F577" s="15" t="str">
        <f>IFERROR(__xludf.DUMMYFUNCTION("if(REGEXMATCH(C577,""x.com"")=TRUE,""Twitter"",if(REGEXMATCH(C577,""facebook"")=TRUE,""Facebook"",if(REGEXMATCH(C577,""instagram"")=TRUE,""Instagram"",if(REGEXMATCH(C577,""youtube"")=TRUE,""Youtube"",if(REGEXMATCH(C577,""tiktok"")=TRUE,""Tiktok"",if(REGEX"&amp;"MATCH(C577,""threads"")=TRUE,""Threads""))))))"),"Twitter")</f>
        <v>Twitter</v>
      </c>
      <c r="G577" s="15" t="s">
        <v>1118</v>
      </c>
      <c r="H577" s="15" t="s">
        <v>1080</v>
      </c>
      <c r="I577" s="15" t="s">
        <v>780</v>
      </c>
      <c r="J577" s="14" t="s">
        <v>188</v>
      </c>
      <c r="K577" s="15"/>
      <c r="L577" s="15"/>
    </row>
    <row r="578">
      <c r="A578" s="15">
        <v>577.0</v>
      </c>
      <c r="B578" s="23">
        <v>45917.0</v>
      </c>
      <c r="C578" s="19" t="s">
        <v>1119</v>
      </c>
      <c r="D578" s="15"/>
      <c r="E578" s="15" t="s">
        <v>197</v>
      </c>
      <c r="F578" s="15" t="str">
        <f>IFERROR(__xludf.DUMMYFUNCTION("if(REGEXMATCH(C578,""x.com"")=TRUE,""Twitter"",if(REGEXMATCH(C578,""facebook"")=TRUE,""Facebook"",if(REGEXMATCH(C578,""instagram"")=TRUE,""Instagram"",if(REGEXMATCH(C578,""youtube"")=TRUE,""Youtube"",if(REGEXMATCH(C578,""tiktok"")=TRUE,""Tiktok"",if(REGEX"&amp;"MATCH(C578,""threads"")=TRUE,""Threads""))))))"),"Facebook")</f>
        <v>Facebook</v>
      </c>
      <c r="G578" s="15" t="s">
        <v>1120</v>
      </c>
      <c r="H578" s="15" t="s">
        <v>1080</v>
      </c>
      <c r="I578" s="15" t="s">
        <v>780</v>
      </c>
      <c r="J578" s="14" t="s">
        <v>188</v>
      </c>
      <c r="K578" s="15"/>
      <c r="L578" s="15"/>
    </row>
    <row r="579">
      <c r="A579" s="15">
        <v>578.0</v>
      </c>
      <c r="B579" s="23">
        <v>45917.0</v>
      </c>
      <c r="C579" s="19" t="s">
        <v>1121</v>
      </c>
      <c r="D579" s="15"/>
      <c r="E579" s="15" t="s">
        <v>197</v>
      </c>
      <c r="F579" s="15" t="str">
        <f>IFERROR(__xludf.DUMMYFUNCTION("if(REGEXMATCH(C579,""x.com"")=TRUE,""Twitter"",if(REGEXMATCH(C579,""facebook"")=TRUE,""Facebook"",if(REGEXMATCH(C579,""instagram"")=TRUE,""Instagram"",if(REGEXMATCH(C579,""youtube"")=TRUE,""Youtube"",if(REGEXMATCH(C579,""tiktok"")=TRUE,""Tiktok"",if(REGEX"&amp;"MATCH(C579,""threads"")=TRUE,""Threads""))))))"),"Facebook")</f>
        <v>Facebook</v>
      </c>
      <c r="G579" s="15" t="s">
        <v>1122</v>
      </c>
      <c r="H579" s="15" t="s">
        <v>1080</v>
      </c>
      <c r="I579" s="15" t="s">
        <v>780</v>
      </c>
      <c r="J579" s="14" t="s">
        <v>188</v>
      </c>
      <c r="K579" s="15"/>
      <c r="L579" s="15"/>
    </row>
    <row r="580">
      <c r="A580" s="15">
        <v>579.0</v>
      </c>
      <c r="B580" s="23">
        <v>45917.0</v>
      </c>
      <c r="C580" s="19" t="s">
        <v>1123</v>
      </c>
      <c r="D580" s="15"/>
      <c r="E580" s="15" t="s">
        <v>197</v>
      </c>
      <c r="F580" s="15" t="str">
        <f>IFERROR(__xludf.DUMMYFUNCTION("if(REGEXMATCH(C580,""x.com"")=TRUE,""Twitter"",if(REGEXMATCH(C580,""facebook"")=TRUE,""Facebook"",if(REGEXMATCH(C580,""instagram"")=TRUE,""Instagram"",if(REGEXMATCH(C580,""youtube"")=TRUE,""Youtube"",if(REGEXMATCH(C580,""tiktok"")=TRUE,""Tiktok"",if(REGEX"&amp;"MATCH(C580,""threads"")=TRUE,""Threads""))))))"),"Facebook")</f>
        <v>Facebook</v>
      </c>
      <c r="G580" s="15" t="s">
        <v>1124</v>
      </c>
      <c r="H580" s="15" t="s">
        <v>1080</v>
      </c>
      <c r="I580" s="15" t="s">
        <v>780</v>
      </c>
      <c r="J580" s="14" t="s">
        <v>188</v>
      </c>
      <c r="K580" s="15"/>
      <c r="L580" s="15"/>
    </row>
    <row r="581">
      <c r="A581" s="15">
        <v>580.0</v>
      </c>
      <c r="B581" s="23">
        <v>45917.0</v>
      </c>
      <c r="C581" s="19" t="s">
        <v>1125</v>
      </c>
      <c r="D581" s="15"/>
      <c r="E581" s="15" t="s">
        <v>197</v>
      </c>
      <c r="F581" s="15" t="str">
        <f>IFERROR(__xludf.DUMMYFUNCTION("if(REGEXMATCH(C581,""x.com"")=TRUE,""Twitter"",if(REGEXMATCH(C581,""facebook"")=TRUE,""Facebook"",if(REGEXMATCH(C581,""instagram"")=TRUE,""Instagram"",if(REGEXMATCH(C581,""youtube"")=TRUE,""Youtube"",if(REGEXMATCH(C581,""tiktok"")=TRUE,""Tiktok"",if(REGEX"&amp;"MATCH(C581,""threads"")=TRUE,""Threads""))))))"),"Twitter")</f>
        <v>Twitter</v>
      </c>
      <c r="G581" s="15" t="s">
        <v>1126</v>
      </c>
      <c r="H581" s="15" t="s">
        <v>1080</v>
      </c>
      <c r="I581" s="15" t="s">
        <v>780</v>
      </c>
      <c r="J581" s="14" t="s">
        <v>188</v>
      </c>
      <c r="K581" s="15"/>
      <c r="L581" s="15"/>
    </row>
    <row r="582">
      <c r="A582" s="15">
        <v>581.0</v>
      </c>
      <c r="B582" s="23">
        <v>45917.0</v>
      </c>
      <c r="C582" s="19" t="s">
        <v>1127</v>
      </c>
      <c r="D582" s="15"/>
      <c r="E582" s="15" t="s">
        <v>197</v>
      </c>
      <c r="F582" s="15" t="str">
        <f>IFERROR(__xludf.DUMMYFUNCTION("if(REGEXMATCH(C582,""x.com"")=TRUE,""Twitter"",if(REGEXMATCH(C582,""facebook"")=TRUE,""Facebook"",if(REGEXMATCH(C582,""instagram"")=TRUE,""Instagram"",if(REGEXMATCH(C582,""youtube"")=TRUE,""Youtube"",if(REGEXMATCH(C582,""tiktok"")=TRUE,""Tiktok"",if(REGEX"&amp;"MATCH(C582,""threads"")=TRUE,""Threads""))))))"),"Twitter")</f>
        <v>Twitter</v>
      </c>
      <c r="G582" s="15" t="s">
        <v>1128</v>
      </c>
      <c r="H582" s="15" t="s">
        <v>1080</v>
      </c>
      <c r="I582" s="15" t="s">
        <v>780</v>
      </c>
      <c r="J582" s="14" t="s">
        <v>188</v>
      </c>
      <c r="K582" s="15"/>
      <c r="L582" s="15"/>
    </row>
    <row r="583">
      <c r="A583" s="15">
        <v>582.0</v>
      </c>
      <c r="B583" s="23">
        <v>45917.0</v>
      </c>
      <c r="C583" s="19" t="s">
        <v>1129</v>
      </c>
      <c r="D583" s="15"/>
      <c r="E583" s="15" t="s">
        <v>197</v>
      </c>
      <c r="F583" s="15" t="str">
        <f>IFERROR(__xludf.DUMMYFUNCTION("if(REGEXMATCH(C583,""x.com"")=TRUE,""Twitter"",if(REGEXMATCH(C583,""facebook"")=TRUE,""Facebook"",if(REGEXMATCH(C583,""instagram"")=TRUE,""Instagram"",if(REGEXMATCH(C583,""youtube"")=TRUE,""Youtube"",if(REGEXMATCH(C583,""tiktok"")=TRUE,""Tiktok"",if(REGEX"&amp;"MATCH(C583,""threads"")=TRUE,""Threads""))))))"),"Twitter")</f>
        <v>Twitter</v>
      </c>
      <c r="G583" s="15" t="s">
        <v>1130</v>
      </c>
      <c r="H583" s="15" t="s">
        <v>1080</v>
      </c>
      <c r="I583" s="15" t="s">
        <v>780</v>
      </c>
      <c r="J583" s="14" t="s">
        <v>188</v>
      </c>
      <c r="K583" s="15"/>
      <c r="L583" s="15"/>
    </row>
    <row r="584">
      <c r="A584" s="15">
        <v>583.0</v>
      </c>
      <c r="B584" s="23">
        <v>45917.0</v>
      </c>
      <c r="C584" s="19" t="s">
        <v>1131</v>
      </c>
      <c r="D584" s="15"/>
      <c r="E584" s="15" t="s">
        <v>197</v>
      </c>
      <c r="F584" s="15" t="str">
        <f>IFERROR(__xludf.DUMMYFUNCTION("if(REGEXMATCH(C584,""x.com"")=TRUE,""Twitter"",if(REGEXMATCH(C584,""facebook"")=TRUE,""Facebook"",if(REGEXMATCH(C584,""instagram"")=TRUE,""Instagram"",if(REGEXMATCH(C584,""youtube"")=TRUE,""Youtube"",if(REGEXMATCH(C584,""tiktok"")=TRUE,""Tiktok"",if(REGEX"&amp;"MATCH(C584,""threads"")=TRUE,""Threads""))))))"),"Tiktok")</f>
        <v>Tiktok</v>
      </c>
      <c r="G584" s="15" t="s">
        <v>1132</v>
      </c>
      <c r="H584" s="15" t="s">
        <v>1080</v>
      </c>
      <c r="I584" s="15" t="s">
        <v>780</v>
      </c>
      <c r="J584" s="14" t="s">
        <v>188</v>
      </c>
      <c r="K584" s="15"/>
      <c r="L584" s="15"/>
    </row>
    <row r="585">
      <c r="A585" s="15">
        <v>584.0</v>
      </c>
      <c r="B585" s="23">
        <v>45917.0</v>
      </c>
      <c r="C585" s="19" t="s">
        <v>1133</v>
      </c>
      <c r="D585" s="15"/>
      <c r="E585" s="15" t="s">
        <v>197</v>
      </c>
      <c r="F585" s="15" t="str">
        <f>IFERROR(__xludf.DUMMYFUNCTION("if(REGEXMATCH(C585,""x.com"")=TRUE,""Twitter"",if(REGEXMATCH(C585,""facebook"")=TRUE,""Facebook"",if(REGEXMATCH(C585,""instagram"")=TRUE,""Instagram"",if(REGEXMATCH(C585,""youtube"")=TRUE,""Youtube"",if(REGEXMATCH(C585,""tiktok"")=TRUE,""Tiktok"",if(REGEX"&amp;"MATCH(C585,""threads"")=TRUE,""Threads""))))))"),"Tiktok")</f>
        <v>Tiktok</v>
      </c>
      <c r="G585" s="15" t="s">
        <v>1134</v>
      </c>
      <c r="H585" s="15" t="s">
        <v>1080</v>
      </c>
      <c r="I585" s="15" t="s">
        <v>780</v>
      </c>
      <c r="J585" s="14" t="s">
        <v>188</v>
      </c>
      <c r="K585" s="15"/>
      <c r="L585" s="15"/>
    </row>
    <row r="586">
      <c r="A586" s="15">
        <v>585.0</v>
      </c>
      <c r="B586" s="23">
        <v>45917.0</v>
      </c>
      <c r="C586" s="19" t="s">
        <v>1135</v>
      </c>
      <c r="D586" s="15"/>
      <c r="E586" s="15" t="s">
        <v>197</v>
      </c>
      <c r="F586" s="15" t="str">
        <f>IFERROR(__xludf.DUMMYFUNCTION("if(REGEXMATCH(C586,""x.com"")=TRUE,""Twitter"",if(REGEXMATCH(C586,""facebook"")=TRUE,""Facebook"",if(REGEXMATCH(C586,""instagram"")=TRUE,""Instagram"",if(REGEXMATCH(C586,""youtube"")=TRUE,""Youtube"",if(REGEXMATCH(C586,""tiktok"")=TRUE,""Tiktok"",if(REGEX"&amp;"MATCH(C586,""threads"")=TRUE,""Threads""))))))"),"Tiktok")</f>
        <v>Tiktok</v>
      </c>
      <c r="G586" s="15" t="s">
        <v>1136</v>
      </c>
      <c r="H586" s="15" t="s">
        <v>1080</v>
      </c>
      <c r="I586" s="15" t="s">
        <v>780</v>
      </c>
      <c r="J586" s="14" t="s">
        <v>188</v>
      </c>
      <c r="K586" s="15"/>
      <c r="L586" s="15"/>
    </row>
    <row r="587">
      <c r="A587" s="15">
        <v>586.0</v>
      </c>
      <c r="B587" s="23">
        <v>45917.0</v>
      </c>
      <c r="C587" s="19" t="s">
        <v>1137</v>
      </c>
      <c r="D587" s="15"/>
      <c r="E587" s="15" t="s">
        <v>197</v>
      </c>
      <c r="F587" s="15" t="str">
        <f>IFERROR(__xludf.DUMMYFUNCTION("if(REGEXMATCH(C587,""x.com"")=TRUE,""Twitter"",if(REGEXMATCH(C587,""facebook"")=TRUE,""Facebook"",if(REGEXMATCH(C587,""instagram"")=TRUE,""Instagram"",if(REGEXMATCH(C587,""youtube"")=TRUE,""Youtube"",if(REGEXMATCH(C587,""tiktok"")=TRUE,""Tiktok"",if(REGEX"&amp;"MATCH(C587,""threads"")=TRUE,""Threads""))))))"),"Tiktok")</f>
        <v>Tiktok</v>
      </c>
      <c r="G587" s="15" t="s">
        <v>1138</v>
      </c>
      <c r="H587" s="15" t="s">
        <v>1080</v>
      </c>
      <c r="I587" s="15" t="s">
        <v>780</v>
      </c>
      <c r="J587" s="15" t="s">
        <v>188</v>
      </c>
      <c r="K587" s="15"/>
      <c r="L587" s="15"/>
    </row>
    <row r="588">
      <c r="A588" s="15">
        <v>587.0</v>
      </c>
      <c r="B588" s="23">
        <v>45917.0</v>
      </c>
      <c r="C588" s="19" t="s">
        <v>1139</v>
      </c>
      <c r="D588" s="15"/>
      <c r="E588" s="15" t="s">
        <v>197</v>
      </c>
      <c r="F588" s="15" t="str">
        <f>IFERROR(__xludf.DUMMYFUNCTION("if(REGEXMATCH(C588,""x.com"")=TRUE,""Twitter"",if(REGEXMATCH(C588,""facebook"")=TRUE,""Facebook"",if(REGEXMATCH(C588,""instagram"")=TRUE,""Instagram"",if(REGEXMATCH(C588,""youtube"")=TRUE,""Youtube"",if(REGEXMATCH(C588,""tiktok"")=TRUE,""Tiktok"",if(REGEX"&amp;"MATCH(C588,""threads"")=TRUE,""Threads""))))))"),"Twitter")</f>
        <v>Twitter</v>
      </c>
      <c r="G588" s="15" t="s">
        <v>1140</v>
      </c>
      <c r="H588" s="15" t="s">
        <v>1080</v>
      </c>
      <c r="I588" s="15" t="s">
        <v>780</v>
      </c>
      <c r="J588" s="15" t="s">
        <v>188</v>
      </c>
      <c r="K588" s="15"/>
      <c r="L588" s="15"/>
    </row>
    <row r="589">
      <c r="A589" s="15">
        <v>588.0</v>
      </c>
      <c r="B589" s="23">
        <v>45917.0</v>
      </c>
      <c r="C589" s="19" t="s">
        <v>1141</v>
      </c>
      <c r="D589" s="15"/>
      <c r="E589" s="15" t="s">
        <v>197</v>
      </c>
      <c r="F589" s="15" t="str">
        <f>IFERROR(__xludf.DUMMYFUNCTION("if(REGEXMATCH(C589,""x.com"")=TRUE,""Twitter"",if(REGEXMATCH(C589,""facebook"")=TRUE,""Facebook"",if(REGEXMATCH(C589,""instagram"")=TRUE,""Instagram"",if(REGEXMATCH(C589,""youtube"")=TRUE,""Youtube"",if(REGEXMATCH(C589,""tiktok"")=TRUE,""Tiktok"",if(REGEX"&amp;"MATCH(C589,""threads"")=TRUE,""Threads""))))))"),"Twitter")</f>
        <v>Twitter</v>
      </c>
      <c r="G589" s="15" t="s">
        <v>1142</v>
      </c>
      <c r="H589" s="15" t="s">
        <v>1080</v>
      </c>
      <c r="I589" s="15" t="s">
        <v>780</v>
      </c>
      <c r="J589" s="15" t="s">
        <v>188</v>
      </c>
      <c r="K589" s="15"/>
      <c r="L589" s="15"/>
    </row>
    <row r="590">
      <c r="A590" s="15">
        <v>589.0</v>
      </c>
      <c r="B590" s="23">
        <v>45917.0</v>
      </c>
      <c r="C590" s="19" t="s">
        <v>1143</v>
      </c>
      <c r="D590" s="15"/>
      <c r="E590" s="15" t="s">
        <v>197</v>
      </c>
      <c r="F590" s="15" t="str">
        <f>IFERROR(__xludf.DUMMYFUNCTION("if(REGEXMATCH(C590,""x.com"")=TRUE,""Twitter"",if(REGEXMATCH(C590,""facebook"")=TRUE,""Facebook"",if(REGEXMATCH(C590,""instagram"")=TRUE,""Instagram"",if(REGEXMATCH(C590,""youtube"")=TRUE,""Youtube"",if(REGEXMATCH(C590,""tiktok"")=TRUE,""Tiktok"",if(REGEX"&amp;"MATCH(C590,""threads"")=TRUE,""Threads""))))))"),"Twitter")</f>
        <v>Twitter</v>
      </c>
      <c r="G590" s="15" t="s">
        <v>1144</v>
      </c>
      <c r="H590" s="15" t="s">
        <v>1080</v>
      </c>
      <c r="I590" s="15" t="s">
        <v>780</v>
      </c>
      <c r="J590" s="15" t="s">
        <v>188</v>
      </c>
      <c r="K590" s="15"/>
      <c r="L590" s="15"/>
    </row>
    <row r="591">
      <c r="A591" s="15">
        <v>590.0</v>
      </c>
      <c r="B591" s="23">
        <v>45917.0</v>
      </c>
      <c r="C591" s="19" t="s">
        <v>1145</v>
      </c>
      <c r="D591" s="15"/>
      <c r="E591" s="15" t="s">
        <v>1146</v>
      </c>
      <c r="F591" s="15" t="str">
        <f>IFERROR(__xludf.DUMMYFUNCTION("if(REGEXMATCH(C591,""x.com"")=TRUE,""Twitter"",if(REGEXMATCH(C591,""facebook"")=TRUE,""Facebook"",if(REGEXMATCH(C591,""instagram"")=TRUE,""Instagram"",if(REGEXMATCH(C591,""youtube"")=TRUE,""Youtube"",if(REGEXMATCH(C591,""tiktok"")=TRUE,""Tiktok"",if(REGEX"&amp;"MATCH(C591,""threads"")=TRUE,""Threads""))))))"),"Tiktok")</f>
        <v>Tiktok</v>
      </c>
      <c r="G591" s="15" t="s">
        <v>1147</v>
      </c>
      <c r="H591" s="15" t="s">
        <v>1080</v>
      </c>
      <c r="I591" s="15" t="s">
        <v>780</v>
      </c>
      <c r="J591" s="15" t="s">
        <v>188</v>
      </c>
      <c r="K591" s="15"/>
      <c r="L591" s="15"/>
    </row>
    <row r="592">
      <c r="A592" s="15">
        <v>591.0</v>
      </c>
      <c r="B592" s="23">
        <v>45917.0</v>
      </c>
      <c r="C592" s="19" t="s">
        <v>1148</v>
      </c>
      <c r="D592" s="15"/>
      <c r="E592" s="15" t="s">
        <v>197</v>
      </c>
      <c r="F592" s="15" t="str">
        <f>IFERROR(__xludf.DUMMYFUNCTION("if(REGEXMATCH(C592,""x.com"")=TRUE,""Twitter"",if(REGEXMATCH(C592,""facebook"")=TRUE,""Facebook"",if(REGEXMATCH(C592,""instagram"")=TRUE,""Instagram"",if(REGEXMATCH(C592,""youtube"")=TRUE,""Youtube"",if(REGEXMATCH(C592,""tiktok"")=TRUE,""Tiktok"",if(REGEX"&amp;"MATCH(C592,""threads"")=TRUE,""Threads""))))))"),"Tiktok")</f>
        <v>Tiktok</v>
      </c>
      <c r="G592" s="15" t="s">
        <v>1149</v>
      </c>
      <c r="H592" s="15" t="s">
        <v>1080</v>
      </c>
      <c r="I592" s="15" t="s">
        <v>780</v>
      </c>
      <c r="J592" s="15" t="s">
        <v>422</v>
      </c>
      <c r="K592" s="15" t="s">
        <v>1150</v>
      </c>
      <c r="L592" s="15"/>
    </row>
    <row r="593">
      <c r="A593" s="15">
        <v>592.0</v>
      </c>
      <c r="B593" s="23">
        <v>45917.0</v>
      </c>
      <c r="C593" s="19" t="s">
        <v>1151</v>
      </c>
      <c r="D593" s="15"/>
      <c r="E593" s="15" t="s">
        <v>197</v>
      </c>
      <c r="F593" s="15" t="str">
        <f>IFERROR(__xludf.DUMMYFUNCTION("if(REGEXMATCH(C593,""x.com"")=TRUE,""Twitter"",if(REGEXMATCH(C593,""facebook"")=TRUE,""Facebook"",if(REGEXMATCH(C593,""instagram"")=TRUE,""Instagram"",if(REGEXMATCH(C593,""youtube"")=TRUE,""Youtube"",if(REGEXMATCH(C593,""tiktok"")=TRUE,""Tiktok"",if(REGEX"&amp;"MATCH(C593,""threads"")=TRUE,""Threads""))))))"),"Tiktok")</f>
        <v>Tiktok</v>
      </c>
      <c r="G593" s="15" t="s">
        <v>1152</v>
      </c>
      <c r="H593" s="15" t="s">
        <v>1080</v>
      </c>
      <c r="I593" s="15" t="s">
        <v>780</v>
      </c>
      <c r="J593" s="15" t="s">
        <v>188</v>
      </c>
      <c r="K593" s="15"/>
      <c r="L593" s="15"/>
    </row>
    <row r="594">
      <c r="A594" s="15">
        <v>593.0</v>
      </c>
      <c r="B594" s="23">
        <v>45917.0</v>
      </c>
      <c r="C594" s="19" t="s">
        <v>1153</v>
      </c>
      <c r="D594" s="15"/>
      <c r="E594" s="15" t="s">
        <v>197</v>
      </c>
      <c r="F594" s="15" t="str">
        <f>IFERROR(__xludf.DUMMYFUNCTION("if(REGEXMATCH(C594,""x.com"")=TRUE,""Twitter"",if(REGEXMATCH(C594,""facebook"")=TRUE,""Facebook"",if(REGEXMATCH(C594,""instagram"")=TRUE,""Instagram"",if(REGEXMATCH(C594,""youtube"")=TRUE,""Youtube"",if(REGEXMATCH(C594,""tiktok"")=TRUE,""Tiktok"",if(REGEX"&amp;"MATCH(C594,""threads"")=TRUE,""Threads""))))))"),"Tiktok")</f>
        <v>Tiktok</v>
      </c>
      <c r="G594" s="15" t="s">
        <v>1154</v>
      </c>
      <c r="H594" s="15" t="s">
        <v>1080</v>
      </c>
      <c r="I594" s="15" t="s">
        <v>780</v>
      </c>
      <c r="J594" s="15" t="s">
        <v>188</v>
      </c>
      <c r="K594" s="15"/>
      <c r="L594" s="15"/>
    </row>
    <row r="595">
      <c r="A595" s="15">
        <v>594.0</v>
      </c>
      <c r="B595" s="23">
        <v>45917.0</v>
      </c>
      <c r="C595" s="19" t="s">
        <v>1155</v>
      </c>
      <c r="D595" s="15"/>
      <c r="E595" s="15" t="s">
        <v>197</v>
      </c>
      <c r="F595" s="15" t="str">
        <f>IFERROR(__xludf.DUMMYFUNCTION("if(REGEXMATCH(C595,""x.com"")=TRUE,""Twitter"",if(REGEXMATCH(C595,""facebook"")=TRUE,""Facebook"",if(REGEXMATCH(C595,""instagram"")=TRUE,""Instagram"",if(REGEXMATCH(C595,""youtube"")=TRUE,""Youtube"",if(REGEXMATCH(C595,""tiktok"")=TRUE,""Tiktok"",if(REGEX"&amp;"MATCH(C595,""threads"")=TRUE,""Threads""))))))"),"Facebook")</f>
        <v>Facebook</v>
      </c>
      <c r="G595" s="15" t="s">
        <v>1156</v>
      </c>
      <c r="H595" s="15" t="s">
        <v>1080</v>
      </c>
      <c r="I595" s="15" t="s">
        <v>780</v>
      </c>
      <c r="J595" s="15" t="s">
        <v>188</v>
      </c>
      <c r="K595" s="15"/>
      <c r="L595" s="15"/>
    </row>
    <row r="596">
      <c r="A596" s="15">
        <v>595.0</v>
      </c>
      <c r="B596" s="23">
        <v>45917.0</v>
      </c>
      <c r="C596" s="19" t="s">
        <v>1157</v>
      </c>
      <c r="D596" s="15"/>
      <c r="E596" s="15" t="s">
        <v>197</v>
      </c>
      <c r="F596" s="15" t="str">
        <f>IFERROR(__xludf.DUMMYFUNCTION("if(REGEXMATCH(C596,""x.com"")=TRUE,""Twitter"",if(REGEXMATCH(C596,""facebook"")=TRUE,""Facebook"",if(REGEXMATCH(C596,""instagram"")=TRUE,""Instagram"",if(REGEXMATCH(C596,""youtube"")=TRUE,""Youtube"",if(REGEXMATCH(C596,""tiktok"")=TRUE,""Tiktok"",if(REGEX"&amp;"MATCH(C596,""threads"")=TRUE,""Threads""))))))"),"Facebook")</f>
        <v>Facebook</v>
      </c>
      <c r="G596" s="15" t="s">
        <v>1158</v>
      </c>
      <c r="H596" s="15" t="s">
        <v>1080</v>
      </c>
      <c r="I596" s="15" t="s">
        <v>780</v>
      </c>
      <c r="J596" s="15" t="s">
        <v>188</v>
      </c>
      <c r="K596" s="15"/>
      <c r="L596" s="15"/>
    </row>
    <row r="597">
      <c r="A597" s="15">
        <v>596.0</v>
      </c>
      <c r="B597" s="23">
        <v>45917.0</v>
      </c>
      <c r="C597" s="22" t="s">
        <v>1159</v>
      </c>
      <c r="D597" s="18"/>
      <c r="E597" s="18" t="s">
        <v>613</v>
      </c>
      <c r="F597" s="18" t="str">
        <f>IFERROR(__xludf.DUMMYFUNCTION("if(REGEXMATCH(C597,""x.com"")=TRUE,""Twitter"",if(REGEXMATCH(C597,""facebook"")=TRUE,""Facebook"",if(REGEXMATCH(C597,""instagram"")=TRUE,""Instagram"",if(REGEXMATCH(C597,""youtube"")=TRUE,""Youtube"",if(REGEXMATCH(C597,""tiktok"")=TRUE,""Tiktok"",if(REGEX"&amp;"MATCH(C597,""threads"")=TRUE,""Threads""))))))"),"Facebook")</f>
        <v>Facebook</v>
      </c>
      <c r="G597" s="18" t="s">
        <v>1160</v>
      </c>
      <c r="H597" s="26" t="s">
        <v>1161</v>
      </c>
      <c r="I597" s="18" t="s">
        <v>1162</v>
      </c>
      <c r="J597" s="18" t="s">
        <v>188</v>
      </c>
      <c r="K597" s="18"/>
      <c r="L597" s="15"/>
    </row>
    <row r="598">
      <c r="A598" s="15">
        <v>597.0</v>
      </c>
      <c r="B598" s="23">
        <v>45917.0</v>
      </c>
      <c r="C598" s="22" t="s">
        <v>1163</v>
      </c>
      <c r="D598" s="18"/>
      <c r="E598" s="18" t="s">
        <v>1164</v>
      </c>
      <c r="F598" s="18" t="str">
        <f>IFERROR(__xludf.DUMMYFUNCTION("if(REGEXMATCH(C598,""x.com"")=TRUE,""Twitter"",if(REGEXMATCH(C598,""facebook"")=TRUE,""Facebook"",if(REGEXMATCH(C598,""instagram"")=TRUE,""Instagram"",if(REGEXMATCH(C598,""youtube"")=TRUE,""Youtube"",if(REGEXMATCH(C598,""tiktok"")=TRUE,""Tiktok"",if(REGEX"&amp;"MATCH(C598,""threads"")=TRUE,""Threads""))))))"),"Facebook")</f>
        <v>Facebook</v>
      </c>
      <c r="G598" s="18" t="s">
        <v>1165</v>
      </c>
      <c r="H598" s="18" t="s">
        <v>772</v>
      </c>
      <c r="I598" s="18" t="s">
        <v>1162</v>
      </c>
      <c r="J598" s="18" t="s">
        <v>188</v>
      </c>
      <c r="K598" s="18"/>
      <c r="L598" s="15"/>
    </row>
    <row r="599">
      <c r="A599" s="15">
        <v>598.0</v>
      </c>
      <c r="B599" s="23">
        <v>45917.0</v>
      </c>
      <c r="C599" s="22" t="s">
        <v>1166</v>
      </c>
      <c r="D599" s="18"/>
      <c r="E599" s="18" t="s">
        <v>1164</v>
      </c>
      <c r="F599" s="18" t="str">
        <f>IFERROR(__xludf.DUMMYFUNCTION("if(REGEXMATCH(C599,""x.com"")=TRUE,""Twitter"",if(REGEXMATCH(C599,""facebook"")=TRUE,""Facebook"",if(REGEXMATCH(C599,""instagram"")=TRUE,""Instagram"",if(REGEXMATCH(C599,""youtube"")=TRUE,""Youtube"",if(REGEXMATCH(C599,""tiktok"")=TRUE,""Tiktok"",if(REGEX"&amp;"MATCH(C599,""threads"")=TRUE,""Threads""))))))"),"Facebook")</f>
        <v>Facebook</v>
      </c>
      <c r="G599" s="18" t="s">
        <v>1165</v>
      </c>
      <c r="H599" s="18" t="s">
        <v>772</v>
      </c>
      <c r="I599" s="18" t="s">
        <v>1162</v>
      </c>
      <c r="J599" s="18" t="s">
        <v>188</v>
      </c>
      <c r="K599" s="18"/>
      <c r="L599" s="15"/>
    </row>
    <row r="600">
      <c r="A600" s="15">
        <v>599.0</v>
      </c>
      <c r="B600" s="23">
        <v>45917.0</v>
      </c>
      <c r="C600" s="22" t="s">
        <v>1167</v>
      </c>
      <c r="D600" s="18"/>
      <c r="E600" s="18" t="s">
        <v>1164</v>
      </c>
      <c r="F600" s="18" t="str">
        <f>IFERROR(__xludf.DUMMYFUNCTION("if(REGEXMATCH(C600,""x.com"")=TRUE,""Twitter"",if(REGEXMATCH(C600,""facebook"")=TRUE,""Facebook"",if(REGEXMATCH(C600,""instagram"")=TRUE,""Instagram"",if(REGEXMATCH(C600,""youtube"")=TRUE,""Youtube"",if(REGEXMATCH(C600,""tiktok"")=TRUE,""Tiktok"",if(REGEX"&amp;"MATCH(C600,""threads"")=TRUE,""Threads""))))))"),"Facebook")</f>
        <v>Facebook</v>
      </c>
      <c r="G600" s="18" t="s">
        <v>1165</v>
      </c>
      <c r="H600" s="18" t="s">
        <v>772</v>
      </c>
      <c r="I600" s="18" t="s">
        <v>1162</v>
      </c>
      <c r="J600" s="18" t="s">
        <v>188</v>
      </c>
      <c r="K600" s="18"/>
      <c r="L600" s="15"/>
    </row>
    <row r="601">
      <c r="A601" s="15">
        <v>600.0</v>
      </c>
      <c r="B601" s="23">
        <v>45917.0</v>
      </c>
      <c r="C601" s="22" t="s">
        <v>1168</v>
      </c>
      <c r="D601" s="18"/>
      <c r="E601" s="18" t="s">
        <v>1164</v>
      </c>
      <c r="F601" s="18" t="str">
        <f>IFERROR(__xludf.DUMMYFUNCTION("if(REGEXMATCH(C601,""x.com"")=TRUE,""Twitter"",if(REGEXMATCH(C601,""facebook"")=TRUE,""Facebook"",if(REGEXMATCH(C601,""instagram"")=TRUE,""Instagram"",if(REGEXMATCH(C601,""youtube"")=TRUE,""Youtube"",if(REGEXMATCH(C601,""tiktok"")=TRUE,""Tiktok"",if(REGEX"&amp;"MATCH(C601,""threads"")=TRUE,""Threads""))))))"),"Facebook")</f>
        <v>Facebook</v>
      </c>
      <c r="G601" s="18" t="s">
        <v>1165</v>
      </c>
      <c r="H601" s="18" t="s">
        <v>772</v>
      </c>
      <c r="I601" s="18" t="s">
        <v>1162</v>
      </c>
      <c r="J601" s="18" t="s">
        <v>188</v>
      </c>
      <c r="K601" s="18"/>
      <c r="L601" s="15"/>
    </row>
    <row r="602">
      <c r="A602" s="15">
        <v>601.0</v>
      </c>
      <c r="B602" s="23">
        <v>45917.0</v>
      </c>
      <c r="C602" s="22" t="s">
        <v>1169</v>
      </c>
      <c r="D602" s="18"/>
      <c r="E602" s="18" t="s">
        <v>184</v>
      </c>
      <c r="F602" s="18" t="str">
        <f>IFERROR(__xludf.DUMMYFUNCTION("if(REGEXMATCH(C602,""x.com"")=TRUE,""Twitter"",if(REGEXMATCH(C602,""facebook"")=TRUE,""Facebook"",if(REGEXMATCH(C602,""instagram"")=TRUE,""Instagram"",if(REGEXMATCH(C602,""youtube"")=TRUE,""Youtube"",if(REGEXMATCH(C602,""tiktok"")=TRUE,""Tiktok"",if(REGEX"&amp;"MATCH(C602,""threads"")=TRUE,""Threads""))))))"),"Instagram")</f>
        <v>Instagram</v>
      </c>
      <c r="G602" s="18" t="s">
        <v>1170</v>
      </c>
      <c r="H602" s="18" t="s">
        <v>410</v>
      </c>
      <c r="I602" s="18"/>
      <c r="J602" s="18" t="s">
        <v>188</v>
      </c>
      <c r="K602" s="18"/>
      <c r="L602" s="15"/>
    </row>
    <row r="603">
      <c r="A603" s="15">
        <v>602.0</v>
      </c>
      <c r="B603" s="23">
        <v>45917.0</v>
      </c>
      <c r="C603" s="22" t="s">
        <v>1171</v>
      </c>
      <c r="D603" s="18"/>
      <c r="E603" s="18" t="s">
        <v>184</v>
      </c>
      <c r="F603" s="18" t="str">
        <f>IFERROR(__xludf.DUMMYFUNCTION("if(REGEXMATCH(C603,""x.com"")=TRUE,""Twitter"",if(REGEXMATCH(C603,""facebook"")=TRUE,""Facebook"",if(REGEXMATCH(C603,""instagram"")=TRUE,""Instagram"",if(REGEXMATCH(C603,""youtube"")=TRUE,""Youtube"",if(REGEXMATCH(C603,""tiktok"")=TRUE,""Tiktok"",if(REGEX"&amp;"MATCH(C603,""threads"")=TRUE,""Threads""))))))"),"Instagram")</f>
        <v>Instagram</v>
      </c>
      <c r="G603" s="18" t="s">
        <v>1172</v>
      </c>
      <c r="H603" s="18" t="s">
        <v>410</v>
      </c>
      <c r="I603" s="18"/>
      <c r="J603" s="18" t="s">
        <v>188</v>
      </c>
      <c r="K603" s="18"/>
      <c r="L603" s="15"/>
    </row>
    <row r="604">
      <c r="A604" s="15">
        <v>603.0</v>
      </c>
      <c r="B604" s="23">
        <v>45917.0</v>
      </c>
      <c r="C604" s="22" t="s">
        <v>1173</v>
      </c>
      <c r="D604" s="18"/>
      <c r="E604" s="18" t="s">
        <v>184</v>
      </c>
      <c r="F604" s="18" t="str">
        <f>IFERROR(__xludf.DUMMYFUNCTION("if(REGEXMATCH(C604,""x.com"")=TRUE,""Twitter"",if(REGEXMATCH(C604,""facebook"")=TRUE,""Facebook"",if(REGEXMATCH(C604,""instagram"")=TRUE,""Instagram"",if(REGEXMATCH(C604,""youtube"")=TRUE,""Youtube"",if(REGEXMATCH(C604,""tiktok"")=TRUE,""Tiktok"",if(REGEX"&amp;"MATCH(C604,""threads"")=TRUE,""Threads""))))))"),"Facebook")</f>
        <v>Facebook</v>
      </c>
      <c r="G604" s="18" t="s">
        <v>1174</v>
      </c>
      <c r="H604" s="18" t="s">
        <v>410</v>
      </c>
      <c r="I604" s="18"/>
      <c r="J604" s="18" t="s">
        <v>188</v>
      </c>
      <c r="K604" s="18"/>
      <c r="L604" s="15"/>
    </row>
    <row r="605">
      <c r="A605" s="15">
        <v>604.0</v>
      </c>
      <c r="B605" s="23">
        <v>45917.0</v>
      </c>
      <c r="C605" s="22" t="s">
        <v>1175</v>
      </c>
      <c r="D605" s="18"/>
      <c r="E605" s="18" t="s">
        <v>184</v>
      </c>
      <c r="F605" s="18" t="str">
        <f>IFERROR(__xludf.DUMMYFUNCTION("if(REGEXMATCH(C605,""x.com"")=TRUE,""Twitter"",if(REGEXMATCH(C605,""facebook"")=TRUE,""Facebook"",if(REGEXMATCH(C605,""instagram"")=TRUE,""Instagram"",if(REGEXMATCH(C605,""youtube"")=TRUE,""Youtube"",if(REGEXMATCH(C605,""tiktok"")=TRUE,""Tiktok"",if(REGEX"&amp;"MATCH(C605,""threads"")=TRUE,""Threads""))))))"),"Facebook")</f>
        <v>Facebook</v>
      </c>
      <c r="G605" s="18" t="s">
        <v>1176</v>
      </c>
      <c r="H605" s="18" t="s">
        <v>410</v>
      </c>
      <c r="I605" s="18"/>
      <c r="J605" s="18" t="s">
        <v>188</v>
      </c>
      <c r="K605" s="18"/>
      <c r="L605" s="15"/>
    </row>
    <row r="606">
      <c r="A606" s="15">
        <v>605.0</v>
      </c>
      <c r="B606" s="23">
        <v>45918.0</v>
      </c>
      <c r="C606" s="22" t="s">
        <v>1177</v>
      </c>
      <c r="D606" s="18"/>
      <c r="E606" s="18" t="s">
        <v>1178</v>
      </c>
      <c r="F606" s="18" t="str">
        <f>IFERROR(__xludf.DUMMYFUNCTION("if(REGEXMATCH(C606,""x.com"")=TRUE,""Twitter"",if(REGEXMATCH(C606,""facebook"")=TRUE,""Facebook"",if(REGEXMATCH(C606,""instagram"")=TRUE,""Instagram"",if(REGEXMATCH(C606,""youtube"")=TRUE,""Youtube"",if(REGEXMATCH(C606,""tiktok"")=TRUE,""Tiktok"",if(REGEX"&amp;"MATCH(C606,""threads"")=TRUE,""Threads""))))))"),"Tiktok")</f>
        <v>Tiktok</v>
      </c>
      <c r="G606" s="18" t="s">
        <v>1179</v>
      </c>
      <c r="H606" s="18" t="s">
        <v>1180</v>
      </c>
      <c r="I606" s="18" t="s">
        <v>1181</v>
      </c>
      <c r="J606" s="18" t="s">
        <v>188</v>
      </c>
      <c r="K606" s="18"/>
      <c r="L606" s="15"/>
    </row>
    <row r="607">
      <c r="A607" s="15">
        <v>606.0</v>
      </c>
      <c r="B607" s="23">
        <v>45918.0</v>
      </c>
      <c r="C607" s="22" t="s">
        <v>1182</v>
      </c>
      <c r="D607" s="18"/>
      <c r="E607" s="18" t="s">
        <v>1178</v>
      </c>
      <c r="F607" s="18" t="str">
        <f>IFERROR(__xludf.DUMMYFUNCTION("if(REGEXMATCH(C607,""x.com"")=TRUE,""Twitter"",if(REGEXMATCH(C607,""facebook"")=TRUE,""Facebook"",if(REGEXMATCH(C607,""instagram"")=TRUE,""Instagram"",if(REGEXMATCH(C607,""youtube"")=TRUE,""Youtube"",if(REGEXMATCH(C607,""tiktok"")=TRUE,""Tiktok"",if(REGEX"&amp;"MATCH(C607,""threads"")=TRUE,""Threads""))))))"),"Tiktok")</f>
        <v>Tiktok</v>
      </c>
      <c r="G607" s="18" t="s">
        <v>1183</v>
      </c>
      <c r="H607" s="18" t="s">
        <v>1180</v>
      </c>
      <c r="I607" s="18" t="s">
        <v>1181</v>
      </c>
      <c r="J607" s="18" t="s">
        <v>188</v>
      </c>
      <c r="K607" s="18"/>
      <c r="L607" s="15"/>
    </row>
    <row r="608">
      <c r="A608" s="15">
        <v>607.0</v>
      </c>
      <c r="B608" s="23">
        <v>45918.0</v>
      </c>
      <c r="C608" s="22" t="s">
        <v>1184</v>
      </c>
      <c r="D608" s="18"/>
      <c r="E608" s="18" t="s">
        <v>197</v>
      </c>
      <c r="F608" s="18" t="str">
        <f>IFERROR(__xludf.DUMMYFUNCTION("if(REGEXMATCH(C608,""x.com"")=TRUE,""Twitter"",if(REGEXMATCH(C608,""facebook"")=TRUE,""Facebook"",if(REGEXMATCH(C608,""instagram"")=TRUE,""Instagram"",if(REGEXMATCH(C608,""youtube"")=TRUE,""Youtube"",if(REGEXMATCH(C608,""tiktok"")=TRUE,""Tiktok"",if(REGEX"&amp;"MATCH(C608,""threads"")=TRUE,""Threads""))))))"),"Tiktok")</f>
        <v>Tiktok</v>
      </c>
      <c r="G608" s="18" t="s">
        <v>1185</v>
      </c>
      <c r="H608" s="18" t="s">
        <v>1180</v>
      </c>
      <c r="I608" s="18" t="s">
        <v>1181</v>
      </c>
      <c r="J608" s="18" t="s">
        <v>188</v>
      </c>
      <c r="K608" s="18"/>
      <c r="L608" s="15"/>
    </row>
    <row r="609">
      <c r="A609" s="15">
        <v>608.0</v>
      </c>
      <c r="B609" s="23">
        <v>45918.0</v>
      </c>
      <c r="C609" s="22" t="s">
        <v>1186</v>
      </c>
      <c r="D609" s="18"/>
      <c r="E609" s="18" t="s">
        <v>1178</v>
      </c>
      <c r="F609" s="18" t="str">
        <f>IFERROR(__xludf.DUMMYFUNCTION("if(REGEXMATCH(C609,""x.com"")=TRUE,""Twitter"",if(REGEXMATCH(C609,""facebook"")=TRUE,""Facebook"",if(REGEXMATCH(C609,""instagram"")=TRUE,""Instagram"",if(REGEXMATCH(C609,""youtube"")=TRUE,""Youtube"",if(REGEXMATCH(C609,""tiktok"")=TRUE,""Tiktok"",if(REGEX"&amp;"MATCH(C609,""threads"")=TRUE,""Threads""))))))"),"Tiktok")</f>
        <v>Tiktok</v>
      </c>
      <c r="G609" s="18" t="s">
        <v>1187</v>
      </c>
      <c r="H609" s="18" t="s">
        <v>1180</v>
      </c>
      <c r="I609" s="18" t="s">
        <v>1181</v>
      </c>
      <c r="J609" s="18" t="s">
        <v>188</v>
      </c>
      <c r="K609" s="18"/>
      <c r="L609" s="15"/>
    </row>
    <row r="610">
      <c r="A610" s="15">
        <v>609.0</v>
      </c>
      <c r="B610" s="23">
        <v>45918.0</v>
      </c>
      <c r="C610" s="22" t="s">
        <v>1188</v>
      </c>
      <c r="D610" s="18"/>
      <c r="E610" s="18" t="s">
        <v>197</v>
      </c>
      <c r="F610" s="18" t="str">
        <f>IFERROR(__xludf.DUMMYFUNCTION("if(REGEXMATCH(C610,""x.com"")=TRUE,""Twitter"",if(REGEXMATCH(C610,""facebook"")=TRUE,""Facebook"",if(REGEXMATCH(C610,""instagram"")=TRUE,""Instagram"",if(REGEXMATCH(C610,""youtube"")=TRUE,""Youtube"",if(REGEXMATCH(C610,""tiktok"")=TRUE,""Tiktok"",if(REGEX"&amp;"MATCH(C610,""threads"")=TRUE,""Threads""))))))"),"Tiktok")</f>
        <v>Tiktok</v>
      </c>
      <c r="G610" s="18" t="s">
        <v>1189</v>
      </c>
      <c r="H610" s="18" t="s">
        <v>1180</v>
      </c>
      <c r="I610" s="18" t="s">
        <v>1181</v>
      </c>
      <c r="J610" s="18" t="s">
        <v>188</v>
      </c>
      <c r="K610" s="18"/>
      <c r="L610" s="15"/>
    </row>
    <row r="611">
      <c r="A611" s="15">
        <v>610.0</v>
      </c>
      <c r="B611" s="23">
        <v>45918.0</v>
      </c>
      <c r="C611" s="22" t="s">
        <v>1190</v>
      </c>
      <c r="D611" s="18"/>
      <c r="E611" s="18" t="s">
        <v>197</v>
      </c>
      <c r="F611" s="18" t="str">
        <f>IFERROR(__xludf.DUMMYFUNCTION("if(REGEXMATCH(C611,""x.com"")=TRUE,""Twitter"",if(REGEXMATCH(C611,""facebook"")=TRUE,""Facebook"",if(REGEXMATCH(C611,""instagram"")=TRUE,""Instagram"",if(REGEXMATCH(C611,""youtube"")=TRUE,""Youtube"",if(REGEXMATCH(C611,""tiktok"")=TRUE,""Tiktok"",if(REGEX"&amp;"MATCH(C611,""threads"")=TRUE,""Threads""))))))"),"Tiktok")</f>
        <v>Tiktok</v>
      </c>
      <c r="G611" s="18" t="s">
        <v>1191</v>
      </c>
      <c r="H611" s="18" t="s">
        <v>1180</v>
      </c>
      <c r="I611" s="18" t="s">
        <v>1181</v>
      </c>
      <c r="J611" s="18" t="s">
        <v>188</v>
      </c>
      <c r="K611" s="18"/>
      <c r="L611" s="15"/>
    </row>
    <row r="612">
      <c r="A612" s="15">
        <v>611.0</v>
      </c>
      <c r="B612" s="23">
        <v>45918.0</v>
      </c>
      <c r="C612" s="22" t="s">
        <v>1192</v>
      </c>
      <c r="D612" s="18"/>
      <c r="E612" s="18" t="s">
        <v>197</v>
      </c>
      <c r="F612" s="18" t="str">
        <f>IFERROR(__xludf.DUMMYFUNCTION("if(REGEXMATCH(C612,""x.com"")=TRUE,""Twitter"",if(REGEXMATCH(C612,""facebook"")=TRUE,""Facebook"",if(REGEXMATCH(C612,""instagram"")=TRUE,""Instagram"",if(REGEXMATCH(C612,""youtube"")=TRUE,""Youtube"",if(REGEXMATCH(C612,""tiktok"")=TRUE,""Tiktok"",if(REGEX"&amp;"MATCH(C612,""threads"")=TRUE,""Threads""))))))"),"Tiktok")</f>
        <v>Tiktok</v>
      </c>
      <c r="G612" s="18" t="s">
        <v>1193</v>
      </c>
      <c r="H612" s="18" t="s">
        <v>1180</v>
      </c>
      <c r="I612" s="18" t="s">
        <v>1181</v>
      </c>
      <c r="J612" s="18" t="s">
        <v>188</v>
      </c>
      <c r="K612" s="18"/>
      <c r="L612" s="15"/>
    </row>
    <row r="613">
      <c r="A613" s="15">
        <v>612.0</v>
      </c>
      <c r="B613" s="23">
        <v>45918.0</v>
      </c>
      <c r="C613" s="22" t="s">
        <v>1194</v>
      </c>
      <c r="D613" s="18"/>
      <c r="E613" s="18" t="s">
        <v>197</v>
      </c>
      <c r="F613" s="18" t="str">
        <f>IFERROR(__xludf.DUMMYFUNCTION("if(REGEXMATCH(C613,""x.com"")=TRUE,""Twitter"",if(REGEXMATCH(C613,""facebook"")=TRUE,""Facebook"",if(REGEXMATCH(C613,""instagram"")=TRUE,""Instagram"",if(REGEXMATCH(C613,""youtube"")=TRUE,""Youtube"",if(REGEXMATCH(C613,""tiktok"")=TRUE,""Tiktok"",if(REGEX"&amp;"MATCH(C613,""threads"")=TRUE,""Threads""))))))"),"Tiktok")</f>
        <v>Tiktok</v>
      </c>
      <c r="G613" s="18" t="s">
        <v>1195</v>
      </c>
      <c r="H613" s="18" t="s">
        <v>1180</v>
      </c>
      <c r="I613" s="18" t="s">
        <v>1181</v>
      </c>
      <c r="J613" s="18" t="s">
        <v>188</v>
      </c>
      <c r="K613" s="18"/>
      <c r="L613" s="15"/>
    </row>
    <row r="614">
      <c r="A614" s="15">
        <v>613.0</v>
      </c>
      <c r="B614" s="23">
        <v>45918.0</v>
      </c>
      <c r="C614" s="18" t="s">
        <v>1196</v>
      </c>
      <c r="D614" s="18"/>
      <c r="E614" s="18" t="s">
        <v>197</v>
      </c>
      <c r="F614" s="18" t="str">
        <f>IFERROR(__xludf.DUMMYFUNCTION("if(REGEXMATCH(C614,""x.com"")=TRUE,""Twitter"",if(REGEXMATCH(C614,""facebook"")=TRUE,""Facebook"",if(REGEXMATCH(C614,""instagram"")=TRUE,""Instagram"",if(REGEXMATCH(C614,""youtube"")=TRUE,""Youtube"",if(REGEXMATCH(C614,""tiktok"")=TRUE,""Tiktok"",if(REGEX"&amp;"MATCH(C614,""threads"")=TRUE,""Threads""))))))"),"Tiktok")</f>
        <v>Tiktok</v>
      </c>
      <c r="G614" s="18" t="s">
        <v>1197</v>
      </c>
      <c r="H614" s="18" t="s">
        <v>1180</v>
      </c>
      <c r="I614" s="18" t="s">
        <v>1181</v>
      </c>
      <c r="J614" s="18" t="s">
        <v>188</v>
      </c>
      <c r="K614" s="18"/>
      <c r="L614" s="15"/>
    </row>
    <row r="615">
      <c r="A615" s="15">
        <v>614.0</v>
      </c>
      <c r="B615" s="23">
        <v>45918.0</v>
      </c>
      <c r="C615" s="22" t="s">
        <v>1198</v>
      </c>
      <c r="D615" s="18"/>
      <c r="E615" s="18" t="s">
        <v>1199</v>
      </c>
      <c r="F615" s="18" t="str">
        <f>IFERROR(__xludf.DUMMYFUNCTION("if(REGEXMATCH(C615,""x.com"")=TRUE,""Twitter"",if(REGEXMATCH(C615,""facebook"")=TRUE,""Facebook"",if(REGEXMATCH(C615,""instagram"")=TRUE,""Instagram"",if(REGEXMATCH(C615,""youtube"")=TRUE,""Youtube"",if(REGEXMATCH(C615,""tiktok"")=TRUE,""Tiktok"",if(REGEX"&amp;"MATCH(C615,""threads"")=TRUE,""Threads""))))))"),"Twitter")</f>
        <v>Twitter</v>
      </c>
      <c r="G615" s="18" t="s">
        <v>1200</v>
      </c>
      <c r="H615" s="18" t="s">
        <v>1180</v>
      </c>
      <c r="I615" s="18" t="s">
        <v>1181</v>
      </c>
      <c r="J615" s="18" t="s">
        <v>188</v>
      </c>
      <c r="K615" s="18"/>
      <c r="L615" s="15"/>
    </row>
    <row r="616">
      <c r="A616" s="15">
        <v>615.0</v>
      </c>
      <c r="B616" s="23">
        <v>45918.0</v>
      </c>
      <c r="C616" s="22" t="s">
        <v>1201</v>
      </c>
      <c r="D616" s="18"/>
      <c r="E616" s="18" t="s">
        <v>1199</v>
      </c>
      <c r="F616" s="18" t="str">
        <f>IFERROR(__xludf.DUMMYFUNCTION("if(REGEXMATCH(C616,""x.com"")=TRUE,""Twitter"",if(REGEXMATCH(C616,""facebook"")=TRUE,""Facebook"",if(REGEXMATCH(C616,""instagram"")=TRUE,""Instagram"",if(REGEXMATCH(C616,""youtube"")=TRUE,""Youtube"",if(REGEXMATCH(C616,""tiktok"")=TRUE,""Tiktok"",if(REGEX"&amp;"MATCH(C616,""threads"")=TRUE,""Threads""))))))"),"Twitter")</f>
        <v>Twitter</v>
      </c>
      <c r="G616" s="18" t="s">
        <v>1200</v>
      </c>
      <c r="H616" s="18" t="s">
        <v>1180</v>
      </c>
      <c r="I616" s="18" t="s">
        <v>1181</v>
      </c>
      <c r="J616" s="18" t="s">
        <v>188</v>
      </c>
      <c r="K616" s="18"/>
      <c r="L616" s="15"/>
    </row>
    <row r="617">
      <c r="A617" s="15">
        <v>616.0</v>
      </c>
      <c r="B617" s="23">
        <v>45918.0</v>
      </c>
      <c r="C617" s="22" t="s">
        <v>1202</v>
      </c>
      <c r="D617" s="18"/>
      <c r="E617" s="18" t="s">
        <v>557</v>
      </c>
      <c r="F617" s="18" t="str">
        <f>IFERROR(__xludf.DUMMYFUNCTION("if(REGEXMATCH(C617,""x.com"")=TRUE,""Twitter"",if(REGEXMATCH(C617,""facebook"")=TRUE,""Facebook"",if(REGEXMATCH(C617,""instagram"")=TRUE,""Instagram"",if(REGEXMATCH(C617,""youtube"")=TRUE,""Youtube"",if(REGEXMATCH(C617,""tiktok"")=TRUE,""Tiktok"",if(REGEX"&amp;"MATCH(C617,""threads"")=TRUE,""Threads""))))))"),"Tiktok")</f>
        <v>Tiktok</v>
      </c>
      <c r="G617" s="18" t="s">
        <v>1203</v>
      </c>
      <c r="H617" s="18" t="s">
        <v>1180</v>
      </c>
      <c r="I617" s="18" t="s">
        <v>1181</v>
      </c>
      <c r="J617" s="18" t="s">
        <v>188</v>
      </c>
      <c r="K617" s="18"/>
      <c r="L617" s="15"/>
    </row>
    <row r="618">
      <c r="A618" s="15">
        <v>617.0</v>
      </c>
      <c r="B618" s="23">
        <v>45918.0</v>
      </c>
      <c r="C618" s="22" t="s">
        <v>1204</v>
      </c>
      <c r="D618" s="18"/>
      <c r="E618" s="18" t="s">
        <v>197</v>
      </c>
      <c r="F618" s="18" t="str">
        <f>IFERROR(__xludf.DUMMYFUNCTION("if(REGEXMATCH(C618,""x.com"")=TRUE,""Twitter"",if(REGEXMATCH(C618,""facebook"")=TRUE,""Facebook"",if(REGEXMATCH(C618,""instagram"")=TRUE,""Instagram"",if(REGEXMATCH(C618,""youtube"")=TRUE,""Youtube"",if(REGEXMATCH(C618,""tiktok"")=TRUE,""Tiktok"",if(REGEX"&amp;"MATCH(C618,""threads"")=TRUE,""Threads""))))))"),"Facebook")</f>
        <v>Facebook</v>
      </c>
      <c r="G618" s="18" t="s">
        <v>1205</v>
      </c>
      <c r="H618" s="18" t="s">
        <v>1180</v>
      </c>
      <c r="I618" s="18" t="s">
        <v>1181</v>
      </c>
      <c r="J618" s="18" t="s">
        <v>188</v>
      </c>
      <c r="K618" s="18"/>
      <c r="L618" s="15"/>
    </row>
    <row r="619">
      <c r="A619" s="15">
        <v>618.0</v>
      </c>
      <c r="B619" s="23">
        <v>45918.0</v>
      </c>
      <c r="C619" s="22" t="s">
        <v>1206</v>
      </c>
      <c r="D619" s="18"/>
      <c r="E619" s="18" t="s">
        <v>557</v>
      </c>
      <c r="F619" s="18" t="str">
        <f>IFERROR(__xludf.DUMMYFUNCTION("if(REGEXMATCH(C619,""x.com"")=TRUE,""Twitter"",if(REGEXMATCH(C619,""facebook"")=TRUE,""Facebook"",if(REGEXMATCH(C619,""instagram"")=TRUE,""Instagram"",if(REGEXMATCH(C619,""youtube"")=TRUE,""Youtube"",if(REGEXMATCH(C619,""tiktok"")=TRUE,""Tiktok"",if(REGEX"&amp;"MATCH(C619,""threads"")=TRUE,""Threads""))))))"),"Tiktok")</f>
        <v>Tiktok</v>
      </c>
      <c r="G619" s="18" t="s">
        <v>1207</v>
      </c>
      <c r="H619" s="18" t="s">
        <v>1180</v>
      </c>
      <c r="I619" s="18" t="s">
        <v>1181</v>
      </c>
      <c r="J619" s="18" t="s">
        <v>188</v>
      </c>
      <c r="K619" s="18"/>
      <c r="L619" s="15"/>
    </row>
    <row r="620">
      <c r="A620" s="15">
        <v>619.0</v>
      </c>
      <c r="B620" s="23">
        <v>45918.0</v>
      </c>
      <c r="C620" s="22" t="s">
        <v>1208</v>
      </c>
      <c r="D620" s="18"/>
      <c r="E620" s="18" t="s">
        <v>557</v>
      </c>
      <c r="F620" s="18" t="str">
        <f>IFERROR(__xludf.DUMMYFUNCTION("if(REGEXMATCH(C620,""x.com"")=TRUE,""Twitter"",if(REGEXMATCH(C620,""facebook"")=TRUE,""Facebook"",if(REGEXMATCH(C620,""instagram"")=TRUE,""Instagram"",if(REGEXMATCH(C620,""youtube"")=TRUE,""Youtube"",if(REGEXMATCH(C620,""tiktok"")=TRUE,""Tiktok"",if(REGEX"&amp;"MATCH(C620,""threads"")=TRUE,""Threads""))))))"),"Tiktok")</f>
        <v>Tiktok</v>
      </c>
      <c r="G620" s="18" t="s">
        <v>1209</v>
      </c>
      <c r="H620" s="18" t="s">
        <v>1180</v>
      </c>
      <c r="I620" s="18" t="s">
        <v>1181</v>
      </c>
      <c r="J620" s="18" t="s">
        <v>188</v>
      </c>
      <c r="K620" s="18"/>
      <c r="L620" s="15"/>
    </row>
    <row r="621">
      <c r="A621" s="15">
        <v>620.0</v>
      </c>
      <c r="B621" s="23">
        <v>45918.0</v>
      </c>
      <c r="C621" s="22" t="s">
        <v>1210</v>
      </c>
      <c r="D621" s="18"/>
      <c r="E621" s="18" t="s">
        <v>557</v>
      </c>
      <c r="F621" s="18" t="str">
        <f>IFERROR(__xludf.DUMMYFUNCTION("if(REGEXMATCH(C621,""x.com"")=TRUE,""Twitter"",if(REGEXMATCH(C621,""facebook"")=TRUE,""Facebook"",if(REGEXMATCH(C621,""instagram"")=TRUE,""Instagram"",if(REGEXMATCH(C621,""youtube"")=TRUE,""Youtube"",if(REGEXMATCH(C621,""tiktok"")=TRUE,""Tiktok"",if(REGEX"&amp;"MATCH(C621,""threads"")=TRUE,""Threads""))))))"),"Tiktok")</f>
        <v>Tiktok</v>
      </c>
      <c r="G621" s="18" t="s">
        <v>1211</v>
      </c>
      <c r="H621" s="18" t="s">
        <v>1180</v>
      </c>
      <c r="I621" s="18" t="s">
        <v>1181</v>
      </c>
      <c r="J621" s="18" t="s">
        <v>188</v>
      </c>
      <c r="K621" s="18"/>
      <c r="L621" s="15"/>
    </row>
    <row r="622">
      <c r="A622" s="15">
        <v>621.0</v>
      </c>
      <c r="B622" s="23">
        <v>45918.0</v>
      </c>
      <c r="C622" s="22" t="s">
        <v>1212</v>
      </c>
      <c r="D622" s="18"/>
      <c r="E622" s="18" t="s">
        <v>197</v>
      </c>
      <c r="F622" s="18" t="str">
        <f>IFERROR(__xludf.DUMMYFUNCTION("if(REGEXMATCH(C622,""x.com"")=TRUE,""Twitter"",if(REGEXMATCH(C622,""facebook"")=TRUE,""Facebook"",if(REGEXMATCH(C622,""instagram"")=TRUE,""Instagram"",if(REGEXMATCH(C622,""youtube"")=TRUE,""Youtube"",if(REGEXMATCH(C622,""tiktok"")=TRUE,""Tiktok"",if(REGEX"&amp;"MATCH(C622,""threads"")=TRUE,""Threads""))))))"),"Tiktok")</f>
        <v>Tiktok</v>
      </c>
      <c r="G622" s="18" t="s">
        <v>1213</v>
      </c>
      <c r="H622" s="18" t="s">
        <v>1180</v>
      </c>
      <c r="I622" s="18" t="s">
        <v>1181</v>
      </c>
      <c r="J622" s="18" t="s">
        <v>188</v>
      </c>
      <c r="K622" s="18"/>
      <c r="L622" s="15"/>
    </row>
    <row r="623">
      <c r="A623" s="15">
        <v>622.0</v>
      </c>
      <c r="B623" s="23">
        <v>45918.0</v>
      </c>
      <c r="C623" s="22" t="s">
        <v>1214</v>
      </c>
      <c r="D623" s="18"/>
      <c r="E623" s="18" t="s">
        <v>197</v>
      </c>
      <c r="F623" s="18" t="str">
        <f>IFERROR(__xludf.DUMMYFUNCTION("if(REGEXMATCH(C623,""x.com"")=TRUE,""Twitter"",if(REGEXMATCH(C623,""facebook"")=TRUE,""Facebook"",if(REGEXMATCH(C623,""instagram"")=TRUE,""Instagram"",if(REGEXMATCH(C623,""youtube"")=TRUE,""Youtube"",if(REGEXMATCH(C623,""tiktok"")=TRUE,""Tiktok"",if(REGEX"&amp;"MATCH(C623,""threads"")=TRUE,""Threads""))))))"),"Twitter")</f>
        <v>Twitter</v>
      </c>
      <c r="G623" s="18" t="s">
        <v>1215</v>
      </c>
      <c r="H623" s="18" t="s">
        <v>1180</v>
      </c>
      <c r="I623" s="18" t="s">
        <v>1181</v>
      </c>
      <c r="J623" s="18" t="s">
        <v>188</v>
      </c>
      <c r="K623" s="18"/>
      <c r="L623" s="15"/>
    </row>
    <row r="624">
      <c r="A624" s="15">
        <v>623.0</v>
      </c>
      <c r="B624" s="23">
        <v>45918.0</v>
      </c>
      <c r="C624" s="22" t="s">
        <v>1216</v>
      </c>
      <c r="D624" s="18"/>
      <c r="E624" s="18" t="s">
        <v>557</v>
      </c>
      <c r="F624" s="18" t="str">
        <f>IFERROR(__xludf.DUMMYFUNCTION("if(REGEXMATCH(C624,""x.com"")=TRUE,""Twitter"",if(REGEXMATCH(C624,""facebook"")=TRUE,""Facebook"",if(REGEXMATCH(C624,""instagram"")=TRUE,""Instagram"",if(REGEXMATCH(C624,""youtube"")=TRUE,""Youtube"",if(REGEXMATCH(C624,""tiktok"")=TRUE,""Tiktok"",if(REGEX"&amp;"MATCH(C624,""threads"")=TRUE,""Threads""))))))"),"Twitter")</f>
        <v>Twitter</v>
      </c>
      <c r="G624" s="18" t="s">
        <v>1217</v>
      </c>
      <c r="H624" s="18" t="s">
        <v>1180</v>
      </c>
      <c r="I624" s="18" t="s">
        <v>1181</v>
      </c>
      <c r="J624" s="18" t="s">
        <v>188</v>
      </c>
      <c r="K624" s="18"/>
      <c r="L624" s="15"/>
    </row>
    <row r="625">
      <c r="A625" s="15">
        <v>624.0</v>
      </c>
      <c r="B625" s="23">
        <v>45918.0</v>
      </c>
      <c r="C625" s="22" t="s">
        <v>1218</v>
      </c>
      <c r="D625" s="18"/>
      <c r="E625" s="18" t="s">
        <v>1219</v>
      </c>
      <c r="F625" s="18" t="str">
        <f>IFERROR(__xludf.DUMMYFUNCTION("if(REGEXMATCH(C625,""x.com"")=TRUE,""Twitter"",if(REGEXMATCH(C625,""facebook"")=TRUE,""Facebook"",if(REGEXMATCH(C625,""instagram"")=TRUE,""Instagram"",if(REGEXMATCH(C625,""youtube"")=TRUE,""Youtube"",if(REGEXMATCH(C625,""tiktok"")=TRUE,""Tiktok"",if(REGEX"&amp;"MATCH(C625,""threads"")=TRUE,""Threads""))))))"),"Tiktok")</f>
        <v>Tiktok</v>
      </c>
      <c r="G625" s="27" t="s">
        <v>1220</v>
      </c>
      <c r="H625" s="18" t="s">
        <v>1180</v>
      </c>
      <c r="I625" s="18" t="s">
        <v>1181</v>
      </c>
      <c r="J625" s="18" t="s">
        <v>188</v>
      </c>
      <c r="K625" s="18"/>
      <c r="L625" s="15"/>
    </row>
    <row r="626">
      <c r="A626" s="15">
        <v>625.0</v>
      </c>
      <c r="B626" s="23">
        <v>45918.0</v>
      </c>
      <c r="C626" s="22" t="s">
        <v>1221</v>
      </c>
      <c r="D626" s="18"/>
      <c r="E626" s="18" t="s">
        <v>557</v>
      </c>
      <c r="F626" s="18" t="str">
        <f>IFERROR(__xludf.DUMMYFUNCTION("if(REGEXMATCH(C626,""x.com"")=TRUE,""Twitter"",if(REGEXMATCH(C626,""facebook"")=TRUE,""Facebook"",if(REGEXMATCH(C626,""instagram"")=TRUE,""Instagram"",if(REGEXMATCH(C626,""youtube"")=TRUE,""Youtube"",if(REGEXMATCH(C626,""tiktok"")=TRUE,""Tiktok"",if(REGEX"&amp;"MATCH(C626,""threads"")=TRUE,""Threads""))))))"),"Tiktok")</f>
        <v>Tiktok</v>
      </c>
      <c r="G626" s="18" t="s">
        <v>1222</v>
      </c>
      <c r="H626" s="18" t="s">
        <v>1180</v>
      </c>
      <c r="I626" s="18" t="s">
        <v>1181</v>
      </c>
      <c r="J626" s="18" t="s">
        <v>188</v>
      </c>
      <c r="K626" s="18"/>
      <c r="L626" s="15"/>
    </row>
    <row r="627">
      <c r="A627" s="15">
        <v>626.0</v>
      </c>
      <c r="B627" s="23">
        <v>45918.0</v>
      </c>
      <c r="C627" s="22" t="s">
        <v>1223</v>
      </c>
      <c r="D627" s="18"/>
      <c r="E627" s="18" t="s">
        <v>557</v>
      </c>
      <c r="F627" s="18" t="str">
        <f>IFERROR(__xludf.DUMMYFUNCTION("if(REGEXMATCH(C627,""x.com"")=TRUE,""Twitter"",if(REGEXMATCH(C627,""facebook"")=TRUE,""Facebook"",if(REGEXMATCH(C627,""instagram"")=TRUE,""Instagram"",if(REGEXMATCH(C627,""youtube"")=TRUE,""Youtube"",if(REGEXMATCH(C627,""tiktok"")=TRUE,""Tiktok"",if(REGEX"&amp;"MATCH(C627,""threads"")=TRUE,""Threads""))))))"),"Tiktok")</f>
        <v>Tiktok</v>
      </c>
      <c r="G627" s="18" t="s">
        <v>1224</v>
      </c>
      <c r="H627" s="18" t="s">
        <v>1180</v>
      </c>
      <c r="I627" s="18" t="s">
        <v>1181</v>
      </c>
      <c r="J627" s="18" t="s">
        <v>188</v>
      </c>
      <c r="K627" s="18"/>
      <c r="L627" s="15"/>
    </row>
    <row r="628">
      <c r="A628" s="15">
        <v>627.0</v>
      </c>
      <c r="B628" s="23">
        <v>45918.0</v>
      </c>
      <c r="C628" s="22" t="s">
        <v>1225</v>
      </c>
      <c r="D628" s="18"/>
      <c r="E628" s="18" t="s">
        <v>197</v>
      </c>
      <c r="F628" s="18" t="str">
        <f>IFERROR(__xludf.DUMMYFUNCTION("if(REGEXMATCH(C628,""x.com"")=TRUE,""Twitter"",if(REGEXMATCH(C628,""facebook"")=TRUE,""Facebook"",if(REGEXMATCH(C628,""instagram"")=TRUE,""Instagram"",if(REGEXMATCH(C628,""youtube"")=TRUE,""Youtube"",if(REGEXMATCH(C628,""tiktok"")=TRUE,""Tiktok"",if(REGEX"&amp;"MATCH(C628,""threads"")=TRUE,""Threads""))))))"),"Twitter")</f>
        <v>Twitter</v>
      </c>
      <c r="G628" s="18" t="s">
        <v>1226</v>
      </c>
      <c r="H628" s="18" t="s">
        <v>1180</v>
      </c>
      <c r="I628" s="18" t="s">
        <v>1181</v>
      </c>
      <c r="J628" s="18" t="s">
        <v>188</v>
      </c>
      <c r="K628" s="18"/>
      <c r="L628" s="15"/>
    </row>
    <row r="629">
      <c r="A629" s="15">
        <v>628.0</v>
      </c>
      <c r="B629" s="23">
        <v>45918.0</v>
      </c>
      <c r="C629" s="22" t="s">
        <v>1227</v>
      </c>
      <c r="D629" s="18"/>
      <c r="E629" s="18" t="s">
        <v>197</v>
      </c>
      <c r="F629" s="18" t="str">
        <f>IFERROR(__xludf.DUMMYFUNCTION("if(REGEXMATCH(C629,""x.com"")=TRUE,""Twitter"",if(REGEXMATCH(C629,""facebook"")=TRUE,""Facebook"",if(REGEXMATCH(C629,""instagram"")=TRUE,""Instagram"",if(REGEXMATCH(C629,""youtube"")=TRUE,""Youtube"",if(REGEXMATCH(C629,""tiktok"")=TRUE,""Tiktok"",if(REGEX"&amp;"MATCH(C629,""threads"")=TRUE,""Threads""))))))"),"Twitter")</f>
        <v>Twitter</v>
      </c>
      <c r="G629" s="18" t="s">
        <v>1228</v>
      </c>
      <c r="H629" s="18" t="s">
        <v>1180</v>
      </c>
      <c r="I629" s="18" t="s">
        <v>1181</v>
      </c>
      <c r="J629" s="18" t="s">
        <v>188</v>
      </c>
      <c r="K629" s="18"/>
      <c r="L629" s="15"/>
    </row>
    <row r="630">
      <c r="A630" s="15">
        <v>629.0</v>
      </c>
      <c r="B630" s="23">
        <v>45918.0</v>
      </c>
      <c r="C630" s="22" t="s">
        <v>1229</v>
      </c>
      <c r="D630" s="18"/>
      <c r="E630" s="18" t="s">
        <v>1230</v>
      </c>
      <c r="F630" s="18" t="str">
        <f>IFERROR(__xludf.DUMMYFUNCTION("if(REGEXMATCH(C630,""x.com"")=TRUE,""Twitter"",if(REGEXMATCH(C630,""facebook"")=TRUE,""Facebook"",if(REGEXMATCH(C630,""instagram"")=TRUE,""Instagram"",if(REGEXMATCH(C630,""youtube"")=TRUE,""Youtube"",if(REGEXMATCH(C630,""tiktok"")=TRUE,""Tiktok"",if(REGEX"&amp;"MATCH(C630,""threads"")=TRUE,""Threads""))))))"),"Twitter")</f>
        <v>Twitter</v>
      </c>
      <c r="G630" s="18" t="s">
        <v>1231</v>
      </c>
      <c r="H630" s="18" t="s">
        <v>1180</v>
      </c>
      <c r="I630" s="18" t="s">
        <v>1181</v>
      </c>
      <c r="J630" s="18" t="s">
        <v>188</v>
      </c>
      <c r="K630" s="18"/>
      <c r="L630" s="15"/>
    </row>
    <row r="631">
      <c r="A631" s="15">
        <v>630.0</v>
      </c>
      <c r="B631" s="23">
        <v>45918.0</v>
      </c>
      <c r="C631" s="22" t="s">
        <v>1232</v>
      </c>
      <c r="D631" s="18"/>
      <c r="E631" s="18" t="s">
        <v>184</v>
      </c>
      <c r="F631" s="18" t="str">
        <f>IFERROR(__xludf.DUMMYFUNCTION("if(REGEXMATCH(C631,""x.com"")=TRUE,""Twitter"",if(REGEXMATCH(C631,""facebook"")=TRUE,""Facebook"",if(REGEXMATCH(C631,""instagram"")=TRUE,""Instagram"",if(REGEXMATCH(C631,""youtube"")=TRUE,""Youtube"",if(REGEXMATCH(C631,""tiktok"")=TRUE,""Tiktok"",if(REGEX"&amp;"MATCH(C631,""threads"")=TRUE,""Threads""))))))"),"Instagram")</f>
        <v>Instagram</v>
      </c>
      <c r="G631" s="18" t="s">
        <v>1233</v>
      </c>
      <c r="H631" s="18" t="s">
        <v>410</v>
      </c>
      <c r="I631" s="18"/>
      <c r="J631" s="18" t="s">
        <v>188</v>
      </c>
      <c r="K631" s="18"/>
      <c r="L631" s="15"/>
    </row>
    <row r="632">
      <c r="A632" s="15">
        <v>631.0</v>
      </c>
      <c r="B632" s="23">
        <v>45919.0</v>
      </c>
      <c r="C632" s="22" t="s">
        <v>1234</v>
      </c>
      <c r="D632" s="18"/>
      <c r="E632" s="18" t="s">
        <v>429</v>
      </c>
      <c r="F632" s="18" t="str">
        <f>IFERROR(__xludf.DUMMYFUNCTION("if(REGEXMATCH(C632,""x.com"")=TRUE,""Twitter"",if(REGEXMATCH(C632,""facebook"")=TRUE,""Facebook"",if(REGEXMATCH(C632,""instagram"")=TRUE,""Instagram"",if(REGEXMATCH(C632,""youtube"")=TRUE,""Youtube"",if(REGEXMATCH(C632,""tiktok"")=TRUE,""Tiktok"",if(REGEX"&amp;"MATCH(C632,""threads"")=TRUE,""Threads""))))))"),"Tiktok")</f>
        <v>Tiktok</v>
      </c>
      <c r="G632" s="18" t="s">
        <v>1235</v>
      </c>
      <c r="H632" s="18" t="s">
        <v>546</v>
      </c>
      <c r="I632" s="18" t="s">
        <v>535</v>
      </c>
      <c r="J632" s="18" t="s">
        <v>188</v>
      </c>
      <c r="K632" s="18"/>
      <c r="L632" s="15"/>
    </row>
    <row r="633">
      <c r="A633" s="15">
        <v>632.0</v>
      </c>
      <c r="B633" s="23">
        <v>45919.0</v>
      </c>
      <c r="C633" s="22" t="s">
        <v>1236</v>
      </c>
      <c r="D633" s="18"/>
      <c r="E633" s="18" t="s">
        <v>429</v>
      </c>
      <c r="F633" s="18" t="str">
        <f>IFERROR(__xludf.DUMMYFUNCTION("if(REGEXMATCH(C633,""x.com"")=TRUE,""Twitter"",if(REGEXMATCH(C633,""facebook"")=TRUE,""Facebook"",if(REGEXMATCH(C633,""instagram"")=TRUE,""Instagram"",if(REGEXMATCH(C633,""youtube"")=TRUE,""Youtube"",if(REGEXMATCH(C633,""tiktok"")=TRUE,""Tiktok"",if(REGEX"&amp;"MATCH(C633,""threads"")=TRUE,""Threads""))))))"),"Tiktok")</f>
        <v>Tiktok</v>
      </c>
      <c r="G633" s="18" t="s">
        <v>1237</v>
      </c>
      <c r="H633" s="18" t="s">
        <v>546</v>
      </c>
      <c r="I633" s="18" t="s">
        <v>535</v>
      </c>
      <c r="J633" s="18" t="s">
        <v>188</v>
      </c>
      <c r="K633" s="18"/>
      <c r="L633" s="15"/>
    </row>
    <row r="634">
      <c r="A634" s="15">
        <v>633.0</v>
      </c>
      <c r="B634" s="23">
        <v>45919.0</v>
      </c>
      <c r="C634" s="22" t="s">
        <v>1238</v>
      </c>
      <c r="D634" s="18"/>
      <c r="E634" s="18" t="s">
        <v>429</v>
      </c>
      <c r="F634" s="18" t="str">
        <f>IFERROR(__xludf.DUMMYFUNCTION("if(REGEXMATCH(C634,""x.com"")=TRUE,""Twitter"",if(REGEXMATCH(C634,""facebook"")=TRUE,""Facebook"",if(REGEXMATCH(C634,""instagram"")=TRUE,""Instagram"",if(REGEXMATCH(C634,""youtube"")=TRUE,""Youtube"",if(REGEXMATCH(C634,""tiktok"")=TRUE,""Tiktok"",if(REGEX"&amp;"MATCH(C634,""threads"")=TRUE,""Threads""))))))"),"Tiktok")</f>
        <v>Tiktok</v>
      </c>
      <c r="G634" s="18" t="s">
        <v>1237</v>
      </c>
      <c r="H634" s="18" t="s">
        <v>546</v>
      </c>
      <c r="I634" s="18" t="s">
        <v>535</v>
      </c>
      <c r="J634" s="18" t="s">
        <v>188</v>
      </c>
      <c r="K634" s="18"/>
      <c r="L634" s="15"/>
    </row>
    <row r="635">
      <c r="A635" s="15">
        <v>634.0</v>
      </c>
      <c r="B635" s="23">
        <v>45919.0</v>
      </c>
      <c r="C635" s="22" t="s">
        <v>1239</v>
      </c>
      <c r="D635" s="18"/>
      <c r="E635" s="18" t="s">
        <v>184</v>
      </c>
      <c r="F635" s="18" t="str">
        <f>IFERROR(__xludf.DUMMYFUNCTION("if(REGEXMATCH(C635,""x.com"")=TRUE,""Twitter"",if(REGEXMATCH(C635,""facebook"")=TRUE,""Facebook"",if(REGEXMATCH(C635,""instagram"")=TRUE,""Instagram"",if(REGEXMATCH(C635,""youtube"")=TRUE,""Youtube"",if(REGEXMATCH(C635,""tiktok"")=TRUE,""Tiktok"",if(REGEX"&amp;"MATCH(C635,""threads"")=TRUE,""Threads""))))))"),"Facebook")</f>
        <v>Facebook</v>
      </c>
      <c r="G635" s="18" t="s">
        <v>1240</v>
      </c>
      <c r="H635" s="18" t="s">
        <v>546</v>
      </c>
      <c r="I635" s="18" t="s">
        <v>535</v>
      </c>
      <c r="J635" s="18" t="s">
        <v>188</v>
      </c>
      <c r="K635" s="18"/>
      <c r="L635" s="15"/>
    </row>
    <row r="636">
      <c r="A636" s="15">
        <v>635.0</v>
      </c>
      <c r="B636" s="23">
        <v>45919.0</v>
      </c>
      <c r="C636" s="22" t="s">
        <v>1241</v>
      </c>
      <c r="D636" s="18"/>
      <c r="E636" s="18" t="s">
        <v>429</v>
      </c>
      <c r="F636" s="18" t="str">
        <f>IFERROR(__xludf.DUMMYFUNCTION("if(REGEXMATCH(C636,""x.com"")=TRUE,""Twitter"",if(REGEXMATCH(C636,""facebook"")=TRUE,""Facebook"",if(REGEXMATCH(C636,""instagram"")=TRUE,""Instagram"",if(REGEXMATCH(C636,""youtube"")=TRUE,""Youtube"",if(REGEXMATCH(C636,""tiktok"")=TRUE,""Tiktok"",if(REGEX"&amp;"MATCH(C636,""threads"")=TRUE,""Threads""))))))"),"Facebook")</f>
        <v>Facebook</v>
      </c>
      <c r="G636" s="18" t="s">
        <v>1242</v>
      </c>
      <c r="H636" s="18" t="s">
        <v>546</v>
      </c>
      <c r="I636" s="18" t="s">
        <v>535</v>
      </c>
      <c r="J636" s="18" t="s">
        <v>188</v>
      </c>
      <c r="K636" s="18"/>
      <c r="L636" s="15"/>
    </row>
    <row r="637">
      <c r="A637" s="15">
        <v>636.0</v>
      </c>
      <c r="B637" s="23">
        <v>45919.0</v>
      </c>
      <c r="C637" s="22" t="s">
        <v>1243</v>
      </c>
      <c r="D637" s="18"/>
      <c r="E637" s="18" t="s">
        <v>429</v>
      </c>
      <c r="F637" s="18" t="str">
        <f>IFERROR(__xludf.DUMMYFUNCTION("if(REGEXMATCH(C637,""x.com"")=TRUE,""Twitter"",if(REGEXMATCH(C637,""facebook"")=TRUE,""Facebook"",if(REGEXMATCH(C637,""instagram"")=TRUE,""Instagram"",if(REGEXMATCH(C637,""youtube"")=TRUE,""Youtube"",if(REGEXMATCH(C637,""tiktok"")=TRUE,""Tiktok"",if(REGEX"&amp;"MATCH(C637,""threads"")=TRUE,""Threads""))))))"),"Facebook")</f>
        <v>Facebook</v>
      </c>
      <c r="G637" s="18" t="s">
        <v>1244</v>
      </c>
      <c r="H637" s="18" t="s">
        <v>546</v>
      </c>
      <c r="I637" s="18" t="s">
        <v>535</v>
      </c>
      <c r="J637" s="18" t="s">
        <v>188</v>
      </c>
      <c r="K637" s="18"/>
      <c r="L637" s="15"/>
    </row>
    <row r="638">
      <c r="A638" s="15">
        <v>637.0</v>
      </c>
      <c r="B638" s="23">
        <v>45919.0</v>
      </c>
      <c r="C638" s="22" t="s">
        <v>1245</v>
      </c>
      <c r="D638" s="18"/>
      <c r="E638" s="18" t="s">
        <v>184</v>
      </c>
      <c r="F638" s="18" t="str">
        <f>IFERROR(__xludf.DUMMYFUNCTION("if(REGEXMATCH(C638,""x.com"")=TRUE,""Twitter"",if(REGEXMATCH(C638,""facebook"")=TRUE,""Facebook"",if(REGEXMATCH(C638,""instagram"")=TRUE,""Instagram"",if(REGEXMATCH(C638,""youtube"")=TRUE,""Youtube"",if(REGEXMATCH(C638,""tiktok"")=TRUE,""Tiktok"",if(REGEX"&amp;"MATCH(C638,""threads"")=TRUE,""Threads""))))))"),"Facebook")</f>
        <v>Facebook</v>
      </c>
      <c r="G638" s="18" t="s">
        <v>1246</v>
      </c>
      <c r="H638" s="18" t="s">
        <v>546</v>
      </c>
      <c r="I638" s="18" t="s">
        <v>535</v>
      </c>
      <c r="J638" s="18" t="s">
        <v>188</v>
      </c>
      <c r="K638" s="18"/>
      <c r="L638" s="15"/>
    </row>
    <row r="639">
      <c r="A639" s="15">
        <v>638.0</v>
      </c>
      <c r="B639" s="23">
        <v>45919.0</v>
      </c>
      <c r="C639" s="22" t="s">
        <v>1247</v>
      </c>
      <c r="D639" s="18"/>
      <c r="E639" s="18" t="s">
        <v>184</v>
      </c>
      <c r="F639" s="18" t="str">
        <f>IFERROR(__xludf.DUMMYFUNCTION("if(REGEXMATCH(C639,""x.com"")=TRUE,""Twitter"",if(REGEXMATCH(C639,""facebook"")=TRUE,""Facebook"",if(REGEXMATCH(C639,""instagram"")=TRUE,""Instagram"",if(REGEXMATCH(C639,""youtube"")=TRUE,""Youtube"",if(REGEXMATCH(C639,""tiktok"")=TRUE,""Tiktok"",if(REGEX"&amp;"MATCH(C639,""threads"")=TRUE,""Threads""))))))"),"Tiktok")</f>
        <v>Tiktok</v>
      </c>
      <c r="G639" s="18" t="s">
        <v>1248</v>
      </c>
      <c r="H639" s="18" t="s">
        <v>546</v>
      </c>
      <c r="I639" s="18" t="s">
        <v>535</v>
      </c>
      <c r="J639" s="18" t="s">
        <v>188</v>
      </c>
      <c r="K639" s="18"/>
      <c r="L639" s="15"/>
    </row>
    <row r="640">
      <c r="A640" s="15">
        <v>639.0</v>
      </c>
      <c r="B640" s="23">
        <v>45919.0</v>
      </c>
      <c r="C640" s="22" t="s">
        <v>1249</v>
      </c>
      <c r="D640" s="18"/>
      <c r="E640" s="18" t="s">
        <v>184</v>
      </c>
      <c r="F640" s="18" t="str">
        <f>IFERROR(__xludf.DUMMYFUNCTION("if(REGEXMATCH(C640,""x.com"")=TRUE,""Twitter"",if(REGEXMATCH(C640,""facebook"")=TRUE,""Facebook"",if(REGEXMATCH(C640,""instagram"")=TRUE,""Instagram"",if(REGEXMATCH(C640,""youtube"")=TRUE,""Youtube"",if(REGEXMATCH(C640,""tiktok"")=TRUE,""Tiktok"",if(REGEX"&amp;"MATCH(C640,""threads"")=TRUE,""Threads""))))))"),"Tiktok")</f>
        <v>Tiktok</v>
      </c>
      <c r="G640" s="18" t="s">
        <v>1250</v>
      </c>
      <c r="H640" s="18" t="s">
        <v>546</v>
      </c>
      <c r="I640" s="18" t="s">
        <v>535</v>
      </c>
      <c r="J640" s="18" t="s">
        <v>188</v>
      </c>
      <c r="K640" s="18"/>
      <c r="L640" s="15"/>
    </row>
    <row r="641">
      <c r="A641" s="15">
        <v>640.0</v>
      </c>
      <c r="B641" s="23">
        <v>45919.0</v>
      </c>
      <c r="C641" s="22" t="s">
        <v>1251</v>
      </c>
      <c r="D641" s="18"/>
      <c r="E641" s="18" t="s">
        <v>429</v>
      </c>
      <c r="F641" s="18" t="str">
        <f>IFERROR(__xludf.DUMMYFUNCTION("if(REGEXMATCH(C641,""x.com"")=TRUE,""Twitter"",if(REGEXMATCH(C641,""facebook"")=TRUE,""Facebook"",if(REGEXMATCH(C641,""instagram"")=TRUE,""Instagram"",if(REGEXMATCH(C641,""youtube"")=TRUE,""Youtube"",if(REGEXMATCH(C641,""tiktok"")=TRUE,""Tiktok"",if(REGEX"&amp;"MATCH(C641,""threads"")=TRUE,""Threads""))))))"),"Facebook")</f>
        <v>Facebook</v>
      </c>
      <c r="G641" s="18" t="s">
        <v>1252</v>
      </c>
      <c r="H641" s="18" t="s">
        <v>546</v>
      </c>
      <c r="I641" s="18" t="s">
        <v>535</v>
      </c>
      <c r="J641" s="18" t="s">
        <v>188</v>
      </c>
      <c r="K641" s="18"/>
      <c r="L641" s="15"/>
    </row>
    <row r="642">
      <c r="A642" s="15">
        <v>641.0</v>
      </c>
      <c r="B642" s="23">
        <v>45919.0</v>
      </c>
      <c r="C642" s="22" t="s">
        <v>1253</v>
      </c>
      <c r="D642" s="18"/>
      <c r="E642" s="18" t="s">
        <v>184</v>
      </c>
      <c r="F642" s="18" t="str">
        <f>IFERROR(__xludf.DUMMYFUNCTION("if(REGEXMATCH(C642,""x.com"")=TRUE,""Twitter"",if(REGEXMATCH(C642,""facebook"")=TRUE,""Facebook"",if(REGEXMATCH(C642,""instagram"")=TRUE,""Instagram"",if(REGEXMATCH(C642,""youtube"")=TRUE,""Youtube"",if(REGEXMATCH(C642,""tiktok"")=TRUE,""Tiktok"",if(REGEX"&amp;"MATCH(C642,""threads"")=TRUE,""Threads""))))))"),"Facebook")</f>
        <v>Facebook</v>
      </c>
      <c r="G642" s="18" t="s">
        <v>1254</v>
      </c>
      <c r="H642" s="18" t="s">
        <v>546</v>
      </c>
      <c r="I642" s="18" t="s">
        <v>535</v>
      </c>
      <c r="J642" s="18" t="s">
        <v>188</v>
      </c>
      <c r="K642" s="18"/>
      <c r="L642" s="15"/>
    </row>
    <row r="643">
      <c r="A643" s="15">
        <v>642.0</v>
      </c>
      <c r="B643" s="23">
        <v>45919.0</v>
      </c>
      <c r="C643" s="22" t="s">
        <v>1255</v>
      </c>
      <c r="D643" s="18"/>
      <c r="E643" s="18" t="s">
        <v>184</v>
      </c>
      <c r="F643" s="18" t="str">
        <f>IFERROR(__xludf.DUMMYFUNCTION("if(REGEXMATCH(C643,""x.com"")=TRUE,""Twitter"",if(REGEXMATCH(C643,""facebook"")=TRUE,""Facebook"",if(REGEXMATCH(C643,""instagram"")=TRUE,""Instagram"",if(REGEXMATCH(C643,""youtube"")=TRUE,""Youtube"",if(REGEXMATCH(C643,""tiktok"")=TRUE,""Tiktok"",if(REGEX"&amp;"MATCH(C643,""threads"")=TRUE,""Threads""))))))"),"Tiktok")</f>
        <v>Tiktok</v>
      </c>
      <c r="G643" s="18" t="s">
        <v>1256</v>
      </c>
      <c r="H643" s="18" t="s">
        <v>546</v>
      </c>
      <c r="I643" s="18" t="s">
        <v>535</v>
      </c>
      <c r="J643" s="18" t="s">
        <v>188</v>
      </c>
      <c r="K643" s="18"/>
      <c r="L643" s="15"/>
    </row>
    <row r="644">
      <c r="A644" s="15">
        <v>643.0</v>
      </c>
      <c r="B644" s="23">
        <v>45919.0</v>
      </c>
      <c r="C644" s="22" t="s">
        <v>1257</v>
      </c>
      <c r="D644" s="18"/>
      <c r="E644" s="18" t="s">
        <v>184</v>
      </c>
      <c r="F644" s="18" t="str">
        <f>IFERROR(__xludf.DUMMYFUNCTION("if(REGEXMATCH(C644,""x.com"")=TRUE,""Twitter"",if(REGEXMATCH(C644,""facebook"")=TRUE,""Facebook"",if(REGEXMATCH(C644,""instagram"")=TRUE,""Instagram"",if(REGEXMATCH(C644,""youtube"")=TRUE,""Youtube"",if(REGEXMATCH(C644,""tiktok"")=TRUE,""Tiktok"",if(REGEX"&amp;"MATCH(C644,""threads"")=TRUE,""Threads""))))))"),"Twitter")</f>
        <v>Twitter</v>
      </c>
      <c r="G644" s="18" t="s">
        <v>1258</v>
      </c>
      <c r="H644" s="18" t="s">
        <v>546</v>
      </c>
      <c r="I644" s="18" t="s">
        <v>535</v>
      </c>
      <c r="J644" s="18" t="s">
        <v>188</v>
      </c>
      <c r="K644" s="18"/>
      <c r="L644" s="15"/>
    </row>
    <row r="645">
      <c r="A645" s="15">
        <v>644.0</v>
      </c>
      <c r="B645" s="23">
        <v>45919.0</v>
      </c>
      <c r="C645" s="22" t="s">
        <v>1259</v>
      </c>
      <c r="D645" s="18"/>
      <c r="E645" s="18" t="s">
        <v>184</v>
      </c>
      <c r="F645" s="18" t="str">
        <f>IFERROR(__xludf.DUMMYFUNCTION("if(REGEXMATCH(C645,""x.com"")=TRUE,""Twitter"",if(REGEXMATCH(C645,""facebook"")=TRUE,""Facebook"",if(REGEXMATCH(C645,""instagram"")=TRUE,""Instagram"",if(REGEXMATCH(C645,""youtube"")=TRUE,""Youtube"",if(REGEXMATCH(C645,""tiktok"")=TRUE,""Tiktok"",if(REGEX"&amp;"MATCH(C645,""threads"")=TRUE,""Threads""))))))"),"Twitter")</f>
        <v>Twitter</v>
      </c>
      <c r="G645" s="18" t="s">
        <v>1260</v>
      </c>
      <c r="H645" s="18" t="s">
        <v>546</v>
      </c>
      <c r="I645" s="18" t="s">
        <v>535</v>
      </c>
      <c r="J645" s="18" t="s">
        <v>188</v>
      </c>
      <c r="K645" s="18"/>
      <c r="L645" s="15"/>
    </row>
    <row r="646">
      <c r="A646" s="15">
        <v>645.0</v>
      </c>
      <c r="B646" s="23">
        <v>45919.0</v>
      </c>
      <c r="C646" s="22" t="s">
        <v>1261</v>
      </c>
      <c r="D646" s="18"/>
      <c r="E646" s="18" t="s">
        <v>184</v>
      </c>
      <c r="F646" s="18" t="str">
        <f>IFERROR(__xludf.DUMMYFUNCTION("if(REGEXMATCH(C646,""x.com"")=TRUE,""Twitter"",if(REGEXMATCH(C646,""facebook"")=TRUE,""Facebook"",if(REGEXMATCH(C646,""instagram"")=TRUE,""Instagram"",if(REGEXMATCH(C646,""youtube"")=TRUE,""Youtube"",if(REGEXMATCH(C646,""tiktok"")=TRUE,""Tiktok"",if(REGEX"&amp;"MATCH(C646,""threads"")=TRUE,""Threads""))))))"),"Twitter")</f>
        <v>Twitter</v>
      </c>
      <c r="G646" s="18" t="s">
        <v>1262</v>
      </c>
      <c r="H646" s="18" t="s">
        <v>546</v>
      </c>
      <c r="I646" s="18" t="s">
        <v>535</v>
      </c>
      <c r="J646" s="18" t="s">
        <v>188</v>
      </c>
      <c r="K646" s="18"/>
      <c r="L646" s="15"/>
    </row>
    <row r="647">
      <c r="A647" s="15">
        <v>646.0</v>
      </c>
      <c r="B647" s="23">
        <v>45919.0</v>
      </c>
      <c r="C647" s="22" t="s">
        <v>1263</v>
      </c>
      <c r="D647" s="18"/>
      <c r="E647" s="18" t="s">
        <v>184</v>
      </c>
      <c r="F647" s="18" t="str">
        <f>IFERROR(__xludf.DUMMYFUNCTION("if(REGEXMATCH(C647,""x.com"")=TRUE,""Twitter"",if(REGEXMATCH(C647,""facebook"")=TRUE,""Facebook"",if(REGEXMATCH(C647,""instagram"")=TRUE,""Instagram"",if(REGEXMATCH(C647,""youtube"")=TRUE,""Youtube"",if(REGEXMATCH(C647,""tiktok"")=TRUE,""Tiktok"",if(REGEX"&amp;"MATCH(C647,""threads"")=TRUE,""Threads""))))))"),"Twitter")</f>
        <v>Twitter</v>
      </c>
      <c r="G647" s="18" t="s">
        <v>1264</v>
      </c>
      <c r="H647" s="18" t="s">
        <v>546</v>
      </c>
      <c r="I647" s="18" t="s">
        <v>535</v>
      </c>
      <c r="J647" s="18" t="s">
        <v>188</v>
      </c>
      <c r="K647" s="18"/>
      <c r="L647" s="15"/>
    </row>
    <row r="648">
      <c r="A648" s="15">
        <v>647.0</v>
      </c>
      <c r="B648" s="23">
        <v>45919.0</v>
      </c>
      <c r="C648" s="22" t="s">
        <v>1265</v>
      </c>
      <c r="D648" s="18"/>
      <c r="E648" s="18" t="s">
        <v>184</v>
      </c>
      <c r="F648" s="18" t="str">
        <f>IFERROR(__xludf.DUMMYFUNCTION("if(REGEXMATCH(C648,""x.com"")=TRUE,""Twitter"",if(REGEXMATCH(C648,""facebook"")=TRUE,""Facebook"",if(REGEXMATCH(C648,""instagram"")=TRUE,""Instagram"",if(REGEXMATCH(C648,""youtube"")=TRUE,""Youtube"",if(REGEXMATCH(C648,""tiktok"")=TRUE,""Tiktok"",if(REGEX"&amp;"MATCH(C648,""threads"")=TRUE,""Threads""))))))"),"Twitter")</f>
        <v>Twitter</v>
      </c>
      <c r="G648" s="18" t="s">
        <v>1266</v>
      </c>
      <c r="H648" s="18" t="s">
        <v>546</v>
      </c>
      <c r="I648" s="18" t="s">
        <v>535</v>
      </c>
      <c r="J648" s="18" t="s">
        <v>188</v>
      </c>
      <c r="K648" s="18"/>
      <c r="L648" s="15"/>
    </row>
    <row r="649">
      <c r="A649" s="15">
        <v>648.0</v>
      </c>
      <c r="B649" s="23">
        <v>45919.0</v>
      </c>
      <c r="C649" s="22" t="s">
        <v>1267</v>
      </c>
      <c r="D649" s="18"/>
      <c r="E649" s="18" t="s">
        <v>184</v>
      </c>
      <c r="F649" s="18" t="str">
        <f>IFERROR(__xludf.DUMMYFUNCTION("if(REGEXMATCH(C649,""x.com"")=TRUE,""Twitter"",if(REGEXMATCH(C649,""facebook"")=TRUE,""Facebook"",if(REGEXMATCH(C649,""instagram"")=TRUE,""Instagram"",if(REGEXMATCH(C649,""youtube"")=TRUE,""Youtube"",if(REGEXMATCH(C649,""tiktok"")=TRUE,""Tiktok"",if(REGEX"&amp;"MATCH(C649,""threads"")=TRUE,""Threads""))))))"),"Tiktok")</f>
        <v>Tiktok</v>
      </c>
      <c r="G649" s="18" t="s">
        <v>1268</v>
      </c>
      <c r="H649" s="18" t="s">
        <v>546</v>
      </c>
      <c r="I649" s="18" t="s">
        <v>535</v>
      </c>
      <c r="J649" s="18" t="s">
        <v>188</v>
      </c>
      <c r="K649" s="18"/>
      <c r="L649" s="15"/>
    </row>
    <row r="650">
      <c r="A650" s="15">
        <v>649.0</v>
      </c>
      <c r="B650" s="23">
        <v>45919.0</v>
      </c>
      <c r="C650" s="25" t="s">
        <v>1269</v>
      </c>
      <c r="D650" s="18"/>
      <c r="E650" s="18" t="s">
        <v>1270</v>
      </c>
      <c r="F650" s="18" t="str">
        <f>IFERROR(__xludf.DUMMYFUNCTION("if(REGEXMATCH(C650,""x.com"")=TRUE,""Twitter"",if(REGEXMATCH(C650,""facebook"")=TRUE,""Facebook"",if(REGEXMATCH(C650,""instagram"")=TRUE,""Instagram"",if(REGEXMATCH(C650,""youtube"")=TRUE,""Youtube"",if(REGEXMATCH(C650,""tiktok"")=TRUE,""Tiktok"",if(REGEX"&amp;"MATCH(C650,""threads"")=TRUE,""Threads""))))))"),"Instagram")</f>
        <v>Instagram</v>
      </c>
      <c r="G650" s="18" t="s">
        <v>1271</v>
      </c>
      <c r="H650" s="18" t="s">
        <v>472</v>
      </c>
      <c r="I650" s="18" t="s">
        <v>1272</v>
      </c>
      <c r="J650" s="18" t="s">
        <v>188</v>
      </c>
      <c r="K650" s="18"/>
      <c r="L650" s="15"/>
    </row>
    <row r="651">
      <c r="A651" s="15">
        <v>650.0</v>
      </c>
      <c r="B651" s="23">
        <v>45919.0</v>
      </c>
      <c r="C651" s="22" t="s">
        <v>1273</v>
      </c>
      <c r="D651" s="18"/>
      <c r="E651" s="18" t="s">
        <v>184</v>
      </c>
      <c r="F651" s="18" t="str">
        <f>IFERROR(__xludf.DUMMYFUNCTION("if(REGEXMATCH(C651,""x.com"")=TRUE,""Twitter"",if(REGEXMATCH(C651,""facebook"")=TRUE,""Facebook"",if(REGEXMATCH(C651,""instagram"")=TRUE,""Instagram"",if(REGEXMATCH(C651,""youtube"")=TRUE,""Youtube"",if(REGEXMATCH(C651,""tiktok"")=TRUE,""Tiktok"",if(REGEX"&amp;"MATCH(C651,""threads"")=TRUE,""Threads""))))))"),"Instagram")</f>
        <v>Instagram</v>
      </c>
      <c r="G651" s="18" t="s">
        <v>1274</v>
      </c>
      <c r="H651" s="18" t="s">
        <v>410</v>
      </c>
      <c r="I651" s="18"/>
      <c r="J651" s="18" t="s">
        <v>188</v>
      </c>
      <c r="K651" s="18"/>
      <c r="L651" s="15"/>
    </row>
    <row r="652">
      <c r="A652" s="15">
        <v>651.0</v>
      </c>
      <c r="B652" s="23">
        <v>45919.0</v>
      </c>
      <c r="C652" s="22" t="s">
        <v>1275</v>
      </c>
      <c r="D652" s="18"/>
      <c r="E652" s="18" t="s">
        <v>184</v>
      </c>
      <c r="F652" s="18" t="str">
        <f>IFERROR(__xludf.DUMMYFUNCTION("if(REGEXMATCH(C652,""x.com"")=TRUE,""Twitter"",if(REGEXMATCH(C652,""facebook"")=TRUE,""Facebook"",if(REGEXMATCH(C652,""instagram"")=TRUE,""Instagram"",if(REGEXMATCH(C652,""youtube"")=TRUE,""Youtube"",if(REGEXMATCH(C652,""tiktok"")=TRUE,""Tiktok"",if(REGEX"&amp;"MATCH(C652,""threads"")=TRUE,""Threads""))))))"),"Instagram")</f>
        <v>Instagram</v>
      </c>
      <c r="G652" s="18" t="s">
        <v>1274</v>
      </c>
      <c r="H652" s="18" t="s">
        <v>410</v>
      </c>
      <c r="I652" s="18"/>
      <c r="J652" s="18" t="s">
        <v>188</v>
      </c>
      <c r="K652" s="18"/>
      <c r="L652" s="15"/>
    </row>
    <row r="653">
      <c r="A653" s="15">
        <v>652.0</v>
      </c>
      <c r="B653" s="23">
        <v>45919.0</v>
      </c>
      <c r="C653" s="22" t="s">
        <v>1276</v>
      </c>
      <c r="D653" s="18"/>
      <c r="E653" s="18" t="s">
        <v>184</v>
      </c>
      <c r="F653" s="18" t="str">
        <f>IFERROR(__xludf.DUMMYFUNCTION("if(REGEXMATCH(C653,""x.com"")=TRUE,""Twitter"",if(REGEXMATCH(C653,""facebook"")=TRUE,""Facebook"",if(REGEXMATCH(C653,""instagram"")=TRUE,""Instagram"",if(REGEXMATCH(C653,""youtube"")=TRUE,""Youtube"",if(REGEXMATCH(C653,""tiktok"")=TRUE,""Tiktok"",if(REGEX"&amp;"MATCH(C653,""threads"")=TRUE,""Threads""))))))"),"Facebook")</f>
        <v>Facebook</v>
      </c>
      <c r="G653" s="18" t="s">
        <v>1277</v>
      </c>
      <c r="H653" s="18" t="s">
        <v>410</v>
      </c>
      <c r="I653" s="18"/>
      <c r="J653" s="18" t="s">
        <v>188</v>
      </c>
      <c r="K653" s="18"/>
      <c r="L653" s="15"/>
    </row>
    <row r="654">
      <c r="A654" s="15">
        <v>653.0</v>
      </c>
      <c r="B654" s="23">
        <v>45919.0</v>
      </c>
      <c r="C654" s="22" t="s">
        <v>1278</v>
      </c>
      <c r="D654" s="18"/>
      <c r="E654" s="18" t="s">
        <v>184</v>
      </c>
      <c r="F654" s="18" t="str">
        <f>IFERROR(__xludf.DUMMYFUNCTION("if(REGEXMATCH(C654,""x.com"")=TRUE,""Twitter"",if(REGEXMATCH(C654,""facebook"")=TRUE,""Facebook"",if(REGEXMATCH(C654,""instagram"")=TRUE,""Instagram"",if(REGEXMATCH(C654,""youtube"")=TRUE,""Youtube"",if(REGEXMATCH(C654,""tiktok"")=TRUE,""Tiktok"",if(REGEX"&amp;"MATCH(C654,""threads"")=TRUE,""Threads""))))))"),"Facebook")</f>
        <v>Facebook</v>
      </c>
      <c r="G654" s="18" t="s">
        <v>1277</v>
      </c>
      <c r="H654" s="18" t="s">
        <v>410</v>
      </c>
      <c r="I654" s="18"/>
      <c r="J654" s="18" t="s">
        <v>188</v>
      </c>
      <c r="K654" s="18"/>
      <c r="L654" s="15"/>
    </row>
    <row r="655">
      <c r="A655" s="15">
        <v>654.0</v>
      </c>
      <c r="B655" s="23">
        <v>45920.0</v>
      </c>
      <c r="C655" s="22" t="s">
        <v>1279</v>
      </c>
      <c r="D655" s="18"/>
      <c r="E655" s="18" t="s">
        <v>1280</v>
      </c>
      <c r="F655" s="18" t="str">
        <f>IFERROR(__xludf.DUMMYFUNCTION("if(REGEXMATCH(C655,""x.com"")=TRUE,""Twitter"",if(REGEXMATCH(C655,""facebook"")=TRUE,""Facebook"",if(REGEXMATCH(C655,""instagram"")=TRUE,""Instagram"",if(REGEXMATCH(C655,""youtube"")=TRUE,""Youtube"",if(REGEXMATCH(C655,""tiktok"")=TRUE,""Tiktok"",if(REGEX"&amp;"MATCH(C655,""threads"")=TRUE,""Threads""))))))"),"Facebook")</f>
        <v>Facebook</v>
      </c>
      <c r="G655" s="18" t="s">
        <v>1281</v>
      </c>
      <c r="H655" s="18" t="s">
        <v>546</v>
      </c>
      <c r="I655" s="18" t="s">
        <v>535</v>
      </c>
      <c r="J655" s="18" t="s">
        <v>188</v>
      </c>
      <c r="K655" s="18"/>
      <c r="L655" s="15"/>
    </row>
    <row r="656">
      <c r="A656" s="15">
        <v>655.0</v>
      </c>
      <c r="B656" s="23">
        <v>45920.0</v>
      </c>
      <c r="C656" s="22" t="s">
        <v>1282</v>
      </c>
      <c r="D656" s="18"/>
      <c r="E656" s="18" t="s">
        <v>1280</v>
      </c>
      <c r="F656" s="18" t="str">
        <f>IFERROR(__xludf.DUMMYFUNCTION("if(REGEXMATCH(C656,""x.com"")=TRUE,""Twitter"",if(REGEXMATCH(C656,""facebook"")=TRUE,""Facebook"",if(REGEXMATCH(C656,""instagram"")=TRUE,""Instagram"",if(REGEXMATCH(C656,""youtube"")=TRUE,""Youtube"",if(REGEXMATCH(C656,""tiktok"")=TRUE,""Tiktok"",if(REGEX"&amp;"MATCH(C656,""threads"")=TRUE,""Threads""))))))"),"Facebook")</f>
        <v>Facebook</v>
      </c>
      <c r="G656" s="18" t="s">
        <v>1237</v>
      </c>
      <c r="H656" s="18" t="s">
        <v>546</v>
      </c>
      <c r="I656" s="18" t="s">
        <v>535</v>
      </c>
      <c r="J656" s="18" t="s">
        <v>188</v>
      </c>
      <c r="K656" s="18"/>
      <c r="L656" s="15"/>
    </row>
    <row r="657">
      <c r="A657" s="15">
        <v>656.0</v>
      </c>
      <c r="B657" s="23">
        <v>45920.0</v>
      </c>
      <c r="C657" s="22" t="s">
        <v>1283</v>
      </c>
      <c r="D657" s="18"/>
      <c r="E657" s="18" t="s">
        <v>1284</v>
      </c>
      <c r="F657" s="18" t="str">
        <f>IFERROR(__xludf.DUMMYFUNCTION("if(REGEXMATCH(C657,""x.com"")=TRUE,""Twitter"",if(REGEXMATCH(C657,""facebook"")=TRUE,""Facebook"",if(REGEXMATCH(C657,""instagram"")=TRUE,""Instagram"",if(REGEXMATCH(C657,""youtube"")=TRUE,""Youtube"",if(REGEXMATCH(C657,""tiktok"")=TRUE,""Tiktok"",if(REGEX"&amp;"MATCH(C657,""threads"")=TRUE,""Threads""))))))"),"Facebook")</f>
        <v>Facebook</v>
      </c>
      <c r="G657" s="18" t="s">
        <v>1285</v>
      </c>
      <c r="H657" s="18" t="s">
        <v>546</v>
      </c>
      <c r="I657" s="18" t="s">
        <v>535</v>
      </c>
      <c r="J657" s="18" t="s">
        <v>188</v>
      </c>
      <c r="K657" s="18"/>
      <c r="L657" s="15"/>
    </row>
    <row r="658">
      <c r="A658" s="15">
        <v>657.0</v>
      </c>
      <c r="B658" s="23">
        <v>45920.0</v>
      </c>
      <c r="C658" s="22" t="s">
        <v>1286</v>
      </c>
      <c r="D658" s="18"/>
      <c r="E658" s="18" t="s">
        <v>854</v>
      </c>
      <c r="F658" s="18" t="str">
        <f>IFERROR(__xludf.DUMMYFUNCTION("if(REGEXMATCH(C658,""x.com"")=TRUE,""Twitter"",if(REGEXMATCH(C658,""facebook"")=TRUE,""Facebook"",if(REGEXMATCH(C658,""instagram"")=TRUE,""Instagram"",if(REGEXMATCH(C658,""youtube"")=TRUE,""Youtube"",if(REGEXMATCH(C658,""tiktok"")=TRUE,""Tiktok"",if(REGEX"&amp;"MATCH(C658,""threads"")=TRUE,""Threads""))))))"),"Facebook")</f>
        <v>Facebook</v>
      </c>
      <c r="G658" s="18" t="s">
        <v>1287</v>
      </c>
      <c r="H658" s="18" t="s">
        <v>546</v>
      </c>
      <c r="I658" s="18" t="s">
        <v>535</v>
      </c>
      <c r="J658" s="18" t="s">
        <v>188</v>
      </c>
      <c r="K658" s="18"/>
      <c r="L658" s="15"/>
    </row>
    <row r="659">
      <c r="A659" s="15">
        <v>658.0</v>
      </c>
      <c r="B659" s="23">
        <v>45920.0</v>
      </c>
      <c r="C659" s="22" t="s">
        <v>1288</v>
      </c>
      <c r="D659" s="18"/>
      <c r="E659" s="18" t="s">
        <v>854</v>
      </c>
      <c r="F659" s="18" t="str">
        <f>IFERROR(__xludf.DUMMYFUNCTION("if(REGEXMATCH(C659,""x.com"")=TRUE,""Twitter"",if(REGEXMATCH(C659,""facebook"")=TRUE,""Facebook"",if(REGEXMATCH(C659,""instagram"")=TRUE,""Instagram"",if(REGEXMATCH(C659,""youtube"")=TRUE,""Youtube"",if(REGEXMATCH(C659,""tiktok"")=TRUE,""Tiktok"",if(REGEX"&amp;"MATCH(C659,""threads"")=TRUE,""Threads""))))))"),"Facebook")</f>
        <v>Facebook</v>
      </c>
      <c r="G659" s="18" t="s">
        <v>1287</v>
      </c>
      <c r="H659" s="18" t="s">
        <v>546</v>
      </c>
      <c r="I659" s="18" t="s">
        <v>535</v>
      </c>
      <c r="J659" s="18" t="s">
        <v>188</v>
      </c>
      <c r="K659" s="18"/>
      <c r="L659" s="15"/>
    </row>
    <row r="660">
      <c r="A660" s="15">
        <v>659.0</v>
      </c>
      <c r="B660" s="23">
        <v>45920.0</v>
      </c>
      <c r="C660" s="22" t="s">
        <v>1289</v>
      </c>
      <c r="D660" s="18"/>
      <c r="E660" s="18" t="s">
        <v>854</v>
      </c>
      <c r="F660" s="18" t="str">
        <f>IFERROR(__xludf.DUMMYFUNCTION("if(REGEXMATCH(C660,""x.com"")=TRUE,""Twitter"",if(REGEXMATCH(C660,""facebook"")=TRUE,""Facebook"",if(REGEXMATCH(C660,""instagram"")=TRUE,""Instagram"",if(REGEXMATCH(C660,""youtube"")=TRUE,""Youtube"",if(REGEXMATCH(C660,""tiktok"")=TRUE,""Tiktok"",if(REGEX"&amp;"MATCH(C660,""threads"")=TRUE,""Threads""))))))"),"Facebook")</f>
        <v>Facebook</v>
      </c>
      <c r="G660" s="18" t="s">
        <v>1290</v>
      </c>
      <c r="H660" s="18" t="s">
        <v>546</v>
      </c>
      <c r="I660" s="18" t="s">
        <v>535</v>
      </c>
      <c r="J660" s="18" t="s">
        <v>188</v>
      </c>
      <c r="K660" s="18"/>
      <c r="L660" s="15"/>
    </row>
    <row r="661">
      <c r="A661" s="15">
        <v>660.0</v>
      </c>
      <c r="B661" s="23">
        <v>45920.0</v>
      </c>
      <c r="C661" s="22" t="s">
        <v>1291</v>
      </c>
      <c r="D661" s="18"/>
      <c r="E661" s="18" t="s">
        <v>854</v>
      </c>
      <c r="F661" s="18" t="str">
        <f>IFERROR(__xludf.DUMMYFUNCTION("if(REGEXMATCH(C661,""x.com"")=TRUE,""Twitter"",if(REGEXMATCH(C661,""facebook"")=TRUE,""Facebook"",if(REGEXMATCH(C661,""instagram"")=TRUE,""Instagram"",if(REGEXMATCH(C661,""youtube"")=TRUE,""Youtube"",if(REGEXMATCH(C661,""tiktok"")=TRUE,""Tiktok"",if(REGEX"&amp;"MATCH(C661,""threads"")=TRUE,""Threads""))))))"),"Facebook")</f>
        <v>Facebook</v>
      </c>
      <c r="G661" s="18" t="s">
        <v>1292</v>
      </c>
      <c r="H661" s="18" t="s">
        <v>546</v>
      </c>
      <c r="I661" s="18" t="s">
        <v>535</v>
      </c>
      <c r="J661" s="18" t="s">
        <v>188</v>
      </c>
      <c r="K661" s="18"/>
      <c r="L661" s="15"/>
    </row>
    <row r="662">
      <c r="A662" s="15">
        <v>661.0</v>
      </c>
      <c r="B662" s="23">
        <v>45920.0</v>
      </c>
      <c r="C662" s="22" t="s">
        <v>1293</v>
      </c>
      <c r="D662" s="18"/>
      <c r="E662" s="18" t="s">
        <v>184</v>
      </c>
      <c r="F662" s="18" t="str">
        <f>IFERROR(__xludf.DUMMYFUNCTION("if(REGEXMATCH(C662,""x.com"")=TRUE,""Twitter"",if(REGEXMATCH(C662,""facebook"")=TRUE,""Facebook"",if(REGEXMATCH(C662,""instagram"")=TRUE,""Instagram"",if(REGEXMATCH(C662,""youtube"")=TRUE,""Youtube"",if(REGEXMATCH(C662,""tiktok"")=TRUE,""Tiktok"",if(REGEX"&amp;"MATCH(C662,""threads"")=TRUE,""Threads""))))))"),"Tiktok")</f>
        <v>Tiktok</v>
      </c>
      <c r="G662" s="18" t="s">
        <v>1294</v>
      </c>
      <c r="H662" s="18" t="s">
        <v>546</v>
      </c>
      <c r="I662" s="18" t="s">
        <v>535</v>
      </c>
      <c r="J662" s="18" t="s">
        <v>188</v>
      </c>
      <c r="K662" s="18"/>
      <c r="L662" s="15"/>
    </row>
    <row r="663">
      <c r="A663" s="15">
        <v>662.0</v>
      </c>
      <c r="B663" s="23">
        <v>45920.0</v>
      </c>
      <c r="C663" s="22" t="s">
        <v>1295</v>
      </c>
      <c r="D663" s="18"/>
      <c r="E663" s="18" t="s">
        <v>184</v>
      </c>
      <c r="F663" s="18" t="str">
        <f>IFERROR(__xludf.DUMMYFUNCTION("if(REGEXMATCH(C663,""x.com"")=TRUE,""Twitter"",if(REGEXMATCH(C663,""facebook"")=TRUE,""Facebook"",if(REGEXMATCH(C663,""instagram"")=TRUE,""Instagram"",if(REGEXMATCH(C663,""youtube"")=TRUE,""Youtube"",if(REGEXMATCH(C663,""tiktok"")=TRUE,""Tiktok"",if(REGEX"&amp;"MATCH(C663,""threads"")=TRUE,""Threads""))))))"),"Tiktok")</f>
        <v>Tiktok</v>
      </c>
      <c r="G663" s="18" t="s">
        <v>1296</v>
      </c>
      <c r="H663" s="18" t="s">
        <v>546</v>
      </c>
      <c r="I663" s="18" t="s">
        <v>535</v>
      </c>
      <c r="J663" s="18" t="s">
        <v>188</v>
      </c>
      <c r="K663" s="18"/>
      <c r="L663" s="15"/>
    </row>
    <row r="664">
      <c r="A664" s="15">
        <v>663.0</v>
      </c>
      <c r="B664" s="23">
        <v>45920.0</v>
      </c>
      <c r="C664" s="22" t="s">
        <v>1297</v>
      </c>
      <c r="D664" s="18"/>
      <c r="E664" s="18" t="s">
        <v>184</v>
      </c>
      <c r="F664" s="18" t="str">
        <f>IFERROR(__xludf.DUMMYFUNCTION("if(REGEXMATCH(C664,""x.com"")=TRUE,""Twitter"",if(REGEXMATCH(C664,""facebook"")=TRUE,""Facebook"",if(REGEXMATCH(C664,""instagram"")=TRUE,""Instagram"",if(REGEXMATCH(C664,""youtube"")=TRUE,""Youtube"",if(REGEXMATCH(C664,""tiktok"")=TRUE,""Tiktok"",if(REGEX"&amp;"MATCH(C664,""threads"")=TRUE,""Threads""))))))"),"Instagram")</f>
        <v>Instagram</v>
      </c>
      <c r="G664" s="18" t="s">
        <v>1298</v>
      </c>
      <c r="H664" s="18" t="s">
        <v>546</v>
      </c>
      <c r="I664" s="18" t="s">
        <v>535</v>
      </c>
      <c r="J664" s="18" t="s">
        <v>188</v>
      </c>
      <c r="K664" s="18"/>
      <c r="L664" s="15"/>
    </row>
    <row r="665">
      <c r="A665" s="15">
        <v>664.0</v>
      </c>
      <c r="B665" s="23">
        <v>45920.0</v>
      </c>
      <c r="C665" s="22" t="s">
        <v>1299</v>
      </c>
      <c r="D665" s="18"/>
      <c r="E665" s="18" t="s">
        <v>184</v>
      </c>
      <c r="F665" s="18" t="str">
        <f>IFERROR(__xludf.DUMMYFUNCTION("if(REGEXMATCH(C665,""x.com"")=TRUE,""Twitter"",if(REGEXMATCH(C665,""facebook"")=TRUE,""Facebook"",if(REGEXMATCH(C665,""instagram"")=TRUE,""Instagram"",if(REGEXMATCH(C665,""youtube"")=TRUE,""Youtube"",if(REGEXMATCH(C665,""tiktok"")=TRUE,""Tiktok"",if(REGEX"&amp;"MATCH(C665,""threads"")=TRUE,""Threads""))))))"),"Instagram")</f>
        <v>Instagram</v>
      </c>
      <c r="G665" s="18" t="s">
        <v>1298</v>
      </c>
      <c r="H665" s="18" t="s">
        <v>546</v>
      </c>
      <c r="I665" s="18" t="s">
        <v>535</v>
      </c>
      <c r="J665" s="18" t="s">
        <v>188</v>
      </c>
      <c r="K665" s="18"/>
      <c r="L665" s="15"/>
    </row>
    <row r="666">
      <c r="A666" s="15">
        <v>665.0</v>
      </c>
      <c r="B666" s="23">
        <v>45920.0</v>
      </c>
      <c r="C666" s="22" t="s">
        <v>1300</v>
      </c>
      <c r="D666" s="18"/>
      <c r="E666" s="18" t="s">
        <v>184</v>
      </c>
      <c r="F666" s="18" t="str">
        <f>IFERROR(__xludf.DUMMYFUNCTION("if(REGEXMATCH(C666,""x.com"")=TRUE,""Twitter"",if(REGEXMATCH(C666,""facebook"")=TRUE,""Facebook"",if(REGEXMATCH(C666,""instagram"")=TRUE,""Instagram"",if(REGEXMATCH(C666,""youtube"")=TRUE,""Youtube"",if(REGEXMATCH(C666,""tiktok"")=TRUE,""Tiktok"",if(REGEX"&amp;"MATCH(C666,""threads"")=TRUE,""Threads""))))))"),"Instagram")</f>
        <v>Instagram</v>
      </c>
      <c r="G666" s="18" t="s">
        <v>1301</v>
      </c>
      <c r="H666" s="18" t="s">
        <v>546</v>
      </c>
      <c r="I666" s="18" t="s">
        <v>535</v>
      </c>
      <c r="J666" s="18" t="s">
        <v>188</v>
      </c>
      <c r="K666" s="18"/>
      <c r="L666" s="15"/>
    </row>
    <row r="667">
      <c r="A667" s="15">
        <v>666.0</v>
      </c>
      <c r="B667" s="23">
        <v>45920.0</v>
      </c>
      <c r="C667" s="22" t="s">
        <v>1302</v>
      </c>
      <c r="D667" s="18"/>
      <c r="E667" s="18" t="s">
        <v>184</v>
      </c>
      <c r="F667" s="18" t="str">
        <f>IFERROR(__xludf.DUMMYFUNCTION("if(REGEXMATCH(C667,""x.com"")=TRUE,""Twitter"",if(REGEXMATCH(C667,""facebook"")=TRUE,""Facebook"",if(REGEXMATCH(C667,""instagram"")=TRUE,""Instagram"",if(REGEXMATCH(C667,""youtube"")=TRUE,""Youtube"",if(REGEXMATCH(C667,""tiktok"")=TRUE,""Tiktok"",if(REGEX"&amp;"MATCH(C667,""threads"")=TRUE,""Threads""))))))"),"Instagram")</f>
        <v>Instagram</v>
      </c>
      <c r="G667" s="18" t="s">
        <v>1298</v>
      </c>
      <c r="H667" s="18" t="s">
        <v>546</v>
      </c>
      <c r="I667" s="18" t="s">
        <v>535</v>
      </c>
      <c r="J667" s="18" t="s">
        <v>188</v>
      </c>
      <c r="K667" s="18"/>
      <c r="L667" s="15"/>
    </row>
    <row r="668">
      <c r="A668" s="15">
        <v>667.0</v>
      </c>
      <c r="B668" s="23">
        <v>45920.0</v>
      </c>
      <c r="C668" s="22" t="s">
        <v>1303</v>
      </c>
      <c r="D668" s="18"/>
      <c r="E668" s="18" t="s">
        <v>184</v>
      </c>
      <c r="F668" s="18" t="str">
        <f>IFERROR(__xludf.DUMMYFUNCTION("if(REGEXMATCH(C668,""x.com"")=TRUE,""Twitter"",if(REGEXMATCH(C668,""facebook"")=TRUE,""Facebook"",if(REGEXMATCH(C668,""instagram"")=TRUE,""Instagram"",if(REGEXMATCH(C668,""youtube"")=TRUE,""Youtube"",if(REGEXMATCH(C668,""tiktok"")=TRUE,""Tiktok"",if(REGEX"&amp;"MATCH(C668,""threads"")=TRUE,""Threads""))))))"),"Tiktok")</f>
        <v>Tiktok</v>
      </c>
      <c r="G668" s="18" t="s">
        <v>1304</v>
      </c>
      <c r="H668" s="18" t="s">
        <v>546</v>
      </c>
      <c r="I668" s="18" t="s">
        <v>535</v>
      </c>
      <c r="J668" s="18" t="s">
        <v>188</v>
      </c>
      <c r="K668" s="18"/>
      <c r="L668" s="15"/>
    </row>
    <row r="669">
      <c r="A669" s="15">
        <v>668.0</v>
      </c>
      <c r="B669" s="23">
        <v>45920.0</v>
      </c>
      <c r="C669" s="22" t="s">
        <v>1305</v>
      </c>
      <c r="D669" s="18"/>
      <c r="E669" s="18" t="s">
        <v>184</v>
      </c>
      <c r="F669" s="18" t="str">
        <f>IFERROR(__xludf.DUMMYFUNCTION("if(REGEXMATCH(C669,""x.com"")=TRUE,""Twitter"",if(REGEXMATCH(C669,""facebook"")=TRUE,""Facebook"",if(REGEXMATCH(C669,""instagram"")=TRUE,""Instagram"",if(REGEXMATCH(C669,""youtube"")=TRUE,""Youtube"",if(REGEXMATCH(C669,""tiktok"")=TRUE,""Tiktok"",if(REGEX"&amp;"MATCH(C669,""threads"")=TRUE,""Threads""))))))"),"Tiktok")</f>
        <v>Tiktok</v>
      </c>
      <c r="G669" s="18" t="s">
        <v>1306</v>
      </c>
      <c r="H669" s="18" t="s">
        <v>546</v>
      </c>
      <c r="I669" s="18" t="s">
        <v>535</v>
      </c>
      <c r="J669" s="18" t="s">
        <v>188</v>
      </c>
      <c r="K669" s="18"/>
      <c r="L669" s="15"/>
    </row>
    <row r="670">
      <c r="A670" s="15">
        <v>669.0</v>
      </c>
      <c r="B670" s="23">
        <v>45920.0</v>
      </c>
      <c r="C670" s="22" t="s">
        <v>1307</v>
      </c>
      <c r="D670" s="18"/>
      <c r="E670" s="18" t="s">
        <v>184</v>
      </c>
      <c r="F670" s="18" t="str">
        <f>IFERROR(__xludf.DUMMYFUNCTION("if(REGEXMATCH(C670,""x.com"")=TRUE,""Twitter"",if(REGEXMATCH(C670,""facebook"")=TRUE,""Facebook"",if(REGEXMATCH(C670,""instagram"")=TRUE,""Instagram"",if(REGEXMATCH(C670,""youtube"")=TRUE,""Youtube"",if(REGEXMATCH(C670,""tiktok"")=TRUE,""Tiktok"",if(REGEX"&amp;"MATCH(C670,""threads"")=TRUE,""Threads""))))))"),"Tiktok")</f>
        <v>Tiktok</v>
      </c>
      <c r="G670" s="18" t="s">
        <v>1308</v>
      </c>
      <c r="H670" s="18" t="s">
        <v>546</v>
      </c>
      <c r="I670" s="18" t="s">
        <v>535</v>
      </c>
      <c r="J670" s="18" t="s">
        <v>188</v>
      </c>
      <c r="K670" s="18"/>
      <c r="L670" s="15"/>
    </row>
    <row r="671">
      <c r="A671" s="15">
        <v>670.0</v>
      </c>
      <c r="B671" s="23">
        <v>45920.0</v>
      </c>
      <c r="C671" s="22" t="s">
        <v>1309</v>
      </c>
      <c r="D671" s="18"/>
      <c r="E671" s="18" t="s">
        <v>184</v>
      </c>
      <c r="F671" s="18" t="str">
        <f>IFERROR(__xludf.DUMMYFUNCTION("if(REGEXMATCH(C671,""x.com"")=TRUE,""Twitter"",if(REGEXMATCH(C671,""facebook"")=TRUE,""Facebook"",if(REGEXMATCH(C671,""instagram"")=TRUE,""Instagram"",if(REGEXMATCH(C671,""youtube"")=TRUE,""Youtube"",if(REGEXMATCH(C671,""tiktok"")=TRUE,""Tiktok"",if(REGEX"&amp;"MATCH(C671,""threads"")=TRUE,""Threads""))))))"),"Tiktok")</f>
        <v>Tiktok</v>
      </c>
      <c r="G671" s="18" t="s">
        <v>1310</v>
      </c>
      <c r="H671" s="18" t="s">
        <v>546</v>
      </c>
      <c r="I671" s="18" t="s">
        <v>535</v>
      </c>
      <c r="J671" s="18" t="s">
        <v>188</v>
      </c>
      <c r="K671" s="18"/>
      <c r="L671" s="15"/>
    </row>
    <row r="672">
      <c r="A672" s="15">
        <v>671.0</v>
      </c>
      <c r="B672" s="23">
        <v>45920.0</v>
      </c>
      <c r="C672" s="22" t="s">
        <v>1311</v>
      </c>
      <c r="D672" s="18"/>
      <c r="E672" s="18" t="s">
        <v>184</v>
      </c>
      <c r="F672" s="18" t="str">
        <f>IFERROR(__xludf.DUMMYFUNCTION("if(REGEXMATCH(C672,""x.com"")=TRUE,""Twitter"",if(REGEXMATCH(C672,""facebook"")=TRUE,""Facebook"",if(REGEXMATCH(C672,""instagram"")=TRUE,""Instagram"",if(REGEXMATCH(C672,""youtube"")=TRUE,""Youtube"",if(REGEXMATCH(C672,""tiktok"")=TRUE,""Tiktok"",if(REGEX"&amp;"MATCH(C672,""threads"")=TRUE,""Threads""))))))"),"Tiktok")</f>
        <v>Tiktok</v>
      </c>
      <c r="G672" s="18" t="s">
        <v>1312</v>
      </c>
      <c r="H672" s="18" t="s">
        <v>546</v>
      </c>
      <c r="I672" s="18" t="s">
        <v>535</v>
      </c>
      <c r="J672" s="18" t="s">
        <v>188</v>
      </c>
      <c r="K672" s="18"/>
      <c r="L672" s="15"/>
    </row>
    <row r="673">
      <c r="A673" s="15">
        <v>672.0</v>
      </c>
      <c r="B673" s="23">
        <v>45920.0</v>
      </c>
      <c r="C673" s="22" t="s">
        <v>1313</v>
      </c>
      <c r="D673" s="18"/>
      <c r="E673" s="18" t="s">
        <v>184</v>
      </c>
      <c r="F673" s="18" t="str">
        <f>IFERROR(__xludf.DUMMYFUNCTION("if(REGEXMATCH(C673,""x.com"")=TRUE,""Twitter"",if(REGEXMATCH(C673,""facebook"")=TRUE,""Facebook"",if(REGEXMATCH(C673,""instagram"")=TRUE,""Instagram"",if(REGEXMATCH(C673,""youtube"")=TRUE,""Youtube"",if(REGEXMATCH(C673,""tiktok"")=TRUE,""Tiktok"",if(REGEX"&amp;"MATCH(C673,""threads"")=TRUE,""Threads""))))))"),"Tiktok")</f>
        <v>Tiktok</v>
      </c>
      <c r="G673" s="18" t="s">
        <v>1314</v>
      </c>
      <c r="H673" s="18" t="s">
        <v>546</v>
      </c>
      <c r="I673" s="18" t="s">
        <v>535</v>
      </c>
      <c r="J673" s="18" t="s">
        <v>422</v>
      </c>
      <c r="K673" s="18" t="s">
        <v>1315</v>
      </c>
      <c r="L673" s="15"/>
    </row>
    <row r="674">
      <c r="A674" s="15">
        <v>673.0</v>
      </c>
      <c r="B674" s="23">
        <v>45920.0</v>
      </c>
      <c r="C674" s="22" t="s">
        <v>1316</v>
      </c>
      <c r="D674" s="18"/>
      <c r="E674" s="18" t="s">
        <v>184</v>
      </c>
      <c r="F674" s="18" t="str">
        <f>IFERROR(__xludf.DUMMYFUNCTION("if(REGEXMATCH(C674,""x.com"")=TRUE,""Twitter"",if(REGEXMATCH(C674,""facebook"")=TRUE,""Facebook"",if(REGEXMATCH(C674,""instagram"")=TRUE,""Instagram"",if(REGEXMATCH(C674,""youtube"")=TRUE,""Youtube"",if(REGEXMATCH(C674,""tiktok"")=TRUE,""Tiktok"",if(REGEX"&amp;"MATCH(C674,""threads"")=TRUE,""Threads""))))))"),"Tiktok")</f>
        <v>Tiktok</v>
      </c>
      <c r="G674" s="18" t="s">
        <v>1317</v>
      </c>
      <c r="H674" s="18" t="s">
        <v>546</v>
      </c>
      <c r="I674" s="18" t="s">
        <v>535</v>
      </c>
      <c r="J674" s="18" t="s">
        <v>188</v>
      </c>
      <c r="K674" s="18"/>
      <c r="L674" s="15"/>
    </row>
    <row r="675">
      <c r="A675" s="15">
        <v>674.0</v>
      </c>
      <c r="B675" s="23">
        <v>45920.0</v>
      </c>
      <c r="C675" s="22" t="s">
        <v>1318</v>
      </c>
      <c r="D675" s="18"/>
      <c r="E675" s="18" t="s">
        <v>1270</v>
      </c>
      <c r="F675" s="18" t="str">
        <f>IFERROR(__xludf.DUMMYFUNCTION("if(REGEXMATCH(C675,""x.com"")=TRUE,""Twitter"",if(REGEXMATCH(C675,""facebook"")=TRUE,""Facebook"",if(REGEXMATCH(C675,""instagram"")=TRUE,""Instagram"",if(REGEXMATCH(C675,""youtube"")=TRUE,""Youtube"",if(REGEXMATCH(C675,""tiktok"")=TRUE,""Tiktok"",if(REGEX"&amp;"MATCH(C675,""threads"")=TRUE,""Threads""))))))"),"Instagram")</f>
        <v>Instagram</v>
      </c>
      <c r="G675" s="18" t="s">
        <v>1319</v>
      </c>
      <c r="H675" s="18" t="s">
        <v>1320</v>
      </c>
      <c r="I675" s="18" t="s">
        <v>1321</v>
      </c>
      <c r="J675" s="18" t="s">
        <v>422</v>
      </c>
      <c r="K675" s="18" t="s">
        <v>321</v>
      </c>
      <c r="L675" s="15"/>
    </row>
    <row r="676">
      <c r="A676" s="15">
        <v>675.0</v>
      </c>
      <c r="B676" s="23">
        <v>45920.0</v>
      </c>
      <c r="C676" s="22" t="s">
        <v>1322</v>
      </c>
      <c r="D676" s="18"/>
      <c r="E676" s="18" t="s">
        <v>1270</v>
      </c>
      <c r="F676" s="18" t="str">
        <f>IFERROR(__xludf.DUMMYFUNCTION("if(REGEXMATCH(C676,""x.com"")=TRUE,""Twitter"",if(REGEXMATCH(C676,""facebook"")=TRUE,""Facebook"",if(REGEXMATCH(C676,""instagram"")=TRUE,""Instagram"",if(REGEXMATCH(C676,""youtube"")=TRUE,""Youtube"",if(REGEXMATCH(C676,""tiktok"")=TRUE,""Tiktok"",if(REGEX"&amp;"MATCH(C676,""threads"")=TRUE,""Threads""))))))"),"Instagram")</f>
        <v>Instagram</v>
      </c>
      <c r="G676" s="18" t="s">
        <v>1319</v>
      </c>
      <c r="H676" s="18" t="s">
        <v>1320</v>
      </c>
      <c r="I676" s="18" t="s">
        <v>1323</v>
      </c>
      <c r="J676" s="18" t="s">
        <v>422</v>
      </c>
      <c r="K676" s="18" t="s">
        <v>321</v>
      </c>
      <c r="L676" s="15"/>
    </row>
    <row r="677">
      <c r="A677" s="15">
        <v>676.0</v>
      </c>
      <c r="B677" s="23">
        <v>45920.0</v>
      </c>
      <c r="C677" s="22" t="s">
        <v>1324</v>
      </c>
      <c r="D677" s="18"/>
      <c r="E677" s="18" t="s">
        <v>1270</v>
      </c>
      <c r="F677" s="18" t="str">
        <f>IFERROR(__xludf.DUMMYFUNCTION("if(REGEXMATCH(C677,""x.com"")=TRUE,""Twitter"",if(REGEXMATCH(C677,""facebook"")=TRUE,""Facebook"",if(REGEXMATCH(C677,""instagram"")=TRUE,""Instagram"",if(REGEXMATCH(C677,""youtube"")=TRUE,""Youtube"",if(REGEXMATCH(C677,""tiktok"")=TRUE,""Tiktok"",if(REGEX"&amp;"MATCH(C677,""threads"")=TRUE,""Threads""))))))"),"Tiktok")</f>
        <v>Tiktok</v>
      </c>
      <c r="G677" s="18" t="s">
        <v>1319</v>
      </c>
      <c r="H677" s="18" t="s">
        <v>1320</v>
      </c>
      <c r="I677" s="18" t="s">
        <v>1323</v>
      </c>
      <c r="J677" s="18" t="s">
        <v>422</v>
      </c>
      <c r="K677" s="18" t="s">
        <v>321</v>
      </c>
      <c r="L677" s="15"/>
    </row>
    <row r="678">
      <c r="A678" s="15">
        <v>677.0</v>
      </c>
      <c r="B678" s="23">
        <v>45920.0</v>
      </c>
      <c r="C678" s="22" t="s">
        <v>1325</v>
      </c>
      <c r="D678" s="18"/>
      <c r="E678" s="18" t="s">
        <v>401</v>
      </c>
      <c r="F678" s="18" t="str">
        <f>IFERROR(__xludf.DUMMYFUNCTION("if(REGEXMATCH(C678,""x.com"")=TRUE,""Twitter"",if(REGEXMATCH(C678,""facebook"")=TRUE,""Facebook"",if(REGEXMATCH(C678,""instagram"")=TRUE,""Instagram"",if(REGEXMATCH(C678,""youtube"")=TRUE,""Youtube"",if(REGEXMATCH(C678,""tiktok"")=TRUE,""Tiktok"",if(REGEX"&amp;"MATCH(C678,""threads"")=TRUE,""Threads""))))))"),"Facebook")</f>
        <v>Facebook</v>
      </c>
      <c r="G678" s="18" t="s">
        <v>937</v>
      </c>
      <c r="H678" s="18" t="s">
        <v>938</v>
      </c>
      <c r="I678" s="18" t="s">
        <v>939</v>
      </c>
      <c r="J678" s="18" t="s">
        <v>188</v>
      </c>
      <c r="K678" s="18"/>
      <c r="L678" s="15"/>
    </row>
    <row r="679">
      <c r="A679" s="15">
        <v>678.0</v>
      </c>
      <c r="B679" s="23">
        <v>45920.0</v>
      </c>
      <c r="C679" s="22" t="s">
        <v>1326</v>
      </c>
      <c r="D679" s="18"/>
      <c r="E679" s="18" t="s">
        <v>401</v>
      </c>
      <c r="F679" s="18" t="str">
        <f>IFERROR(__xludf.DUMMYFUNCTION("if(REGEXMATCH(C679,""x.com"")=TRUE,""Twitter"",if(REGEXMATCH(C679,""facebook"")=TRUE,""Facebook"",if(REGEXMATCH(C679,""instagram"")=TRUE,""Instagram"",if(REGEXMATCH(C679,""youtube"")=TRUE,""Youtube"",if(REGEXMATCH(C679,""tiktok"")=TRUE,""Tiktok"",if(REGEX"&amp;"MATCH(C679,""threads"")=TRUE,""Threads""))))))"),"Facebook")</f>
        <v>Facebook</v>
      </c>
      <c r="G679" s="18" t="s">
        <v>937</v>
      </c>
      <c r="H679" s="18" t="s">
        <v>938</v>
      </c>
      <c r="I679" s="18" t="s">
        <v>939</v>
      </c>
      <c r="J679" s="18" t="s">
        <v>188</v>
      </c>
      <c r="K679" s="18"/>
      <c r="L679" s="15"/>
    </row>
    <row r="680">
      <c r="A680" s="15">
        <v>679.0</v>
      </c>
      <c r="B680" s="23">
        <v>45920.0</v>
      </c>
      <c r="C680" s="22" t="s">
        <v>1327</v>
      </c>
      <c r="D680" s="18"/>
      <c r="E680" s="18" t="s">
        <v>401</v>
      </c>
      <c r="F680" s="18" t="str">
        <f>IFERROR(__xludf.DUMMYFUNCTION("if(REGEXMATCH(C680,""x.com"")=TRUE,""Twitter"",if(REGEXMATCH(C680,""facebook"")=TRUE,""Facebook"",if(REGEXMATCH(C680,""instagram"")=TRUE,""Instagram"",if(REGEXMATCH(C680,""youtube"")=TRUE,""Youtube"",if(REGEXMATCH(C680,""tiktok"")=TRUE,""Tiktok"",if(REGEX"&amp;"MATCH(C680,""threads"")=TRUE,""Threads""))))))"),"Facebook")</f>
        <v>Facebook</v>
      </c>
      <c r="G680" s="18" t="s">
        <v>937</v>
      </c>
      <c r="H680" s="18" t="s">
        <v>938</v>
      </c>
      <c r="I680" s="18" t="s">
        <v>939</v>
      </c>
      <c r="J680" s="18" t="s">
        <v>188</v>
      </c>
      <c r="K680" s="18"/>
      <c r="L680" s="15"/>
    </row>
    <row r="681">
      <c r="A681" s="15">
        <v>680.0</v>
      </c>
      <c r="B681" s="23">
        <v>45920.0</v>
      </c>
      <c r="C681" s="22" t="s">
        <v>1328</v>
      </c>
      <c r="D681" s="18"/>
      <c r="E681" s="18" t="s">
        <v>401</v>
      </c>
      <c r="F681" s="18" t="str">
        <f>IFERROR(__xludf.DUMMYFUNCTION("if(REGEXMATCH(C681,""x.com"")=TRUE,""Twitter"",if(REGEXMATCH(C681,""facebook"")=TRUE,""Facebook"",if(REGEXMATCH(C681,""instagram"")=TRUE,""Instagram"",if(REGEXMATCH(C681,""youtube"")=TRUE,""Youtube"",if(REGEXMATCH(C681,""tiktok"")=TRUE,""Tiktok"",if(REGEX"&amp;"MATCH(C681,""threads"")=TRUE,""Threads""))))))"),"Facebook")</f>
        <v>Facebook</v>
      </c>
      <c r="G681" s="18" t="s">
        <v>937</v>
      </c>
      <c r="H681" s="18" t="s">
        <v>938</v>
      </c>
      <c r="I681" s="18" t="s">
        <v>939</v>
      </c>
      <c r="J681" s="18" t="s">
        <v>188</v>
      </c>
      <c r="K681" s="18"/>
      <c r="L681" s="15"/>
    </row>
    <row r="682">
      <c r="A682" s="15">
        <v>681.0</v>
      </c>
      <c r="B682" s="23">
        <v>45920.0</v>
      </c>
      <c r="C682" s="22" t="s">
        <v>1329</v>
      </c>
      <c r="D682" s="18"/>
      <c r="E682" s="18" t="s">
        <v>401</v>
      </c>
      <c r="F682" s="18" t="str">
        <f>IFERROR(__xludf.DUMMYFUNCTION("if(REGEXMATCH(C682,""x.com"")=TRUE,""Twitter"",if(REGEXMATCH(C682,""facebook"")=TRUE,""Facebook"",if(REGEXMATCH(C682,""instagram"")=TRUE,""Instagram"",if(REGEXMATCH(C682,""youtube"")=TRUE,""Youtube"",if(REGEXMATCH(C682,""tiktok"")=TRUE,""Tiktok"",if(REGEX"&amp;"MATCH(C682,""threads"")=TRUE,""Threads""))))))"),"Facebook")</f>
        <v>Facebook</v>
      </c>
      <c r="G682" s="18" t="s">
        <v>937</v>
      </c>
      <c r="H682" s="18" t="s">
        <v>938</v>
      </c>
      <c r="I682" s="18" t="s">
        <v>939</v>
      </c>
      <c r="J682" s="18" t="s">
        <v>188</v>
      </c>
      <c r="K682" s="18"/>
      <c r="L682" s="15"/>
    </row>
    <row r="683">
      <c r="A683" s="15">
        <v>682.0</v>
      </c>
      <c r="B683" s="23">
        <v>45920.0</v>
      </c>
      <c r="C683" s="22" t="s">
        <v>1330</v>
      </c>
      <c r="D683" s="18"/>
      <c r="E683" s="18" t="s">
        <v>401</v>
      </c>
      <c r="F683" s="18" t="str">
        <f>IFERROR(__xludf.DUMMYFUNCTION("if(REGEXMATCH(C683,""x.com"")=TRUE,""Twitter"",if(REGEXMATCH(C683,""facebook"")=TRUE,""Facebook"",if(REGEXMATCH(C683,""instagram"")=TRUE,""Instagram"",if(REGEXMATCH(C683,""youtube"")=TRUE,""Youtube"",if(REGEXMATCH(C683,""tiktok"")=TRUE,""Tiktok"",if(REGEX"&amp;"MATCH(C683,""threads"")=TRUE,""Threads""))))))"),"Facebook")</f>
        <v>Facebook</v>
      </c>
      <c r="G683" s="18" t="s">
        <v>937</v>
      </c>
      <c r="H683" s="18" t="s">
        <v>938</v>
      </c>
      <c r="I683" s="18" t="s">
        <v>939</v>
      </c>
      <c r="J683" s="18" t="s">
        <v>188</v>
      </c>
      <c r="K683" s="18"/>
      <c r="L683" s="15"/>
    </row>
    <row r="684">
      <c r="A684" s="15">
        <v>683.0</v>
      </c>
      <c r="B684" s="23">
        <v>45920.0</v>
      </c>
      <c r="C684" s="22" t="s">
        <v>1331</v>
      </c>
      <c r="D684" s="18"/>
      <c r="E684" s="18" t="s">
        <v>401</v>
      </c>
      <c r="F684" s="18" t="str">
        <f>IFERROR(__xludf.DUMMYFUNCTION("if(REGEXMATCH(C684,""x.com"")=TRUE,""Twitter"",if(REGEXMATCH(C684,""facebook"")=TRUE,""Facebook"",if(REGEXMATCH(C684,""instagram"")=TRUE,""Instagram"",if(REGEXMATCH(C684,""youtube"")=TRUE,""Youtube"",if(REGEXMATCH(C684,""tiktok"")=TRUE,""Tiktok"",if(REGEX"&amp;"MATCH(C684,""threads"")=TRUE,""Threads""))))))"),"Facebook")</f>
        <v>Facebook</v>
      </c>
      <c r="G684" s="18" t="s">
        <v>937</v>
      </c>
      <c r="H684" s="18" t="s">
        <v>938</v>
      </c>
      <c r="I684" s="18" t="s">
        <v>939</v>
      </c>
      <c r="J684" s="18" t="s">
        <v>188</v>
      </c>
      <c r="K684" s="18"/>
      <c r="L684" s="15"/>
    </row>
    <row r="685">
      <c r="A685" s="15">
        <v>684.0</v>
      </c>
      <c r="B685" s="23">
        <v>45920.0</v>
      </c>
      <c r="C685" s="22" t="s">
        <v>1332</v>
      </c>
      <c r="D685" s="18"/>
      <c r="E685" s="18" t="s">
        <v>1270</v>
      </c>
      <c r="F685" s="18" t="str">
        <f>IFERROR(__xludf.DUMMYFUNCTION("if(REGEXMATCH(C685,""x.com"")=TRUE,""Twitter"",if(REGEXMATCH(C685,""facebook"")=TRUE,""Facebook"",if(REGEXMATCH(C685,""instagram"")=TRUE,""Instagram"",if(REGEXMATCH(C685,""youtube"")=TRUE,""Youtube"",if(REGEXMATCH(C685,""tiktok"")=TRUE,""Tiktok"",if(REGEX"&amp;"MATCH(C685,""threads"")=TRUE,""Threads""))))))"),"Youtube")</f>
        <v>Youtube</v>
      </c>
      <c r="G685" s="18" t="s">
        <v>1333</v>
      </c>
      <c r="H685" s="18" t="s">
        <v>1320</v>
      </c>
      <c r="I685" s="18" t="s">
        <v>1323</v>
      </c>
      <c r="J685" s="18" t="s">
        <v>188</v>
      </c>
      <c r="K685" s="18"/>
      <c r="L685" s="15"/>
    </row>
    <row r="686">
      <c r="A686" s="15">
        <v>685.0</v>
      </c>
      <c r="B686" s="23">
        <v>45920.0</v>
      </c>
      <c r="C686" s="22" t="s">
        <v>1334</v>
      </c>
      <c r="D686" s="18"/>
      <c r="E686" s="18" t="s">
        <v>1270</v>
      </c>
      <c r="F686" s="18" t="str">
        <f>IFERROR(__xludf.DUMMYFUNCTION("if(REGEXMATCH(C686,""x.com"")=TRUE,""Twitter"",if(REGEXMATCH(C686,""facebook"")=TRUE,""Facebook"",if(REGEXMATCH(C686,""instagram"")=TRUE,""Instagram"",if(REGEXMATCH(C686,""youtube"")=TRUE,""Youtube"",if(REGEXMATCH(C686,""tiktok"")=TRUE,""Tiktok"",if(REGEX"&amp;"MATCH(C686,""threads"")=TRUE,""Threads""))))))"),"Youtube")</f>
        <v>Youtube</v>
      </c>
      <c r="G686" s="18" t="s">
        <v>1333</v>
      </c>
      <c r="H686" s="18" t="s">
        <v>1320</v>
      </c>
      <c r="I686" s="18" t="s">
        <v>1323</v>
      </c>
      <c r="J686" s="18" t="s">
        <v>188</v>
      </c>
      <c r="K686" s="18"/>
      <c r="L686" s="15"/>
    </row>
    <row r="687">
      <c r="A687" s="15">
        <v>686.0</v>
      </c>
      <c r="B687" s="23">
        <v>45920.0</v>
      </c>
      <c r="C687" s="22" t="s">
        <v>1335</v>
      </c>
      <c r="D687" s="18"/>
      <c r="E687" s="18" t="s">
        <v>184</v>
      </c>
      <c r="F687" s="18" t="str">
        <f>IFERROR(__xludf.DUMMYFUNCTION("if(REGEXMATCH(C687,""x.com"")=TRUE,""Twitter"",if(REGEXMATCH(C687,""facebook"")=TRUE,""Facebook"",if(REGEXMATCH(C687,""instagram"")=TRUE,""Instagram"",if(REGEXMATCH(C687,""youtube"")=TRUE,""Youtube"",if(REGEXMATCH(C687,""tiktok"")=TRUE,""Tiktok"",if(REGEX"&amp;"MATCH(C687,""threads"")=TRUE,""Threads""))))))"),"Facebook")</f>
        <v>Facebook</v>
      </c>
      <c r="G687" s="18" t="s">
        <v>822</v>
      </c>
      <c r="H687" s="18" t="s">
        <v>407</v>
      </c>
      <c r="I687" s="18"/>
      <c r="J687" s="18" t="s">
        <v>422</v>
      </c>
      <c r="K687" s="18" t="s">
        <v>1336</v>
      </c>
      <c r="L687" s="15"/>
    </row>
    <row r="688">
      <c r="A688" s="15">
        <v>687.0</v>
      </c>
      <c r="B688" s="23">
        <v>45920.0</v>
      </c>
      <c r="C688" s="22" t="s">
        <v>1337</v>
      </c>
      <c r="D688" s="18"/>
      <c r="E688" s="18" t="s">
        <v>184</v>
      </c>
      <c r="F688" s="18" t="str">
        <f>IFERROR(__xludf.DUMMYFUNCTION("if(REGEXMATCH(C688,""x.com"")=TRUE,""Twitter"",if(REGEXMATCH(C688,""facebook"")=TRUE,""Facebook"",if(REGEXMATCH(C688,""instagram"")=TRUE,""Instagram"",if(REGEXMATCH(C688,""youtube"")=TRUE,""Youtube"",if(REGEXMATCH(C688,""tiktok"")=TRUE,""Tiktok"",if(REGEX"&amp;"MATCH(C688,""threads"")=TRUE,""Threads""))))))"),"Facebook")</f>
        <v>Facebook</v>
      </c>
      <c r="G688" s="18" t="s">
        <v>1174</v>
      </c>
      <c r="H688" s="18" t="s">
        <v>410</v>
      </c>
      <c r="I688" s="18"/>
      <c r="J688" s="18" t="s">
        <v>188</v>
      </c>
      <c r="K688" s="18"/>
      <c r="L688" s="15"/>
    </row>
    <row r="689">
      <c r="A689" s="15">
        <v>688.0</v>
      </c>
      <c r="B689" s="23">
        <v>45920.0</v>
      </c>
      <c r="C689" s="22" t="s">
        <v>1338</v>
      </c>
      <c r="D689" s="18"/>
      <c r="E689" s="18" t="s">
        <v>184</v>
      </c>
      <c r="F689" s="18" t="str">
        <f>IFERROR(__xludf.DUMMYFUNCTION("if(REGEXMATCH(C689,""x.com"")=TRUE,""Twitter"",if(REGEXMATCH(C689,""facebook"")=TRUE,""Facebook"",if(REGEXMATCH(C689,""instagram"")=TRUE,""Instagram"",if(REGEXMATCH(C689,""youtube"")=TRUE,""Youtube"",if(REGEXMATCH(C689,""tiktok"")=TRUE,""Tiktok"",if(REGEX"&amp;"MATCH(C689,""threads"")=TRUE,""Threads""))))))"),"Instagram")</f>
        <v>Instagram</v>
      </c>
      <c r="G689" s="18" t="s">
        <v>822</v>
      </c>
      <c r="H689" s="18" t="s">
        <v>410</v>
      </c>
      <c r="I689" s="18"/>
      <c r="J689" s="18" t="s">
        <v>188</v>
      </c>
      <c r="K689" s="18"/>
      <c r="L689" s="15"/>
    </row>
    <row r="690">
      <c r="A690" s="15">
        <v>689.0</v>
      </c>
      <c r="B690" s="23">
        <v>45920.0</v>
      </c>
      <c r="C690" s="22" t="s">
        <v>1339</v>
      </c>
      <c r="D690" s="18"/>
      <c r="E690" s="18" t="s">
        <v>184</v>
      </c>
      <c r="F690" s="18" t="str">
        <f>IFERROR(__xludf.DUMMYFUNCTION("if(REGEXMATCH(C690,""x.com"")=TRUE,""Twitter"",if(REGEXMATCH(C690,""facebook"")=TRUE,""Facebook"",if(REGEXMATCH(C690,""instagram"")=TRUE,""Instagram"",if(REGEXMATCH(C690,""youtube"")=TRUE,""Youtube"",if(REGEXMATCH(C690,""tiktok"")=TRUE,""Tiktok"",if(REGEX"&amp;"MATCH(C690,""threads"")=TRUE,""Threads""))))))"),"Instagram")</f>
        <v>Instagram</v>
      </c>
      <c r="G690" s="18" t="s">
        <v>1340</v>
      </c>
      <c r="H690" s="18" t="s">
        <v>410</v>
      </c>
      <c r="I690" s="18"/>
      <c r="J690" s="18" t="s">
        <v>188</v>
      </c>
      <c r="K690" s="18"/>
      <c r="L690" s="15"/>
    </row>
    <row r="691">
      <c r="A691" s="15">
        <v>690.0</v>
      </c>
      <c r="B691" s="23">
        <v>45921.0</v>
      </c>
      <c r="C691" s="22" t="s">
        <v>1341</v>
      </c>
      <c r="D691" s="18"/>
      <c r="E691" s="18" t="s">
        <v>184</v>
      </c>
      <c r="F691" s="18" t="str">
        <f>IFERROR(__xludf.DUMMYFUNCTION("if(REGEXMATCH(C691,""x.com"")=TRUE,""Twitter"",if(REGEXMATCH(C691,""facebook"")=TRUE,""Facebook"",if(REGEXMATCH(C691,""instagram"")=TRUE,""Instagram"",if(REGEXMATCH(C691,""youtube"")=TRUE,""Youtube"",if(REGEXMATCH(C691,""tiktok"")=TRUE,""Tiktok"",if(REGEX"&amp;"MATCH(C691,""threads"")=TRUE,""Threads""))))))"),"Twitter")</f>
        <v>Twitter</v>
      </c>
      <c r="G691" s="18" t="s">
        <v>1342</v>
      </c>
      <c r="H691" s="18" t="s">
        <v>1343</v>
      </c>
      <c r="I691" s="18" t="s">
        <v>1181</v>
      </c>
      <c r="J691" s="18" t="s">
        <v>188</v>
      </c>
      <c r="K691" s="18"/>
      <c r="L691" s="15"/>
    </row>
    <row r="692">
      <c r="A692" s="15">
        <v>691.0</v>
      </c>
      <c r="B692" s="23">
        <v>45921.0</v>
      </c>
      <c r="C692" s="22" t="s">
        <v>1344</v>
      </c>
      <c r="D692" s="18"/>
      <c r="E692" s="18" t="s">
        <v>184</v>
      </c>
      <c r="F692" s="18" t="str">
        <f>IFERROR(__xludf.DUMMYFUNCTION("if(REGEXMATCH(C692,""x.com"")=TRUE,""Twitter"",if(REGEXMATCH(C692,""facebook"")=TRUE,""Facebook"",if(REGEXMATCH(C692,""instagram"")=TRUE,""Instagram"",if(REGEXMATCH(C692,""youtube"")=TRUE,""Youtube"",if(REGEXMATCH(C692,""tiktok"")=TRUE,""Tiktok"",if(REGEX"&amp;"MATCH(C692,""threads"")=TRUE,""Threads""))))))"),"Twitter")</f>
        <v>Twitter</v>
      </c>
      <c r="G692" s="18" t="s">
        <v>1345</v>
      </c>
      <c r="H692" s="18" t="s">
        <v>1346</v>
      </c>
      <c r="I692" s="18" t="s">
        <v>1181</v>
      </c>
      <c r="J692" s="18" t="s">
        <v>422</v>
      </c>
      <c r="K692" s="18" t="s">
        <v>1347</v>
      </c>
      <c r="L692" s="15"/>
    </row>
    <row r="693">
      <c r="A693" s="15">
        <v>692.0</v>
      </c>
      <c r="B693" s="23">
        <v>45921.0</v>
      </c>
      <c r="C693" s="22" t="s">
        <v>1348</v>
      </c>
      <c r="D693" s="18"/>
      <c r="E693" s="18" t="s">
        <v>184</v>
      </c>
      <c r="F693" s="18" t="str">
        <f>IFERROR(__xludf.DUMMYFUNCTION("if(REGEXMATCH(C693,""x.com"")=TRUE,""Twitter"",if(REGEXMATCH(C693,""facebook"")=TRUE,""Facebook"",if(REGEXMATCH(C693,""instagram"")=TRUE,""Instagram"",if(REGEXMATCH(C693,""youtube"")=TRUE,""Youtube"",if(REGEXMATCH(C693,""tiktok"")=TRUE,""Tiktok"",if(REGEX"&amp;"MATCH(C693,""threads"")=TRUE,""Threads""))))))"),"Facebook")</f>
        <v>Facebook</v>
      </c>
      <c r="G693" s="18" t="s">
        <v>1349</v>
      </c>
      <c r="H693" s="18" t="s">
        <v>1343</v>
      </c>
      <c r="I693" s="18" t="s">
        <v>1181</v>
      </c>
      <c r="J693" s="18" t="s">
        <v>188</v>
      </c>
      <c r="K693" s="18"/>
      <c r="L693" s="15"/>
    </row>
    <row r="694">
      <c r="A694" s="15">
        <v>693.0</v>
      </c>
      <c r="B694" s="23">
        <v>45921.0</v>
      </c>
      <c r="C694" s="22" t="s">
        <v>1350</v>
      </c>
      <c r="D694" s="18"/>
      <c r="E694" s="18" t="s">
        <v>184</v>
      </c>
      <c r="F694" s="18" t="str">
        <f>IFERROR(__xludf.DUMMYFUNCTION("if(REGEXMATCH(C694,""x.com"")=TRUE,""Twitter"",if(REGEXMATCH(C694,""facebook"")=TRUE,""Facebook"",if(REGEXMATCH(C694,""instagram"")=TRUE,""Instagram"",if(REGEXMATCH(C694,""youtube"")=TRUE,""Youtube"",if(REGEXMATCH(C694,""tiktok"")=TRUE,""Tiktok"",if(REGEX"&amp;"MATCH(C694,""threads"")=TRUE,""Threads""))))))"),"Tiktok")</f>
        <v>Tiktok</v>
      </c>
      <c r="G694" s="18" t="s">
        <v>1351</v>
      </c>
      <c r="H694" s="18" t="s">
        <v>1343</v>
      </c>
      <c r="I694" s="18" t="s">
        <v>1181</v>
      </c>
      <c r="J694" s="18" t="s">
        <v>188</v>
      </c>
      <c r="K694" s="18"/>
      <c r="L694" s="15"/>
    </row>
    <row r="695">
      <c r="A695" s="15">
        <v>694.0</v>
      </c>
      <c r="B695" s="23">
        <v>45921.0</v>
      </c>
      <c r="C695" s="22" t="s">
        <v>1352</v>
      </c>
      <c r="D695" s="18"/>
      <c r="E695" s="18" t="s">
        <v>184</v>
      </c>
      <c r="F695" s="18" t="str">
        <f>IFERROR(__xludf.DUMMYFUNCTION("if(REGEXMATCH(C695,""x.com"")=TRUE,""Twitter"",if(REGEXMATCH(C695,""facebook"")=TRUE,""Facebook"",if(REGEXMATCH(C695,""instagram"")=TRUE,""Instagram"",if(REGEXMATCH(C695,""youtube"")=TRUE,""Youtube"",if(REGEXMATCH(C695,""tiktok"")=TRUE,""Tiktok"",if(REGEX"&amp;"MATCH(C695,""threads"")=TRUE,""Threads""))))))"),"Twitter")</f>
        <v>Twitter</v>
      </c>
      <c r="G695" s="18" t="s">
        <v>1353</v>
      </c>
      <c r="H695" s="18" t="s">
        <v>1343</v>
      </c>
      <c r="I695" s="18" t="s">
        <v>1181</v>
      </c>
      <c r="J695" s="18" t="s">
        <v>188</v>
      </c>
      <c r="K695" s="18"/>
      <c r="L695" s="15"/>
    </row>
    <row r="696">
      <c r="A696" s="15">
        <v>695.0</v>
      </c>
      <c r="B696" s="23">
        <v>45921.0</v>
      </c>
      <c r="C696" s="22" t="s">
        <v>1354</v>
      </c>
      <c r="D696" s="18"/>
      <c r="E696" s="18" t="s">
        <v>184</v>
      </c>
      <c r="F696" s="18" t="str">
        <f>IFERROR(__xludf.DUMMYFUNCTION("if(REGEXMATCH(C696,""x.com"")=TRUE,""Twitter"",if(REGEXMATCH(C696,""facebook"")=TRUE,""Facebook"",if(REGEXMATCH(C696,""instagram"")=TRUE,""Instagram"",if(REGEXMATCH(C696,""youtube"")=TRUE,""Youtube"",if(REGEXMATCH(C696,""tiktok"")=TRUE,""Tiktok"",if(REGEX"&amp;"MATCH(C696,""threads"")=TRUE,""Threads""))))))"),"Twitter")</f>
        <v>Twitter</v>
      </c>
      <c r="G696" s="18" t="s">
        <v>1355</v>
      </c>
      <c r="H696" s="18" t="s">
        <v>1343</v>
      </c>
      <c r="I696" s="18" t="s">
        <v>1181</v>
      </c>
      <c r="J696" s="18" t="s">
        <v>188</v>
      </c>
      <c r="K696" s="18"/>
      <c r="L696" s="15"/>
    </row>
    <row r="697">
      <c r="A697" s="15">
        <v>696.0</v>
      </c>
      <c r="B697" s="23">
        <v>45921.0</v>
      </c>
      <c r="C697" s="22" t="s">
        <v>1356</v>
      </c>
      <c r="D697" s="18"/>
      <c r="E697" s="18" t="s">
        <v>184</v>
      </c>
      <c r="F697" s="18" t="str">
        <f>IFERROR(__xludf.DUMMYFUNCTION("if(REGEXMATCH(C697,""x.com"")=TRUE,""Twitter"",if(REGEXMATCH(C697,""facebook"")=TRUE,""Facebook"",if(REGEXMATCH(C697,""instagram"")=TRUE,""Instagram"",if(REGEXMATCH(C697,""youtube"")=TRUE,""Youtube"",if(REGEXMATCH(C697,""tiktok"")=TRUE,""Tiktok"",if(REGEX"&amp;"MATCH(C697,""threads"")=TRUE,""Threads""))))))"),"Twitter")</f>
        <v>Twitter</v>
      </c>
      <c r="G697" s="18" t="s">
        <v>1357</v>
      </c>
      <c r="H697" s="18" t="s">
        <v>1343</v>
      </c>
      <c r="I697" s="18" t="s">
        <v>1181</v>
      </c>
      <c r="J697" s="18" t="s">
        <v>188</v>
      </c>
      <c r="K697" s="18"/>
      <c r="L697" s="15"/>
    </row>
    <row r="698">
      <c r="A698" s="15">
        <v>697.0</v>
      </c>
      <c r="B698" s="23">
        <v>45921.0</v>
      </c>
      <c r="C698" s="22" t="s">
        <v>1358</v>
      </c>
      <c r="D698" s="18"/>
      <c r="E698" s="18" t="s">
        <v>429</v>
      </c>
      <c r="F698" s="18" t="str">
        <f>IFERROR(__xludf.DUMMYFUNCTION("if(REGEXMATCH(C698,""x.com"")=TRUE,""Twitter"",if(REGEXMATCH(C698,""facebook"")=TRUE,""Facebook"",if(REGEXMATCH(C698,""instagram"")=TRUE,""Instagram"",if(REGEXMATCH(C698,""youtube"")=TRUE,""Youtube"",if(REGEXMATCH(C698,""tiktok"")=TRUE,""Tiktok"",if(REGEX"&amp;"MATCH(C698,""threads"")=TRUE,""Threads""))))))"),"Tiktok")</f>
        <v>Tiktok</v>
      </c>
      <c r="G698" s="18" t="s">
        <v>1359</v>
      </c>
      <c r="H698" s="18" t="s">
        <v>1343</v>
      </c>
      <c r="I698" s="18" t="s">
        <v>1181</v>
      </c>
      <c r="J698" s="18" t="s">
        <v>188</v>
      </c>
      <c r="K698" s="18"/>
      <c r="L698" s="15"/>
    </row>
    <row r="699">
      <c r="A699" s="15">
        <v>698.0</v>
      </c>
      <c r="B699" s="23">
        <v>45921.0</v>
      </c>
      <c r="C699" s="22" t="s">
        <v>1360</v>
      </c>
      <c r="D699" s="18"/>
      <c r="E699" s="18" t="s">
        <v>429</v>
      </c>
      <c r="F699" s="18" t="str">
        <f>IFERROR(__xludf.DUMMYFUNCTION("if(REGEXMATCH(C699,""x.com"")=TRUE,""Twitter"",if(REGEXMATCH(C699,""facebook"")=TRUE,""Facebook"",if(REGEXMATCH(C699,""instagram"")=TRUE,""Instagram"",if(REGEXMATCH(C699,""youtube"")=TRUE,""Youtube"",if(REGEXMATCH(C699,""tiktok"")=TRUE,""Tiktok"",if(REGEX"&amp;"MATCH(C699,""threads"")=TRUE,""Threads""))))))"),"Tiktok")</f>
        <v>Tiktok</v>
      </c>
      <c r="G699" s="18" t="s">
        <v>1361</v>
      </c>
      <c r="H699" s="18" t="s">
        <v>1343</v>
      </c>
      <c r="I699" s="18" t="s">
        <v>1181</v>
      </c>
      <c r="J699" s="18" t="s">
        <v>188</v>
      </c>
      <c r="K699" s="18"/>
      <c r="L699" s="15"/>
    </row>
    <row r="700">
      <c r="A700" s="15">
        <v>699.0</v>
      </c>
      <c r="B700" s="23">
        <v>45921.0</v>
      </c>
      <c r="C700" s="22" t="s">
        <v>1362</v>
      </c>
      <c r="D700" s="18"/>
      <c r="E700" s="18" t="s">
        <v>1363</v>
      </c>
      <c r="F700" s="18" t="str">
        <f>IFERROR(__xludf.DUMMYFUNCTION("if(REGEXMATCH(C700,""x.com"")=TRUE,""Twitter"",if(REGEXMATCH(C700,""facebook"")=TRUE,""Facebook"",if(REGEXMATCH(C700,""instagram"")=TRUE,""Instagram"",if(REGEXMATCH(C700,""youtube"")=TRUE,""Youtube"",if(REGEXMATCH(C700,""tiktok"")=TRUE,""Tiktok"",if(REGEX"&amp;"MATCH(C700,""threads"")=TRUE,""Threads""))))))"),"Tiktok")</f>
        <v>Tiktok</v>
      </c>
      <c r="G700" s="18" t="s">
        <v>1364</v>
      </c>
      <c r="H700" s="18" t="s">
        <v>1343</v>
      </c>
      <c r="I700" s="18" t="s">
        <v>1181</v>
      </c>
      <c r="J700" s="18" t="s">
        <v>188</v>
      </c>
      <c r="K700" s="18"/>
      <c r="L700" s="15"/>
    </row>
    <row r="701">
      <c r="A701" s="15">
        <v>700.0</v>
      </c>
      <c r="B701" s="23">
        <v>45921.0</v>
      </c>
      <c r="C701" s="22" t="s">
        <v>1365</v>
      </c>
      <c r="D701" s="18"/>
      <c r="E701" s="18" t="s">
        <v>1363</v>
      </c>
      <c r="F701" s="18" t="str">
        <f>IFERROR(__xludf.DUMMYFUNCTION("if(REGEXMATCH(C701,""x.com"")=TRUE,""Twitter"",if(REGEXMATCH(C701,""facebook"")=TRUE,""Facebook"",if(REGEXMATCH(C701,""instagram"")=TRUE,""Instagram"",if(REGEXMATCH(C701,""youtube"")=TRUE,""Youtube"",if(REGEXMATCH(C701,""tiktok"")=TRUE,""Tiktok"",if(REGEX"&amp;"MATCH(C701,""threads"")=TRUE,""Threads""))))))"),"Tiktok")</f>
        <v>Tiktok</v>
      </c>
      <c r="G701" s="18" t="s">
        <v>1366</v>
      </c>
      <c r="H701" s="18" t="s">
        <v>1343</v>
      </c>
      <c r="I701" s="18" t="s">
        <v>1181</v>
      </c>
      <c r="J701" s="18" t="s">
        <v>188</v>
      </c>
      <c r="K701" s="18"/>
      <c r="L701" s="15"/>
    </row>
    <row r="702">
      <c r="A702" s="15">
        <v>701.0</v>
      </c>
      <c r="B702" s="23">
        <v>45921.0</v>
      </c>
      <c r="C702" s="18" t="s">
        <v>1367</v>
      </c>
      <c r="D702" s="18"/>
      <c r="E702" s="18" t="s">
        <v>184</v>
      </c>
      <c r="F702" s="18" t="str">
        <f>IFERROR(__xludf.DUMMYFUNCTION("if(REGEXMATCH(C702,""x.com"")=TRUE,""Twitter"",if(REGEXMATCH(C702,""facebook"")=TRUE,""Facebook"",if(REGEXMATCH(C702,""instagram"")=TRUE,""Instagram"",if(REGEXMATCH(C702,""youtube"")=TRUE,""Youtube"",if(REGEXMATCH(C702,""tiktok"")=TRUE,""Tiktok"",if(REGEX"&amp;"MATCH(C702,""threads"")=TRUE,""Threads""))))))"),"Tiktok")</f>
        <v>Tiktok</v>
      </c>
      <c r="G702" s="18" t="s">
        <v>1368</v>
      </c>
      <c r="H702" s="18" t="s">
        <v>1343</v>
      </c>
      <c r="I702" s="18" t="s">
        <v>1181</v>
      </c>
      <c r="J702" s="18" t="s">
        <v>188</v>
      </c>
      <c r="K702" s="18"/>
      <c r="L702" s="15"/>
    </row>
    <row r="703">
      <c r="A703" s="15">
        <v>702.0</v>
      </c>
      <c r="B703" s="23">
        <v>45921.0</v>
      </c>
      <c r="C703" s="22" t="s">
        <v>1369</v>
      </c>
      <c r="D703" s="18"/>
      <c r="E703" s="18" t="s">
        <v>184</v>
      </c>
      <c r="F703" s="18" t="str">
        <f>IFERROR(__xludf.DUMMYFUNCTION("if(REGEXMATCH(C703,""x.com"")=TRUE,""Twitter"",if(REGEXMATCH(C703,""facebook"")=TRUE,""Facebook"",if(REGEXMATCH(C703,""instagram"")=TRUE,""Instagram"",if(REGEXMATCH(C703,""youtube"")=TRUE,""Youtube"",if(REGEXMATCH(C703,""tiktok"")=TRUE,""Tiktok"",if(REGEX"&amp;"MATCH(C703,""threads"")=TRUE,""Threads""))))))"),"Tiktok")</f>
        <v>Tiktok</v>
      </c>
      <c r="G703" s="18" t="s">
        <v>1370</v>
      </c>
      <c r="H703" s="18" t="s">
        <v>1343</v>
      </c>
      <c r="I703" s="18" t="s">
        <v>1181</v>
      </c>
      <c r="J703" s="18" t="s">
        <v>188</v>
      </c>
      <c r="K703" s="18"/>
      <c r="L703" s="15"/>
    </row>
    <row r="704">
      <c r="A704" s="15">
        <v>703.0</v>
      </c>
      <c r="B704" s="23">
        <v>45921.0</v>
      </c>
      <c r="C704" s="22" t="s">
        <v>1371</v>
      </c>
      <c r="D704" s="18"/>
      <c r="E704" s="18" t="s">
        <v>184</v>
      </c>
      <c r="F704" s="18" t="str">
        <f>IFERROR(__xludf.DUMMYFUNCTION("if(REGEXMATCH(C704,""x.com"")=TRUE,""Twitter"",if(REGEXMATCH(C704,""facebook"")=TRUE,""Facebook"",if(REGEXMATCH(C704,""instagram"")=TRUE,""Instagram"",if(REGEXMATCH(C704,""youtube"")=TRUE,""Youtube"",if(REGEXMATCH(C704,""tiktok"")=TRUE,""Tiktok"",if(REGEX"&amp;"MATCH(C704,""threads"")=TRUE,""Threads""))))))"),"Instagram")</f>
        <v>Instagram</v>
      </c>
      <c r="G704" s="18" t="s">
        <v>1372</v>
      </c>
      <c r="H704" s="18" t="s">
        <v>1343</v>
      </c>
      <c r="I704" s="18" t="s">
        <v>1181</v>
      </c>
      <c r="J704" s="18" t="s">
        <v>188</v>
      </c>
      <c r="K704" s="18"/>
      <c r="L704" s="15"/>
    </row>
    <row r="705">
      <c r="A705" s="15">
        <v>704.0</v>
      </c>
      <c r="B705" s="23">
        <v>45921.0</v>
      </c>
      <c r="C705" s="22" t="s">
        <v>1373</v>
      </c>
      <c r="D705" s="18"/>
      <c r="E705" s="18" t="s">
        <v>184</v>
      </c>
      <c r="F705" s="18" t="str">
        <f>IFERROR(__xludf.DUMMYFUNCTION("if(REGEXMATCH(C705,""x.com"")=TRUE,""Twitter"",if(REGEXMATCH(C705,""facebook"")=TRUE,""Facebook"",if(REGEXMATCH(C705,""instagram"")=TRUE,""Instagram"",if(REGEXMATCH(C705,""youtube"")=TRUE,""Youtube"",if(REGEXMATCH(C705,""tiktok"")=TRUE,""Tiktok"",if(REGEX"&amp;"MATCH(C705,""threads"")=TRUE,""Threads""))))))"),"Tiktok")</f>
        <v>Tiktok</v>
      </c>
      <c r="G705" s="18" t="s">
        <v>1374</v>
      </c>
      <c r="H705" s="18" t="s">
        <v>1343</v>
      </c>
      <c r="I705" s="18" t="s">
        <v>1181</v>
      </c>
      <c r="J705" s="18" t="s">
        <v>188</v>
      </c>
      <c r="K705" s="18"/>
      <c r="L705" s="15"/>
    </row>
    <row r="706">
      <c r="A706" s="15">
        <v>705.0</v>
      </c>
      <c r="B706" s="23">
        <v>45921.0</v>
      </c>
      <c r="C706" s="22" t="s">
        <v>1375</v>
      </c>
      <c r="D706" s="18"/>
      <c r="E706" s="18" t="s">
        <v>447</v>
      </c>
      <c r="F706" s="18" t="str">
        <f>IFERROR(__xludf.DUMMYFUNCTION("if(REGEXMATCH(C706,""x.com"")=TRUE,""Twitter"",if(REGEXMATCH(C706,""facebook"")=TRUE,""Facebook"",if(REGEXMATCH(C706,""instagram"")=TRUE,""Instagram"",if(REGEXMATCH(C706,""youtube"")=TRUE,""Youtube"",if(REGEXMATCH(C706,""tiktok"")=TRUE,""Tiktok"",if(REGEX"&amp;"MATCH(C706,""threads"")=TRUE,""Threads""))))))"),"Tiktok")</f>
        <v>Tiktok</v>
      </c>
      <c r="G706" s="18" t="s">
        <v>1376</v>
      </c>
      <c r="H706" s="18" t="s">
        <v>1343</v>
      </c>
      <c r="I706" s="18" t="s">
        <v>1181</v>
      </c>
      <c r="J706" s="18" t="s">
        <v>188</v>
      </c>
      <c r="K706" s="18"/>
      <c r="L706" s="15"/>
    </row>
    <row r="707">
      <c r="A707" s="15">
        <v>706.0</v>
      </c>
      <c r="B707" s="23">
        <v>45921.0</v>
      </c>
      <c r="C707" s="22" t="s">
        <v>1377</v>
      </c>
      <c r="D707" s="18"/>
      <c r="E707" s="18" t="s">
        <v>197</v>
      </c>
      <c r="F707" s="18" t="str">
        <f>IFERROR(__xludf.DUMMYFUNCTION("if(REGEXMATCH(C707,""x.com"")=TRUE,""Twitter"",if(REGEXMATCH(C707,""facebook"")=TRUE,""Facebook"",if(REGEXMATCH(C707,""instagram"")=TRUE,""Instagram"",if(REGEXMATCH(C707,""youtube"")=TRUE,""Youtube"",if(REGEXMATCH(C707,""tiktok"")=TRUE,""Tiktok"",if(REGEX"&amp;"MATCH(C707,""threads"")=TRUE,""Threads""))))))"),"Tiktok")</f>
        <v>Tiktok</v>
      </c>
      <c r="G707" s="18" t="s">
        <v>1376</v>
      </c>
      <c r="H707" s="18" t="s">
        <v>1343</v>
      </c>
      <c r="I707" s="18" t="s">
        <v>1181</v>
      </c>
      <c r="J707" s="18" t="s">
        <v>188</v>
      </c>
      <c r="K707" s="18"/>
      <c r="L707" s="15"/>
    </row>
    <row r="708">
      <c r="A708" s="15">
        <v>707.0</v>
      </c>
      <c r="B708" s="23">
        <v>45921.0</v>
      </c>
      <c r="C708" s="22" t="s">
        <v>1378</v>
      </c>
      <c r="D708" s="18"/>
      <c r="E708" s="18" t="s">
        <v>197</v>
      </c>
      <c r="F708" s="18" t="str">
        <f>IFERROR(__xludf.DUMMYFUNCTION("if(REGEXMATCH(C708,""x.com"")=TRUE,""Twitter"",if(REGEXMATCH(C708,""facebook"")=TRUE,""Facebook"",if(REGEXMATCH(C708,""instagram"")=TRUE,""Instagram"",if(REGEXMATCH(C708,""youtube"")=TRUE,""Youtube"",if(REGEXMATCH(C708,""tiktok"")=TRUE,""Tiktok"",if(REGEX"&amp;"MATCH(C708,""threads"")=TRUE,""Threads""))))))"),"Tiktok")</f>
        <v>Tiktok</v>
      </c>
      <c r="G708" s="18" t="s">
        <v>1379</v>
      </c>
      <c r="H708" s="18" t="s">
        <v>1343</v>
      </c>
      <c r="I708" s="18" t="s">
        <v>1181</v>
      </c>
      <c r="J708" s="18" t="s">
        <v>188</v>
      </c>
      <c r="K708" s="18"/>
      <c r="L708" s="15"/>
    </row>
    <row r="709">
      <c r="A709" s="15">
        <v>708.0</v>
      </c>
      <c r="B709" s="23">
        <v>45921.0</v>
      </c>
      <c r="C709" s="22" t="s">
        <v>1380</v>
      </c>
      <c r="D709" s="18"/>
      <c r="E709" s="18" t="s">
        <v>197</v>
      </c>
      <c r="F709" s="18" t="str">
        <f>IFERROR(__xludf.DUMMYFUNCTION("if(REGEXMATCH(C709,""x.com"")=TRUE,""Twitter"",if(REGEXMATCH(C709,""facebook"")=TRUE,""Facebook"",if(REGEXMATCH(C709,""instagram"")=TRUE,""Instagram"",if(REGEXMATCH(C709,""youtube"")=TRUE,""Youtube"",if(REGEXMATCH(C709,""tiktok"")=TRUE,""Tiktok"",if(REGEX"&amp;"MATCH(C709,""threads"")=TRUE,""Threads""))))))"),"Tiktok")</f>
        <v>Tiktok</v>
      </c>
      <c r="G709" s="18" t="s">
        <v>1381</v>
      </c>
      <c r="H709" s="18" t="s">
        <v>1343</v>
      </c>
      <c r="I709" s="18" t="s">
        <v>1181</v>
      </c>
      <c r="J709" s="18" t="s">
        <v>188</v>
      </c>
      <c r="K709" s="18"/>
      <c r="L709" s="15"/>
    </row>
    <row r="710">
      <c r="A710" s="15">
        <v>709.0</v>
      </c>
      <c r="B710" s="23">
        <v>45921.0</v>
      </c>
      <c r="C710" s="22" t="s">
        <v>1382</v>
      </c>
      <c r="D710" s="18"/>
      <c r="E710" s="18" t="s">
        <v>197</v>
      </c>
      <c r="F710" s="18" t="str">
        <f>IFERROR(__xludf.DUMMYFUNCTION("if(REGEXMATCH(C710,""x.com"")=TRUE,""Twitter"",if(REGEXMATCH(C710,""facebook"")=TRUE,""Facebook"",if(REGEXMATCH(C710,""instagram"")=TRUE,""Instagram"",if(REGEXMATCH(C710,""youtube"")=TRUE,""Youtube"",if(REGEXMATCH(C710,""tiktok"")=TRUE,""Tiktok"",if(REGEX"&amp;"MATCH(C710,""threads"")=TRUE,""Threads""))))))"),"Tiktok")</f>
        <v>Tiktok</v>
      </c>
      <c r="G710" s="18" t="s">
        <v>1383</v>
      </c>
      <c r="H710" s="18" t="s">
        <v>1343</v>
      </c>
      <c r="I710" s="18" t="s">
        <v>1181</v>
      </c>
      <c r="J710" s="18" t="s">
        <v>188</v>
      </c>
      <c r="K710" s="18"/>
      <c r="L710" s="15"/>
    </row>
    <row r="711">
      <c r="A711" s="15">
        <v>710.0</v>
      </c>
      <c r="B711" s="23">
        <v>45921.0</v>
      </c>
      <c r="C711" s="22" t="s">
        <v>1384</v>
      </c>
      <c r="D711" s="18"/>
      <c r="E711" s="18" t="s">
        <v>1385</v>
      </c>
      <c r="F711" s="18" t="str">
        <f>IFERROR(__xludf.DUMMYFUNCTION("if(REGEXMATCH(C711,""x.com"")=TRUE,""Twitter"",if(REGEXMATCH(C711,""facebook"")=TRUE,""Facebook"",if(REGEXMATCH(C711,""instagram"")=TRUE,""Instagram"",if(REGEXMATCH(C711,""youtube"")=TRUE,""Youtube"",if(REGEXMATCH(C711,""tiktok"")=TRUE,""Tiktok"",if(REGEX"&amp;"MATCH(C711,""threads"")=TRUE,""Threads""))))))"),"Tiktok")</f>
        <v>Tiktok</v>
      </c>
      <c r="G711" s="18" t="s">
        <v>1386</v>
      </c>
      <c r="H711" s="18" t="s">
        <v>1343</v>
      </c>
      <c r="I711" s="18" t="s">
        <v>1181</v>
      </c>
      <c r="J711" s="18" t="s">
        <v>188</v>
      </c>
      <c r="K711" s="18"/>
      <c r="L711" s="15"/>
    </row>
    <row r="712">
      <c r="A712" s="15">
        <v>711.0</v>
      </c>
      <c r="B712" s="23">
        <v>45921.0</v>
      </c>
      <c r="C712" s="22" t="s">
        <v>1387</v>
      </c>
      <c r="D712" s="18"/>
      <c r="E712" s="18" t="s">
        <v>197</v>
      </c>
      <c r="F712" s="18" t="str">
        <f>IFERROR(__xludf.DUMMYFUNCTION("if(REGEXMATCH(C712,""x.com"")=TRUE,""Twitter"",if(REGEXMATCH(C712,""facebook"")=TRUE,""Facebook"",if(REGEXMATCH(C712,""instagram"")=TRUE,""Instagram"",if(REGEXMATCH(C712,""youtube"")=TRUE,""Youtube"",if(REGEXMATCH(C712,""tiktok"")=TRUE,""Tiktok"",if(REGEX"&amp;"MATCH(C712,""threads"")=TRUE,""Threads""))))))"),"Tiktok")</f>
        <v>Tiktok</v>
      </c>
      <c r="G712" s="18" t="s">
        <v>1383</v>
      </c>
      <c r="H712" s="18" t="s">
        <v>1343</v>
      </c>
      <c r="I712" s="18" t="s">
        <v>1181</v>
      </c>
      <c r="J712" s="18" t="s">
        <v>188</v>
      </c>
      <c r="K712" s="18"/>
      <c r="L712" s="15"/>
    </row>
    <row r="713">
      <c r="A713" s="15">
        <v>712.0</v>
      </c>
      <c r="B713" s="23">
        <v>45921.0</v>
      </c>
      <c r="C713" s="22" t="s">
        <v>1388</v>
      </c>
      <c r="D713" s="18"/>
      <c r="E713" s="18" t="s">
        <v>197</v>
      </c>
      <c r="F713" s="18" t="str">
        <f>IFERROR(__xludf.DUMMYFUNCTION("if(REGEXMATCH(C713,""x.com"")=TRUE,""Twitter"",if(REGEXMATCH(C713,""facebook"")=TRUE,""Facebook"",if(REGEXMATCH(C713,""instagram"")=TRUE,""Instagram"",if(REGEXMATCH(C713,""youtube"")=TRUE,""Youtube"",if(REGEXMATCH(C713,""tiktok"")=TRUE,""Tiktok"",if(REGEX"&amp;"MATCH(C713,""threads"")=TRUE,""Threads""))))))"),"Tiktok")</f>
        <v>Tiktok</v>
      </c>
      <c r="G713" s="18" t="s">
        <v>1389</v>
      </c>
      <c r="H713" s="18" t="s">
        <v>1343</v>
      </c>
      <c r="I713" s="18" t="s">
        <v>1181</v>
      </c>
      <c r="J713" s="18" t="s">
        <v>188</v>
      </c>
      <c r="K713" s="18"/>
      <c r="L713" s="15"/>
    </row>
    <row r="714">
      <c r="A714" s="15">
        <v>713.0</v>
      </c>
      <c r="B714" s="23">
        <v>45921.0</v>
      </c>
      <c r="C714" s="22" t="s">
        <v>1390</v>
      </c>
      <c r="D714" s="18"/>
      <c r="E714" s="18" t="s">
        <v>197</v>
      </c>
      <c r="F714" s="18" t="str">
        <f>IFERROR(__xludf.DUMMYFUNCTION("if(REGEXMATCH(C714,""x.com"")=TRUE,""Twitter"",if(REGEXMATCH(C714,""facebook"")=TRUE,""Facebook"",if(REGEXMATCH(C714,""instagram"")=TRUE,""Instagram"",if(REGEXMATCH(C714,""youtube"")=TRUE,""Youtube"",if(REGEXMATCH(C714,""tiktok"")=TRUE,""Tiktok"",if(REGEX"&amp;"MATCH(C714,""threads"")=TRUE,""Threads""))))))"),"Twitter")</f>
        <v>Twitter</v>
      </c>
      <c r="G714" s="18" t="s">
        <v>1391</v>
      </c>
      <c r="H714" s="18" t="s">
        <v>1343</v>
      </c>
      <c r="I714" s="18" t="s">
        <v>1181</v>
      </c>
      <c r="J714" s="18" t="s">
        <v>188</v>
      </c>
      <c r="K714" s="18"/>
      <c r="L714" s="15"/>
    </row>
    <row r="715">
      <c r="A715" s="15">
        <v>714.0</v>
      </c>
      <c r="B715" s="23">
        <v>45921.0</v>
      </c>
      <c r="C715" s="22" t="s">
        <v>1392</v>
      </c>
      <c r="D715" s="18"/>
      <c r="E715" s="18" t="s">
        <v>197</v>
      </c>
      <c r="F715" s="18" t="str">
        <f>IFERROR(__xludf.DUMMYFUNCTION("if(REGEXMATCH(C715,""x.com"")=TRUE,""Twitter"",if(REGEXMATCH(C715,""facebook"")=TRUE,""Facebook"",if(REGEXMATCH(C715,""instagram"")=TRUE,""Instagram"",if(REGEXMATCH(C715,""youtube"")=TRUE,""Youtube"",if(REGEXMATCH(C715,""tiktok"")=TRUE,""Tiktok"",if(REGEX"&amp;"MATCH(C715,""threads"")=TRUE,""Threads""))))))"),"Facebook")</f>
        <v>Facebook</v>
      </c>
      <c r="G715" s="18" t="s">
        <v>1393</v>
      </c>
      <c r="H715" s="18" t="s">
        <v>1343</v>
      </c>
      <c r="I715" s="18" t="s">
        <v>1181</v>
      </c>
      <c r="J715" s="18" t="s">
        <v>188</v>
      </c>
      <c r="K715" s="18"/>
      <c r="L715" s="15"/>
    </row>
    <row r="716">
      <c r="A716" s="15">
        <v>715.0</v>
      </c>
      <c r="B716" s="23">
        <v>45921.0</v>
      </c>
      <c r="C716" s="28" t="s">
        <v>1394</v>
      </c>
      <c r="D716" s="18"/>
      <c r="E716" s="29" t="s">
        <v>401</v>
      </c>
      <c r="F716" s="18" t="str">
        <f>IFERROR(__xludf.DUMMYFUNCTION("if(REGEXMATCH(C716,""x.com"")=TRUE,""Twitter"",if(REGEXMATCH(C716,""facebook"")=TRUE,""Facebook"",if(REGEXMATCH(C716,""instagram"")=TRUE,""Instagram"",if(REGEXMATCH(C716,""youtube"")=TRUE,""Youtube"",if(REGEXMATCH(C716,""tiktok"")=TRUE,""Tiktok"",if(REGEX"&amp;"MATCH(C716,""threads"")=TRUE,""Threads""))))))"),"Facebook")</f>
        <v>Facebook</v>
      </c>
      <c r="G716" s="18" t="s">
        <v>937</v>
      </c>
      <c r="H716" s="18" t="s">
        <v>938</v>
      </c>
      <c r="I716" s="18" t="s">
        <v>939</v>
      </c>
      <c r="J716" s="18" t="s">
        <v>188</v>
      </c>
      <c r="K716" s="18"/>
      <c r="L716" s="15"/>
    </row>
    <row r="717">
      <c r="A717" s="15">
        <v>716.0</v>
      </c>
      <c r="B717" s="23">
        <v>45921.0</v>
      </c>
      <c r="C717" s="28" t="s">
        <v>1395</v>
      </c>
      <c r="D717" s="18"/>
      <c r="E717" s="18" t="s">
        <v>401</v>
      </c>
      <c r="F717" s="18" t="str">
        <f>IFERROR(__xludf.DUMMYFUNCTION("if(REGEXMATCH(C717,""x.com"")=TRUE,""Twitter"",if(REGEXMATCH(C717,""facebook"")=TRUE,""Facebook"",if(REGEXMATCH(C717,""instagram"")=TRUE,""Instagram"",if(REGEXMATCH(C717,""youtube"")=TRUE,""Youtube"",if(REGEXMATCH(C717,""tiktok"")=TRUE,""Tiktok"",if(REGEX"&amp;"MATCH(C717,""threads"")=TRUE,""Threads""))))))"),"Facebook")</f>
        <v>Facebook</v>
      </c>
      <c r="G717" s="18" t="s">
        <v>937</v>
      </c>
      <c r="H717" s="18" t="s">
        <v>938</v>
      </c>
      <c r="I717" s="18" t="s">
        <v>939</v>
      </c>
      <c r="J717" s="18" t="s">
        <v>188</v>
      </c>
      <c r="K717" s="18"/>
      <c r="L717" s="15"/>
    </row>
    <row r="718">
      <c r="A718" s="15">
        <v>717.0</v>
      </c>
      <c r="B718" s="23">
        <v>45921.0</v>
      </c>
      <c r="C718" s="28" t="s">
        <v>1396</v>
      </c>
      <c r="D718" s="18"/>
      <c r="E718" s="18" t="s">
        <v>401</v>
      </c>
      <c r="F718" s="18" t="str">
        <f>IFERROR(__xludf.DUMMYFUNCTION("if(REGEXMATCH(C718,""x.com"")=TRUE,""Twitter"",if(REGEXMATCH(C718,""facebook"")=TRUE,""Facebook"",if(REGEXMATCH(C718,""instagram"")=TRUE,""Instagram"",if(REGEXMATCH(C718,""youtube"")=TRUE,""Youtube"",if(REGEXMATCH(C718,""tiktok"")=TRUE,""Tiktok"",if(REGEX"&amp;"MATCH(C718,""threads"")=TRUE,""Threads""))))))"),"Facebook")</f>
        <v>Facebook</v>
      </c>
      <c r="G718" s="18" t="s">
        <v>937</v>
      </c>
      <c r="H718" s="18" t="s">
        <v>938</v>
      </c>
      <c r="I718" s="18" t="s">
        <v>939</v>
      </c>
      <c r="J718" s="18" t="s">
        <v>188</v>
      </c>
      <c r="K718" s="18"/>
      <c r="L718" s="15"/>
    </row>
    <row r="719">
      <c r="A719" s="15">
        <v>718.0</v>
      </c>
      <c r="B719" s="23">
        <v>45921.0</v>
      </c>
      <c r="C719" s="28" t="s">
        <v>1397</v>
      </c>
      <c r="D719" s="18"/>
      <c r="E719" s="18" t="s">
        <v>401</v>
      </c>
      <c r="F719" s="18" t="str">
        <f>IFERROR(__xludf.DUMMYFUNCTION("if(REGEXMATCH(C719,""x.com"")=TRUE,""Twitter"",if(REGEXMATCH(C719,""facebook"")=TRUE,""Facebook"",if(REGEXMATCH(C719,""instagram"")=TRUE,""Instagram"",if(REGEXMATCH(C719,""youtube"")=TRUE,""Youtube"",if(REGEXMATCH(C719,""tiktok"")=TRUE,""Tiktok"",if(REGEX"&amp;"MATCH(C719,""threads"")=TRUE,""Threads""))))))"),"Facebook")</f>
        <v>Facebook</v>
      </c>
      <c r="G719" s="18" t="s">
        <v>937</v>
      </c>
      <c r="H719" s="18" t="s">
        <v>938</v>
      </c>
      <c r="I719" s="18" t="s">
        <v>939</v>
      </c>
      <c r="J719" s="18" t="s">
        <v>188</v>
      </c>
      <c r="K719" s="18"/>
      <c r="L719" s="15"/>
    </row>
    <row r="720">
      <c r="A720" s="15">
        <v>719.0</v>
      </c>
      <c r="B720" s="23">
        <v>45921.0</v>
      </c>
      <c r="C720" s="28" t="s">
        <v>1398</v>
      </c>
      <c r="D720" s="18"/>
      <c r="E720" s="18" t="s">
        <v>401</v>
      </c>
      <c r="F720" s="18" t="str">
        <f>IFERROR(__xludf.DUMMYFUNCTION("if(REGEXMATCH(C720,""x.com"")=TRUE,""Twitter"",if(REGEXMATCH(C720,""facebook"")=TRUE,""Facebook"",if(REGEXMATCH(C720,""instagram"")=TRUE,""Instagram"",if(REGEXMATCH(C720,""youtube"")=TRUE,""Youtube"",if(REGEXMATCH(C720,""tiktok"")=TRUE,""Tiktok"",if(REGEX"&amp;"MATCH(C720,""threads"")=TRUE,""Threads""))))))"),"Facebook")</f>
        <v>Facebook</v>
      </c>
      <c r="G720" s="18" t="s">
        <v>937</v>
      </c>
      <c r="H720" s="18" t="s">
        <v>938</v>
      </c>
      <c r="I720" s="18" t="s">
        <v>939</v>
      </c>
      <c r="J720" s="18" t="s">
        <v>188</v>
      </c>
      <c r="K720" s="18"/>
      <c r="L720" s="15"/>
    </row>
    <row r="721">
      <c r="A721" s="15">
        <v>720.0</v>
      </c>
      <c r="B721" s="23">
        <v>45921.0</v>
      </c>
      <c r="C721" s="22" t="s">
        <v>1399</v>
      </c>
      <c r="D721" s="18"/>
      <c r="E721" s="18" t="s">
        <v>184</v>
      </c>
      <c r="F721" s="18" t="str">
        <f>IFERROR(__xludf.DUMMYFUNCTION("if(REGEXMATCH(C721,""x.com"")=TRUE,""Twitter"",if(REGEXMATCH(C721,""facebook"")=TRUE,""Facebook"",if(REGEXMATCH(C721,""instagram"")=TRUE,""Instagram"",if(REGEXMATCH(C721,""youtube"")=TRUE,""Youtube"",if(REGEXMATCH(C721,""tiktok"")=TRUE,""Tiktok"",if(REGEX"&amp;"MATCH(C721,""threads"")=TRUE,""Threads""))))))"),"Instagram")</f>
        <v>Instagram</v>
      </c>
      <c r="G721" s="18" t="s">
        <v>1400</v>
      </c>
      <c r="H721" s="18" t="s">
        <v>407</v>
      </c>
      <c r="I721" s="18"/>
      <c r="J721" s="18" t="s">
        <v>188</v>
      </c>
      <c r="K721" s="18"/>
      <c r="L721" s="15"/>
    </row>
    <row r="722">
      <c r="A722" s="15">
        <v>721.0</v>
      </c>
      <c r="B722" s="23">
        <v>45921.0</v>
      </c>
      <c r="C722" s="22" t="s">
        <v>1401</v>
      </c>
      <c r="D722" s="18"/>
      <c r="E722" s="18" t="s">
        <v>184</v>
      </c>
      <c r="F722" s="18" t="str">
        <f>IFERROR(__xludf.DUMMYFUNCTION("if(REGEXMATCH(C722,""x.com"")=TRUE,""Twitter"",if(REGEXMATCH(C722,""facebook"")=TRUE,""Facebook"",if(REGEXMATCH(C722,""instagram"")=TRUE,""Instagram"",if(REGEXMATCH(C722,""youtube"")=TRUE,""Youtube"",if(REGEXMATCH(C722,""tiktok"")=TRUE,""Tiktok"",if(REGEX"&amp;"MATCH(C722,""threads"")=TRUE,""Threads""))))))"),"Instagram")</f>
        <v>Instagram</v>
      </c>
      <c r="G722" s="18" t="s">
        <v>1400</v>
      </c>
      <c r="H722" s="18" t="s">
        <v>407</v>
      </c>
      <c r="I722" s="18"/>
      <c r="J722" s="18" t="s">
        <v>188</v>
      </c>
      <c r="K722" s="18"/>
      <c r="L722" s="15"/>
    </row>
    <row r="723">
      <c r="A723" s="15">
        <v>722.0</v>
      </c>
      <c r="B723" s="23">
        <v>45921.0</v>
      </c>
      <c r="C723" s="22" t="s">
        <v>1402</v>
      </c>
      <c r="D723" s="18"/>
      <c r="E723" s="18" t="s">
        <v>184</v>
      </c>
      <c r="F723" s="18" t="str">
        <f>IFERROR(__xludf.DUMMYFUNCTION("if(REGEXMATCH(C723,""x.com"")=TRUE,""Twitter"",if(REGEXMATCH(C723,""facebook"")=TRUE,""Facebook"",if(REGEXMATCH(C723,""instagram"")=TRUE,""Instagram"",if(REGEXMATCH(C723,""youtube"")=TRUE,""Youtube"",if(REGEXMATCH(C723,""tiktok"")=TRUE,""Tiktok"",if(REGEX"&amp;"MATCH(C723,""threads"")=TRUE,""Threads""))))))"),"Facebook")</f>
        <v>Facebook</v>
      </c>
      <c r="G723" s="18" t="s">
        <v>1403</v>
      </c>
      <c r="H723" s="18" t="s">
        <v>407</v>
      </c>
      <c r="I723" s="18"/>
      <c r="J723" s="18" t="s">
        <v>188</v>
      </c>
      <c r="K723" s="18"/>
      <c r="L723" s="15"/>
    </row>
    <row r="724">
      <c r="A724" s="15">
        <v>723.0</v>
      </c>
      <c r="B724" s="23">
        <v>45921.0</v>
      </c>
      <c r="C724" s="22" t="s">
        <v>1404</v>
      </c>
      <c r="D724" s="18"/>
      <c r="E724" s="18" t="s">
        <v>184</v>
      </c>
      <c r="F724" s="18" t="str">
        <f>IFERROR(__xludf.DUMMYFUNCTION("if(REGEXMATCH(C724,""x.com"")=TRUE,""Twitter"",if(REGEXMATCH(C724,""facebook"")=TRUE,""Facebook"",if(REGEXMATCH(C724,""instagram"")=TRUE,""Instagram"",if(REGEXMATCH(C724,""youtube"")=TRUE,""Youtube"",if(REGEXMATCH(C724,""tiktok"")=TRUE,""Tiktok"",if(REGEX"&amp;"MATCH(C724,""threads"")=TRUE,""Threads""))))))"),"Facebook")</f>
        <v>Facebook</v>
      </c>
      <c r="G724" s="18" t="s">
        <v>1405</v>
      </c>
      <c r="H724" s="18" t="s">
        <v>407</v>
      </c>
      <c r="I724" s="18"/>
      <c r="J724" s="18" t="s">
        <v>188</v>
      </c>
      <c r="K724" s="18"/>
      <c r="L724" s="15"/>
    </row>
    <row r="725">
      <c r="A725" s="15">
        <v>724.0</v>
      </c>
      <c r="B725" s="23">
        <v>45922.0</v>
      </c>
      <c r="C725" s="22" t="s">
        <v>1406</v>
      </c>
      <c r="D725" s="18"/>
      <c r="E725" s="18" t="s">
        <v>184</v>
      </c>
      <c r="F725" s="18" t="str">
        <f>IFERROR(__xludf.DUMMYFUNCTION("if(REGEXMATCH(C725,""x.com"")=TRUE,""Twitter"",if(REGEXMATCH(C725,""facebook"")=TRUE,""Facebook"",if(REGEXMATCH(C725,""instagram"")=TRUE,""Instagram"",if(REGEXMATCH(C725,""youtube"")=TRUE,""Youtube"",if(REGEXMATCH(C725,""tiktok"")=TRUE,""Tiktok"",if(REGEX"&amp;"MATCH(C725,""threads"")=TRUE,""Threads""))))))"),"Facebook")</f>
        <v>Facebook</v>
      </c>
      <c r="G725" s="18" t="s">
        <v>1407</v>
      </c>
      <c r="H725" s="18" t="s">
        <v>1343</v>
      </c>
      <c r="I725" s="18" t="s">
        <v>1181</v>
      </c>
      <c r="J725" s="18" t="s">
        <v>188</v>
      </c>
      <c r="K725" s="18"/>
      <c r="L725" s="15"/>
    </row>
    <row r="726">
      <c r="A726" s="15">
        <v>725.0</v>
      </c>
      <c r="B726" s="23">
        <v>45922.0</v>
      </c>
      <c r="C726" s="22" t="s">
        <v>1408</v>
      </c>
      <c r="D726" s="18"/>
      <c r="E726" s="18" t="s">
        <v>184</v>
      </c>
      <c r="F726" s="18" t="str">
        <f>IFERROR(__xludf.DUMMYFUNCTION("if(REGEXMATCH(C726,""x.com"")=TRUE,""Twitter"",if(REGEXMATCH(C726,""facebook"")=TRUE,""Facebook"",if(REGEXMATCH(C726,""instagram"")=TRUE,""Instagram"",if(REGEXMATCH(C726,""youtube"")=TRUE,""Youtube"",if(REGEXMATCH(C726,""tiktok"")=TRUE,""Tiktok"",if(REGEX"&amp;"MATCH(C726,""threads"")=TRUE,""Threads""))))))"),"Facebook")</f>
        <v>Facebook</v>
      </c>
      <c r="G726" s="18" t="s">
        <v>1409</v>
      </c>
      <c r="H726" s="18" t="s">
        <v>1343</v>
      </c>
      <c r="I726" s="18" t="s">
        <v>1181</v>
      </c>
      <c r="J726" s="18" t="s">
        <v>188</v>
      </c>
      <c r="K726" s="18"/>
      <c r="L726" s="15"/>
    </row>
    <row r="727">
      <c r="A727" s="15">
        <v>726.0</v>
      </c>
      <c r="B727" s="23">
        <v>45922.0</v>
      </c>
      <c r="C727" s="22" t="s">
        <v>1410</v>
      </c>
      <c r="D727" s="18"/>
      <c r="E727" s="18" t="s">
        <v>1363</v>
      </c>
      <c r="F727" s="18" t="str">
        <f>IFERROR(__xludf.DUMMYFUNCTION("if(REGEXMATCH(C727,""x.com"")=TRUE,""Twitter"",if(REGEXMATCH(C727,""facebook"")=TRUE,""Facebook"",if(REGEXMATCH(C727,""instagram"")=TRUE,""Instagram"",if(REGEXMATCH(C727,""youtube"")=TRUE,""Youtube"",if(REGEXMATCH(C727,""tiktok"")=TRUE,""Tiktok"",if(REGEX"&amp;"MATCH(C727,""threads"")=TRUE,""Threads""))))))"),"Tiktok")</f>
        <v>Tiktok</v>
      </c>
      <c r="G727" s="18" t="s">
        <v>1411</v>
      </c>
      <c r="H727" s="18" t="s">
        <v>1343</v>
      </c>
      <c r="I727" s="18" t="s">
        <v>1181</v>
      </c>
      <c r="J727" s="18" t="s">
        <v>188</v>
      </c>
      <c r="K727" s="18"/>
      <c r="L727" s="15"/>
    </row>
    <row r="728">
      <c r="A728" s="15">
        <v>727.0</v>
      </c>
      <c r="B728" s="23">
        <v>45922.0</v>
      </c>
      <c r="C728" s="22" t="s">
        <v>1412</v>
      </c>
      <c r="D728" s="18"/>
      <c r="E728" s="18" t="s">
        <v>429</v>
      </c>
      <c r="F728" s="18" t="str">
        <f>IFERROR(__xludf.DUMMYFUNCTION("if(REGEXMATCH(C728,""x.com"")=TRUE,""Twitter"",if(REGEXMATCH(C728,""facebook"")=TRUE,""Facebook"",if(REGEXMATCH(C728,""instagram"")=TRUE,""Instagram"",if(REGEXMATCH(C728,""youtube"")=TRUE,""Youtube"",if(REGEXMATCH(C728,""tiktok"")=TRUE,""Tiktok"",if(REGEX"&amp;"MATCH(C728,""threads"")=TRUE,""Threads""))))))"),"Tiktok")</f>
        <v>Tiktok</v>
      </c>
      <c r="G728" s="18" t="s">
        <v>1413</v>
      </c>
      <c r="H728" s="18" t="s">
        <v>1343</v>
      </c>
      <c r="I728" s="18" t="s">
        <v>1181</v>
      </c>
      <c r="J728" s="18" t="s">
        <v>188</v>
      </c>
      <c r="K728" s="18"/>
      <c r="L728" s="15"/>
    </row>
    <row r="729">
      <c r="A729" s="15">
        <v>728.0</v>
      </c>
      <c r="B729" s="23">
        <v>45922.0</v>
      </c>
      <c r="C729" s="18" t="s">
        <v>1414</v>
      </c>
      <c r="D729" s="18"/>
      <c r="E729" s="18" t="s">
        <v>429</v>
      </c>
      <c r="F729" s="18" t="str">
        <f>IFERROR(__xludf.DUMMYFUNCTION("if(REGEXMATCH(C729,""x.com"")=TRUE,""Twitter"",if(REGEXMATCH(C729,""facebook"")=TRUE,""Facebook"",if(REGEXMATCH(C729,""instagram"")=TRUE,""Instagram"",if(REGEXMATCH(C729,""youtube"")=TRUE,""Youtube"",if(REGEXMATCH(C729,""tiktok"")=TRUE,""Tiktok"",if(REGEX"&amp;"MATCH(C729,""threads"")=TRUE,""Threads""))))))"),"Tiktok")</f>
        <v>Tiktok</v>
      </c>
      <c r="G729" s="18" t="s">
        <v>1415</v>
      </c>
      <c r="H729" s="18" t="s">
        <v>1343</v>
      </c>
      <c r="I729" s="18" t="s">
        <v>1181</v>
      </c>
      <c r="J729" s="18" t="s">
        <v>188</v>
      </c>
      <c r="K729" s="18" t="s">
        <v>1416</v>
      </c>
      <c r="L729" s="15"/>
    </row>
    <row r="730">
      <c r="A730" s="15">
        <v>729.0</v>
      </c>
      <c r="B730" s="23">
        <v>45922.0</v>
      </c>
      <c r="C730" s="22" t="s">
        <v>1417</v>
      </c>
      <c r="D730" s="18"/>
      <c r="E730" s="18" t="s">
        <v>429</v>
      </c>
      <c r="F730" s="18" t="str">
        <f>IFERROR(__xludf.DUMMYFUNCTION("if(REGEXMATCH(C730,""x.com"")=TRUE,""Twitter"",if(REGEXMATCH(C730,""facebook"")=TRUE,""Facebook"",if(REGEXMATCH(C730,""instagram"")=TRUE,""Instagram"",if(REGEXMATCH(C730,""youtube"")=TRUE,""Youtube"",if(REGEXMATCH(C730,""tiktok"")=TRUE,""Tiktok"",if(REGEX"&amp;"MATCH(C730,""threads"")=TRUE,""Threads""))))))"),"Tiktok")</f>
        <v>Tiktok</v>
      </c>
      <c r="G730" s="18" t="s">
        <v>1418</v>
      </c>
      <c r="H730" s="18" t="s">
        <v>1343</v>
      </c>
      <c r="I730" s="18" t="s">
        <v>1181</v>
      </c>
      <c r="J730" s="18" t="s">
        <v>422</v>
      </c>
      <c r="K730" s="18" t="s">
        <v>1419</v>
      </c>
      <c r="L730" s="15"/>
    </row>
    <row r="731">
      <c r="A731" s="15">
        <v>730.0</v>
      </c>
      <c r="B731" s="23">
        <v>45922.0</v>
      </c>
      <c r="C731" s="22" t="s">
        <v>1420</v>
      </c>
      <c r="D731" s="18"/>
      <c r="E731" s="18" t="s">
        <v>429</v>
      </c>
      <c r="F731" s="18" t="str">
        <f>IFERROR(__xludf.DUMMYFUNCTION("if(REGEXMATCH(C731,""x.com"")=TRUE,""Twitter"",if(REGEXMATCH(C731,""facebook"")=TRUE,""Facebook"",if(REGEXMATCH(C731,""instagram"")=TRUE,""Instagram"",if(REGEXMATCH(C731,""youtube"")=TRUE,""Youtube"",if(REGEXMATCH(C731,""tiktok"")=TRUE,""Tiktok"",if(REGEX"&amp;"MATCH(C731,""threads"")=TRUE,""Threads""))))))"),"Tiktok")</f>
        <v>Tiktok</v>
      </c>
      <c r="G731" s="18" t="s">
        <v>1421</v>
      </c>
      <c r="H731" s="18" t="s">
        <v>1343</v>
      </c>
      <c r="I731" s="18" t="s">
        <v>1181</v>
      </c>
      <c r="J731" s="18" t="s">
        <v>188</v>
      </c>
      <c r="K731" s="18" t="s">
        <v>1422</v>
      </c>
      <c r="L731" s="15"/>
    </row>
    <row r="732">
      <c r="A732" s="15">
        <v>731.0</v>
      </c>
      <c r="B732" s="23">
        <v>45922.0</v>
      </c>
      <c r="C732" s="22" t="s">
        <v>1423</v>
      </c>
      <c r="D732" s="18"/>
      <c r="E732" s="18" t="s">
        <v>184</v>
      </c>
      <c r="F732" s="18" t="str">
        <f>IFERROR(__xludf.DUMMYFUNCTION("if(REGEXMATCH(C732,""x.com"")=TRUE,""Twitter"",if(REGEXMATCH(C732,""facebook"")=TRUE,""Facebook"",if(REGEXMATCH(C732,""instagram"")=TRUE,""Instagram"",if(REGEXMATCH(C732,""youtube"")=TRUE,""Youtube"",if(REGEXMATCH(C732,""tiktok"")=TRUE,""Tiktok"",if(REGEX"&amp;"MATCH(C732,""threads"")=TRUE,""Threads""))))))"),"Tiktok")</f>
        <v>Tiktok</v>
      </c>
      <c r="G732" s="18" t="s">
        <v>1424</v>
      </c>
      <c r="H732" s="18" t="s">
        <v>1343</v>
      </c>
      <c r="I732" s="18" t="s">
        <v>1181</v>
      </c>
      <c r="J732" s="18" t="s">
        <v>188</v>
      </c>
      <c r="K732" s="18"/>
      <c r="L732" s="15"/>
    </row>
    <row r="733">
      <c r="A733" s="15">
        <v>732.0</v>
      </c>
      <c r="B733" s="23">
        <v>45922.0</v>
      </c>
      <c r="C733" s="22" t="s">
        <v>1425</v>
      </c>
      <c r="D733" s="18"/>
      <c r="E733" s="18" t="s">
        <v>184</v>
      </c>
      <c r="F733" s="18" t="str">
        <f>IFERROR(__xludf.DUMMYFUNCTION("if(REGEXMATCH(C733,""x.com"")=TRUE,""Twitter"",if(REGEXMATCH(C733,""facebook"")=TRUE,""Facebook"",if(REGEXMATCH(C733,""instagram"")=TRUE,""Instagram"",if(REGEXMATCH(C733,""youtube"")=TRUE,""Youtube"",if(REGEXMATCH(C733,""tiktok"")=TRUE,""Tiktok"",if(REGEX"&amp;"MATCH(C733,""threads"")=TRUE,""Threads""))))))"),"Tiktok")</f>
        <v>Tiktok</v>
      </c>
      <c r="G733" s="18" t="s">
        <v>1426</v>
      </c>
      <c r="H733" s="18" t="s">
        <v>1343</v>
      </c>
      <c r="I733" s="18" t="s">
        <v>1181</v>
      </c>
      <c r="J733" s="18" t="s">
        <v>188</v>
      </c>
      <c r="K733" s="18"/>
      <c r="L733" s="15"/>
    </row>
    <row r="734">
      <c r="A734" s="15">
        <v>733.0</v>
      </c>
      <c r="B734" s="23">
        <v>45922.0</v>
      </c>
      <c r="C734" s="22" t="s">
        <v>1427</v>
      </c>
      <c r="D734" s="18"/>
      <c r="E734" s="18" t="s">
        <v>184</v>
      </c>
      <c r="F734" s="18" t="str">
        <f>IFERROR(__xludf.DUMMYFUNCTION("if(REGEXMATCH(C734,""x.com"")=TRUE,""Twitter"",if(REGEXMATCH(C734,""facebook"")=TRUE,""Facebook"",if(REGEXMATCH(C734,""instagram"")=TRUE,""Instagram"",if(REGEXMATCH(C734,""youtube"")=TRUE,""Youtube"",if(REGEXMATCH(C734,""tiktok"")=TRUE,""Tiktok"",if(REGEX"&amp;"MATCH(C734,""threads"")=TRUE,""Threads""))))))"),"Tiktok")</f>
        <v>Tiktok</v>
      </c>
      <c r="G734" s="18" t="s">
        <v>1428</v>
      </c>
      <c r="H734" s="18" t="s">
        <v>1343</v>
      </c>
      <c r="I734" s="18" t="s">
        <v>1181</v>
      </c>
      <c r="J734" s="18" t="s">
        <v>188</v>
      </c>
      <c r="K734" s="18" t="s">
        <v>1429</v>
      </c>
      <c r="L734" s="15"/>
    </row>
    <row r="735">
      <c r="A735" s="15">
        <v>734.0</v>
      </c>
      <c r="B735" s="23">
        <v>45922.0</v>
      </c>
      <c r="C735" s="22" t="s">
        <v>1430</v>
      </c>
      <c r="D735" s="18"/>
      <c r="E735" s="18" t="s">
        <v>429</v>
      </c>
      <c r="F735" s="18" t="str">
        <f>IFERROR(__xludf.DUMMYFUNCTION("if(REGEXMATCH(C735,""x.com"")=TRUE,""Twitter"",if(REGEXMATCH(C735,""facebook"")=TRUE,""Facebook"",if(REGEXMATCH(C735,""instagram"")=TRUE,""Instagram"",if(REGEXMATCH(C735,""youtube"")=TRUE,""Youtube"",if(REGEXMATCH(C735,""tiktok"")=TRUE,""Tiktok"",if(REGEX"&amp;"MATCH(C735,""threads"")=TRUE,""Threads""))))))"),"Tiktok")</f>
        <v>Tiktok</v>
      </c>
      <c r="G735" s="18" t="s">
        <v>1431</v>
      </c>
      <c r="H735" s="18" t="s">
        <v>1343</v>
      </c>
      <c r="I735" s="18" t="s">
        <v>1181</v>
      </c>
      <c r="J735" s="18" t="s">
        <v>188</v>
      </c>
      <c r="K735" s="18" t="s">
        <v>1422</v>
      </c>
      <c r="L735" s="15"/>
    </row>
    <row r="736">
      <c r="A736" s="15">
        <v>735.0</v>
      </c>
      <c r="B736" s="23">
        <v>45922.0</v>
      </c>
      <c r="C736" s="22" t="s">
        <v>1432</v>
      </c>
      <c r="D736" s="18"/>
      <c r="E736" s="18" t="s">
        <v>184</v>
      </c>
      <c r="F736" s="18" t="str">
        <f>IFERROR(__xludf.DUMMYFUNCTION("if(REGEXMATCH(C736,""x.com"")=TRUE,""Twitter"",if(REGEXMATCH(C736,""facebook"")=TRUE,""Facebook"",if(REGEXMATCH(C736,""instagram"")=TRUE,""Instagram"",if(REGEXMATCH(C736,""youtube"")=TRUE,""Youtube"",if(REGEXMATCH(C736,""tiktok"")=TRUE,""Tiktok"",if(REGEX"&amp;"MATCH(C736,""threads"")=TRUE,""Threads""))))))"),"Tiktok")</f>
        <v>Tiktok</v>
      </c>
      <c r="G736" s="18" t="s">
        <v>1433</v>
      </c>
      <c r="H736" s="18" t="s">
        <v>1343</v>
      </c>
      <c r="I736" s="18" t="s">
        <v>1181</v>
      </c>
      <c r="J736" s="18" t="s">
        <v>188</v>
      </c>
      <c r="K736" s="18" t="s">
        <v>1434</v>
      </c>
      <c r="L736" s="15"/>
    </row>
    <row r="737">
      <c r="A737" s="15">
        <v>736.0</v>
      </c>
      <c r="B737" s="23">
        <v>45922.0</v>
      </c>
      <c r="C737" s="22" t="s">
        <v>1435</v>
      </c>
      <c r="D737" s="18"/>
      <c r="E737" s="18" t="s">
        <v>184</v>
      </c>
      <c r="F737" s="18" t="str">
        <f>IFERROR(__xludf.DUMMYFUNCTION("if(REGEXMATCH(C737,""x.com"")=TRUE,""Twitter"",if(REGEXMATCH(C737,""facebook"")=TRUE,""Facebook"",if(REGEXMATCH(C737,""instagram"")=TRUE,""Instagram"",if(REGEXMATCH(C737,""youtube"")=TRUE,""Youtube"",if(REGEXMATCH(C737,""tiktok"")=TRUE,""Tiktok"",if(REGEX"&amp;"MATCH(C737,""threads"")=TRUE,""Threads""))))))"),"Twitter")</f>
        <v>Twitter</v>
      </c>
      <c r="G737" s="18" t="s">
        <v>1436</v>
      </c>
      <c r="H737" s="18" t="s">
        <v>1343</v>
      </c>
      <c r="I737" s="18" t="s">
        <v>1181</v>
      </c>
      <c r="J737" s="18" t="s">
        <v>188</v>
      </c>
      <c r="K737" s="18"/>
      <c r="L737" s="15"/>
    </row>
    <row r="738">
      <c r="A738" s="15">
        <v>737.0</v>
      </c>
      <c r="B738" s="23">
        <v>45922.0</v>
      </c>
      <c r="C738" s="22" t="s">
        <v>1437</v>
      </c>
      <c r="D738" s="18"/>
      <c r="E738" s="18" t="s">
        <v>184</v>
      </c>
      <c r="F738" s="18" t="str">
        <f>IFERROR(__xludf.DUMMYFUNCTION("if(REGEXMATCH(C738,""x.com"")=TRUE,""Twitter"",if(REGEXMATCH(C738,""facebook"")=TRUE,""Facebook"",if(REGEXMATCH(C738,""instagram"")=TRUE,""Instagram"",if(REGEXMATCH(C738,""youtube"")=TRUE,""Youtube"",if(REGEXMATCH(C738,""tiktok"")=TRUE,""Tiktok"",if(REGEX"&amp;"MATCH(C738,""threads"")=TRUE,""Threads""))))))"),"Twitter")</f>
        <v>Twitter</v>
      </c>
      <c r="G738" s="18" t="s">
        <v>1438</v>
      </c>
      <c r="H738" s="18" t="s">
        <v>1343</v>
      </c>
      <c r="I738" s="18" t="s">
        <v>1181</v>
      </c>
      <c r="J738" s="18" t="s">
        <v>188</v>
      </c>
      <c r="K738" s="18"/>
      <c r="L738" s="15"/>
    </row>
    <row r="739">
      <c r="A739" s="15">
        <v>738.0</v>
      </c>
      <c r="B739" s="23">
        <v>45922.0</v>
      </c>
      <c r="C739" s="22" t="s">
        <v>1439</v>
      </c>
      <c r="D739" s="18"/>
      <c r="E739" s="18" t="s">
        <v>184</v>
      </c>
      <c r="F739" s="18" t="str">
        <f>IFERROR(__xludf.DUMMYFUNCTION("if(REGEXMATCH(C739,""x.com"")=TRUE,""Twitter"",if(REGEXMATCH(C739,""facebook"")=TRUE,""Facebook"",if(REGEXMATCH(C739,""instagram"")=TRUE,""Instagram"",if(REGEXMATCH(C739,""youtube"")=TRUE,""Youtube"",if(REGEXMATCH(C739,""tiktok"")=TRUE,""Tiktok"",if(REGEX"&amp;"MATCH(C739,""threads"")=TRUE,""Threads""))))))"),"Tiktok")</f>
        <v>Tiktok</v>
      </c>
      <c r="G739" s="18" t="s">
        <v>1440</v>
      </c>
      <c r="H739" s="18" t="s">
        <v>1343</v>
      </c>
      <c r="I739" s="18" t="s">
        <v>1181</v>
      </c>
      <c r="J739" s="18" t="s">
        <v>188</v>
      </c>
      <c r="K739" s="18"/>
      <c r="L739" s="15"/>
    </row>
    <row r="740">
      <c r="A740" s="15">
        <v>739.0</v>
      </c>
      <c r="B740" s="23">
        <v>45922.0</v>
      </c>
      <c r="C740" s="22" t="s">
        <v>1441</v>
      </c>
      <c r="D740" s="18"/>
      <c r="E740" s="18" t="s">
        <v>184</v>
      </c>
      <c r="F740" s="18" t="str">
        <f>IFERROR(__xludf.DUMMYFUNCTION("if(REGEXMATCH(C740,""x.com"")=TRUE,""Twitter"",if(REGEXMATCH(C740,""facebook"")=TRUE,""Facebook"",if(REGEXMATCH(C740,""instagram"")=TRUE,""Instagram"",if(REGEXMATCH(C740,""youtube"")=TRUE,""Youtube"",if(REGEXMATCH(C740,""tiktok"")=TRUE,""Tiktok"",if(REGEX"&amp;"MATCH(C740,""threads"")=TRUE,""Threads""))))))"),"Tiktok")</f>
        <v>Tiktok</v>
      </c>
      <c r="G740" s="18" t="s">
        <v>1442</v>
      </c>
      <c r="H740" s="18" t="s">
        <v>1343</v>
      </c>
      <c r="I740" s="18" t="s">
        <v>1181</v>
      </c>
      <c r="J740" s="18" t="s">
        <v>188</v>
      </c>
      <c r="K740" s="18"/>
      <c r="L740" s="15"/>
    </row>
    <row r="741">
      <c r="A741" s="15">
        <v>740.0</v>
      </c>
      <c r="B741" s="23">
        <v>45922.0</v>
      </c>
      <c r="C741" s="22" t="s">
        <v>1443</v>
      </c>
      <c r="D741" s="18"/>
      <c r="E741" s="18" t="s">
        <v>184</v>
      </c>
      <c r="F741" s="18" t="str">
        <f>IFERROR(__xludf.DUMMYFUNCTION("if(REGEXMATCH(C741,""x.com"")=TRUE,""Twitter"",if(REGEXMATCH(C741,""facebook"")=TRUE,""Facebook"",if(REGEXMATCH(C741,""instagram"")=TRUE,""Instagram"",if(REGEXMATCH(C741,""youtube"")=TRUE,""Youtube"",if(REGEXMATCH(C741,""tiktok"")=TRUE,""Tiktok"",if(REGEX"&amp;"MATCH(C741,""threads"")=TRUE,""Threads""))))))"),"Facebook")</f>
        <v>Facebook</v>
      </c>
      <c r="G741" s="18" t="s">
        <v>1444</v>
      </c>
      <c r="H741" s="18" t="s">
        <v>1343</v>
      </c>
      <c r="I741" s="18" t="s">
        <v>1181</v>
      </c>
      <c r="J741" s="18" t="s">
        <v>188</v>
      </c>
      <c r="K741" s="18"/>
      <c r="L741" s="15"/>
    </row>
    <row r="742">
      <c r="A742" s="15">
        <v>741.0</v>
      </c>
      <c r="B742" s="23">
        <v>45922.0</v>
      </c>
      <c r="C742" s="22" t="s">
        <v>1445</v>
      </c>
      <c r="D742" s="18"/>
      <c r="E742" s="18" t="s">
        <v>184</v>
      </c>
      <c r="F742" s="18" t="str">
        <f>IFERROR(__xludf.DUMMYFUNCTION("if(REGEXMATCH(C742,""x.com"")=TRUE,""Twitter"",if(REGEXMATCH(C742,""facebook"")=TRUE,""Facebook"",if(REGEXMATCH(C742,""instagram"")=TRUE,""Instagram"",if(REGEXMATCH(C742,""youtube"")=TRUE,""Youtube"",if(REGEXMATCH(C742,""tiktok"")=TRUE,""Tiktok"",if(REGEX"&amp;"MATCH(C742,""threads"")=TRUE,""Threads""))))))"),"Twitter")</f>
        <v>Twitter</v>
      </c>
      <c r="G742" s="18" t="s">
        <v>1446</v>
      </c>
      <c r="H742" s="18" t="s">
        <v>1343</v>
      </c>
      <c r="I742" s="18" t="s">
        <v>1181</v>
      </c>
      <c r="J742" s="18" t="s">
        <v>188</v>
      </c>
      <c r="K742" s="18"/>
      <c r="L742" s="15"/>
    </row>
    <row r="743">
      <c r="A743" s="15">
        <v>742.0</v>
      </c>
      <c r="B743" s="23">
        <v>45922.0</v>
      </c>
      <c r="C743" s="22" t="s">
        <v>1447</v>
      </c>
      <c r="D743" s="18"/>
      <c r="E743" s="18" t="s">
        <v>184</v>
      </c>
      <c r="F743" s="18" t="str">
        <f>IFERROR(__xludf.DUMMYFUNCTION("if(REGEXMATCH(C743,""x.com"")=TRUE,""Twitter"",if(REGEXMATCH(C743,""facebook"")=TRUE,""Facebook"",if(REGEXMATCH(C743,""instagram"")=TRUE,""Instagram"",if(REGEXMATCH(C743,""youtube"")=TRUE,""Youtube"",if(REGEXMATCH(C743,""tiktok"")=TRUE,""Tiktok"",if(REGEX"&amp;"MATCH(C743,""threads"")=TRUE,""Threads""))))))"),"Twitter")</f>
        <v>Twitter</v>
      </c>
      <c r="G743" s="18" t="s">
        <v>1448</v>
      </c>
      <c r="H743" s="18" t="s">
        <v>1343</v>
      </c>
      <c r="I743" s="18" t="s">
        <v>1181</v>
      </c>
      <c r="J743" s="18" t="s">
        <v>188</v>
      </c>
      <c r="K743" s="18"/>
      <c r="L743" s="15"/>
    </row>
    <row r="744">
      <c r="A744" s="15">
        <v>743.0</v>
      </c>
      <c r="B744" s="23">
        <v>45922.0</v>
      </c>
      <c r="C744" s="22" t="s">
        <v>1449</v>
      </c>
      <c r="D744" s="18"/>
      <c r="E744" s="18" t="s">
        <v>1450</v>
      </c>
      <c r="F744" s="18" t="str">
        <f>IFERROR(__xludf.DUMMYFUNCTION("if(REGEXMATCH(C744,""x.com"")=TRUE,""Twitter"",if(REGEXMATCH(C744,""facebook"")=TRUE,""Facebook"",if(REGEXMATCH(C744,""instagram"")=TRUE,""Instagram"",if(REGEXMATCH(C744,""youtube"")=TRUE,""Youtube"",if(REGEXMATCH(C744,""tiktok"")=TRUE,""Tiktok"",if(REGEX"&amp;"MATCH(C744,""threads"")=TRUE,""Threads""))))))"),"Tiktok")</f>
        <v>Tiktok</v>
      </c>
      <c r="G744" s="18" t="s">
        <v>1451</v>
      </c>
      <c r="H744" s="18" t="s">
        <v>1343</v>
      </c>
      <c r="I744" s="18" t="s">
        <v>1181</v>
      </c>
      <c r="J744" s="18" t="s">
        <v>188</v>
      </c>
      <c r="K744" s="18"/>
      <c r="L744" s="15"/>
    </row>
    <row r="745">
      <c r="A745" s="15">
        <v>744.0</v>
      </c>
      <c r="B745" s="23">
        <v>45922.0</v>
      </c>
      <c r="C745" s="22" t="s">
        <v>1452</v>
      </c>
      <c r="D745" s="18"/>
      <c r="E745" s="18" t="s">
        <v>1450</v>
      </c>
      <c r="F745" s="18" t="str">
        <f>IFERROR(__xludf.DUMMYFUNCTION("if(REGEXMATCH(C745,""x.com"")=TRUE,""Twitter"",if(REGEXMATCH(C745,""facebook"")=TRUE,""Facebook"",if(REGEXMATCH(C745,""instagram"")=TRUE,""Instagram"",if(REGEXMATCH(C745,""youtube"")=TRUE,""Youtube"",if(REGEXMATCH(C745,""tiktok"")=TRUE,""Tiktok"",if(REGEX"&amp;"MATCH(C745,""threads"")=TRUE,""Threads""))))))"),"Tiktok")</f>
        <v>Tiktok</v>
      </c>
      <c r="G745" s="18" t="s">
        <v>1453</v>
      </c>
      <c r="H745" s="18" t="s">
        <v>1343</v>
      </c>
      <c r="I745" s="18" t="s">
        <v>1181</v>
      </c>
      <c r="J745" s="18" t="s">
        <v>188</v>
      </c>
      <c r="K745" s="18"/>
      <c r="L745" s="15"/>
    </row>
    <row r="746">
      <c r="A746" s="15">
        <v>745.0</v>
      </c>
      <c r="B746" s="23">
        <v>45922.0</v>
      </c>
      <c r="C746" s="22" t="s">
        <v>1454</v>
      </c>
      <c r="D746" s="18"/>
      <c r="E746" s="18" t="s">
        <v>1450</v>
      </c>
      <c r="F746" s="18" t="str">
        <f>IFERROR(__xludf.DUMMYFUNCTION("if(REGEXMATCH(C746,""x.com"")=TRUE,""Twitter"",if(REGEXMATCH(C746,""facebook"")=TRUE,""Facebook"",if(REGEXMATCH(C746,""instagram"")=TRUE,""Instagram"",if(REGEXMATCH(C746,""youtube"")=TRUE,""Youtube"",if(REGEXMATCH(C746,""tiktok"")=TRUE,""Tiktok"",if(REGEX"&amp;"MATCH(C746,""threads"")=TRUE,""Threads""))))))"),"Tiktok")</f>
        <v>Tiktok</v>
      </c>
      <c r="G746" s="18" t="s">
        <v>1455</v>
      </c>
      <c r="H746" s="18" t="s">
        <v>1343</v>
      </c>
      <c r="I746" s="18" t="s">
        <v>1181</v>
      </c>
      <c r="J746" s="18" t="s">
        <v>188</v>
      </c>
      <c r="K746" s="18"/>
      <c r="L746" s="15"/>
    </row>
    <row r="747">
      <c r="A747" s="15">
        <v>746.0</v>
      </c>
      <c r="B747" s="23">
        <v>45922.0</v>
      </c>
      <c r="C747" s="22" t="s">
        <v>1456</v>
      </c>
      <c r="D747" s="18"/>
      <c r="E747" s="18" t="s">
        <v>1457</v>
      </c>
      <c r="F747" s="18" t="str">
        <f>IFERROR(__xludf.DUMMYFUNCTION("if(REGEXMATCH(C747,""x.com"")=TRUE,""Twitter"",if(REGEXMATCH(C747,""facebook"")=TRUE,""Facebook"",if(REGEXMATCH(C747,""instagram"")=TRUE,""Instagram"",if(REGEXMATCH(C747,""youtube"")=TRUE,""Youtube"",if(REGEXMATCH(C747,""tiktok"")=TRUE,""Tiktok"",if(REGEX"&amp;"MATCH(C747,""threads"")=TRUE,""Threads""))))))"),"Tiktok")</f>
        <v>Tiktok</v>
      </c>
      <c r="G747" s="18" t="s">
        <v>1458</v>
      </c>
      <c r="H747" s="18" t="s">
        <v>1459</v>
      </c>
      <c r="I747" s="26" t="s">
        <v>1460</v>
      </c>
      <c r="J747" s="18" t="s">
        <v>188</v>
      </c>
      <c r="K747" s="18"/>
      <c r="L747" s="15"/>
    </row>
    <row r="748">
      <c r="A748" s="15">
        <v>747.0</v>
      </c>
      <c r="B748" s="23">
        <v>45922.0</v>
      </c>
      <c r="C748" s="27" t="s">
        <v>1461</v>
      </c>
      <c r="D748" s="18"/>
      <c r="E748" s="18" t="s">
        <v>1457</v>
      </c>
      <c r="F748" s="18" t="str">
        <f>IFERROR(__xludf.DUMMYFUNCTION("if(REGEXMATCH(C748,""x.com"")=TRUE,""Twitter"",if(REGEXMATCH(C748,""facebook"")=TRUE,""Facebook"",if(REGEXMATCH(C748,""instagram"")=TRUE,""Instagram"",if(REGEXMATCH(C748,""youtube"")=TRUE,""Youtube"",if(REGEXMATCH(C748,""tiktok"")=TRUE,""Tiktok"",if(REGEX"&amp;"MATCH(C748,""threads"")=TRUE,""Threads""))))))"),"Tiktok")</f>
        <v>Tiktok</v>
      </c>
      <c r="G748" s="18" t="s">
        <v>1458</v>
      </c>
      <c r="H748" s="18" t="s">
        <v>1462</v>
      </c>
      <c r="I748" s="26" t="s">
        <v>1460</v>
      </c>
      <c r="J748" s="18" t="s">
        <v>188</v>
      </c>
      <c r="K748" s="18"/>
      <c r="L748" s="15"/>
    </row>
    <row r="749">
      <c r="A749" s="15">
        <v>748.0</v>
      </c>
      <c r="B749" s="23">
        <v>45922.0</v>
      </c>
      <c r="C749" s="22" t="s">
        <v>1463</v>
      </c>
      <c r="D749" s="18"/>
      <c r="E749" s="18" t="s">
        <v>1457</v>
      </c>
      <c r="F749" s="18" t="str">
        <f>IFERROR(__xludf.DUMMYFUNCTION("if(REGEXMATCH(C749,""x.com"")=TRUE,""Twitter"",if(REGEXMATCH(C749,""facebook"")=TRUE,""Facebook"",if(REGEXMATCH(C749,""instagram"")=TRUE,""Instagram"",if(REGEXMATCH(C749,""youtube"")=TRUE,""Youtube"",if(REGEXMATCH(C749,""tiktok"")=TRUE,""Tiktok"",if(REGEX"&amp;"MATCH(C749,""threads"")=TRUE,""Threads""))))))"),"Facebook")</f>
        <v>Facebook</v>
      </c>
      <c r="G749" s="18" t="s">
        <v>1464</v>
      </c>
      <c r="H749" s="18" t="s">
        <v>1465</v>
      </c>
      <c r="I749" s="26" t="s">
        <v>1460</v>
      </c>
      <c r="J749" s="18" t="s">
        <v>188</v>
      </c>
      <c r="K749" s="18"/>
      <c r="L749" s="15"/>
    </row>
    <row r="750">
      <c r="A750" s="15">
        <v>749.0</v>
      </c>
      <c r="B750" s="23">
        <v>45922.0</v>
      </c>
      <c r="C750" s="27" t="s">
        <v>1466</v>
      </c>
      <c r="D750" s="18"/>
      <c r="E750" s="18" t="s">
        <v>577</v>
      </c>
      <c r="F750" s="18" t="str">
        <f>IFERROR(__xludf.DUMMYFUNCTION("if(REGEXMATCH(C750,""x.com"")=TRUE,""Twitter"",if(REGEXMATCH(C750,""facebook"")=TRUE,""Facebook"",if(REGEXMATCH(C750,""instagram"")=TRUE,""Instagram"",if(REGEXMATCH(C750,""youtube"")=TRUE,""Youtube"",if(REGEXMATCH(C750,""tiktok"")=TRUE,""Tiktok"",if(REGEX"&amp;"MATCH(C750,""threads"")=TRUE,""Threads""))))))"),"Facebook")</f>
        <v>Facebook</v>
      </c>
      <c r="G750" s="18" t="s">
        <v>1464</v>
      </c>
      <c r="H750" s="18" t="s">
        <v>1465</v>
      </c>
      <c r="I750" s="26" t="s">
        <v>1460</v>
      </c>
      <c r="J750" s="18" t="s">
        <v>188</v>
      </c>
      <c r="K750" s="18"/>
      <c r="L750" s="15"/>
    </row>
    <row r="751">
      <c r="A751" s="15">
        <v>750.0</v>
      </c>
      <c r="B751" s="23">
        <v>45922.0</v>
      </c>
      <c r="C751" s="28" t="s">
        <v>1467</v>
      </c>
      <c r="D751" s="18"/>
      <c r="E751" s="18" t="s">
        <v>577</v>
      </c>
      <c r="F751" s="18" t="str">
        <f>IFERROR(__xludf.DUMMYFUNCTION("if(REGEXMATCH(C751,""x.com"")=TRUE,""Twitter"",if(REGEXMATCH(C751,""facebook"")=TRUE,""Facebook"",if(REGEXMATCH(C751,""instagram"")=TRUE,""Instagram"",if(REGEXMATCH(C751,""youtube"")=TRUE,""Youtube"",if(REGEXMATCH(C751,""tiktok"")=TRUE,""Tiktok"",if(REGEX"&amp;"MATCH(C751,""threads"")=TRUE,""Threads""))))))"),"Facebook")</f>
        <v>Facebook</v>
      </c>
      <c r="G751" s="18" t="s">
        <v>1464</v>
      </c>
      <c r="H751" s="18" t="s">
        <v>1465</v>
      </c>
      <c r="I751" s="26" t="s">
        <v>1460</v>
      </c>
      <c r="J751" s="18" t="s">
        <v>188</v>
      </c>
      <c r="K751" s="18"/>
      <c r="L751" s="15"/>
    </row>
    <row r="752">
      <c r="A752" s="15">
        <v>751.0</v>
      </c>
      <c r="B752" s="23">
        <v>45922.0</v>
      </c>
      <c r="C752" s="22" t="s">
        <v>1468</v>
      </c>
      <c r="D752" s="18"/>
      <c r="E752" s="18" t="s">
        <v>577</v>
      </c>
      <c r="F752" s="18" t="str">
        <f>IFERROR(__xludf.DUMMYFUNCTION("if(REGEXMATCH(C752,""x.com"")=TRUE,""Twitter"",if(REGEXMATCH(C752,""facebook"")=TRUE,""Facebook"",if(REGEXMATCH(C752,""instagram"")=TRUE,""Instagram"",if(REGEXMATCH(C752,""youtube"")=TRUE,""Youtube"",if(REGEXMATCH(C752,""tiktok"")=TRUE,""Tiktok"",if(REGEX"&amp;"MATCH(C752,""threads"")=TRUE,""Threads""))))))"),"Facebook")</f>
        <v>Facebook</v>
      </c>
      <c r="G752" s="18" t="s">
        <v>1464</v>
      </c>
      <c r="H752" s="18" t="s">
        <v>1465</v>
      </c>
      <c r="I752" s="26" t="s">
        <v>1460</v>
      </c>
      <c r="J752" s="18" t="s">
        <v>188</v>
      </c>
      <c r="K752" s="18"/>
      <c r="L752" s="15"/>
    </row>
    <row r="753">
      <c r="A753" s="15">
        <v>752.0</v>
      </c>
      <c r="B753" s="23">
        <v>45922.0</v>
      </c>
      <c r="C753" s="22" t="s">
        <v>1469</v>
      </c>
      <c r="D753" s="18"/>
      <c r="E753" s="18" t="s">
        <v>577</v>
      </c>
      <c r="F753" s="18" t="str">
        <f>IFERROR(__xludf.DUMMYFUNCTION("if(REGEXMATCH(C753,""x.com"")=TRUE,""Twitter"",if(REGEXMATCH(C753,""facebook"")=TRUE,""Facebook"",if(REGEXMATCH(C753,""instagram"")=TRUE,""Instagram"",if(REGEXMATCH(C753,""youtube"")=TRUE,""Youtube"",if(REGEXMATCH(C753,""tiktok"")=TRUE,""Tiktok"",if(REGEX"&amp;"MATCH(C753,""threads"")=TRUE,""Threads""))))))"),"Facebook")</f>
        <v>Facebook</v>
      </c>
      <c r="G753" s="18" t="s">
        <v>1464</v>
      </c>
      <c r="H753" s="18" t="s">
        <v>1465</v>
      </c>
      <c r="I753" s="26" t="s">
        <v>1460</v>
      </c>
      <c r="J753" s="18" t="s">
        <v>188</v>
      </c>
      <c r="K753" s="18"/>
      <c r="L753" s="15"/>
    </row>
    <row r="754">
      <c r="A754" s="15">
        <v>753.0</v>
      </c>
      <c r="B754" s="23">
        <v>45922.0</v>
      </c>
      <c r="C754" s="22" t="s">
        <v>1470</v>
      </c>
      <c r="D754" s="18"/>
      <c r="E754" s="18" t="s">
        <v>577</v>
      </c>
      <c r="F754" s="18" t="str">
        <f>IFERROR(__xludf.DUMMYFUNCTION("if(REGEXMATCH(C754,""x.com"")=TRUE,""Twitter"",if(REGEXMATCH(C754,""facebook"")=TRUE,""Facebook"",if(REGEXMATCH(C754,""instagram"")=TRUE,""Instagram"",if(REGEXMATCH(C754,""youtube"")=TRUE,""Youtube"",if(REGEXMATCH(C754,""tiktok"")=TRUE,""Tiktok"",if(REGEX"&amp;"MATCH(C754,""threads"")=TRUE,""Threads""))))))"),"Facebook")</f>
        <v>Facebook</v>
      </c>
      <c r="G754" s="18" t="s">
        <v>1464</v>
      </c>
      <c r="H754" s="18" t="s">
        <v>1465</v>
      </c>
      <c r="I754" s="26" t="s">
        <v>1460</v>
      </c>
      <c r="J754" s="18" t="s">
        <v>188</v>
      </c>
      <c r="K754" s="18"/>
      <c r="L754" s="15"/>
    </row>
    <row r="755">
      <c r="A755" s="15">
        <v>754.0</v>
      </c>
      <c r="B755" s="23">
        <v>45922.0</v>
      </c>
      <c r="C755" s="22" t="s">
        <v>1471</v>
      </c>
      <c r="D755" s="18"/>
      <c r="E755" s="18" t="s">
        <v>184</v>
      </c>
      <c r="F755" s="18" t="str">
        <f>IFERROR(__xludf.DUMMYFUNCTION("if(REGEXMATCH(C755,""x.com"")=TRUE,""Twitter"",if(REGEXMATCH(C755,""facebook"")=TRUE,""Facebook"",if(REGEXMATCH(C755,""instagram"")=TRUE,""Instagram"",if(REGEXMATCH(C755,""youtube"")=TRUE,""Youtube"",if(REGEXMATCH(C755,""tiktok"")=TRUE,""Tiktok"",if(REGEX"&amp;"MATCH(C755,""threads"")=TRUE,""Threads""))))))"),"Instagram")</f>
        <v>Instagram</v>
      </c>
      <c r="G755" s="18" t="s">
        <v>1274</v>
      </c>
      <c r="H755" s="18" t="s">
        <v>410</v>
      </c>
      <c r="I755" s="18"/>
      <c r="J755" s="18" t="s">
        <v>188</v>
      </c>
      <c r="K755" s="18"/>
      <c r="L755" s="15"/>
    </row>
    <row r="756">
      <c r="A756" s="15">
        <v>755.0</v>
      </c>
      <c r="B756" s="23">
        <v>45922.0</v>
      </c>
      <c r="C756" s="22" t="s">
        <v>1472</v>
      </c>
      <c r="D756" s="18"/>
      <c r="E756" s="18" t="s">
        <v>184</v>
      </c>
      <c r="F756" s="18" t="str">
        <f>IFERROR(__xludf.DUMMYFUNCTION("if(REGEXMATCH(C756,""x.com"")=TRUE,""Twitter"",if(REGEXMATCH(C756,""facebook"")=TRUE,""Facebook"",if(REGEXMATCH(C756,""instagram"")=TRUE,""Instagram"",if(REGEXMATCH(C756,""youtube"")=TRUE,""Youtube"",if(REGEXMATCH(C756,""tiktok"")=TRUE,""Tiktok"",if(REGEX"&amp;"MATCH(C756,""threads"")=TRUE,""Threads""))))))"),"Instagram")</f>
        <v>Instagram</v>
      </c>
      <c r="G756" s="18" t="s">
        <v>1274</v>
      </c>
      <c r="H756" s="18" t="s">
        <v>410</v>
      </c>
      <c r="I756" s="18"/>
      <c r="J756" s="18" t="s">
        <v>188</v>
      </c>
      <c r="K756" s="18"/>
      <c r="L756" s="15"/>
    </row>
    <row r="757">
      <c r="A757" s="15">
        <v>756.0</v>
      </c>
      <c r="B757" s="23">
        <v>45922.0</v>
      </c>
      <c r="C757" s="22" t="s">
        <v>1473</v>
      </c>
      <c r="D757" s="18"/>
      <c r="E757" s="18" t="s">
        <v>184</v>
      </c>
      <c r="F757" s="18" t="str">
        <f>IFERROR(__xludf.DUMMYFUNCTION("if(REGEXMATCH(C757,""x.com"")=TRUE,""Twitter"",if(REGEXMATCH(C757,""facebook"")=TRUE,""Facebook"",if(REGEXMATCH(C757,""instagram"")=TRUE,""Instagram"",if(REGEXMATCH(C757,""youtube"")=TRUE,""Youtube"",if(REGEXMATCH(C757,""tiktok"")=TRUE,""Tiktok"",if(REGEX"&amp;"MATCH(C757,""threads"")=TRUE,""Threads""))))))"),"Facebook")</f>
        <v>Facebook</v>
      </c>
      <c r="G757" s="18" t="s">
        <v>822</v>
      </c>
      <c r="H757" s="18" t="s">
        <v>410</v>
      </c>
      <c r="I757" s="18"/>
      <c r="J757" s="18" t="s">
        <v>188</v>
      </c>
      <c r="K757" s="18"/>
      <c r="L757" s="15"/>
    </row>
    <row r="758">
      <c r="A758" s="15">
        <v>757.0</v>
      </c>
      <c r="B758" s="23">
        <v>45922.0</v>
      </c>
      <c r="C758" s="22" t="s">
        <v>1474</v>
      </c>
      <c r="D758" s="18"/>
      <c r="E758" s="18" t="s">
        <v>184</v>
      </c>
      <c r="F758" s="18" t="str">
        <f>IFERROR(__xludf.DUMMYFUNCTION("if(REGEXMATCH(C758,""x.com"")=TRUE,""Twitter"",if(REGEXMATCH(C758,""facebook"")=TRUE,""Facebook"",if(REGEXMATCH(C758,""instagram"")=TRUE,""Instagram"",if(REGEXMATCH(C758,""youtube"")=TRUE,""Youtube"",if(REGEXMATCH(C758,""tiktok"")=TRUE,""Tiktok"",if(REGEX"&amp;"MATCH(C758,""threads"")=TRUE,""Threads""))))))"),"Facebook")</f>
        <v>Facebook</v>
      </c>
      <c r="G758" s="18" t="s">
        <v>1174</v>
      </c>
      <c r="H758" s="18" t="s">
        <v>410</v>
      </c>
      <c r="I758" s="18"/>
      <c r="J758" s="18" t="s">
        <v>188</v>
      </c>
      <c r="K758" s="18"/>
      <c r="L758" s="15"/>
    </row>
    <row r="759">
      <c r="A759" s="15">
        <v>758.0</v>
      </c>
      <c r="B759" s="23">
        <v>45923.0</v>
      </c>
      <c r="C759" s="22" t="s">
        <v>1475</v>
      </c>
      <c r="D759" s="18"/>
      <c r="E759" s="18" t="s">
        <v>444</v>
      </c>
      <c r="F759" s="18" t="str">
        <f>IFERROR(__xludf.DUMMYFUNCTION("if(REGEXMATCH(C759,""x.com"")=TRUE,""Twitter"",if(REGEXMATCH(C759,""facebook"")=TRUE,""Facebook"",if(REGEXMATCH(C759,""instagram"")=TRUE,""Instagram"",if(REGEXMATCH(C759,""youtube"")=TRUE,""Youtube"",if(REGEXMATCH(C759,""tiktok"")=TRUE,""Tiktok"",if(REGEX"&amp;"MATCH(C759,""threads"")=TRUE,""Threads""))))))"),"Tiktok")</f>
        <v>Tiktok</v>
      </c>
      <c r="G759" s="18" t="s">
        <v>1476</v>
      </c>
      <c r="H759" s="18" t="s">
        <v>1477</v>
      </c>
      <c r="I759" s="18" t="s">
        <v>535</v>
      </c>
      <c r="J759" s="18" t="s">
        <v>188</v>
      </c>
      <c r="K759" s="18"/>
      <c r="L759" s="15"/>
    </row>
    <row r="760">
      <c r="A760" s="15">
        <v>759.0</v>
      </c>
      <c r="B760" s="23">
        <v>45923.0</v>
      </c>
      <c r="C760" s="22" t="s">
        <v>1478</v>
      </c>
      <c r="D760" s="18"/>
      <c r="E760" s="18" t="s">
        <v>184</v>
      </c>
      <c r="F760" s="18" t="str">
        <f>IFERROR(__xludf.DUMMYFUNCTION("if(REGEXMATCH(C760,""x.com"")=TRUE,""Twitter"",if(REGEXMATCH(C760,""facebook"")=TRUE,""Facebook"",if(REGEXMATCH(C760,""instagram"")=TRUE,""Instagram"",if(REGEXMATCH(C760,""youtube"")=TRUE,""Youtube"",if(REGEXMATCH(C760,""tiktok"")=TRUE,""Tiktok"",if(REGEX"&amp;"MATCH(C760,""threads"")=TRUE,""Threads""))))))"),"Tiktok")</f>
        <v>Tiktok</v>
      </c>
      <c r="G760" s="18" t="s">
        <v>1479</v>
      </c>
      <c r="H760" s="18" t="s">
        <v>1477</v>
      </c>
      <c r="I760" s="18" t="s">
        <v>535</v>
      </c>
      <c r="J760" s="18" t="s">
        <v>188</v>
      </c>
      <c r="K760" s="18"/>
      <c r="L760" s="15"/>
    </row>
    <row r="761">
      <c r="A761" s="15">
        <v>760.0</v>
      </c>
      <c r="B761" s="23">
        <v>45923.0</v>
      </c>
      <c r="C761" s="22" t="s">
        <v>1480</v>
      </c>
      <c r="D761" s="18"/>
      <c r="E761" s="18" t="s">
        <v>184</v>
      </c>
      <c r="F761" s="18" t="str">
        <f>IFERROR(__xludf.DUMMYFUNCTION("if(REGEXMATCH(C761,""x.com"")=TRUE,""Twitter"",if(REGEXMATCH(C761,""facebook"")=TRUE,""Facebook"",if(REGEXMATCH(C761,""instagram"")=TRUE,""Instagram"",if(REGEXMATCH(C761,""youtube"")=TRUE,""Youtube"",if(REGEXMATCH(C761,""tiktok"")=TRUE,""Tiktok"",if(REGEX"&amp;"MATCH(C761,""threads"")=TRUE,""Threads""))))))"),"Tiktok")</f>
        <v>Tiktok</v>
      </c>
      <c r="G761" s="18" t="s">
        <v>1481</v>
      </c>
      <c r="H761" s="18" t="s">
        <v>1477</v>
      </c>
      <c r="I761" s="18" t="s">
        <v>535</v>
      </c>
      <c r="J761" s="18" t="s">
        <v>188</v>
      </c>
      <c r="K761" s="18"/>
      <c r="L761" s="15"/>
    </row>
    <row r="762">
      <c r="A762" s="15">
        <v>761.0</v>
      </c>
      <c r="B762" s="23">
        <v>45923.0</v>
      </c>
      <c r="C762" s="22" t="s">
        <v>1482</v>
      </c>
      <c r="D762" s="18"/>
      <c r="E762" s="18" t="s">
        <v>184</v>
      </c>
      <c r="F762" s="18" t="str">
        <f>IFERROR(__xludf.DUMMYFUNCTION("if(REGEXMATCH(C762,""x.com"")=TRUE,""Twitter"",if(REGEXMATCH(C762,""facebook"")=TRUE,""Facebook"",if(REGEXMATCH(C762,""instagram"")=TRUE,""Instagram"",if(REGEXMATCH(C762,""youtube"")=TRUE,""Youtube"",if(REGEXMATCH(C762,""tiktok"")=TRUE,""Tiktok"",if(REGEX"&amp;"MATCH(C762,""threads"")=TRUE,""Threads""))))))"),"Tiktok")</f>
        <v>Tiktok</v>
      </c>
      <c r="G762" s="18" t="s">
        <v>1483</v>
      </c>
      <c r="H762" s="18" t="s">
        <v>1477</v>
      </c>
      <c r="I762" s="18" t="s">
        <v>535</v>
      </c>
      <c r="J762" s="18" t="s">
        <v>188</v>
      </c>
      <c r="K762" s="18"/>
      <c r="L762" s="15"/>
    </row>
    <row r="763">
      <c r="A763" s="15">
        <v>762.0</v>
      </c>
      <c r="B763" s="23">
        <v>45923.0</v>
      </c>
      <c r="C763" s="22" t="s">
        <v>1484</v>
      </c>
      <c r="D763" s="18"/>
      <c r="E763" s="18" t="s">
        <v>184</v>
      </c>
      <c r="F763" s="18" t="str">
        <f>IFERROR(__xludf.DUMMYFUNCTION("if(REGEXMATCH(C763,""x.com"")=TRUE,""Twitter"",if(REGEXMATCH(C763,""facebook"")=TRUE,""Facebook"",if(REGEXMATCH(C763,""instagram"")=TRUE,""Instagram"",if(REGEXMATCH(C763,""youtube"")=TRUE,""Youtube"",if(REGEXMATCH(C763,""tiktok"")=TRUE,""Tiktok"",if(REGEX"&amp;"MATCH(C763,""threads"")=TRUE,""Threads""))))))"),"Tiktok")</f>
        <v>Tiktok</v>
      </c>
      <c r="G763" s="18" t="s">
        <v>1485</v>
      </c>
      <c r="H763" s="18" t="s">
        <v>1477</v>
      </c>
      <c r="I763" s="18" t="s">
        <v>535</v>
      </c>
      <c r="J763" s="18" t="s">
        <v>188</v>
      </c>
      <c r="K763" s="18"/>
      <c r="L763" s="15"/>
    </row>
    <row r="764">
      <c r="A764" s="15">
        <v>763.0</v>
      </c>
      <c r="B764" s="23">
        <v>45923.0</v>
      </c>
      <c r="C764" s="22" t="s">
        <v>1486</v>
      </c>
      <c r="D764" s="18"/>
      <c r="E764" s="18" t="s">
        <v>184</v>
      </c>
      <c r="F764" s="18" t="str">
        <f>IFERROR(__xludf.DUMMYFUNCTION("if(REGEXMATCH(C764,""x.com"")=TRUE,""Twitter"",if(REGEXMATCH(C764,""facebook"")=TRUE,""Facebook"",if(REGEXMATCH(C764,""instagram"")=TRUE,""Instagram"",if(REGEXMATCH(C764,""youtube"")=TRUE,""Youtube"",if(REGEXMATCH(C764,""tiktok"")=TRUE,""Tiktok"",if(REGEX"&amp;"MATCH(C764,""threads"")=TRUE,""Threads""))))))"),"Tiktok")</f>
        <v>Tiktok</v>
      </c>
      <c r="G764" s="18" t="s">
        <v>1487</v>
      </c>
      <c r="H764" s="18" t="s">
        <v>1477</v>
      </c>
      <c r="I764" s="18" t="s">
        <v>535</v>
      </c>
      <c r="J764" s="18" t="s">
        <v>188</v>
      </c>
      <c r="K764" s="18"/>
      <c r="L764" s="15"/>
    </row>
    <row r="765">
      <c r="A765" s="15">
        <v>764.0</v>
      </c>
      <c r="B765" s="23">
        <v>45923.0</v>
      </c>
      <c r="C765" s="22" t="s">
        <v>1488</v>
      </c>
      <c r="D765" s="18"/>
      <c r="E765" s="18" t="s">
        <v>184</v>
      </c>
      <c r="F765" s="18" t="str">
        <f>IFERROR(__xludf.DUMMYFUNCTION("if(REGEXMATCH(C765,""x.com"")=TRUE,""Twitter"",if(REGEXMATCH(C765,""facebook"")=TRUE,""Facebook"",if(REGEXMATCH(C765,""instagram"")=TRUE,""Instagram"",if(REGEXMATCH(C765,""youtube"")=TRUE,""Youtube"",if(REGEXMATCH(C765,""tiktok"")=TRUE,""Tiktok"",if(REGEX"&amp;"MATCH(C765,""threads"")=TRUE,""Threads""))))))"),"Facebook")</f>
        <v>Facebook</v>
      </c>
      <c r="G765" s="18" t="s">
        <v>1489</v>
      </c>
      <c r="H765" s="18" t="s">
        <v>1477</v>
      </c>
      <c r="I765" s="18" t="s">
        <v>535</v>
      </c>
      <c r="J765" s="18" t="s">
        <v>188</v>
      </c>
      <c r="K765" s="18"/>
      <c r="L765" s="15"/>
    </row>
    <row r="766">
      <c r="A766" s="15">
        <v>765.0</v>
      </c>
      <c r="B766" s="23">
        <v>45923.0</v>
      </c>
      <c r="C766" s="22" t="s">
        <v>1490</v>
      </c>
      <c r="D766" s="18"/>
      <c r="E766" s="18" t="s">
        <v>184</v>
      </c>
      <c r="F766" s="18" t="str">
        <f>IFERROR(__xludf.DUMMYFUNCTION("if(REGEXMATCH(C766,""x.com"")=TRUE,""Twitter"",if(REGEXMATCH(C766,""facebook"")=TRUE,""Facebook"",if(REGEXMATCH(C766,""instagram"")=TRUE,""Instagram"",if(REGEXMATCH(C766,""youtube"")=TRUE,""Youtube"",if(REGEXMATCH(C766,""tiktok"")=TRUE,""Tiktok"",if(REGEX"&amp;"MATCH(C766,""threads"")=TRUE,""Threads""))))))"),"Facebook")</f>
        <v>Facebook</v>
      </c>
      <c r="G766" s="18" t="s">
        <v>1491</v>
      </c>
      <c r="H766" s="18" t="s">
        <v>1477</v>
      </c>
      <c r="I766" s="18" t="s">
        <v>535</v>
      </c>
      <c r="J766" s="18" t="s">
        <v>188</v>
      </c>
      <c r="K766" s="18"/>
      <c r="L766" s="15"/>
    </row>
    <row r="767">
      <c r="A767" s="15">
        <v>766.0</v>
      </c>
      <c r="B767" s="23">
        <v>45923.0</v>
      </c>
      <c r="C767" s="22" t="s">
        <v>1492</v>
      </c>
      <c r="D767" s="18"/>
      <c r="E767" s="18" t="s">
        <v>184</v>
      </c>
      <c r="F767" s="18" t="str">
        <f>IFERROR(__xludf.DUMMYFUNCTION("if(REGEXMATCH(C767,""x.com"")=TRUE,""Twitter"",if(REGEXMATCH(C767,""facebook"")=TRUE,""Facebook"",if(REGEXMATCH(C767,""instagram"")=TRUE,""Instagram"",if(REGEXMATCH(C767,""youtube"")=TRUE,""Youtube"",if(REGEXMATCH(C767,""tiktok"")=TRUE,""Tiktok"",if(REGEX"&amp;"MATCH(C767,""threads"")=TRUE,""Threads""))))))"),"Facebook")</f>
        <v>Facebook</v>
      </c>
      <c r="G767" s="18" t="s">
        <v>1493</v>
      </c>
      <c r="H767" s="18" t="s">
        <v>1477</v>
      </c>
      <c r="I767" s="18" t="s">
        <v>535</v>
      </c>
      <c r="J767" s="18" t="s">
        <v>188</v>
      </c>
      <c r="K767" s="18"/>
      <c r="L767" s="15"/>
    </row>
    <row r="768">
      <c r="A768" s="15">
        <v>767.0</v>
      </c>
      <c r="B768" s="23">
        <v>45923.0</v>
      </c>
      <c r="C768" s="22" t="s">
        <v>1494</v>
      </c>
      <c r="D768" s="18"/>
      <c r="E768" s="18" t="s">
        <v>184</v>
      </c>
      <c r="F768" s="18" t="str">
        <f>IFERROR(__xludf.DUMMYFUNCTION("if(REGEXMATCH(C768,""x.com"")=TRUE,""Twitter"",if(REGEXMATCH(C768,""facebook"")=TRUE,""Facebook"",if(REGEXMATCH(C768,""instagram"")=TRUE,""Instagram"",if(REGEXMATCH(C768,""youtube"")=TRUE,""Youtube"",if(REGEXMATCH(C768,""tiktok"")=TRUE,""Tiktok"",if(REGEX"&amp;"MATCH(C768,""threads"")=TRUE,""Threads""))))))"),"Facebook")</f>
        <v>Facebook</v>
      </c>
      <c r="G768" s="18" t="s">
        <v>1495</v>
      </c>
      <c r="H768" s="18" t="s">
        <v>1477</v>
      </c>
      <c r="I768" s="18" t="s">
        <v>535</v>
      </c>
      <c r="J768" s="18" t="s">
        <v>188</v>
      </c>
      <c r="K768" s="18"/>
      <c r="L768" s="15"/>
    </row>
    <row r="769">
      <c r="A769" s="15">
        <v>768.0</v>
      </c>
      <c r="B769" s="23">
        <v>45923.0</v>
      </c>
      <c r="C769" s="22" t="s">
        <v>1496</v>
      </c>
      <c r="D769" s="18"/>
      <c r="E769" s="18" t="s">
        <v>429</v>
      </c>
      <c r="F769" s="18" t="str">
        <f>IFERROR(__xludf.DUMMYFUNCTION("if(REGEXMATCH(C769,""x.com"")=TRUE,""Twitter"",if(REGEXMATCH(C769,""facebook"")=TRUE,""Facebook"",if(REGEXMATCH(C769,""instagram"")=TRUE,""Instagram"",if(REGEXMATCH(C769,""youtube"")=TRUE,""Youtube"",if(REGEXMATCH(C769,""tiktok"")=TRUE,""Tiktok"",if(REGEX"&amp;"MATCH(C769,""threads"")=TRUE,""Threads""))))))"),"Facebook")</f>
        <v>Facebook</v>
      </c>
      <c r="G769" s="18" t="s">
        <v>1497</v>
      </c>
      <c r="H769" s="18" t="s">
        <v>1477</v>
      </c>
      <c r="I769" s="18" t="s">
        <v>535</v>
      </c>
      <c r="J769" s="18" t="s">
        <v>188</v>
      </c>
      <c r="K769" s="18"/>
      <c r="L769" s="15"/>
    </row>
    <row r="770">
      <c r="A770" s="15">
        <v>769.0</v>
      </c>
      <c r="B770" s="23">
        <v>45923.0</v>
      </c>
      <c r="C770" s="22" t="s">
        <v>1498</v>
      </c>
      <c r="D770" s="18"/>
      <c r="E770" s="18" t="s">
        <v>184</v>
      </c>
      <c r="F770" s="18" t="str">
        <f>IFERROR(__xludf.DUMMYFUNCTION("if(REGEXMATCH(C770,""x.com"")=TRUE,""Twitter"",if(REGEXMATCH(C770,""facebook"")=TRUE,""Facebook"",if(REGEXMATCH(C770,""instagram"")=TRUE,""Instagram"",if(REGEXMATCH(C770,""youtube"")=TRUE,""Youtube"",if(REGEXMATCH(C770,""tiktok"")=TRUE,""Tiktok"",if(REGEX"&amp;"MATCH(C770,""threads"")=TRUE,""Threads""))))))"),"Facebook")</f>
        <v>Facebook</v>
      </c>
      <c r="G770" s="18" t="s">
        <v>1499</v>
      </c>
      <c r="H770" s="18" t="s">
        <v>1477</v>
      </c>
      <c r="I770" s="18" t="s">
        <v>535</v>
      </c>
      <c r="J770" s="18" t="s">
        <v>188</v>
      </c>
      <c r="K770" s="18"/>
      <c r="L770" s="15"/>
    </row>
    <row r="771">
      <c r="A771" s="15">
        <v>770.0</v>
      </c>
      <c r="B771" s="23">
        <v>45923.0</v>
      </c>
      <c r="C771" s="22" t="s">
        <v>1500</v>
      </c>
      <c r="D771" s="18"/>
      <c r="E771" s="18" t="s">
        <v>429</v>
      </c>
      <c r="F771" s="18" t="str">
        <f>IFERROR(__xludf.DUMMYFUNCTION("if(REGEXMATCH(C771,""x.com"")=TRUE,""Twitter"",if(REGEXMATCH(C771,""facebook"")=TRUE,""Facebook"",if(REGEXMATCH(C771,""instagram"")=TRUE,""Instagram"",if(REGEXMATCH(C771,""youtube"")=TRUE,""Youtube"",if(REGEXMATCH(C771,""tiktok"")=TRUE,""Tiktok"",if(REGEX"&amp;"MATCH(C771,""threads"")=TRUE,""Threads""))))))"),"Facebook")</f>
        <v>Facebook</v>
      </c>
      <c r="G771" s="18" t="s">
        <v>1501</v>
      </c>
      <c r="H771" s="18" t="s">
        <v>1477</v>
      </c>
      <c r="I771" s="18" t="s">
        <v>535</v>
      </c>
      <c r="J771" s="18" t="s">
        <v>188</v>
      </c>
      <c r="K771" s="18"/>
      <c r="L771" s="15"/>
    </row>
    <row r="772">
      <c r="A772" s="15">
        <v>771.0</v>
      </c>
      <c r="B772" s="23">
        <v>45923.0</v>
      </c>
      <c r="C772" s="22" t="s">
        <v>1502</v>
      </c>
      <c r="D772" s="18"/>
      <c r="E772" s="18" t="s">
        <v>184</v>
      </c>
      <c r="F772" s="18" t="str">
        <f>IFERROR(__xludf.DUMMYFUNCTION("if(REGEXMATCH(C772,""x.com"")=TRUE,""Twitter"",if(REGEXMATCH(C772,""facebook"")=TRUE,""Facebook"",if(REGEXMATCH(C772,""instagram"")=TRUE,""Instagram"",if(REGEXMATCH(C772,""youtube"")=TRUE,""Youtube"",if(REGEXMATCH(C772,""tiktok"")=TRUE,""Tiktok"",if(REGEX"&amp;"MATCH(C772,""threads"")=TRUE,""Threads""))))))"),"Facebook")</f>
        <v>Facebook</v>
      </c>
      <c r="G772" s="18" t="s">
        <v>1503</v>
      </c>
      <c r="H772" s="18" t="s">
        <v>1477</v>
      </c>
      <c r="I772" s="18" t="s">
        <v>535</v>
      </c>
      <c r="J772" s="18" t="s">
        <v>188</v>
      </c>
      <c r="K772" s="18"/>
      <c r="L772" s="15"/>
    </row>
    <row r="773">
      <c r="A773" s="15">
        <v>772.0</v>
      </c>
      <c r="B773" s="23">
        <v>45923.0</v>
      </c>
      <c r="C773" s="22" t="s">
        <v>1504</v>
      </c>
      <c r="D773" s="18"/>
      <c r="E773" s="18" t="s">
        <v>429</v>
      </c>
      <c r="F773" s="18" t="str">
        <f>IFERROR(__xludf.DUMMYFUNCTION("if(REGEXMATCH(C773,""x.com"")=TRUE,""Twitter"",if(REGEXMATCH(C773,""facebook"")=TRUE,""Facebook"",if(REGEXMATCH(C773,""instagram"")=TRUE,""Instagram"",if(REGEXMATCH(C773,""youtube"")=TRUE,""Youtube"",if(REGEXMATCH(C773,""tiktok"")=TRUE,""Tiktok"",if(REGEX"&amp;"MATCH(C773,""threads"")=TRUE,""Threads""))))))"),"Facebook")</f>
        <v>Facebook</v>
      </c>
      <c r="G773" s="18" t="s">
        <v>1505</v>
      </c>
      <c r="H773" s="18" t="s">
        <v>1477</v>
      </c>
      <c r="I773" s="18" t="s">
        <v>535</v>
      </c>
      <c r="J773" s="18" t="s">
        <v>188</v>
      </c>
      <c r="K773" s="18"/>
      <c r="L773" s="15"/>
    </row>
    <row r="774">
      <c r="A774" s="15">
        <v>773.0</v>
      </c>
      <c r="B774" s="23">
        <v>45923.0</v>
      </c>
      <c r="C774" s="30" t="s">
        <v>1506</v>
      </c>
      <c r="D774" s="18"/>
      <c r="E774" s="31" t="s">
        <v>577</v>
      </c>
      <c r="F774" s="31" t="str">
        <f>IFERROR(__xludf.DUMMYFUNCTION("if(REGEXMATCH(C774,""x.com"")=TRUE,""Twitter"",if(REGEXMATCH(C774,""facebook"")=TRUE,""Facebook"",if(REGEXMATCH(C774,""instagram"")=TRUE,""Instagram"",if(REGEXMATCH(C774,""youtube"")=TRUE,""Youtube"",if(REGEXMATCH(C774,""tiktok"")=TRUE,""Tiktok"",if(REGEX"&amp;"MATCH(C774,""threads"")=TRUE,""Threads""))))))"),"Facebook")</f>
        <v>Facebook</v>
      </c>
      <c r="G774" s="31" t="s">
        <v>1507</v>
      </c>
      <c r="H774" s="31" t="s">
        <v>1465</v>
      </c>
      <c r="I774" s="32" t="s">
        <v>1460</v>
      </c>
      <c r="J774" s="31" t="s">
        <v>188</v>
      </c>
      <c r="K774" s="18"/>
      <c r="L774" s="15"/>
    </row>
    <row r="775">
      <c r="A775" s="15">
        <v>774.0</v>
      </c>
      <c r="B775" s="23">
        <v>45923.0</v>
      </c>
      <c r="C775" s="30" t="s">
        <v>1508</v>
      </c>
      <c r="D775" s="18"/>
      <c r="E775" s="31" t="s">
        <v>577</v>
      </c>
      <c r="F775" s="31" t="str">
        <f>IFERROR(__xludf.DUMMYFUNCTION("if(REGEXMATCH(C775,""x.com"")=TRUE,""Twitter"",if(REGEXMATCH(C775,""facebook"")=TRUE,""Facebook"",if(REGEXMATCH(C775,""instagram"")=TRUE,""Instagram"",if(REGEXMATCH(C775,""youtube"")=TRUE,""Youtube"",if(REGEXMATCH(C775,""tiktok"")=TRUE,""Tiktok"",if(REGEX"&amp;"MATCH(C775,""threads"")=TRUE,""Threads""))))))"),"Facebook")</f>
        <v>Facebook</v>
      </c>
      <c r="G775" s="31" t="s">
        <v>1507</v>
      </c>
      <c r="H775" s="31" t="s">
        <v>1465</v>
      </c>
      <c r="I775" s="32" t="s">
        <v>1460</v>
      </c>
      <c r="J775" s="31" t="s">
        <v>188</v>
      </c>
      <c r="K775" s="18"/>
      <c r="L775" s="15"/>
    </row>
    <row r="776">
      <c r="A776" s="15">
        <v>775.0</v>
      </c>
      <c r="B776" s="23">
        <v>45923.0</v>
      </c>
      <c r="C776" s="30" t="s">
        <v>1035</v>
      </c>
      <c r="D776" s="18"/>
      <c r="E776" s="31" t="s">
        <v>577</v>
      </c>
      <c r="F776" s="31" t="str">
        <f>IFERROR(__xludf.DUMMYFUNCTION("if(REGEXMATCH(C776,""x.com"")=TRUE,""Twitter"",if(REGEXMATCH(C776,""facebook"")=TRUE,""Facebook"",if(REGEXMATCH(C776,""instagram"")=TRUE,""Instagram"",if(REGEXMATCH(C776,""youtube"")=TRUE,""Youtube"",if(REGEXMATCH(C776,""tiktok"")=TRUE,""Tiktok"",if(REGEX"&amp;"MATCH(C776,""threads"")=TRUE,""Threads""))))))"),"Facebook")</f>
        <v>Facebook</v>
      </c>
      <c r="G776" s="31" t="s">
        <v>1507</v>
      </c>
      <c r="H776" s="31" t="s">
        <v>1465</v>
      </c>
      <c r="I776" s="32" t="s">
        <v>1460</v>
      </c>
      <c r="J776" s="31" t="s">
        <v>188</v>
      </c>
      <c r="K776" s="18"/>
      <c r="L776" s="15"/>
    </row>
    <row r="777">
      <c r="A777" s="15">
        <v>776.0</v>
      </c>
      <c r="B777" s="23">
        <v>45923.0</v>
      </c>
      <c r="C777" s="30" t="s">
        <v>1031</v>
      </c>
      <c r="D777" s="18"/>
      <c r="E777" s="31" t="s">
        <v>577</v>
      </c>
      <c r="F777" s="31" t="str">
        <f>IFERROR(__xludf.DUMMYFUNCTION("if(REGEXMATCH(C777,""x.com"")=TRUE,""Twitter"",if(REGEXMATCH(C777,""facebook"")=TRUE,""Facebook"",if(REGEXMATCH(C777,""instagram"")=TRUE,""Instagram"",if(REGEXMATCH(C777,""youtube"")=TRUE,""Youtube"",if(REGEXMATCH(C777,""tiktok"")=TRUE,""Tiktok"",if(REGEX"&amp;"MATCH(C777,""threads"")=TRUE,""Threads""))))))"),"Facebook")</f>
        <v>Facebook</v>
      </c>
      <c r="G777" s="31" t="s">
        <v>1507</v>
      </c>
      <c r="H777" s="31" t="s">
        <v>1465</v>
      </c>
      <c r="I777" s="32" t="s">
        <v>1460</v>
      </c>
      <c r="J777" s="31" t="s">
        <v>188</v>
      </c>
      <c r="K777" s="18"/>
      <c r="L777" s="15"/>
    </row>
    <row r="778">
      <c r="A778" s="15">
        <v>777.0</v>
      </c>
      <c r="B778" s="23">
        <v>45923.0</v>
      </c>
      <c r="C778" s="30" t="s">
        <v>1032</v>
      </c>
      <c r="D778" s="18"/>
      <c r="E778" s="31" t="s">
        <v>577</v>
      </c>
      <c r="F778" s="31" t="str">
        <f>IFERROR(__xludf.DUMMYFUNCTION("if(REGEXMATCH(C778,""x.com"")=TRUE,""Twitter"",if(REGEXMATCH(C778,""facebook"")=TRUE,""Facebook"",if(REGEXMATCH(C778,""instagram"")=TRUE,""Instagram"",if(REGEXMATCH(C778,""youtube"")=TRUE,""Youtube"",if(REGEXMATCH(C778,""tiktok"")=TRUE,""Tiktok"",if(REGEX"&amp;"MATCH(C778,""threads"")=TRUE,""Threads""))))))"),"Facebook")</f>
        <v>Facebook</v>
      </c>
      <c r="G778" s="31" t="s">
        <v>1507</v>
      </c>
      <c r="H778" s="31" t="s">
        <v>1465</v>
      </c>
      <c r="I778" s="32" t="s">
        <v>1460</v>
      </c>
      <c r="J778" s="31" t="s">
        <v>188</v>
      </c>
      <c r="K778" s="18"/>
      <c r="L778" s="15"/>
    </row>
    <row r="779">
      <c r="A779" s="15">
        <v>778.0</v>
      </c>
      <c r="B779" s="23">
        <v>45923.0</v>
      </c>
      <c r="C779" s="30" t="s">
        <v>948</v>
      </c>
      <c r="D779" s="18"/>
      <c r="E779" s="31" t="s">
        <v>577</v>
      </c>
      <c r="F779" s="31" t="str">
        <f>IFERROR(__xludf.DUMMYFUNCTION("if(REGEXMATCH(C779,""x.com"")=TRUE,""Twitter"",if(REGEXMATCH(C779,""facebook"")=TRUE,""Facebook"",if(REGEXMATCH(C779,""instagram"")=TRUE,""Instagram"",if(REGEXMATCH(C779,""youtube"")=TRUE,""Youtube"",if(REGEXMATCH(C779,""tiktok"")=TRUE,""Tiktok"",if(REGEX"&amp;"MATCH(C779,""threads"")=TRUE,""Threads""))))))"),"Facebook")</f>
        <v>Facebook</v>
      </c>
      <c r="G779" s="31" t="s">
        <v>1507</v>
      </c>
      <c r="H779" s="31" t="s">
        <v>1465</v>
      </c>
      <c r="I779" s="32" t="s">
        <v>1460</v>
      </c>
      <c r="J779" s="31" t="s">
        <v>188</v>
      </c>
      <c r="K779" s="18"/>
      <c r="L779" s="15"/>
    </row>
    <row r="780">
      <c r="A780" s="15">
        <v>779.0</v>
      </c>
      <c r="B780" s="23">
        <v>45923.0</v>
      </c>
      <c r="C780" s="30" t="s">
        <v>1035</v>
      </c>
      <c r="D780" s="18"/>
      <c r="E780" s="31" t="s">
        <v>577</v>
      </c>
      <c r="F780" s="31" t="str">
        <f>IFERROR(__xludf.DUMMYFUNCTION("if(REGEXMATCH(C780,""x.com"")=TRUE,""Twitter"",if(REGEXMATCH(C780,""facebook"")=TRUE,""Facebook"",if(REGEXMATCH(C780,""instagram"")=TRUE,""Instagram"",if(REGEXMATCH(C780,""youtube"")=TRUE,""Youtube"",if(REGEXMATCH(C780,""tiktok"")=TRUE,""Tiktok"",if(REGEX"&amp;"MATCH(C780,""threads"")=TRUE,""Threads""))))))"),"Facebook")</f>
        <v>Facebook</v>
      </c>
      <c r="G780" s="31" t="s">
        <v>1507</v>
      </c>
      <c r="H780" s="31" t="s">
        <v>1465</v>
      </c>
      <c r="I780" s="32" t="s">
        <v>1460</v>
      </c>
      <c r="J780" s="31" t="s">
        <v>188</v>
      </c>
      <c r="K780" s="18"/>
      <c r="L780" s="15"/>
    </row>
    <row r="781">
      <c r="A781" s="15">
        <v>780.0</v>
      </c>
      <c r="B781" s="23">
        <v>45923.0</v>
      </c>
      <c r="C781" s="30" t="s">
        <v>1031</v>
      </c>
      <c r="D781" s="18"/>
      <c r="E781" s="31" t="s">
        <v>577</v>
      </c>
      <c r="F781" s="31" t="str">
        <f>IFERROR(__xludf.DUMMYFUNCTION("if(REGEXMATCH(C781,""x.com"")=TRUE,""Twitter"",if(REGEXMATCH(C781,""facebook"")=TRUE,""Facebook"",if(REGEXMATCH(C781,""instagram"")=TRUE,""Instagram"",if(REGEXMATCH(C781,""youtube"")=TRUE,""Youtube"",if(REGEXMATCH(C781,""tiktok"")=TRUE,""Tiktok"",if(REGEX"&amp;"MATCH(C781,""threads"")=TRUE,""Threads""))))))"),"Facebook")</f>
        <v>Facebook</v>
      </c>
      <c r="G781" s="31" t="s">
        <v>1507</v>
      </c>
      <c r="H781" s="31" t="s">
        <v>1465</v>
      </c>
      <c r="I781" s="32" t="s">
        <v>1460</v>
      </c>
      <c r="J781" s="31" t="s">
        <v>188</v>
      </c>
      <c r="K781" s="18"/>
      <c r="L781" s="15"/>
    </row>
    <row r="782">
      <c r="A782" s="15">
        <v>781.0</v>
      </c>
      <c r="B782" s="23">
        <v>45923.0</v>
      </c>
      <c r="C782" s="30" t="s">
        <v>1043</v>
      </c>
      <c r="D782" s="18"/>
      <c r="E782" s="31" t="s">
        <v>577</v>
      </c>
      <c r="F782" s="31" t="str">
        <f>IFERROR(__xludf.DUMMYFUNCTION("if(REGEXMATCH(C782,""x.com"")=TRUE,""Twitter"",if(REGEXMATCH(C782,""facebook"")=TRUE,""Facebook"",if(REGEXMATCH(C782,""instagram"")=TRUE,""Instagram"",if(REGEXMATCH(C782,""youtube"")=TRUE,""Youtube"",if(REGEXMATCH(C782,""tiktok"")=TRUE,""Tiktok"",if(REGEX"&amp;"MATCH(C782,""threads"")=TRUE,""Threads""))))))"),"Facebook")</f>
        <v>Facebook</v>
      </c>
      <c r="G782" s="31" t="s">
        <v>1507</v>
      </c>
      <c r="H782" s="31" t="s">
        <v>1465</v>
      </c>
      <c r="I782" s="32" t="s">
        <v>1460</v>
      </c>
      <c r="J782" s="31" t="s">
        <v>188</v>
      </c>
      <c r="K782" s="18"/>
      <c r="L782" s="15"/>
    </row>
    <row r="783">
      <c r="A783" s="15">
        <v>782.0</v>
      </c>
      <c r="B783" s="23">
        <v>45923.0</v>
      </c>
      <c r="C783" s="30" t="s">
        <v>1509</v>
      </c>
      <c r="D783" s="18"/>
      <c r="E783" s="31" t="s">
        <v>577</v>
      </c>
      <c r="F783" s="31" t="str">
        <f>IFERROR(__xludf.DUMMYFUNCTION("if(REGEXMATCH(C783,""x.com"")=TRUE,""Twitter"",if(REGEXMATCH(C783,""facebook"")=TRUE,""Facebook"",if(REGEXMATCH(C783,""instagram"")=TRUE,""Instagram"",if(REGEXMATCH(C783,""youtube"")=TRUE,""Youtube"",if(REGEXMATCH(C783,""tiktok"")=TRUE,""Tiktok"",if(REGEX"&amp;"MATCH(C783,""threads"")=TRUE,""Threads""))))))"),"Facebook")</f>
        <v>Facebook</v>
      </c>
      <c r="G783" s="31" t="s">
        <v>1507</v>
      </c>
      <c r="H783" s="31" t="s">
        <v>1465</v>
      </c>
      <c r="I783" s="32" t="s">
        <v>1460</v>
      </c>
      <c r="J783" s="31" t="s">
        <v>188</v>
      </c>
      <c r="K783" s="18"/>
      <c r="L783" s="15"/>
    </row>
    <row r="784">
      <c r="A784" s="15">
        <v>783.0</v>
      </c>
      <c r="B784" s="23">
        <v>45923.0</v>
      </c>
      <c r="C784" s="30" t="s">
        <v>1510</v>
      </c>
      <c r="D784" s="18"/>
      <c r="E784" s="31" t="s">
        <v>577</v>
      </c>
      <c r="F784" s="31" t="str">
        <f>IFERROR(__xludf.DUMMYFUNCTION("if(REGEXMATCH(C784,""x.com"")=TRUE,""Twitter"",if(REGEXMATCH(C784,""facebook"")=TRUE,""Facebook"",if(REGEXMATCH(C784,""instagram"")=TRUE,""Instagram"",if(REGEXMATCH(C784,""youtube"")=TRUE,""Youtube"",if(REGEXMATCH(C784,""tiktok"")=TRUE,""Tiktok"",if(REGEX"&amp;"MATCH(C784,""threads"")=TRUE,""Threads""))))))"),"Facebook")</f>
        <v>Facebook</v>
      </c>
      <c r="G784" s="31" t="s">
        <v>1507</v>
      </c>
      <c r="H784" s="31" t="s">
        <v>1465</v>
      </c>
      <c r="I784" s="32" t="s">
        <v>1460</v>
      </c>
      <c r="J784" s="31" t="s">
        <v>188</v>
      </c>
      <c r="K784" s="18"/>
      <c r="L784" s="15"/>
    </row>
    <row r="785">
      <c r="A785" s="15">
        <v>784.0</v>
      </c>
      <c r="B785" s="23">
        <v>45923.0</v>
      </c>
      <c r="C785" s="30" t="s">
        <v>1511</v>
      </c>
      <c r="D785" s="18"/>
      <c r="E785" s="31" t="s">
        <v>577</v>
      </c>
      <c r="F785" s="31" t="str">
        <f>IFERROR(__xludf.DUMMYFUNCTION("if(REGEXMATCH(C785,""x.com"")=TRUE,""Twitter"",if(REGEXMATCH(C785,""facebook"")=TRUE,""Facebook"",if(REGEXMATCH(C785,""instagram"")=TRUE,""Instagram"",if(REGEXMATCH(C785,""youtube"")=TRUE,""Youtube"",if(REGEXMATCH(C785,""tiktok"")=TRUE,""Tiktok"",if(REGEX"&amp;"MATCH(C785,""threads"")=TRUE,""Threads""))))))"),"Tiktok")</f>
        <v>Tiktok</v>
      </c>
      <c r="G785" s="31" t="s">
        <v>1507</v>
      </c>
      <c r="H785" s="31" t="s">
        <v>1465</v>
      </c>
      <c r="I785" s="32" t="s">
        <v>1460</v>
      </c>
      <c r="J785" s="31" t="s">
        <v>188</v>
      </c>
      <c r="K785" s="18"/>
      <c r="L785" s="15"/>
    </row>
    <row r="786">
      <c r="A786" s="15">
        <v>785.0</v>
      </c>
      <c r="B786" s="23">
        <v>45923.0</v>
      </c>
      <c r="C786" s="30" t="s">
        <v>1512</v>
      </c>
      <c r="D786" s="18"/>
      <c r="E786" s="31" t="s">
        <v>577</v>
      </c>
      <c r="F786" s="31" t="str">
        <f>IFERROR(__xludf.DUMMYFUNCTION("if(REGEXMATCH(C786,""x.com"")=TRUE,""Twitter"",if(REGEXMATCH(C786,""facebook"")=TRUE,""Facebook"",if(REGEXMATCH(C786,""instagram"")=TRUE,""Instagram"",if(REGEXMATCH(C786,""youtube"")=TRUE,""Youtube"",if(REGEXMATCH(C786,""tiktok"")=TRUE,""Tiktok"",if(REGEX"&amp;"MATCH(C786,""threads"")=TRUE,""Threads""))))))"),"Instagram")</f>
        <v>Instagram</v>
      </c>
      <c r="G786" s="31" t="s">
        <v>1507</v>
      </c>
      <c r="H786" s="31" t="s">
        <v>1465</v>
      </c>
      <c r="I786" s="32" t="s">
        <v>1460</v>
      </c>
      <c r="J786" s="31" t="s">
        <v>188</v>
      </c>
      <c r="K786" s="18"/>
      <c r="L786" s="15"/>
    </row>
    <row r="787">
      <c r="A787" s="15">
        <v>786.0</v>
      </c>
      <c r="B787" s="23">
        <v>45923.0</v>
      </c>
      <c r="C787" s="30" t="s">
        <v>1513</v>
      </c>
      <c r="D787" s="18"/>
      <c r="E787" s="31" t="s">
        <v>577</v>
      </c>
      <c r="F787" s="31" t="str">
        <f>IFERROR(__xludf.DUMMYFUNCTION("if(REGEXMATCH(C787,""x.com"")=TRUE,""Twitter"",if(REGEXMATCH(C787,""facebook"")=TRUE,""Facebook"",if(REGEXMATCH(C787,""instagram"")=TRUE,""Instagram"",if(REGEXMATCH(C787,""youtube"")=TRUE,""Youtube"",if(REGEXMATCH(C787,""tiktok"")=TRUE,""Tiktok"",if(REGEX"&amp;"MATCH(C787,""threads"")=TRUE,""Threads""))))))"),"Instagram")</f>
        <v>Instagram</v>
      </c>
      <c r="G787" s="31" t="s">
        <v>1507</v>
      </c>
      <c r="H787" s="31" t="s">
        <v>1465</v>
      </c>
      <c r="I787" s="32" t="s">
        <v>1460</v>
      </c>
      <c r="J787" s="31" t="s">
        <v>188</v>
      </c>
      <c r="K787" s="18"/>
      <c r="L787" s="15"/>
    </row>
    <row r="788">
      <c r="A788" s="15">
        <v>787.0</v>
      </c>
      <c r="B788" s="23">
        <v>45923.0</v>
      </c>
      <c r="C788" s="30" t="s">
        <v>1514</v>
      </c>
      <c r="D788" s="18"/>
      <c r="E788" s="31" t="s">
        <v>577</v>
      </c>
      <c r="F788" s="31" t="str">
        <f>IFERROR(__xludf.DUMMYFUNCTION("if(REGEXMATCH(C788,""x.com"")=TRUE,""Twitter"",if(REGEXMATCH(C788,""facebook"")=TRUE,""Facebook"",if(REGEXMATCH(C788,""instagram"")=TRUE,""Instagram"",if(REGEXMATCH(C788,""youtube"")=TRUE,""Youtube"",if(REGEXMATCH(C788,""tiktok"")=TRUE,""Tiktok"",if(REGEX"&amp;"MATCH(C788,""threads"")=TRUE,""Threads""))))))"),"Instagram")</f>
        <v>Instagram</v>
      </c>
      <c r="G788" s="31" t="s">
        <v>1507</v>
      </c>
      <c r="H788" s="31" t="s">
        <v>1465</v>
      </c>
      <c r="I788" s="32" t="s">
        <v>1460</v>
      </c>
      <c r="J788" s="31" t="s">
        <v>188</v>
      </c>
      <c r="K788" s="18"/>
      <c r="L788" s="15"/>
    </row>
    <row r="789">
      <c r="A789" s="15">
        <v>788.0</v>
      </c>
      <c r="B789" s="23">
        <v>45923.0</v>
      </c>
      <c r="C789" s="30" t="s">
        <v>1515</v>
      </c>
      <c r="D789" s="18"/>
      <c r="E789" s="31" t="s">
        <v>577</v>
      </c>
      <c r="F789" s="31" t="str">
        <f>IFERROR(__xludf.DUMMYFUNCTION("if(REGEXMATCH(C789,""x.com"")=TRUE,""Twitter"",if(REGEXMATCH(C789,""facebook"")=TRUE,""Facebook"",if(REGEXMATCH(C789,""instagram"")=TRUE,""Instagram"",if(REGEXMATCH(C789,""youtube"")=TRUE,""Youtube"",if(REGEXMATCH(C789,""tiktok"")=TRUE,""Tiktok"",if(REGEX"&amp;"MATCH(C789,""threads"")=TRUE,""Threads""))))))"),"Instagram")</f>
        <v>Instagram</v>
      </c>
      <c r="G789" s="31" t="s">
        <v>1507</v>
      </c>
      <c r="H789" s="31" t="s">
        <v>1465</v>
      </c>
      <c r="I789" s="32" t="s">
        <v>1460</v>
      </c>
      <c r="J789" s="31" t="s">
        <v>188</v>
      </c>
      <c r="K789" s="18"/>
      <c r="L789" s="15"/>
    </row>
    <row r="790">
      <c r="A790" s="15">
        <v>789.0</v>
      </c>
      <c r="B790" s="23">
        <v>45923.0</v>
      </c>
      <c r="C790" s="30" t="s">
        <v>1028</v>
      </c>
      <c r="D790" s="18"/>
      <c r="E790" s="31" t="s">
        <v>577</v>
      </c>
      <c r="F790" s="31" t="str">
        <f>IFERROR(__xludf.DUMMYFUNCTION("if(REGEXMATCH(C790,""x.com"")=TRUE,""Twitter"",if(REGEXMATCH(C790,""facebook"")=TRUE,""Facebook"",if(REGEXMATCH(C790,""instagram"")=TRUE,""Instagram"",if(REGEXMATCH(C790,""youtube"")=TRUE,""Youtube"",if(REGEXMATCH(C790,""tiktok"")=TRUE,""Tiktok"",if(REGEX"&amp;"MATCH(C790,""threads"")=TRUE,""Threads""))))))"),"Facebook")</f>
        <v>Facebook</v>
      </c>
      <c r="G790" s="31" t="s">
        <v>1507</v>
      </c>
      <c r="H790" s="31" t="s">
        <v>1465</v>
      </c>
      <c r="I790" s="32" t="s">
        <v>1460</v>
      </c>
      <c r="J790" s="31" t="s">
        <v>188</v>
      </c>
      <c r="K790" s="18"/>
      <c r="L790" s="15"/>
    </row>
    <row r="791">
      <c r="A791" s="15">
        <v>790.0</v>
      </c>
      <c r="B791" s="23">
        <v>45923.0</v>
      </c>
      <c r="C791" s="30" t="s">
        <v>1029</v>
      </c>
      <c r="D791" s="18"/>
      <c r="E791" s="31" t="s">
        <v>577</v>
      </c>
      <c r="F791" s="31" t="str">
        <f>IFERROR(__xludf.DUMMYFUNCTION("if(REGEXMATCH(C791,""x.com"")=TRUE,""Twitter"",if(REGEXMATCH(C791,""facebook"")=TRUE,""Facebook"",if(REGEXMATCH(C791,""instagram"")=TRUE,""Instagram"",if(REGEXMATCH(C791,""youtube"")=TRUE,""Youtube"",if(REGEXMATCH(C791,""tiktok"")=TRUE,""Tiktok"",if(REGEX"&amp;"MATCH(C791,""threads"")=TRUE,""Threads""))))))"),"Facebook")</f>
        <v>Facebook</v>
      </c>
      <c r="G791" s="31" t="s">
        <v>1507</v>
      </c>
      <c r="H791" s="31" t="s">
        <v>1465</v>
      </c>
      <c r="I791" s="32" t="s">
        <v>1460</v>
      </c>
      <c r="J791" s="31" t="s">
        <v>188</v>
      </c>
      <c r="K791" s="18"/>
      <c r="L791" s="15"/>
    </row>
    <row r="792">
      <c r="A792" s="15">
        <v>791.0</v>
      </c>
      <c r="B792" s="23">
        <v>45923.0</v>
      </c>
      <c r="C792" s="30" t="s">
        <v>1034</v>
      </c>
      <c r="D792" s="18"/>
      <c r="E792" s="31" t="s">
        <v>577</v>
      </c>
      <c r="F792" s="31" t="str">
        <f>IFERROR(__xludf.DUMMYFUNCTION("if(REGEXMATCH(C792,""x.com"")=TRUE,""Twitter"",if(REGEXMATCH(C792,""facebook"")=TRUE,""Facebook"",if(REGEXMATCH(C792,""instagram"")=TRUE,""Instagram"",if(REGEXMATCH(C792,""youtube"")=TRUE,""Youtube"",if(REGEXMATCH(C792,""tiktok"")=TRUE,""Tiktok"",if(REGEX"&amp;"MATCH(C792,""threads"")=TRUE,""Threads""))))))"),"Facebook")</f>
        <v>Facebook</v>
      </c>
      <c r="G792" s="31" t="s">
        <v>1507</v>
      </c>
      <c r="H792" s="31" t="s">
        <v>1465</v>
      </c>
      <c r="I792" s="32" t="s">
        <v>1460</v>
      </c>
      <c r="J792" s="31" t="s">
        <v>188</v>
      </c>
      <c r="K792" s="18"/>
      <c r="L792" s="15"/>
    </row>
    <row r="793">
      <c r="A793" s="15">
        <v>792.0</v>
      </c>
      <c r="B793" s="23">
        <v>45923.0</v>
      </c>
      <c r="C793" s="30" t="s">
        <v>1036</v>
      </c>
      <c r="D793" s="18"/>
      <c r="E793" s="31" t="s">
        <v>577</v>
      </c>
      <c r="F793" s="31" t="str">
        <f>IFERROR(__xludf.DUMMYFUNCTION("if(REGEXMATCH(C793,""x.com"")=TRUE,""Twitter"",if(REGEXMATCH(C793,""facebook"")=TRUE,""Facebook"",if(REGEXMATCH(C793,""instagram"")=TRUE,""Instagram"",if(REGEXMATCH(C793,""youtube"")=TRUE,""Youtube"",if(REGEXMATCH(C793,""tiktok"")=TRUE,""Tiktok"",if(REGEX"&amp;"MATCH(C793,""threads"")=TRUE,""Threads""))))))"),"Facebook")</f>
        <v>Facebook</v>
      </c>
      <c r="G793" s="31" t="s">
        <v>1507</v>
      </c>
      <c r="H793" s="31" t="s">
        <v>1465</v>
      </c>
      <c r="I793" s="32" t="s">
        <v>1460</v>
      </c>
      <c r="J793" s="31" t="s">
        <v>188</v>
      </c>
      <c r="K793" s="18"/>
      <c r="L793" s="15"/>
    </row>
    <row r="794">
      <c r="A794" s="15">
        <v>793.0</v>
      </c>
      <c r="B794" s="23">
        <v>45923.0</v>
      </c>
      <c r="C794" s="30" t="s">
        <v>1041</v>
      </c>
      <c r="D794" s="18"/>
      <c r="E794" s="31" t="s">
        <v>577</v>
      </c>
      <c r="F794" s="31" t="str">
        <f>IFERROR(__xludf.DUMMYFUNCTION("if(REGEXMATCH(C794,""x.com"")=TRUE,""Twitter"",if(REGEXMATCH(C794,""facebook"")=TRUE,""Facebook"",if(REGEXMATCH(C794,""instagram"")=TRUE,""Instagram"",if(REGEXMATCH(C794,""youtube"")=TRUE,""Youtube"",if(REGEXMATCH(C794,""tiktok"")=TRUE,""Tiktok"",if(REGEX"&amp;"MATCH(C794,""threads"")=TRUE,""Threads""))))))"),"Facebook")</f>
        <v>Facebook</v>
      </c>
      <c r="G794" s="31" t="s">
        <v>1507</v>
      </c>
      <c r="H794" s="31" t="s">
        <v>1465</v>
      </c>
      <c r="I794" s="32" t="s">
        <v>1460</v>
      </c>
      <c r="J794" s="31" t="s">
        <v>188</v>
      </c>
      <c r="K794" s="18"/>
      <c r="L794" s="15"/>
    </row>
    <row r="795">
      <c r="A795" s="15">
        <v>794.0</v>
      </c>
      <c r="B795" s="23">
        <v>45923.0</v>
      </c>
      <c r="C795" s="30" t="s">
        <v>1044</v>
      </c>
      <c r="D795" s="18"/>
      <c r="E795" s="31" t="s">
        <v>577</v>
      </c>
      <c r="F795" s="31" t="str">
        <f>IFERROR(__xludf.DUMMYFUNCTION("if(REGEXMATCH(C795,""x.com"")=TRUE,""Twitter"",if(REGEXMATCH(C795,""facebook"")=TRUE,""Facebook"",if(REGEXMATCH(C795,""instagram"")=TRUE,""Instagram"",if(REGEXMATCH(C795,""youtube"")=TRUE,""Youtube"",if(REGEXMATCH(C795,""tiktok"")=TRUE,""Tiktok"",if(REGEX"&amp;"MATCH(C795,""threads"")=TRUE,""Threads""))))))"),"Facebook")</f>
        <v>Facebook</v>
      </c>
      <c r="G795" s="31" t="s">
        <v>1507</v>
      </c>
      <c r="H795" s="31" t="s">
        <v>1465</v>
      </c>
      <c r="I795" s="32" t="s">
        <v>1460</v>
      </c>
      <c r="J795" s="31" t="s">
        <v>188</v>
      </c>
      <c r="K795" s="18"/>
      <c r="L795" s="15"/>
    </row>
    <row r="796">
      <c r="A796" s="15">
        <v>795.0</v>
      </c>
      <c r="B796" s="23">
        <v>45923.0</v>
      </c>
      <c r="C796" s="30" t="s">
        <v>1516</v>
      </c>
      <c r="D796" s="18"/>
      <c r="E796" s="31" t="s">
        <v>577</v>
      </c>
      <c r="F796" s="31" t="str">
        <f>IFERROR(__xludf.DUMMYFUNCTION("if(REGEXMATCH(C796,""x.com"")=TRUE,""Twitter"",if(REGEXMATCH(C796,""facebook"")=TRUE,""Facebook"",if(REGEXMATCH(C796,""instagram"")=TRUE,""Instagram"",if(REGEXMATCH(C796,""youtube"")=TRUE,""Youtube"",if(REGEXMATCH(C796,""tiktok"")=TRUE,""Tiktok"",if(REGEX"&amp;"MATCH(C796,""threads"")=TRUE,""Threads""))))))"),"Facebook")</f>
        <v>Facebook</v>
      </c>
      <c r="G796" s="31" t="s">
        <v>1507</v>
      </c>
      <c r="H796" s="31" t="s">
        <v>1465</v>
      </c>
      <c r="I796" s="32" t="s">
        <v>1460</v>
      </c>
      <c r="J796" s="31" t="s">
        <v>188</v>
      </c>
      <c r="K796" s="18"/>
      <c r="L796" s="15"/>
    </row>
    <row r="797">
      <c r="A797" s="15">
        <v>796.0</v>
      </c>
      <c r="B797" s="23">
        <v>45924.0</v>
      </c>
      <c r="C797" s="22" t="s">
        <v>1517</v>
      </c>
      <c r="D797" s="18"/>
      <c r="E797" s="18" t="s">
        <v>197</v>
      </c>
      <c r="F797" s="18" t="str">
        <f>IFERROR(__xludf.DUMMYFUNCTION("if(REGEXMATCH(C797,""x.com"")=TRUE,""Twitter"",if(REGEXMATCH(C797,""facebook"")=TRUE,""Facebook"",if(REGEXMATCH(C797,""instagram"")=TRUE,""Instagram"",if(REGEXMATCH(C797,""youtube"")=TRUE,""Youtube"",if(REGEXMATCH(C797,""tiktok"")=TRUE,""Tiktok"",if(REGEX"&amp;"MATCH(C797,""threads"")=TRUE,""Threads""))))))"),"Tiktok")</f>
        <v>Tiktok</v>
      </c>
      <c r="G797" s="18" t="s">
        <v>1518</v>
      </c>
      <c r="H797" s="18" t="s">
        <v>546</v>
      </c>
      <c r="I797" s="18" t="s">
        <v>535</v>
      </c>
      <c r="J797" s="18" t="s">
        <v>188</v>
      </c>
      <c r="K797" s="18"/>
      <c r="L797" s="15"/>
    </row>
    <row r="798">
      <c r="A798" s="15">
        <v>797.0</v>
      </c>
      <c r="B798" s="23">
        <v>45924.0</v>
      </c>
      <c r="C798" s="22" t="s">
        <v>1519</v>
      </c>
      <c r="D798" s="18"/>
      <c r="E798" s="18" t="s">
        <v>184</v>
      </c>
      <c r="F798" s="18" t="str">
        <f>IFERROR(__xludf.DUMMYFUNCTION("if(REGEXMATCH(C798,""x.com"")=TRUE,""Twitter"",if(REGEXMATCH(C798,""facebook"")=TRUE,""Facebook"",if(REGEXMATCH(C798,""instagram"")=TRUE,""Instagram"",if(REGEXMATCH(C798,""youtube"")=TRUE,""Youtube"",if(REGEXMATCH(C798,""tiktok"")=TRUE,""Tiktok"",if(REGEX"&amp;"MATCH(C798,""threads"")=TRUE,""Threads""))))))"),"Tiktok")</f>
        <v>Tiktok</v>
      </c>
      <c r="G798" s="18" t="s">
        <v>1520</v>
      </c>
      <c r="H798" s="18" t="s">
        <v>546</v>
      </c>
      <c r="I798" s="18" t="s">
        <v>535</v>
      </c>
      <c r="J798" s="18" t="s">
        <v>188</v>
      </c>
      <c r="K798" s="18"/>
      <c r="L798" s="15"/>
    </row>
    <row r="799">
      <c r="A799" s="15">
        <v>798.0</v>
      </c>
      <c r="B799" s="23">
        <v>45924.0</v>
      </c>
      <c r="C799" s="27" t="s">
        <v>1521</v>
      </c>
      <c r="D799" s="18"/>
      <c r="E799" s="18" t="s">
        <v>184</v>
      </c>
      <c r="F799" s="18" t="str">
        <f>IFERROR(__xludf.DUMMYFUNCTION("if(REGEXMATCH(C799,""x.com"")=TRUE,""Twitter"",if(REGEXMATCH(C799,""facebook"")=TRUE,""Facebook"",if(REGEXMATCH(C799,""instagram"")=TRUE,""Instagram"",if(REGEXMATCH(C799,""youtube"")=TRUE,""Youtube"",if(REGEXMATCH(C799,""tiktok"")=TRUE,""Tiktok"",if(REGEX"&amp;"MATCH(C799,""threads"")=TRUE,""Threads""))))))"),"Tiktok")</f>
        <v>Tiktok</v>
      </c>
      <c r="G799" s="18" t="s">
        <v>1522</v>
      </c>
      <c r="H799" s="18" t="s">
        <v>546</v>
      </c>
      <c r="I799" s="18" t="s">
        <v>535</v>
      </c>
      <c r="J799" s="18" t="s">
        <v>188</v>
      </c>
      <c r="K799" s="18"/>
      <c r="L799" s="15"/>
    </row>
    <row r="800">
      <c r="A800" s="15">
        <v>799.0</v>
      </c>
      <c r="B800" s="23">
        <v>45924.0</v>
      </c>
      <c r="C800" s="22" t="s">
        <v>1523</v>
      </c>
      <c r="D800" s="18"/>
      <c r="E800" s="18" t="s">
        <v>184</v>
      </c>
      <c r="F800" s="18" t="str">
        <f>IFERROR(__xludf.DUMMYFUNCTION("if(REGEXMATCH(C800,""x.com"")=TRUE,""Twitter"",if(REGEXMATCH(C800,""facebook"")=TRUE,""Facebook"",if(REGEXMATCH(C800,""instagram"")=TRUE,""Instagram"",if(REGEXMATCH(C800,""youtube"")=TRUE,""Youtube"",if(REGEXMATCH(C800,""tiktok"")=TRUE,""Tiktok"",if(REGEX"&amp;"MATCH(C800,""threads"")=TRUE,""Threads""))))))"),"Tiktok")</f>
        <v>Tiktok</v>
      </c>
      <c r="G800" s="18" t="s">
        <v>1524</v>
      </c>
      <c r="H800" s="18" t="s">
        <v>546</v>
      </c>
      <c r="I800" s="18" t="s">
        <v>535</v>
      </c>
      <c r="J800" s="18" t="s">
        <v>188</v>
      </c>
      <c r="K800" s="18"/>
      <c r="L800" s="15"/>
    </row>
    <row r="801">
      <c r="A801" s="15">
        <v>800.0</v>
      </c>
      <c r="B801" s="23">
        <v>45924.0</v>
      </c>
      <c r="C801" s="22" t="s">
        <v>1525</v>
      </c>
      <c r="D801" s="18"/>
      <c r="E801" s="18" t="s">
        <v>184</v>
      </c>
      <c r="F801" s="18" t="str">
        <f>IFERROR(__xludf.DUMMYFUNCTION("if(REGEXMATCH(C801,""x.com"")=TRUE,""Twitter"",if(REGEXMATCH(C801,""facebook"")=TRUE,""Facebook"",if(REGEXMATCH(C801,""instagram"")=TRUE,""Instagram"",if(REGEXMATCH(C801,""youtube"")=TRUE,""Youtube"",if(REGEXMATCH(C801,""tiktok"")=TRUE,""Tiktok"",if(REGEX"&amp;"MATCH(C801,""threads"")=TRUE,""Threads""))))))"),"Tiktok")</f>
        <v>Tiktok</v>
      </c>
      <c r="G801" s="18" t="s">
        <v>1522</v>
      </c>
      <c r="H801" s="18" t="s">
        <v>546</v>
      </c>
      <c r="I801" s="18" t="s">
        <v>535</v>
      </c>
      <c r="J801" s="18" t="s">
        <v>188</v>
      </c>
      <c r="K801" s="18"/>
      <c r="L801" s="15"/>
    </row>
    <row r="802">
      <c r="A802" s="15">
        <v>801.0</v>
      </c>
      <c r="B802" s="23">
        <v>45924.0</v>
      </c>
      <c r="C802" s="22" t="s">
        <v>1526</v>
      </c>
      <c r="D802" s="18"/>
      <c r="E802" s="18" t="s">
        <v>184</v>
      </c>
      <c r="F802" s="18" t="str">
        <f>IFERROR(__xludf.DUMMYFUNCTION("if(REGEXMATCH(C802,""x.com"")=TRUE,""Twitter"",if(REGEXMATCH(C802,""facebook"")=TRUE,""Facebook"",if(REGEXMATCH(C802,""instagram"")=TRUE,""Instagram"",if(REGEXMATCH(C802,""youtube"")=TRUE,""Youtube"",if(REGEXMATCH(C802,""tiktok"")=TRUE,""Tiktok"",if(REGEX"&amp;"MATCH(C802,""threads"")=TRUE,""Threads""))))))"),"Tiktok")</f>
        <v>Tiktok</v>
      </c>
      <c r="G802" s="18" t="s">
        <v>1527</v>
      </c>
      <c r="H802" s="18" t="s">
        <v>546</v>
      </c>
      <c r="I802" s="18" t="s">
        <v>535</v>
      </c>
      <c r="J802" s="18" t="s">
        <v>188</v>
      </c>
      <c r="K802" s="18"/>
      <c r="L802" s="15"/>
    </row>
    <row r="803">
      <c r="A803" s="15">
        <v>802.0</v>
      </c>
      <c r="B803" s="23">
        <v>45924.0</v>
      </c>
      <c r="C803" s="22" t="s">
        <v>1528</v>
      </c>
      <c r="D803" s="18"/>
      <c r="E803" s="18" t="s">
        <v>184</v>
      </c>
      <c r="F803" s="18" t="str">
        <f>IFERROR(__xludf.DUMMYFUNCTION("if(REGEXMATCH(C803,""x.com"")=TRUE,""Twitter"",if(REGEXMATCH(C803,""facebook"")=TRUE,""Facebook"",if(REGEXMATCH(C803,""instagram"")=TRUE,""Instagram"",if(REGEXMATCH(C803,""youtube"")=TRUE,""Youtube"",if(REGEXMATCH(C803,""tiktok"")=TRUE,""Tiktok"",if(REGEX"&amp;"MATCH(C803,""threads"")=TRUE,""Threads""))))))"),"Facebook")</f>
        <v>Facebook</v>
      </c>
      <c r="G803" s="18" t="s">
        <v>1529</v>
      </c>
      <c r="H803" s="18" t="s">
        <v>546</v>
      </c>
      <c r="I803" s="18" t="s">
        <v>535</v>
      </c>
      <c r="J803" s="18" t="s">
        <v>188</v>
      </c>
      <c r="K803" s="18"/>
      <c r="L803" s="15"/>
    </row>
    <row r="804">
      <c r="A804" s="15">
        <v>803.0</v>
      </c>
      <c r="B804" s="23">
        <v>45924.0</v>
      </c>
      <c r="C804" s="22" t="s">
        <v>1530</v>
      </c>
      <c r="D804" s="18"/>
      <c r="E804" s="18" t="s">
        <v>184</v>
      </c>
      <c r="F804" s="18" t="str">
        <f>IFERROR(__xludf.DUMMYFUNCTION("if(REGEXMATCH(C804,""x.com"")=TRUE,""Twitter"",if(REGEXMATCH(C804,""facebook"")=TRUE,""Facebook"",if(REGEXMATCH(C804,""instagram"")=TRUE,""Instagram"",if(REGEXMATCH(C804,""youtube"")=TRUE,""Youtube"",if(REGEXMATCH(C804,""tiktok"")=TRUE,""Tiktok"",if(REGEX"&amp;"MATCH(C804,""threads"")=TRUE,""Threads""))))))"),"Facebook")</f>
        <v>Facebook</v>
      </c>
      <c r="G804" s="18" t="s">
        <v>1522</v>
      </c>
      <c r="H804" s="18" t="s">
        <v>546</v>
      </c>
      <c r="I804" s="18" t="s">
        <v>535</v>
      </c>
      <c r="J804" s="18" t="s">
        <v>188</v>
      </c>
      <c r="K804" s="18"/>
      <c r="L804" s="15"/>
    </row>
    <row r="805">
      <c r="A805" s="15">
        <v>804.0</v>
      </c>
      <c r="B805" s="23">
        <v>45924.0</v>
      </c>
      <c r="C805" s="22" t="s">
        <v>1531</v>
      </c>
      <c r="D805" s="18"/>
      <c r="E805" s="18" t="s">
        <v>184</v>
      </c>
      <c r="F805" s="18" t="str">
        <f>IFERROR(__xludf.DUMMYFUNCTION("if(REGEXMATCH(C805,""x.com"")=TRUE,""Twitter"",if(REGEXMATCH(C805,""facebook"")=TRUE,""Facebook"",if(REGEXMATCH(C805,""instagram"")=TRUE,""Instagram"",if(REGEXMATCH(C805,""youtube"")=TRUE,""Youtube"",if(REGEXMATCH(C805,""tiktok"")=TRUE,""Tiktok"",if(REGEX"&amp;"MATCH(C805,""threads"")=TRUE,""Threads""))))))"),"Facebook")</f>
        <v>Facebook</v>
      </c>
      <c r="G805" s="18" t="s">
        <v>1529</v>
      </c>
      <c r="H805" s="18" t="s">
        <v>546</v>
      </c>
      <c r="I805" s="18" t="s">
        <v>535</v>
      </c>
      <c r="J805" s="18" t="s">
        <v>188</v>
      </c>
      <c r="K805" s="18"/>
      <c r="L805" s="15"/>
    </row>
    <row r="806">
      <c r="A806" s="15">
        <v>805.0</v>
      </c>
      <c r="B806" s="23">
        <v>45924.0</v>
      </c>
      <c r="C806" s="22" t="s">
        <v>1532</v>
      </c>
      <c r="D806" s="18"/>
      <c r="E806" s="18" t="s">
        <v>184</v>
      </c>
      <c r="F806" s="18" t="str">
        <f>IFERROR(__xludf.DUMMYFUNCTION("if(REGEXMATCH(C806,""x.com"")=TRUE,""Twitter"",if(REGEXMATCH(C806,""facebook"")=TRUE,""Facebook"",if(REGEXMATCH(C806,""instagram"")=TRUE,""Instagram"",if(REGEXMATCH(C806,""youtube"")=TRUE,""Youtube"",if(REGEXMATCH(C806,""tiktok"")=TRUE,""Tiktok"",if(REGEX"&amp;"MATCH(C806,""threads"")=TRUE,""Threads""))))))"),"Tiktok")</f>
        <v>Tiktok</v>
      </c>
      <c r="G806" s="18" t="s">
        <v>1533</v>
      </c>
      <c r="H806" s="18" t="s">
        <v>546</v>
      </c>
      <c r="I806" s="18" t="s">
        <v>535</v>
      </c>
      <c r="J806" s="18" t="s">
        <v>188</v>
      </c>
      <c r="K806" s="18"/>
      <c r="L806" s="15"/>
    </row>
    <row r="807">
      <c r="A807" s="15">
        <v>806.0</v>
      </c>
      <c r="B807" s="23">
        <v>45924.0</v>
      </c>
      <c r="C807" s="22" t="s">
        <v>1534</v>
      </c>
      <c r="D807" s="18"/>
      <c r="E807" s="18" t="s">
        <v>184</v>
      </c>
      <c r="F807" s="18" t="str">
        <f>IFERROR(__xludf.DUMMYFUNCTION("if(REGEXMATCH(C807,""x.com"")=TRUE,""Twitter"",if(REGEXMATCH(C807,""facebook"")=TRUE,""Facebook"",if(REGEXMATCH(C807,""instagram"")=TRUE,""Instagram"",if(REGEXMATCH(C807,""youtube"")=TRUE,""Youtube"",if(REGEXMATCH(C807,""tiktok"")=TRUE,""Tiktok"",if(REGEX"&amp;"MATCH(C807,""threads"")=TRUE,""Threads""))))))"),"Tiktok")</f>
        <v>Tiktok</v>
      </c>
      <c r="G807" s="18" t="s">
        <v>1535</v>
      </c>
      <c r="H807" s="18" t="s">
        <v>546</v>
      </c>
      <c r="I807" s="18" t="s">
        <v>535</v>
      </c>
      <c r="J807" s="18" t="s">
        <v>188</v>
      </c>
      <c r="K807" s="18"/>
      <c r="L807" s="15"/>
    </row>
    <row r="808">
      <c r="A808" s="15">
        <v>807.0</v>
      </c>
      <c r="B808" s="23">
        <v>45924.0</v>
      </c>
      <c r="C808" s="22" t="s">
        <v>1536</v>
      </c>
      <c r="D808" s="18"/>
      <c r="E808" s="18" t="s">
        <v>184</v>
      </c>
      <c r="F808" s="18" t="str">
        <f>IFERROR(__xludf.DUMMYFUNCTION("if(REGEXMATCH(C808,""x.com"")=TRUE,""Twitter"",if(REGEXMATCH(C808,""facebook"")=TRUE,""Facebook"",if(REGEXMATCH(C808,""instagram"")=TRUE,""Instagram"",if(REGEXMATCH(C808,""youtube"")=TRUE,""Youtube"",if(REGEXMATCH(C808,""tiktok"")=TRUE,""Tiktok"",if(REGEX"&amp;"MATCH(C808,""threads"")=TRUE,""Threads""))))))"),"Tiktok")</f>
        <v>Tiktok</v>
      </c>
      <c r="G808" s="18" t="s">
        <v>1535</v>
      </c>
      <c r="H808" s="18" t="s">
        <v>546</v>
      </c>
      <c r="I808" s="18" t="s">
        <v>535</v>
      </c>
      <c r="J808" s="18" t="s">
        <v>188</v>
      </c>
      <c r="K808" s="18"/>
      <c r="L808" s="15"/>
    </row>
    <row r="809">
      <c r="A809" s="15">
        <v>808.0</v>
      </c>
      <c r="B809" s="23">
        <v>45924.0</v>
      </c>
      <c r="C809" s="22" t="s">
        <v>1537</v>
      </c>
      <c r="D809" s="18"/>
      <c r="E809" s="18" t="s">
        <v>184</v>
      </c>
      <c r="F809" s="18" t="str">
        <f>IFERROR(__xludf.DUMMYFUNCTION("if(REGEXMATCH(C809,""x.com"")=TRUE,""Twitter"",if(REGEXMATCH(C809,""facebook"")=TRUE,""Facebook"",if(REGEXMATCH(C809,""instagram"")=TRUE,""Instagram"",if(REGEXMATCH(C809,""youtube"")=TRUE,""Youtube"",if(REGEXMATCH(C809,""tiktok"")=TRUE,""Tiktok"",if(REGEX"&amp;"MATCH(C809,""threads"")=TRUE,""Threads""))))))"),"Tiktok")</f>
        <v>Tiktok</v>
      </c>
      <c r="G809" s="18" t="s">
        <v>1538</v>
      </c>
      <c r="H809" s="18" t="s">
        <v>546</v>
      </c>
      <c r="I809" s="18" t="s">
        <v>535</v>
      </c>
      <c r="J809" s="18" t="s">
        <v>188</v>
      </c>
      <c r="K809" s="18"/>
      <c r="L809" s="15"/>
    </row>
    <row r="810">
      <c r="A810" s="15">
        <v>809.0</v>
      </c>
      <c r="B810" s="23">
        <v>45924.0</v>
      </c>
      <c r="C810" s="22" t="s">
        <v>1539</v>
      </c>
      <c r="D810" s="18"/>
      <c r="E810" s="18" t="s">
        <v>184</v>
      </c>
      <c r="F810" s="18" t="str">
        <f>IFERROR(__xludf.DUMMYFUNCTION("if(REGEXMATCH(C810,""x.com"")=TRUE,""Twitter"",if(REGEXMATCH(C810,""facebook"")=TRUE,""Facebook"",if(REGEXMATCH(C810,""instagram"")=TRUE,""Instagram"",if(REGEXMATCH(C810,""youtube"")=TRUE,""Youtube"",if(REGEXMATCH(C810,""tiktok"")=TRUE,""Tiktok"",if(REGEX"&amp;"MATCH(C810,""threads"")=TRUE,""Threads""))))))"),"Tiktok")</f>
        <v>Tiktok</v>
      </c>
      <c r="G810" s="18" t="s">
        <v>1540</v>
      </c>
      <c r="H810" s="18" t="s">
        <v>546</v>
      </c>
      <c r="I810" s="18" t="s">
        <v>535</v>
      </c>
      <c r="J810" s="18" t="s">
        <v>188</v>
      </c>
      <c r="K810" s="18"/>
      <c r="L810" s="15"/>
    </row>
    <row r="811">
      <c r="A811" s="15">
        <v>810.0</v>
      </c>
      <c r="B811" s="23">
        <v>45924.0</v>
      </c>
      <c r="C811" s="22" t="s">
        <v>1541</v>
      </c>
      <c r="D811" s="18"/>
      <c r="E811" s="18" t="s">
        <v>401</v>
      </c>
      <c r="F811" s="18" t="str">
        <f>IFERROR(__xludf.DUMMYFUNCTION("if(REGEXMATCH(C811,""x.com"")=TRUE,""Twitter"",if(REGEXMATCH(C811,""facebook"")=TRUE,""Facebook"",if(REGEXMATCH(C811,""instagram"")=TRUE,""Instagram"",if(REGEXMATCH(C811,""youtube"")=TRUE,""Youtube"",if(REGEXMATCH(C811,""tiktok"")=TRUE,""Tiktok"",if(REGEX"&amp;"MATCH(C811,""threads"")=TRUE,""Threads""))))))"),"Facebook")</f>
        <v>Facebook</v>
      </c>
      <c r="G811" s="18" t="s">
        <v>937</v>
      </c>
      <c r="H811" s="18" t="s">
        <v>1542</v>
      </c>
      <c r="I811" s="18" t="s">
        <v>939</v>
      </c>
      <c r="J811" s="18" t="s">
        <v>188</v>
      </c>
      <c r="K811" s="18"/>
      <c r="L811" s="15"/>
    </row>
    <row r="812">
      <c r="A812" s="15">
        <v>811.0</v>
      </c>
      <c r="B812" s="23">
        <v>45924.0</v>
      </c>
      <c r="C812" s="22" t="s">
        <v>1543</v>
      </c>
      <c r="D812" s="18"/>
      <c r="E812" s="18" t="s">
        <v>401</v>
      </c>
      <c r="F812" s="18" t="str">
        <f>IFERROR(__xludf.DUMMYFUNCTION("if(REGEXMATCH(C812,""x.com"")=TRUE,""Twitter"",if(REGEXMATCH(C812,""facebook"")=TRUE,""Facebook"",if(REGEXMATCH(C812,""instagram"")=TRUE,""Instagram"",if(REGEXMATCH(C812,""youtube"")=TRUE,""Youtube"",if(REGEXMATCH(C812,""tiktok"")=TRUE,""Tiktok"",if(REGEX"&amp;"MATCH(C812,""threads"")=TRUE,""Threads""))))))"),"Facebook")</f>
        <v>Facebook</v>
      </c>
      <c r="G812" s="18" t="s">
        <v>937</v>
      </c>
      <c r="H812" s="18" t="s">
        <v>1542</v>
      </c>
      <c r="I812" s="18" t="s">
        <v>939</v>
      </c>
      <c r="J812" s="18" t="s">
        <v>188</v>
      </c>
      <c r="K812" s="18"/>
      <c r="L812" s="15"/>
    </row>
    <row r="813">
      <c r="A813" s="15">
        <v>812.0</v>
      </c>
      <c r="B813" s="23">
        <v>45924.0</v>
      </c>
      <c r="C813" s="30" t="s">
        <v>1544</v>
      </c>
      <c r="D813" s="18"/>
      <c r="E813" s="18" t="s">
        <v>401</v>
      </c>
      <c r="F813" s="18" t="str">
        <f>IFERROR(__xludf.DUMMYFUNCTION("if(REGEXMATCH(C813,""x.com"")=TRUE,""Twitter"",if(REGEXMATCH(C813,""facebook"")=TRUE,""Facebook"",if(REGEXMATCH(C813,""instagram"")=TRUE,""Instagram"",if(REGEXMATCH(C813,""youtube"")=TRUE,""Youtube"",if(REGEXMATCH(C813,""tiktok"")=TRUE,""Tiktok"",if(REGEX"&amp;"MATCH(C813,""threads"")=TRUE,""Threads""))))))"),"Facebook")</f>
        <v>Facebook</v>
      </c>
      <c r="G813" s="18" t="s">
        <v>937</v>
      </c>
      <c r="H813" s="18" t="s">
        <v>1542</v>
      </c>
      <c r="I813" s="18" t="s">
        <v>939</v>
      </c>
      <c r="J813" s="18" t="s">
        <v>188</v>
      </c>
      <c r="K813" s="18"/>
      <c r="L813" s="15"/>
    </row>
    <row r="814">
      <c r="A814" s="15">
        <v>813.0</v>
      </c>
      <c r="B814" s="23">
        <v>45924.0</v>
      </c>
      <c r="C814" s="22" t="s">
        <v>1545</v>
      </c>
      <c r="D814" s="18"/>
      <c r="E814" s="18" t="s">
        <v>401</v>
      </c>
      <c r="F814" s="18" t="str">
        <f>IFERROR(__xludf.DUMMYFUNCTION("if(REGEXMATCH(C814,""x.com"")=TRUE,""Twitter"",if(REGEXMATCH(C814,""facebook"")=TRUE,""Facebook"",if(REGEXMATCH(C814,""instagram"")=TRUE,""Instagram"",if(REGEXMATCH(C814,""youtube"")=TRUE,""Youtube"",if(REGEXMATCH(C814,""tiktok"")=TRUE,""Tiktok"",if(REGEX"&amp;"MATCH(C814,""threads"")=TRUE,""Threads""))))))"),"Facebook")</f>
        <v>Facebook</v>
      </c>
      <c r="G814" s="18" t="s">
        <v>937</v>
      </c>
      <c r="H814" s="18" t="s">
        <v>1542</v>
      </c>
      <c r="I814" s="18" t="s">
        <v>939</v>
      </c>
      <c r="J814" s="18" t="s">
        <v>188</v>
      </c>
      <c r="K814" s="18"/>
      <c r="L814" s="15"/>
    </row>
    <row r="815">
      <c r="A815" s="15">
        <v>814.0</v>
      </c>
      <c r="B815" s="23">
        <v>45924.0</v>
      </c>
      <c r="C815" s="22" t="s">
        <v>1546</v>
      </c>
      <c r="D815" s="18"/>
      <c r="E815" s="18" t="s">
        <v>401</v>
      </c>
      <c r="F815" s="18" t="str">
        <f>IFERROR(__xludf.DUMMYFUNCTION("if(REGEXMATCH(C815,""x.com"")=TRUE,""Twitter"",if(REGEXMATCH(C815,""facebook"")=TRUE,""Facebook"",if(REGEXMATCH(C815,""instagram"")=TRUE,""Instagram"",if(REGEXMATCH(C815,""youtube"")=TRUE,""Youtube"",if(REGEXMATCH(C815,""tiktok"")=TRUE,""Tiktok"",if(REGEX"&amp;"MATCH(C815,""threads"")=TRUE,""Threads""))))))"),"Facebook")</f>
        <v>Facebook</v>
      </c>
      <c r="G815" s="18" t="s">
        <v>937</v>
      </c>
      <c r="H815" s="18" t="s">
        <v>1542</v>
      </c>
      <c r="I815" s="18" t="s">
        <v>939</v>
      </c>
      <c r="J815" s="18" t="s">
        <v>188</v>
      </c>
      <c r="K815" s="18"/>
      <c r="L815" s="15"/>
    </row>
    <row r="816">
      <c r="A816" s="15">
        <v>815.0</v>
      </c>
      <c r="B816" s="23">
        <v>45924.0</v>
      </c>
      <c r="C816" s="33" t="s">
        <v>1547</v>
      </c>
      <c r="D816" s="18"/>
      <c r="E816" s="18" t="s">
        <v>401</v>
      </c>
      <c r="F816" s="18" t="str">
        <f>IFERROR(__xludf.DUMMYFUNCTION("if(REGEXMATCH(C816,""x.com"")=TRUE,""Twitter"",if(REGEXMATCH(C816,""facebook"")=TRUE,""Facebook"",if(REGEXMATCH(C816,""instagram"")=TRUE,""Instagram"",if(REGEXMATCH(C816,""youtube"")=TRUE,""Youtube"",if(REGEXMATCH(C816,""tiktok"")=TRUE,""Tiktok"",if(REGEX"&amp;"MATCH(C816,""threads"")=TRUE,""Threads""))))))"),"Facebook")</f>
        <v>Facebook</v>
      </c>
      <c r="G816" s="18" t="s">
        <v>937</v>
      </c>
      <c r="H816" s="18" t="s">
        <v>1542</v>
      </c>
      <c r="I816" s="18" t="s">
        <v>939</v>
      </c>
      <c r="J816" s="18" t="s">
        <v>188</v>
      </c>
      <c r="K816" s="18"/>
      <c r="L816" s="15"/>
    </row>
    <row r="817">
      <c r="A817" s="15">
        <v>816.0</v>
      </c>
      <c r="B817" s="23">
        <v>45924.0</v>
      </c>
      <c r="C817" s="22" t="s">
        <v>1548</v>
      </c>
      <c r="D817" s="18"/>
      <c r="E817" s="18" t="s">
        <v>401</v>
      </c>
      <c r="F817" s="18" t="str">
        <f>IFERROR(__xludf.DUMMYFUNCTION("if(REGEXMATCH(C817,""x.com"")=TRUE,""Twitter"",if(REGEXMATCH(C817,""facebook"")=TRUE,""Facebook"",if(REGEXMATCH(C817,""instagram"")=TRUE,""Instagram"",if(REGEXMATCH(C817,""youtube"")=TRUE,""Youtube"",if(REGEXMATCH(C817,""tiktok"")=TRUE,""Tiktok"",if(REGEX"&amp;"MATCH(C817,""threads"")=TRUE,""Threads""))))))"),"Facebook")</f>
        <v>Facebook</v>
      </c>
      <c r="G817" s="18" t="s">
        <v>937</v>
      </c>
      <c r="H817" s="18" t="s">
        <v>1542</v>
      </c>
      <c r="I817" s="18" t="s">
        <v>939</v>
      </c>
      <c r="J817" s="18" t="s">
        <v>188</v>
      </c>
      <c r="K817" s="18"/>
      <c r="L817" s="15"/>
    </row>
    <row r="818">
      <c r="A818" s="15">
        <v>817.0</v>
      </c>
      <c r="B818" s="23">
        <v>45924.0</v>
      </c>
      <c r="C818" s="22" t="s">
        <v>1549</v>
      </c>
      <c r="D818" s="18"/>
      <c r="E818" s="18" t="s">
        <v>401</v>
      </c>
      <c r="F818" s="18" t="str">
        <f>IFERROR(__xludf.DUMMYFUNCTION("if(REGEXMATCH(C818,""x.com"")=TRUE,""Twitter"",if(REGEXMATCH(C818,""facebook"")=TRUE,""Facebook"",if(REGEXMATCH(C818,""instagram"")=TRUE,""Instagram"",if(REGEXMATCH(C818,""youtube"")=TRUE,""Youtube"",if(REGEXMATCH(C818,""tiktok"")=TRUE,""Tiktok"",if(REGEX"&amp;"MATCH(C818,""threads"")=TRUE,""Threads""))))))"),"Facebook")</f>
        <v>Facebook</v>
      </c>
      <c r="G818" s="18" t="s">
        <v>937</v>
      </c>
      <c r="H818" s="18" t="s">
        <v>1542</v>
      </c>
      <c r="I818" s="18" t="s">
        <v>939</v>
      </c>
      <c r="J818" s="18" t="s">
        <v>188</v>
      </c>
      <c r="K818" s="18"/>
      <c r="L818" s="15"/>
    </row>
    <row r="819">
      <c r="A819" s="15">
        <v>818.0</v>
      </c>
      <c r="B819" s="23">
        <v>45924.0</v>
      </c>
      <c r="C819" s="22" t="s">
        <v>1550</v>
      </c>
      <c r="D819" s="18"/>
      <c r="E819" s="18" t="s">
        <v>401</v>
      </c>
      <c r="F819" s="18" t="str">
        <f>IFERROR(__xludf.DUMMYFUNCTION("if(REGEXMATCH(C819,""x.com"")=TRUE,""Twitter"",if(REGEXMATCH(C819,""facebook"")=TRUE,""Facebook"",if(REGEXMATCH(C819,""instagram"")=TRUE,""Instagram"",if(REGEXMATCH(C819,""youtube"")=TRUE,""Youtube"",if(REGEXMATCH(C819,""tiktok"")=TRUE,""Tiktok"",if(REGEX"&amp;"MATCH(C819,""threads"")=TRUE,""Threads""))))))"),"Facebook")</f>
        <v>Facebook</v>
      </c>
      <c r="G819" s="18" t="s">
        <v>937</v>
      </c>
      <c r="H819" s="18" t="s">
        <v>1542</v>
      </c>
      <c r="I819" s="18" t="s">
        <v>939</v>
      </c>
      <c r="J819" s="18" t="s">
        <v>188</v>
      </c>
      <c r="K819" s="18"/>
      <c r="L819" s="15"/>
    </row>
    <row r="820">
      <c r="A820" s="15">
        <v>819.0</v>
      </c>
      <c r="B820" s="23">
        <v>45924.0</v>
      </c>
      <c r="C820" s="22" t="s">
        <v>1551</v>
      </c>
      <c r="D820" s="18"/>
      <c r="E820" s="18" t="s">
        <v>401</v>
      </c>
      <c r="F820" s="18" t="str">
        <f>IFERROR(__xludf.DUMMYFUNCTION("if(REGEXMATCH(C820,""x.com"")=TRUE,""Twitter"",if(REGEXMATCH(C820,""facebook"")=TRUE,""Facebook"",if(REGEXMATCH(C820,""instagram"")=TRUE,""Instagram"",if(REGEXMATCH(C820,""youtube"")=TRUE,""Youtube"",if(REGEXMATCH(C820,""tiktok"")=TRUE,""Tiktok"",if(REGEX"&amp;"MATCH(C820,""threads"")=TRUE,""Threads""))))))"),"Facebook")</f>
        <v>Facebook</v>
      </c>
      <c r="G820" s="18" t="s">
        <v>937</v>
      </c>
      <c r="H820" s="18" t="s">
        <v>1542</v>
      </c>
      <c r="I820" s="18" t="s">
        <v>939</v>
      </c>
      <c r="J820" s="18" t="s">
        <v>188</v>
      </c>
      <c r="K820" s="18"/>
      <c r="L820" s="15"/>
    </row>
    <row r="821">
      <c r="A821" s="15">
        <v>820.0</v>
      </c>
      <c r="B821" s="23">
        <v>45924.0</v>
      </c>
      <c r="C821" s="22" t="s">
        <v>1552</v>
      </c>
      <c r="D821" s="18"/>
      <c r="E821" s="18" t="s">
        <v>401</v>
      </c>
      <c r="F821" s="18" t="str">
        <f>IFERROR(__xludf.DUMMYFUNCTION("if(REGEXMATCH(C821,""x.com"")=TRUE,""Twitter"",if(REGEXMATCH(C821,""facebook"")=TRUE,""Facebook"",if(REGEXMATCH(C821,""instagram"")=TRUE,""Instagram"",if(REGEXMATCH(C821,""youtube"")=TRUE,""Youtube"",if(REGEXMATCH(C821,""tiktok"")=TRUE,""Tiktok"",if(REGEX"&amp;"MATCH(C821,""threads"")=TRUE,""Threads""))))))"),"Facebook")</f>
        <v>Facebook</v>
      </c>
      <c r="G821" s="18" t="s">
        <v>937</v>
      </c>
      <c r="H821" s="18" t="s">
        <v>1542</v>
      </c>
      <c r="I821" s="18" t="s">
        <v>939</v>
      </c>
      <c r="J821" s="18" t="s">
        <v>188</v>
      </c>
      <c r="K821" s="18"/>
      <c r="L821" s="15"/>
    </row>
    <row r="822">
      <c r="A822" s="15">
        <v>821.0</v>
      </c>
      <c r="B822" s="23">
        <v>45924.0</v>
      </c>
      <c r="C822" s="22" t="s">
        <v>1553</v>
      </c>
      <c r="D822" s="18"/>
      <c r="E822" s="18" t="s">
        <v>401</v>
      </c>
      <c r="F822" s="18" t="str">
        <f>IFERROR(__xludf.DUMMYFUNCTION("if(REGEXMATCH(C822,""x.com"")=TRUE,""Twitter"",if(REGEXMATCH(C822,""facebook"")=TRUE,""Facebook"",if(REGEXMATCH(C822,""instagram"")=TRUE,""Instagram"",if(REGEXMATCH(C822,""youtube"")=TRUE,""Youtube"",if(REGEXMATCH(C822,""tiktok"")=TRUE,""Tiktok"",if(REGEX"&amp;"MATCH(C822,""threads"")=TRUE,""Threads""))))))"),"Facebook")</f>
        <v>Facebook</v>
      </c>
      <c r="G822" s="18" t="s">
        <v>1554</v>
      </c>
      <c r="H822" s="18" t="s">
        <v>1542</v>
      </c>
      <c r="I822" s="18" t="s">
        <v>939</v>
      </c>
      <c r="J822" s="18" t="s">
        <v>188</v>
      </c>
      <c r="K822" s="18"/>
      <c r="L822" s="15"/>
    </row>
    <row r="823">
      <c r="A823" s="15">
        <v>822.0</v>
      </c>
      <c r="B823" s="23">
        <v>45924.0</v>
      </c>
      <c r="C823" s="22" t="s">
        <v>1555</v>
      </c>
      <c r="D823" s="18"/>
      <c r="E823" s="18" t="s">
        <v>401</v>
      </c>
      <c r="F823" s="18" t="str">
        <f>IFERROR(__xludf.DUMMYFUNCTION("if(REGEXMATCH(C823,""x.com"")=TRUE,""Twitter"",if(REGEXMATCH(C823,""facebook"")=TRUE,""Facebook"",if(REGEXMATCH(C823,""instagram"")=TRUE,""Instagram"",if(REGEXMATCH(C823,""youtube"")=TRUE,""Youtube"",if(REGEXMATCH(C823,""tiktok"")=TRUE,""Tiktok"",if(REGEX"&amp;"MATCH(C823,""threads"")=TRUE,""Threads""))))))"),"Facebook")</f>
        <v>Facebook</v>
      </c>
      <c r="G823" s="18" t="s">
        <v>937</v>
      </c>
      <c r="H823" s="18" t="s">
        <v>1542</v>
      </c>
      <c r="I823" s="18" t="s">
        <v>939</v>
      </c>
      <c r="J823" s="18" t="s">
        <v>188</v>
      </c>
      <c r="K823" s="18"/>
      <c r="L823" s="15"/>
    </row>
    <row r="824">
      <c r="A824" s="15">
        <v>823.0</v>
      </c>
      <c r="B824" s="23">
        <v>45924.0</v>
      </c>
      <c r="C824" s="22" t="s">
        <v>1556</v>
      </c>
      <c r="D824" s="18"/>
      <c r="E824" s="18" t="s">
        <v>401</v>
      </c>
      <c r="F824" s="18" t="str">
        <f>IFERROR(__xludf.DUMMYFUNCTION("if(REGEXMATCH(C824,""x.com"")=TRUE,""Twitter"",if(REGEXMATCH(C824,""facebook"")=TRUE,""Facebook"",if(REGEXMATCH(C824,""instagram"")=TRUE,""Instagram"",if(REGEXMATCH(C824,""youtube"")=TRUE,""Youtube"",if(REGEXMATCH(C824,""tiktok"")=TRUE,""Tiktok"",if(REGEX"&amp;"MATCH(C824,""threads"")=TRUE,""Threads""))))))"),"Facebook")</f>
        <v>Facebook</v>
      </c>
      <c r="G824" s="18" t="s">
        <v>937</v>
      </c>
      <c r="H824" s="18" t="s">
        <v>1542</v>
      </c>
      <c r="I824" s="18" t="s">
        <v>939</v>
      </c>
      <c r="J824" s="18" t="s">
        <v>188</v>
      </c>
      <c r="K824" s="18"/>
      <c r="L824" s="15"/>
    </row>
    <row r="825">
      <c r="A825" s="15">
        <v>824.0</v>
      </c>
      <c r="B825" s="23">
        <v>45924.0</v>
      </c>
      <c r="C825" s="22" t="s">
        <v>1557</v>
      </c>
      <c r="D825" s="18"/>
      <c r="E825" s="18" t="s">
        <v>401</v>
      </c>
      <c r="F825" s="18" t="str">
        <f>IFERROR(__xludf.DUMMYFUNCTION("if(REGEXMATCH(C825,""x.com"")=TRUE,""Twitter"",if(REGEXMATCH(C825,""facebook"")=TRUE,""Facebook"",if(REGEXMATCH(C825,""instagram"")=TRUE,""Instagram"",if(REGEXMATCH(C825,""youtube"")=TRUE,""Youtube"",if(REGEXMATCH(C825,""tiktok"")=TRUE,""Tiktok"",if(REGEX"&amp;"MATCH(C825,""threads"")=TRUE,""Threads""))))))"),"Facebook")</f>
        <v>Facebook</v>
      </c>
      <c r="G825" s="18" t="s">
        <v>937</v>
      </c>
      <c r="H825" s="18" t="s">
        <v>1542</v>
      </c>
      <c r="I825" s="18" t="s">
        <v>939</v>
      </c>
      <c r="J825" s="18" t="s">
        <v>188</v>
      </c>
      <c r="K825" s="18" t="s">
        <v>1558</v>
      </c>
      <c r="L825" s="15"/>
    </row>
    <row r="826">
      <c r="A826" s="15">
        <v>825.0</v>
      </c>
      <c r="B826" s="23">
        <v>45924.0</v>
      </c>
      <c r="C826" s="22" t="s">
        <v>1559</v>
      </c>
      <c r="D826" s="18"/>
      <c r="E826" s="18" t="s">
        <v>184</v>
      </c>
      <c r="F826" s="18" t="str">
        <f>IFERROR(__xludf.DUMMYFUNCTION("if(REGEXMATCH(C826,""x.com"")=TRUE,""Twitter"",if(REGEXMATCH(C826,""facebook"")=TRUE,""Facebook"",if(REGEXMATCH(C826,""instagram"")=TRUE,""Instagram"",if(REGEXMATCH(C826,""youtube"")=TRUE,""Youtube"",if(REGEXMATCH(C826,""tiktok"")=TRUE,""Tiktok"",if(REGEX"&amp;"MATCH(C826,""threads"")=TRUE,""Threads""))))))"),"Tiktok")</f>
        <v>Tiktok</v>
      </c>
      <c r="G826" s="18" t="s">
        <v>822</v>
      </c>
      <c r="H826" s="18" t="s">
        <v>407</v>
      </c>
      <c r="I826" s="18"/>
      <c r="J826" s="18" t="s">
        <v>422</v>
      </c>
      <c r="K826" s="18" t="s">
        <v>1560</v>
      </c>
      <c r="L826" s="15"/>
    </row>
    <row r="827">
      <c r="A827" s="15">
        <v>826.0</v>
      </c>
      <c r="B827" s="23">
        <v>45924.0</v>
      </c>
      <c r="C827" s="22" t="s">
        <v>1561</v>
      </c>
      <c r="D827" s="18"/>
      <c r="E827" s="18" t="s">
        <v>184</v>
      </c>
      <c r="F827" s="18" t="str">
        <f>IFERROR(__xludf.DUMMYFUNCTION("if(REGEXMATCH(C827,""x.com"")=TRUE,""Twitter"",if(REGEXMATCH(C827,""facebook"")=TRUE,""Facebook"",if(REGEXMATCH(C827,""instagram"")=TRUE,""Instagram"",if(REGEXMATCH(C827,""youtube"")=TRUE,""Youtube"",if(REGEXMATCH(C827,""tiktok"")=TRUE,""Tiktok"",if(REGEX"&amp;"MATCH(C827,""threads"")=TRUE,""Threads""))))))"),"Tiktok")</f>
        <v>Tiktok</v>
      </c>
      <c r="G827" s="18" t="s">
        <v>822</v>
      </c>
      <c r="H827" s="18" t="s">
        <v>407</v>
      </c>
      <c r="I827" s="18"/>
      <c r="J827" s="18" t="s">
        <v>422</v>
      </c>
      <c r="K827" s="18" t="s">
        <v>1560</v>
      </c>
      <c r="L827" s="15"/>
    </row>
    <row r="828">
      <c r="A828" s="15">
        <v>827.0</v>
      </c>
      <c r="B828" s="23">
        <v>45924.0</v>
      </c>
      <c r="C828" s="22" t="s">
        <v>1562</v>
      </c>
      <c r="D828" s="18"/>
      <c r="E828" s="18" t="s">
        <v>184</v>
      </c>
      <c r="F828" s="18" t="str">
        <f>IFERROR(__xludf.DUMMYFUNCTION("if(REGEXMATCH(C828,""x.com"")=TRUE,""Twitter"",if(REGEXMATCH(C828,""facebook"")=TRUE,""Facebook"",if(REGEXMATCH(C828,""instagram"")=TRUE,""Instagram"",if(REGEXMATCH(C828,""youtube"")=TRUE,""Youtube"",if(REGEXMATCH(C828,""tiktok"")=TRUE,""Tiktok"",if(REGEX"&amp;"MATCH(C828,""threads"")=TRUE,""Threads""))))))"),"Instagram")</f>
        <v>Instagram</v>
      </c>
      <c r="G828" s="18" t="s">
        <v>822</v>
      </c>
      <c r="H828" s="18" t="s">
        <v>410</v>
      </c>
      <c r="I828" s="18"/>
      <c r="J828" s="18" t="s">
        <v>422</v>
      </c>
      <c r="K828" s="18" t="s">
        <v>1560</v>
      </c>
      <c r="L828" s="15"/>
    </row>
    <row r="829">
      <c r="A829" s="15">
        <v>828.0</v>
      </c>
      <c r="B829" s="23">
        <v>45924.0</v>
      </c>
      <c r="C829" s="22" t="s">
        <v>1563</v>
      </c>
      <c r="D829" s="18"/>
      <c r="E829" s="18" t="s">
        <v>184</v>
      </c>
      <c r="F829" s="18" t="str">
        <f>IFERROR(__xludf.DUMMYFUNCTION("if(REGEXMATCH(C829,""x.com"")=TRUE,""Twitter"",if(REGEXMATCH(C829,""facebook"")=TRUE,""Facebook"",if(REGEXMATCH(C829,""instagram"")=TRUE,""Instagram"",if(REGEXMATCH(C829,""youtube"")=TRUE,""Youtube"",if(REGEXMATCH(C829,""tiktok"")=TRUE,""Tiktok"",if(REGEX"&amp;"MATCH(C829,""threads"")=TRUE,""Threads""))))))"),"Instagram")</f>
        <v>Instagram</v>
      </c>
      <c r="G829" s="18" t="s">
        <v>822</v>
      </c>
      <c r="H829" s="18" t="s">
        <v>410</v>
      </c>
      <c r="I829" s="18"/>
      <c r="J829" s="18" t="s">
        <v>422</v>
      </c>
      <c r="K829" s="18" t="s">
        <v>1560</v>
      </c>
      <c r="L829" s="15"/>
    </row>
    <row r="830">
      <c r="A830" s="15">
        <v>829.0</v>
      </c>
      <c r="B830" s="23">
        <v>45924.0</v>
      </c>
      <c r="C830" s="22" t="s">
        <v>1564</v>
      </c>
      <c r="D830" s="18"/>
      <c r="E830" s="18" t="s">
        <v>184</v>
      </c>
      <c r="F830" s="18" t="str">
        <f>IFERROR(__xludf.DUMMYFUNCTION("if(REGEXMATCH(C830,""x.com"")=TRUE,""Twitter"",if(REGEXMATCH(C830,""facebook"")=TRUE,""Facebook"",if(REGEXMATCH(C830,""instagram"")=TRUE,""Instagram"",if(REGEXMATCH(C830,""youtube"")=TRUE,""Youtube"",if(REGEXMATCH(C830,""tiktok"")=TRUE,""Tiktok"",if(REGEX"&amp;"MATCH(C830,""threads"")=TRUE,""Threads""))))))"),"Instagram")</f>
        <v>Instagram</v>
      </c>
      <c r="G830" s="18" t="s">
        <v>822</v>
      </c>
      <c r="H830" s="18" t="s">
        <v>410</v>
      </c>
      <c r="I830" s="18"/>
      <c r="J830" s="18" t="s">
        <v>422</v>
      </c>
      <c r="K830" s="18" t="s">
        <v>1560</v>
      </c>
      <c r="L830" s="15"/>
    </row>
    <row r="831">
      <c r="A831" s="15">
        <v>830.0</v>
      </c>
      <c r="B831" s="23">
        <v>45924.0</v>
      </c>
      <c r="C831" s="22" t="s">
        <v>1565</v>
      </c>
      <c r="D831" s="18"/>
      <c r="E831" s="18" t="s">
        <v>184</v>
      </c>
      <c r="F831" s="18" t="str">
        <f>IFERROR(__xludf.DUMMYFUNCTION("if(REGEXMATCH(C831,""x.com"")=TRUE,""Twitter"",if(REGEXMATCH(C831,""facebook"")=TRUE,""Facebook"",if(REGEXMATCH(C831,""instagram"")=TRUE,""Instagram"",if(REGEXMATCH(C831,""youtube"")=TRUE,""Youtube"",if(REGEXMATCH(C831,""tiktok"")=TRUE,""Tiktok"",if(REGEX"&amp;"MATCH(C831,""threads"")=TRUE,""Threads""))))))"),"Instagram")</f>
        <v>Instagram</v>
      </c>
      <c r="G831" s="18" t="s">
        <v>822</v>
      </c>
      <c r="H831" s="18" t="s">
        <v>410</v>
      </c>
      <c r="I831" s="18"/>
      <c r="J831" s="18" t="s">
        <v>422</v>
      </c>
      <c r="K831" s="18" t="s">
        <v>1560</v>
      </c>
      <c r="L831" s="15"/>
    </row>
    <row r="832">
      <c r="A832" s="15">
        <v>831.0</v>
      </c>
      <c r="B832" s="23">
        <v>45924.0</v>
      </c>
      <c r="C832" s="22" t="s">
        <v>1566</v>
      </c>
      <c r="D832" s="18"/>
      <c r="E832" s="18" t="s">
        <v>184</v>
      </c>
      <c r="F832" s="18" t="str">
        <f>IFERROR(__xludf.DUMMYFUNCTION("if(REGEXMATCH(C832,""x.com"")=TRUE,""Twitter"",if(REGEXMATCH(C832,""facebook"")=TRUE,""Facebook"",if(REGEXMATCH(C832,""instagram"")=TRUE,""Instagram"",if(REGEXMATCH(C832,""youtube"")=TRUE,""Youtube"",if(REGEXMATCH(C832,""tiktok"")=TRUE,""Tiktok"",if(REGEX"&amp;"MATCH(C832,""threads"")=TRUE,""Threads""))))))"),"Instagram")</f>
        <v>Instagram</v>
      </c>
      <c r="G832" s="18" t="s">
        <v>822</v>
      </c>
      <c r="H832" s="18" t="s">
        <v>410</v>
      </c>
      <c r="I832" s="18"/>
      <c r="J832" s="18" t="s">
        <v>422</v>
      </c>
      <c r="K832" s="18" t="s">
        <v>1560</v>
      </c>
      <c r="L832" s="15"/>
    </row>
    <row r="833">
      <c r="A833" s="15">
        <v>832.0</v>
      </c>
      <c r="B833" s="23">
        <v>45924.0</v>
      </c>
      <c r="C833" s="22" t="s">
        <v>1567</v>
      </c>
      <c r="D833" s="18"/>
      <c r="E833" s="18" t="s">
        <v>184</v>
      </c>
      <c r="F833" s="18" t="str">
        <f>IFERROR(__xludf.DUMMYFUNCTION("if(REGEXMATCH(C833,""x.com"")=TRUE,""Twitter"",if(REGEXMATCH(C833,""facebook"")=TRUE,""Facebook"",if(REGEXMATCH(C833,""instagram"")=TRUE,""Instagram"",if(REGEXMATCH(C833,""youtube"")=TRUE,""Youtube"",if(REGEXMATCH(C833,""tiktok"")=TRUE,""Tiktok"",if(REGEX"&amp;"MATCH(C833,""threads"")=TRUE,""Threads""))))))"),"Instagram")</f>
        <v>Instagram</v>
      </c>
      <c r="G833" s="18" t="s">
        <v>822</v>
      </c>
      <c r="H833" s="18" t="s">
        <v>410</v>
      </c>
      <c r="I833" s="18"/>
      <c r="J833" s="18" t="s">
        <v>422</v>
      </c>
      <c r="K833" s="18" t="s">
        <v>1560</v>
      </c>
      <c r="L833" s="15"/>
    </row>
    <row r="834">
      <c r="A834" s="15">
        <v>833.0</v>
      </c>
      <c r="B834" s="23">
        <v>45924.0</v>
      </c>
      <c r="C834" s="22" t="s">
        <v>1568</v>
      </c>
      <c r="D834" s="18"/>
      <c r="E834" s="18" t="s">
        <v>184</v>
      </c>
      <c r="F834" s="18" t="str">
        <f>IFERROR(__xludf.DUMMYFUNCTION("if(REGEXMATCH(C834,""x.com"")=TRUE,""Twitter"",if(REGEXMATCH(C834,""facebook"")=TRUE,""Facebook"",if(REGEXMATCH(C834,""instagram"")=TRUE,""Instagram"",if(REGEXMATCH(C834,""youtube"")=TRUE,""Youtube"",if(REGEXMATCH(C834,""tiktok"")=TRUE,""Tiktok"",if(REGEX"&amp;"MATCH(C834,""threads"")=TRUE,""Threads""))))))"),"Instagram")</f>
        <v>Instagram</v>
      </c>
      <c r="G834" s="18" t="s">
        <v>822</v>
      </c>
      <c r="H834" s="18" t="s">
        <v>410</v>
      </c>
      <c r="I834" s="18"/>
      <c r="J834" s="18" t="s">
        <v>422</v>
      </c>
      <c r="K834" s="18" t="s">
        <v>1560</v>
      </c>
      <c r="L834" s="15"/>
    </row>
    <row r="835">
      <c r="A835" s="15">
        <v>834.0</v>
      </c>
      <c r="B835" s="23">
        <v>45924.0</v>
      </c>
      <c r="C835" s="22" t="s">
        <v>1569</v>
      </c>
      <c r="D835" s="18"/>
      <c r="E835" s="18" t="s">
        <v>184</v>
      </c>
      <c r="F835" s="18" t="str">
        <f>IFERROR(__xludf.DUMMYFUNCTION("if(REGEXMATCH(C835,""x.com"")=TRUE,""Twitter"",if(REGEXMATCH(C835,""facebook"")=TRUE,""Facebook"",if(REGEXMATCH(C835,""instagram"")=TRUE,""Instagram"",if(REGEXMATCH(C835,""youtube"")=TRUE,""Youtube"",if(REGEXMATCH(C835,""tiktok"")=TRUE,""Tiktok"",if(REGEX"&amp;"MATCH(C835,""threads"")=TRUE,""Threads""))))))"),"Instagram")</f>
        <v>Instagram</v>
      </c>
      <c r="G835" s="18" t="s">
        <v>822</v>
      </c>
      <c r="H835" s="18" t="s">
        <v>410</v>
      </c>
      <c r="I835" s="18"/>
      <c r="J835" s="18" t="s">
        <v>422</v>
      </c>
      <c r="K835" s="18" t="s">
        <v>1560</v>
      </c>
      <c r="L835" s="15"/>
    </row>
    <row r="836">
      <c r="A836" s="15">
        <v>835.0</v>
      </c>
      <c r="B836" s="23">
        <v>45924.0</v>
      </c>
      <c r="C836" s="22" t="s">
        <v>1570</v>
      </c>
      <c r="D836" s="18"/>
      <c r="E836" s="18" t="s">
        <v>184</v>
      </c>
      <c r="F836" s="18" t="str">
        <f>IFERROR(__xludf.DUMMYFUNCTION("if(REGEXMATCH(C836,""x.com"")=TRUE,""Twitter"",if(REGEXMATCH(C836,""facebook"")=TRUE,""Facebook"",if(REGEXMATCH(C836,""instagram"")=TRUE,""Instagram"",if(REGEXMATCH(C836,""youtube"")=TRUE,""Youtube"",if(REGEXMATCH(C836,""tiktok"")=TRUE,""Tiktok"",if(REGEX"&amp;"MATCH(C836,""threads"")=TRUE,""Threads""))))))"),"Facebook")</f>
        <v>Facebook</v>
      </c>
      <c r="G836" s="18" t="s">
        <v>1571</v>
      </c>
      <c r="H836" s="18" t="s">
        <v>410</v>
      </c>
      <c r="I836" s="18"/>
      <c r="J836" s="18" t="s">
        <v>422</v>
      </c>
      <c r="K836" s="18" t="s">
        <v>1572</v>
      </c>
      <c r="L836" s="18"/>
    </row>
    <row r="837">
      <c r="A837" s="15">
        <v>836.0</v>
      </c>
      <c r="B837" s="23">
        <v>45924.0</v>
      </c>
      <c r="C837" s="22" t="s">
        <v>1573</v>
      </c>
      <c r="D837" s="18"/>
      <c r="E837" s="18" t="s">
        <v>184</v>
      </c>
      <c r="F837" s="18" t="str">
        <f>IFERROR(__xludf.DUMMYFUNCTION("if(REGEXMATCH(C837,""x.com"")=TRUE,""Twitter"",if(REGEXMATCH(C837,""facebook"")=TRUE,""Facebook"",if(REGEXMATCH(C837,""instagram"")=TRUE,""Instagram"",if(REGEXMATCH(C837,""youtube"")=TRUE,""Youtube"",if(REGEXMATCH(C837,""tiktok"")=TRUE,""Tiktok"",if(REGEX"&amp;"MATCH(C837,""threads"")=TRUE,""Threads""))))))"),"Facebook")</f>
        <v>Facebook</v>
      </c>
      <c r="G837" s="18" t="s">
        <v>1574</v>
      </c>
      <c r="H837" s="18" t="s">
        <v>410</v>
      </c>
      <c r="I837" s="18"/>
      <c r="J837" s="18" t="s">
        <v>422</v>
      </c>
      <c r="K837" s="18" t="s">
        <v>1572</v>
      </c>
      <c r="L837" s="18"/>
    </row>
    <row r="838">
      <c r="A838" s="15">
        <v>837.0</v>
      </c>
      <c r="B838" s="23">
        <v>45924.0</v>
      </c>
      <c r="C838" s="22" t="s">
        <v>1575</v>
      </c>
      <c r="D838" s="18"/>
      <c r="E838" s="18" t="s">
        <v>184</v>
      </c>
      <c r="F838" s="18" t="s">
        <v>405</v>
      </c>
      <c r="G838" s="18" t="s">
        <v>1576</v>
      </c>
      <c r="H838" s="18" t="s">
        <v>410</v>
      </c>
      <c r="I838" s="18"/>
      <c r="J838" s="18" t="s">
        <v>422</v>
      </c>
      <c r="K838" s="18" t="s">
        <v>1572</v>
      </c>
      <c r="L838" s="18"/>
    </row>
    <row r="839">
      <c r="A839" s="15">
        <v>838.0</v>
      </c>
      <c r="B839" s="23">
        <v>45924.0</v>
      </c>
      <c r="C839" s="22" t="s">
        <v>1577</v>
      </c>
      <c r="D839" s="18"/>
      <c r="E839" s="18" t="s">
        <v>184</v>
      </c>
      <c r="F839" s="18" t="s">
        <v>405</v>
      </c>
      <c r="G839" s="18" t="s">
        <v>1578</v>
      </c>
      <c r="H839" s="18" t="s">
        <v>410</v>
      </c>
      <c r="I839" s="18"/>
      <c r="J839" s="18" t="s">
        <v>422</v>
      </c>
      <c r="K839" s="18" t="s">
        <v>1572</v>
      </c>
      <c r="L839" s="18"/>
    </row>
    <row r="840">
      <c r="A840" s="15">
        <v>839.0</v>
      </c>
      <c r="B840" s="23">
        <v>45925.0</v>
      </c>
      <c r="C840" s="30" t="s">
        <v>1579</v>
      </c>
      <c r="D840" s="18"/>
      <c r="E840" s="31" t="s">
        <v>184</v>
      </c>
      <c r="F840" s="31" t="str">
        <f>IFERROR(__xludf.DUMMYFUNCTION("if(REGEXMATCH(C840,""x.com"")=TRUE,""Twitter"",if(REGEXMATCH(C840,""facebook"")=TRUE,""Facebook"",if(REGEXMATCH(C840,""instagram"")=TRUE,""Instagram"",if(REGEXMATCH(C840,""youtube"")=TRUE,""Youtube"",if(REGEXMATCH(C840,""tiktok"")=TRUE,""Tiktok"",if(REGEX"&amp;"MATCH(C840,""threads"")=TRUE,""Threads""))))))"),"Facebook")</f>
        <v>Facebook</v>
      </c>
      <c r="G840" s="31" t="s">
        <v>1580</v>
      </c>
      <c r="H840" s="31" t="s">
        <v>410</v>
      </c>
      <c r="I840" s="18"/>
      <c r="J840" s="31" t="s">
        <v>188</v>
      </c>
      <c r="K840" s="18"/>
      <c r="L840" s="18"/>
    </row>
    <row r="841">
      <c r="A841" s="15">
        <v>840.0</v>
      </c>
      <c r="B841" s="23">
        <v>45925.0</v>
      </c>
      <c r="C841" s="30" t="s">
        <v>1581</v>
      </c>
      <c r="D841" s="18"/>
      <c r="E841" s="31" t="s">
        <v>184</v>
      </c>
      <c r="F841" s="31" t="str">
        <f>IFERROR(__xludf.DUMMYFUNCTION("if(REGEXMATCH(C841,""x.com"")=TRUE,""Twitter"",if(REGEXMATCH(C841,""facebook"")=TRUE,""Facebook"",if(REGEXMATCH(C841,""instagram"")=TRUE,""Instagram"",if(REGEXMATCH(C841,""youtube"")=TRUE,""Youtube"",if(REGEXMATCH(C841,""tiktok"")=TRUE,""Tiktok"",if(REGEX"&amp;"MATCH(C841,""threads"")=TRUE,""Threads""))))))"),"Facebook")</f>
        <v>Facebook</v>
      </c>
      <c r="G841" s="31" t="s">
        <v>1582</v>
      </c>
      <c r="H841" s="31" t="s">
        <v>410</v>
      </c>
      <c r="I841" s="18"/>
      <c r="J841" s="31" t="s">
        <v>188</v>
      </c>
      <c r="K841" s="18"/>
      <c r="L841" s="18"/>
    </row>
    <row r="842">
      <c r="A842" s="15">
        <v>841.0</v>
      </c>
      <c r="B842" s="23">
        <v>45925.0</v>
      </c>
      <c r="C842" s="30" t="s">
        <v>1583</v>
      </c>
      <c r="D842" s="18"/>
      <c r="E842" s="31" t="s">
        <v>184</v>
      </c>
      <c r="F842" s="31" t="str">
        <f>IFERROR(__xludf.DUMMYFUNCTION("if(REGEXMATCH(C842,""x.com"")=TRUE,""Twitter"",if(REGEXMATCH(C842,""facebook"")=TRUE,""Facebook"",if(REGEXMATCH(C842,""instagram"")=TRUE,""Instagram"",if(REGEXMATCH(C842,""youtube"")=TRUE,""Youtube"",if(REGEXMATCH(C842,""tiktok"")=TRUE,""Tiktok"",if(REGEX"&amp;"MATCH(C842,""threads"")=TRUE,""Threads""))))))"),"Instagram")</f>
        <v>Instagram</v>
      </c>
      <c r="G842" s="31" t="s">
        <v>1582</v>
      </c>
      <c r="H842" s="31" t="s">
        <v>410</v>
      </c>
      <c r="I842" s="18"/>
      <c r="J842" s="31" t="s">
        <v>188</v>
      </c>
      <c r="K842" s="18"/>
      <c r="L842" s="15"/>
    </row>
    <row r="843">
      <c r="A843" s="15">
        <v>842.0</v>
      </c>
      <c r="B843" s="23">
        <v>45925.0</v>
      </c>
      <c r="C843" s="30" t="s">
        <v>1584</v>
      </c>
      <c r="D843" s="18"/>
      <c r="E843" s="31" t="s">
        <v>184</v>
      </c>
      <c r="F843" s="31" t="str">
        <f>IFERROR(__xludf.DUMMYFUNCTION("if(REGEXMATCH(C843,""x.com"")=TRUE,""Twitter"",if(REGEXMATCH(C843,""facebook"")=TRUE,""Facebook"",if(REGEXMATCH(C843,""instagram"")=TRUE,""Instagram"",if(REGEXMATCH(C843,""youtube"")=TRUE,""Youtube"",if(REGEXMATCH(C843,""tiktok"")=TRUE,""Tiktok"",if(REGEX"&amp;"MATCH(C843,""threads"")=TRUE,""Threads""))))))"),"Instagram")</f>
        <v>Instagram</v>
      </c>
      <c r="G843" s="31" t="s">
        <v>1580</v>
      </c>
      <c r="H843" s="31" t="s">
        <v>410</v>
      </c>
      <c r="I843" s="18"/>
      <c r="J843" s="31" t="s">
        <v>188</v>
      </c>
      <c r="K843" s="18"/>
      <c r="L843" s="15"/>
    </row>
    <row r="844">
      <c r="A844" s="15">
        <v>843.0</v>
      </c>
      <c r="B844" s="23">
        <v>45925.0</v>
      </c>
      <c r="C844" s="30" t="s">
        <v>1585</v>
      </c>
      <c r="D844" s="18"/>
      <c r="E844" s="31" t="s">
        <v>401</v>
      </c>
      <c r="F844" s="31" t="str">
        <f>IFERROR(__xludf.DUMMYFUNCTION("if(REGEXMATCH(C844,""x.com"")=TRUE,""Twitter"",if(REGEXMATCH(C844,""facebook"")=TRUE,""Facebook"",if(REGEXMATCH(C844,""instagram"")=TRUE,""Instagram"",if(REGEXMATCH(C844,""youtube"")=TRUE,""Youtube"",if(REGEXMATCH(C844,""tiktok"")=TRUE,""Tiktok"",if(REGEX"&amp;"MATCH(C844,""threads"")=TRUE,""Threads""))))))"),"Facebook")</f>
        <v>Facebook</v>
      </c>
      <c r="G844" s="31" t="s">
        <v>937</v>
      </c>
      <c r="H844" s="31" t="s">
        <v>1542</v>
      </c>
      <c r="I844" s="31" t="s">
        <v>939</v>
      </c>
      <c r="J844" s="31" t="s">
        <v>188</v>
      </c>
      <c r="K844" s="18"/>
      <c r="L844" s="15"/>
    </row>
    <row r="845">
      <c r="A845" s="15">
        <v>844.0</v>
      </c>
      <c r="B845" s="23">
        <v>45925.0</v>
      </c>
      <c r="C845" s="30" t="s">
        <v>1586</v>
      </c>
      <c r="D845" s="18"/>
      <c r="E845" s="31" t="s">
        <v>401</v>
      </c>
      <c r="F845" s="31" t="str">
        <f>IFERROR(__xludf.DUMMYFUNCTION("if(REGEXMATCH(C845,""x.com"")=TRUE,""Twitter"",if(REGEXMATCH(C845,""facebook"")=TRUE,""Facebook"",if(REGEXMATCH(C845,""instagram"")=TRUE,""Instagram"",if(REGEXMATCH(C845,""youtube"")=TRUE,""Youtube"",if(REGEXMATCH(C845,""tiktok"")=TRUE,""Tiktok"",if(REGEX"&amp;"MATCH(C845,""threads"")=TRUE,""Threads""))))))"),"Facebook")</f>
        <v>Facebook</v>
      </c>
      <c r="G845" s="31" t="s">
        <v>937</v>
      </c>
      <c r="H845" s="31" t="s">
        <v>1542</v>
      </c>
      <c r="I845" s="31" t="s">
        <v>939</v>
      </c>
      <c r="J845" s="31" t="s">
        <v>188</v>
      </c>
      <c r="K845" s="18"/>
      <c r="L845" s="15"/>
    </row>
    <row r="846">
      <c r="A846" s="15">
        <v>845.0</v>
      </c>
      <c r="B846" s="23">
        <v>45925.0</v>
      </c>
      <c r="C846" s="30" t="s">
        <v>1587</v>
      </c>
      <c r="D846" s="18"/>
      <c r="E846" s="31" t="s">
        <v>401</v>
      </c>
      <c r="F846" s="31" t="str">
        <f>IFERROR(__xludf.DUMMYFUNCTION("if(REGEXMATCH(C846,""x.com"")=TRUE,""Twitter"",if(REGEXMATCH(C846,""facebook"")=TRUE,""Facebook"",if(REGEXMATCH(C846,""instagram"")=TRUE,""Instagram"",if(REGEXMATCH(C846,""youtube"")=TRUE,""Youtube"",if(REGEXMATCH(C846,""tiktok"")=TRUE,""Tiktok"",if(REGEX"&amp;"MATCH(C846,""threads"")=TRUE,""Threads""))))))"),"Facebook")</f>
        <v>Facebook</v>
      </c>
      <c r="G846" s="31" t="s">
        <v>937</v>
      </c>
      <c r="H846" s="31" t="s">
        <v>1542</v>
      </c>
      <c r="I846" s="31" t="s">
        <v>939</v>
      </c>
      <c r="J846" s="31" t="s">
        <v>188</v>
      </c>
      <c r="K846" s="18"/>
      <c r="L846" s="15"/>
    </row>
    <row r="847">
      <c r="A847" s="15">
        <v>846.0</v>
      </c>
      <c r="B847" s="23">
        <v>45925.0</v>
      </c>
      <c r="C847" s="30" t="s">
        <v>1588</v>
      </c>
      <c r="D847" s="18"/>
      <c r="E847" s="31" t="s">
        <v>401</v>
      </c>
      <c r="F847" s="31" t="str">
        <f>IFERROR(__xludf.DUMMYFUNCTION("if(REGEXMATCH(C847,""x.com"")=TRUE,""Twitter"",if(REGEXMATCH(C847,""facebook"")=TRUE,""Facebook"",if(REGEXMATCH(C847,""instagram"")=TRUE,""Instagram"",if(REGEXMATCH(C847,""youtube"")=TRUE,""Youtube"",if(REGEXMATCH(C847,""tiktok"")=TRUE,""Tiktok"",if(REGEX"&amp;"MATCH(C847,""threads"")=TRUE,""Threads""))))))"),"Facebook")</f>
        <v>Facebook</v>
      </c>
      <c r="G847" s="31" t="s">
        <v>937</v>
      </c>
      <c r="H847" s="31" t="s">
        <v>1542</v>
      </c>
      <c r="I847" s="31" t="s">
        <v>939</v>
      </c>
      <c r="J847" s="31" t="s">
        <v>188</v>
      </c>
      <c r="K847" s="18"/>
      <c r="L847" s="15"/>
    </row>
    <row r="848">
      <c r="A848" s="15">
        <v>847.0</v>
      </c>
      <c r="B848" s="23">
        <v>45925.0</v>
      </c>
      <c r="C848" s="30" t="s">
        <v>1589</v>
      </c>
      <c r="D848" s="18"/>
      <c r="E848" s="31" t="s">
        <v>401</v>
      </c>
      <c r="F848" s="31" t="str">
        <f>IFERROR(__xludf.DUMMYFUNCTION("if(REGEXMATCH(C848,""x.com"")=TRUE,""Twitter"",if(REGEXMATCH(C848,""facebook"")=TRUE,""Facebook"",if(REGEXMATCH(C848,""instagram"")=TRUE,""Instagram"",if(REGEXMATCH(C848,""youtube"")=TRUE,""Youtube"",if(REGEXMATCH(C848,""tiktok"")=TRUE,""Tiktok"",if(REGEX"&amp;"MATCH(C848,""threads"")=TRUE,""Threads""))))))"),"Facebook")</f>
        <v>Facebook</v>
      </c>
      <c r="G848" s="31" t="s">
        <v>937</v>
      </c>
      <c r="H848" s="31" t="s">
        <v>1542</v>
      </c>
      <c r="I848" s="31" t="s">
        <v>939</v>
      </c>
      <c r="J848" s="31" t="s">
        <v>188</v>
      </c>
      <c r="K848" s="18"/>
      <c r="L848" s="15"/>
    </row>
    <row r="849">
      <c r="A849" s="15">
        <v>848.0</v>
      </c>
      <c r="B849" s="23">
        <v>45925.0</v>
      </c>
      <c r="C849" s="30" t="s">
        <v>1590</v>
      </c>
      <c r="D849" s="18"/>
      <c r="E849" s="31" t="s">
        <v>401</v>
      </c>
      <c r="F849" s="31" t="str">
        <f>IFERROR(__xludf.DUMMYFUNCTION("if(REGEXMATCH(C849,""x.com"")=TRUE,""Twitter"",if(REGEXMATCH(C849,""facebook"")=TRUE,""Facebook"",if(REGEXMATCH(C849,""instagram"")=TRUE,""Instagram"",if(REGEXMATCH(C849,""youtube"")=TRUE,""Youtube"",if(REGEXMATCH(C849,""tiktok"")=TRUE,""Tiktok"",if(REGEX"&amp;"MATCH(C849,""threads"")=TRUE,""Threads""))))))"),"Facebook")</f>
        <v>Facebook</v>
      </c>
      <c r="G849" s="31" t="s">
        <v>1554</v>
      </c>
      <c r="H849" s="31" t="s">
        <v>1542</v>
      </c>
      <c r="I849" s="31" t="s">
        <v>939</v>
      </c>
      <c r="J849" s="31" t="s">
        <v>188</v>
      </c>
      <c r="K849" s="18"/>
      <c r="L849" s="15"/>
    </row>
    <row r="850">
      <c r="A850" s="15">
        <v>849.0</v>
      </c>
      <c r="B850" s="23">
        <v>45925.0</v>
      </c>
      <c r="C850" s="30" t="s">
        <v>1591</v>
      </c>
      <c r="D850" s="18"/>
      <c r="E850" s="31" t="s">
        <v>401</v>
      </c>
      <c r="F850" s="31" t="str">
        <f>IFERROR(__xludf.DUMMYFUNCTION("if(REGEXMATCH(C850,""x.com"")=TRUE,""Twitter"",if(REGEXMATCH(C850,""facebook"")=TRUE,""Facebook"",if(REGEXMATCH(C850,""instagram"")=TRUE,""Instagram"",if(REGEXMATCH(C850,""youtube"")=TRUE,""Youtube"",if(REGEXMATCH(C850,""tiktok"")=TRUE,""Tiktok"",if(REGEX"&amp;"MATCH(C850,""threads"")=TRUE,""Threads""))))))"),"Instagram")</f>
        <v>Instagram</v>
      </c>
      <c r="G850" s="31" t="s">
        <v>937</v>
      </c>
      <c r="H850" s="31" t="s">
        <v>1542</v>
      </c>
      <c r="I850" s="31" t="s">
        <v>939</v>
      </c>
      <c r="J850" s="31" t="s">
        <v>188</v>
      </c>
      <c r="K850" s="18"/>
      <c r="L850" s="15"/>
    </row>
    <row r="851">
      <c r="A851" s="15">
        <v>850.0</v>
      </c>
      <c r="B851" s="23">
        <v>45925.0</v>
      </c>
      <c r="C851" s="30" t="s">
        <v>1592</v>
      </c>
      <c r="D851" s="18"/>
      <c r="E851" s="31" t="s">
        <v>401</v>
      </c>
      <c r="F851" s="31" t="str">
        <f>IFERROR(__xludf.DUMMYFUNCTION("if(REGEXMATCH(C851,""x.com"")=TRUE,""Twitter"",if(REGEXMATCH(C851,""facebook"")=TRUE,""Facebook"",if(REGEXMATCH(C851,""instagram"")=TRUE,""Instagram"",if(REGEXMATCH(C851,""youtube"")=TRUE,""Youtube"",if(REGEXMATCH(C851,""tiktok"")=TRUE,""Tiktok"",if(REGEX"&amp;"MATCH(C851,""threads"")=TRUE,""Threads""))))))"),"Instagram")</f>
        <v>Instagram</v>
      </c>
      <c r="G851" s="31" t="s">
        <v>1593</v>
      </c>
      <c r="H851" s="31" t="s">
        <v>1542</v>
      </c>
      <c r="I851" s="31" t="s">
        <v>939</v>
      </c>
      <c r="J851" s="31" t="s">
        <v>422</v>
      </c>
      <c r="K851" s="31" t="s">
        <v>1594</v>
      </c>
      <c r="L851" s="15"/>
    </row>
    <row r="852">
      <c r="A852" s="15">
        <v>851.0</v>
      </c>
      <c r="B852" s="23">
        <v>45925.0</v>
      </c>
      <c r="C852" s="30" t="s">
        <v>1595</v>
      </c>
      <c r="D852" s="18"/>
      <c r="E852" s="31" t="s">
        <v>401</v>
      </c>
      <c r="F852" s="31" t="str">
        <f>IFERROR(__xludf.DUMMYFUNCTION("if(REGEXMATCH(C852,""x.com"")=TRUE,""Twitter"",if(REGEXMATCH(C852,""facebook"")=TRUE,""Facebook"",if(REGEXMATCH(C852,""instagram"")=TRUE,""Instagram"",if(REGEXMATCH(C852,""youtube"")=TRUE,""Youtube"",if(REGEXMATCH(C852,""tiktok"")=TRUE,""Tiktok"",if(REGEX"&amp;"MATCH(C852,""threads"")=TRUE,""Threads""))))))"),"Instagram")</f>
        <v>Instagram</v>
      </c>
      <c r="G852" s="31" t="s">
        <v>1596</v>
      </c>
      <c r="H852" s="31" t="s">
        <v>1542</v>
      </c>
      <c r="I852" s="31" t="s">
        <v>939</v>
      </c>
      <c r="J852" s="31" t="s">
        <v>188</v>
      </c>
      <c r="K852" s="18"/>
      <c r="L852" s="18" t="s">
        <v>622</v>
      </c>
    </row>
    <row r="853">
      <c r="A853" s="15">
        <v>852.0</v>
      </c>
      <c r="B853" s="23">
        <v>45925.0</v>
      </c>
      <c r="C853" s="30" t="s">
        <v>1597</v>
      </c>
      <c r="D853" s="18"/>
      <c r="E853" s="31" t="s">
        <v>401</v>
      </c>
      <c r="F853" s="31" t="str">
        <f>IFERROR(__xludf.DUMMYFUNCTION("if(REGEXMATCH(C853,""x.com"")=TRUE,""Twitter"",if(REGEXMATCH(C853,""facebook"")=TRUE,""Facebook"",if(REGEXMATCH(C853,""instagram"")=TRUE,""Instagram"",if(REGEXMATCH(C853,""youtube"")=TRUE,""Youtube"",if(REGEXMATCH(C853,""tiktok"")=TRUE,""Tiktok"",if(REGEX"&amp;"MATCH(C853,""threads"")=TRUE,""Threads""))))))"),"Instagram")</f>
        <v>Instagram</v>
      </c>
      <c r="G853" s="31" t="s">
        <v>1596</v>
      </c>
      <c r="H853" s="31" t="s">
        <v>1542</v>
      </c>
      <c r="I853" s="31" t="s">
        <v>939</v>
      </c>
      <c r="J853" s="31" t="s">
        <v>188</v>
      </c>
      <c r="K853" s="18"/>
      <c r="L853" s="18" t="s">
        <v>622</v>
      </c>
    </row>
    <row r="854">
      <c r="A854" s="15">
        <v>853.0</v>
      </c>
      <c r="B854" s="23">
        <v>45925.0</v>
      </c>
      <c r="C854" s="30" t="s">
        <v>1598</v>
      </c>
      <c r="D854" s="18"/>
      <c r="E854" s="31" t="s">
        <v>401</v>
      </c>
      <c r="F854" s="31" t="str">
        <f>IFERROR(__xludf.DUMMYFUNCTION("if(REGEXMATCH(C854,""x.com"")=TRUE,""Twitter"",if(REGEXMATCH(C854,""facebook"")=TRUE,""Facebook"",if(REGEXMATCH(C854,""instagram"")=TRUE,""Instagram"",if(REGEXMATCH(C854,""youtube"")=TRUE,""Youtube"",if(REGEXMATCH(C854,""tiktok"")=TRUE,""Tiktok"",if(REGEX"&amp;"MATCH(C854,""threads"")=TRUE,""Threads""))))))"),"Facebook")</f>
        <v>Facebook</v>
      </c>
      <c r="G854" s="31" t="s">
        <v>937</v>
      </c>
      <c r="H854" s="31" t="s">
        <v>1542</v>
      </c>
      <c r="I854" s="31" t="s">
        <v>939</v>
      </c>
      <c r="J854" s="31" t="s">
        <v>188</v>
      </c>
      <c r="K854" s="18"/>
      <c r="L854" s="18" t="s">
        <v>702</v>
      </c>
    </row>
    <row r="855">
      <c r="A855" s="15">
        <v>854.0</v>
      </c>
      <c r="B855" s="23">
        <v>45925.0</v>
      </c>
      <c r="C855" s="30" t="s">
        <v>1599</v>
      </c>
      <c r="D855" s="18"/>
      <c r="E855" s="31" t="s">
        <v>401</v>
      </c>
      <c r="F855" s="31" t="str">
        <f>IFERROR(__xludf.DUMMYFUNCTION("if(REGEXMATCH(C855,""x.com"")=TRUE,""Twitter"",if(REGEXMATCH(C855,""facebook"")=TRUE,""Facebook"",if(REGEXMATCH(C855,""instagram"")=TRUE,""Instagram"",if(REGEXMATCH(C855,""youtube"")=TRUE,""Youtube"",if(REGEXMATCH(C855,""tiktok"")=TRUE,""Tiktok"",if(REGEX"&amp;"MATCH(C855,""threads"")=TRUE,""Threads""))))))"),"Facebook")</f>
        <v>Facebook</v>
      </c>
      <c r="G855" s="31" t="s">
        <v>937</v>
      </c>
      <c r="H855" s="31" t="s">
        <v>1542</v>
      </c>
      <c r="I855" s="31" t="s">
        <v>939</v>
      </c>
      <c r="J855" s="31" t="s">
        <v>188</v>
      </c>
      <c r="K855" s="18"/>
      <c r="L855" s="34" t="s">
        <v>702</v>
      </c>
    </row>
    <row r="856">
      <c r="A856" s="15">
        <v>855.0</v>
      </c>
      <c r="B856" s="23">
        <v>45925.0</v>
      </c>
      <c r="C856" s="30" t="s">
        <v>1600</v>
      </c>
      <c r="D856" s="18"/>
      <c r="E856" s="31" t="s">
        <v>401</v>
      </c>
      <c r="F856" s="31" t="str">
        <f>IFERROR(__xludf.DUMMYFUNCTION("if(REGEXMATCH(C856,""x.com"")=TRUE,""Twitter"",if(REGEXMATCH(C856,""facebook"")=TRUE,""Facebook"",if(REGEXMATCH(C856,""instagram"")=TRUE,""Instagram"",if(REGEXMATCH(C856,""youtube"")=TRUE,""Youtube"",if(REGEXMATCH(C856,""tiktok"")=TRUE,""Tiktok"",if(REGEX"&amp;"MATCH(C856,""threads"")=TRUE,""Threads""))))))"),"Facebook")</f>
        <v>Facebook</v>
      </c>
      <c r="G856" s="31" t="s">
        <v>937</v>
      </c>
      <c r="H856" s="31" t="s">
        <v>1542</v>
      </c>
      <c r="I856" s="31" t="s">
        <v>939</v>
      </c>
      <c r="J856" s="31" t="s">
        <v>188</v>
      </c>
      <c r="K856" s="18"/>
      <c r="L856" s="35"/>
    </row>
    <row r="857">
      <c r="A857" s="15">
        <v>856.0</v>
      </c>
      <c r="B857" s="23">
        <v>45925.0</v>
      </c>
      <c r="C857" s="30" t="s">
        <v>1601</v>
      </c>
      <c r="D857" s="18"/>
      <c r="E857" s="31" t="s">
        <v>401</v>
      </c>
      <c r="F857" s="31" t="str">
        <f>IFERROR(__xludf.DUMMYFUNCTION("if(REGEXMATCH(C857,""x.com"")=TRUE,""Twitter"",if(REGEXMATCH(C857,""facebook"")=TRUE,""Facebook"",if(REGEXMATCH(C857,""instagram"")=TRUE,""Instagram"",if(REGEXMATCH(C857,""youtube"")=TRUE,""Youtube"",if(REGEXMATCH(C857,""tiktok"")=TRUE,""Tiktok"",if(REGEX"&amp;"MATCH(C857,""threads"")=TRUE,""Threads""))))))"),"Facebook")</f>
        <v>Facebook</v>
      </c>
      <c r="G857" s="31" t="s">
        <v>1596</v>
      </c>
      <c r="H857" s="31" t="s">
        <v>1542</v>
      </c>
      <c r="I857" s="31" t="s">
        <v>939</v>
      </c>
      <c r="J857" s="31" t="s">
        <v>422</v>
      </c>
      <c r="K857" s="31" t="s">
        <v>1602</v>
      </c>
      <c r="L857" s="15"/>
    </row>
    <row r="858">
      <c r="A858" s="15">
        <v>857.0</v>
      </c>
      <c r="B858" s="23">
        <v>45925.0</v>
      </c>
      <c r="C858" s="30" t="s">
        <v>1603</v>
      </c>
      <c r="D858" s="18"/>
      <c r="E858" s="31" t="s">
        <v>401</v>
      </c>
      <c r="F858" s="31" t="str">
        <f>IFERROR(__xludf.DUMMYFUNCTION("if(REGEXMATCH(C858,""x.com"")=TRUE,""Twitter"",if(REGEXMATCH(C858,""facebook"")=TRUE,""Facebook"",if(REGEXMATCH(C858,""instagram"")=TRUE,""Instagram"",if(REGEXMATCH(C858,""youtube"")=TRUE,""Youtube"",if(REGEXMATCH(C858,""tiktok"")=TRUE,""Tiktok"",if(REGEX"&amp;"MATCH(C858,""threads"")=TRUE,""Threads""))))))"),"Tiktok")</f>
        <v>Tiktok</v>
      </c>
      <c r="G858" s="31" t="s">
        <v>937</v>
      </c>
      <c r="H858" s="31" t="s">
        <v>1542</v>
      </c>
      <c r="I858" s="31" t="s">
        <v>939</v>
      </c>
      <c r="J858" s="31" t="s">
        <v>188</v>
      </c>
      <c r="K858" s="18"/>
      <c r="L858" s="15"/>
    </row>
    <row r="859">
      <c r="A859" s="15">
        <v>858.0</v>
      </c>
      <c r="B859" s="23">
        <v>45925.0</v>
      </c>
      <c r="C859" s="30" t="s">
        <v>1604</v>
      </c>
      <c r="D859" s="18"/>
      <c r="E859" s="31" t="s">
        <v>401</v>
      </c>
      <c r="F859" s="31" t="str">
        <f>IFERROR(__xludf.DUMMYFUNCTION("if(REGEXMATCH(C859,""x.com"")=TRUE,""Twitter"",if(REGEXMATCH(C859,""facebook"")=TRUE,""Facebook"",if(REGEXMATCH(C859,""instagram"")=TRUE,""Instagram"",if(REGEXMATCH(C859,""youtube"")=TRUE,""Youtube"",if(REGEXMATCH(C859,""tiktok"")=TRUE,""Tiktok"",if(REGEX"&amp;"MATCH(C859,""threads"")=TRUE,""Threads""))))))"),"Tiktok")</f>
        <v>Tiktok</v>
      </c>
      <c r="G859" s="31" t="s">
        <v>937</v>
      </c>
      <c r="H859" s="31" t="s">
        <v>1542</v>
      </c>
      <c r="I859" s="31" t="s">
        <v>939</v>
      </c>
      <c r="J859" s="31" t="s">
        <v>188</v>
      </c>
      <c r="K859" s="18"/>
      <c r="L859" s="15"/>
    </row>
    <row r="860">
      <c r="A860" s="15">
        <v>859.0</v>
      </c>
      <c r="B860" s="23">
        <v>45925.0</v>
      </c>
      <c r="C860" s="30" t="s">
        <v>1605</v>
      </c>
      <c r="D860" s="18"/>
      <c r="E860" s="31" t="s">
        <v>401</v>
      </c>
      <c r="F860" s="31" t="str">
        <f>IFERROR(__xludf.DUMMYFUNCTION("if(REGEXMATCH(C860,""x.com"")=TRUE,""Twitter"",if(REGEXMATCH(C860,""facebook"")=TRUE,""Facebook"",if(REGEXMATCH(C860,""instagram"")=TRUE,""Instagram"",if(REGEXMATCH(C860,""youtube"")=TRUE,""Youtube"",if(REGEXMATCH(C860,""tiktok"")=TRUE,""Tiktok"",if(REGEX"&amp;"MATCH(C860,""threads"")=TRUE,""Threads""))))))"),"Tiktok")</f>
        <v>Tiktok</v>
      </c>
      <c r="G860" s="31" t="s">
        <v>937</v>
      </c>
      <c r="H860" s="31" t="s">
        <v>1542</v>
      </c>
      <c r="I860" s="31" t="s">
        <v>939</v>
      </c>
      <c r="J860" s="31" t="s">
        <v>188</v>
      </c>
      <c r="K860" s="18"/>
      <c r="L860" s="15"/>
    </row>
    <row r="861">
      <c r="A861" s="15">
        <v>860.0</v>
      </c>
      <c r="B861" s="23">
        <v>45925.0</v>
      </c>
      <c r="C861" s="30" t="s">
        <v>1606</v>
      </c>
      <c r="D861" s="18"/>
      <c r="E861" s="31" t="s">
        <v>401</v>
      </c>
      <c r="F861" s="31" t="str">
        <f>IFERROR(__xludf.DUMMYFUNCTION("if(REGEXMATCH(C861,""x.com"")=TRUE,""Twitter"",if(REGEXMATCH(C861,""facebook"")=TRUE,""Facebook"",if(REGEXMATCH(C861,""instagram"")=TRUE,""Instagram"",if(REGEXMATCH(C861,""youtube"")=TRUE,""Youtube"",if(REGEXMATCH(C861,""tiktok"")=TRUE,""Tiktok"",if(REGEX"&amp;"MATCH(C861,""threads"")=TRUE,""Threads""))))))"),"Tiktok")</f>
        <v>Tiktok</v>
      </c>
      <c r="G861" s="31" t="s">
        <v>937</v>
      </c>
      <c r="H861" s="31" t="s">
        <v>1542</v>
      </c>
      <c r="I861" s="31" t="s">
        <v>939</v>
      </c>
      <c r="J861" s="31" t="s">
        <v>188</v>
      </c>
      <c r="K861" s="18"/>
      <c r="L861" s="15"/>
    </row>
    <row r="862">
      <c r="A862" s="15">
        <v>861.0</v>
      </c>
      <c r="B862" s="23">
        <v>45925.0</v>
      </c>
      <c r="C862" s="30" t="s">
        <v>1607</v>
      </c>
      <c r="D862" s="18"/>
      <c r="E862" s="31" t="s">
        <v>401</v>
      </c>
      <c r="F862" s="31" t="str">
        <f>IFERROR(__xludf.DUMMYFUNCTION("if(REGEXMATCH(C862,""x.com"")=TRUE,""Twitter"",if(REGEXMATCH(C862,""facebook"")=TRUE,""Facebook"",if(REGEXMATCH(C862,""instagram"")=TRUE,""Instagram"",if(REGEXMATCH(C862,""youtube"")=TRUE,""Youtube"",if(REGEXMATCH(C862,""tiktok"")=TRUE,""Tiktok"",if(REGEX"&amp;"MATCH(C862,""threads"")=TRUE,""Threads""))))))"),"Tiktok")</f>
        <v>Tiktok</v>
      </c>
      <c r="G862" s="31" t="s">
        <v>1554</v>
      </c>
      <c r="H862" s="31" t="s">
        <v>1542</v>
      </c>
      <c r="I862" s="31" t="s">
        <v>939</v>
      </c>
      <c r="J862" s="31" t="s">
        <v>188</v>
      </c>
      <c r="K862" s="18"/>
      <c r="L862" s="15"/>
    </row>
    <row r="863">
      <c r="A863" s="15">
        <v>862.0</v>
      </c>
      <c r="B863" s="23">
        <v>45925.0</v>
      </c>
      <c r="C863" s="30" t="s">
        <v>1608</v>
      </c>
      <c r="D863" s="18"/>
      <c r="E863" s="31" t="s">
        <v>401</v>
      </c>
      <c r="F863" s="31" t="str">
        <f>IFERROR(__xludf.DUMMYFUNCTION("if(REGEXMATCH(C863,""x.com"")=TRUE,""Twitter"",if(REGEXMATCH(C863,""facebook"")=TRUE,""Facebook"",if(REGEXMATCH(C863,""instagram"")=TRUE,""Instagram"",if(REGEXMATCH(C863,""youtube"")=TRUE,""Youtube"",if(REGEXMATCH(C863,""tiktok"")=TRUE,""Tiktok"",if(REGEX"&amp;"MATCH(C863,""threads"")=TRUE,""Threads""))))))"),"Tiktok")</f>
        <v>Tiktok</v>
      </c>
      <c r="G863" s="31" t="s">
        <v>937</v>
      </c>
      <c r="H863" s="31" t="s">
        <v>1542</v>
      </c>
      <c r="I863" s="31" t="s">
        <v>939</v>
      </c>
      <c r="J863" s="31" t="s">
        <v>188</v>
      </c>
      <c r="K863" s="18"/>
      <c r="L863" s="15"/>
    </row>
    <row r="864">
      <c r="A864" s="15">
        <v>863.0</v>
      </c>
      <c r="B864" s="23">
        <v>45926.0</v>
      </c>
      <c r="C864" s="22" t="s">
        <v>1609</v>
      </c>
      <c r="D864" s="18"/>
      <c r="E864" s="18" t="s">
        <v>197</v>
      </c>
      <c r="F864" s="18" t="str">
        <f>IFERROR(__xludf.DUMMYFUNCTION("if(REGEXMATCH(C864,""x.com"")=TRUE,""Twitter"",if(REGEXMATCH(C864,""facebook"")=TRUE,""Facebook"",if(REGEXMATCH(C864,""instagram"")=TRUE,""Instagram"",if(REGEXMATCH(C864,""youtube"")=TRUE,""Youtube"",if(REGEXMATCH(C864,""tiktok"")=TRUE,""Tiktok"",if(REGEX"&amp;"MATCH(C864,""threads"")=TRUE,""Threads""))))))"),"Tiktok")</f>
        <v>Tiktok</v>
      </c>
      <c r="G864" s="18" t="s">
        <v>1610</v>
      </c>
      <c r="H864" s="18" t="s">
        <v>546</v>
      </c>
      <c r="I864" s="18" t="s">
        <v>535</v>
      </c>
      <c r="J864" s="18" t="s">
        <v>188</v>
      </c>
      <c r="K864" s="18" t="s">
        <v>1611</v>
      </c>
      <c r="L864" s="15"/>
    </row>
    <row r="865">
      <c r="A865" s="15">
        <v>864.0</v>
      </c>
      <c r="B865" s="23">
        <v>45926.0</v>
      </c>
      <c r="C865" s="22" t="s">
        <v>1612</v>
      </c>
      <c r="D865" s="18"/>
      <c r="E865" s="18" t="s">
        <v>747</v>
      </c>
      <c r="F865" s="18" t="str">
        <f>IFERROR(__xludf.DUMMYFUNCTION("if(REGEXMATCH(C865,""x.com"")=TRUE,""Twitter"",if(REGEXMATCH(C865,""facebook"")=TRUE,""Facebook"",if(REGEXMATCH(C865,""instagram"")=TRUE,""Instagram"",if(REGEXMATCH(C865,""youtube"")=TRUE,""Youtube"",if(REGEXMATCH(C865,""tiktok"")=TRUE,""Tiktok"",if(REGEX"&amp;"MATCH(C865,""threads"")=TRUE,""Threads""))))))"),"Tiktok")</f>
        <v>Tiktok</v>
      </c>
      <c r="G865" s="18" t="s">
        <v>1613</v>
      </c>
      <c r="H865" s="18" t="s">
        <v>546</v>
      </c>
      <c r="I865" s="18" t="s">
        <v>535</v>
      </c>
      <c r="J865" s="18" t="s">
        <v>188</v>
      </c>
      <c r="K865" s="18" t="s">
        <v>1614</v>
      </c>
      <c r="L865" s="15"/>
    </row>
    <row r="866">
      <c r="A866" s="15">
        <v>865.0</v>
      </c>
      <c r="B866" s="23">
        <v>45926.0</v>
      </c>
      <c r="C866" s="22" t="s">
        <v>1615</v>
      </c>
      <c r="D866" s="18"/>
      <c r="E866" s="18" t="s">
        <v>747</v>
      </c>
      <c r="F866" s="18" t="str">
        <f>IFERROR(__xludf.DUMMYFUNCTION("if(REGEXMATCH(C866,""x.com"")=TRUE,""Twitter"",if(REGEXMATCH(C866,""facebook"")=TRUE,""Facebook"",if(REGEXMATCH(C866,""instagram"")=TRUE,""Instagram"",if(REGEXMATCH(C866,""youtube"")=TRUE,""Youtube"",if(REGEXMATCH(C866,""tiktok"")=TRUE,""Tiktok"",if(REGEX"&amp;"MATCH(C866,""threads"")=TRUE,""Threads""))))))"),"Facebook")</f>
        <v>Facebook</v>
      </c>
      <c r="G866" s="18" t="s">
        <v>1616</v>
      </c>
      <c r="H866" s="18" t="s">
        <v>546</v>
      </c>
      <c r="I866" s="18" t="s">
        <v>535</v>
      </c>
      <c r="J866" s="18" t="s">
        <v>188</v>
      </c>
      <c r="K866" s="18" t="s">
        <v>1611</v>
      </c>
      <c r="L866" s="15"/>
    </row>
    <row r="867">
      <c r="A867" s="15">
        <v>866.0</v>
      </c>
      <c r="B867" s="23">
        <v>45926.0</v>
      </c>
      <c r="C867" s="22" t="s">
        <v>1617</v>
      </c>
      <c r="D867" s="18"/>
      <c r="E867" s="18" t="s">
        <v>197</v>
      </c>
      <c r="F867" s="18" t="str">
        <f>IFERROR(__xludf.DUMMYFUNCTION("if(REGEXMATCH(C867,""x.com"")=TRUE,""Twitter"",if(REGEXMATCH(C867,""facebook"")=TRUE,""Facebook"",if(REGEXMATCH(C867,""instagram"")=TRUE,""Instagram"",if(REGEXMATCH(C867,""youtube"")=TRUE,""Youtube"",if(REGEXMATCH(C867,""tiktok"")=TRUE,""Tiktok"",if(REGEX"&amp;"MATCH(C867,""threads"")=TRUE,""Threads""))))))"),"Facebook")</f>
        <v>Facebook</v>
      </c>
      <c r="G867" s="18" t="s">
        <v>1618</v>
      </c>
      <c r="H867" s="18" t="s">
        <v>546</v>
      </c>
      <c r="I867" s="18" t="s">
        <v>535</v>
      </c>
      <c r="J867" s="18" t="s">
        <v>188</v>
      </c>
      <c r="K867" s="18" t="s">
        <v>1611</v>
      </c>
      <c r="L867" s="15"/>
    </row>
    <row r="868">
      <c r="A868" s="15">
        <v>867.0</v>
      </c>
      <c r="B868" s="23">
        <v>45926.0</v>
      </c>
      <c r="C868" s="22" t="s">
        <v>1619</v>
      </c>
      <c r="D868" s="18"/>
      <c r="E868" s="18" t="s">
        <v>197</v>
      </c>
      <c r="F868" s="18" t="str">
        <f>IFERROR(__xludf.DUMMYFUNCTION("if(REGEXMATCH(C868,""x.com"")=TRUE,""Twitter"",if(REGEXMATCH(C868,""facebook"")=TRUE,""Facebook"",if(REGEXMATCH(C868,""instagram"")=TRUE,""Instagram"",if(REGEXMATCH(C868,""youtube"")=TRUE,""Youtube"",if(REGEXMATCH(C868,""tiktok"")=TRUE,""Tiktok"",if(REGEX"&amp;"MATCH(C868,""threads"")=TRUE,""Threads""))))))"),"Facebook")</f>
        <v>Facebook</v>
      </c>
      <c r="G868" s="18" t="s">
        <v>1620</v>
      </c>
      <c r="H868" s="18" t="s">
        <v>546</v>
      </c>
      <c r="I868" s="18" t="s">
        <v>535</v>
      </c>
      <c r="J868" s="18" t="s">
        <v>188</v>
      </c>
      <c r="K868" s="18" t="s">
        <v>1611</v>
      </c>
      <c r="L868" s="15"/>
    </row>
    <row r="869">
      <c r="A869" s="15">
        <v>868.0</v>
      </c>
      <c r="B869" s="23">
        <v>45926.0</v>
      </c>
      <c r="C869" s="22" t="s">
        <v>1621</v>
      </c>
      <c r="D869" s="18"/>
      <c r="E869" s="18" t="s">
        <v>197</v>
      </c>
      <c r="F869" s="18" t="str">
        <f>IFERROR(__xludf.DUMMYFUNCTION("if(REGEXMATCH(C869,""x.com"")=TRUE,""Twitter"",if(REGEXMATCH(C869,""facebook"")=TRUE,""Facebook"",if(REGEXMATCH(C869,""instagram"")=TRUE,""Instagram"",if(REGEXMATCH(C869,""youtube"")=TRUE,""Youtube"",if(REGEXMATCH(C869,""tiktok"")=TRUE,""Tiktok"",if(REGEX"&amp;"MATCH(C869,""threads"")=TRUE,""Threads""))))))"),"Tiktok")</f>
        <v>Tiktok</v>
      </c>
      <c r="G869" s="18" t="s">
        <v>1622</v>
      </c>
      <c r="H869" s="18" t="s">
        <v>546</v>
      </c>
      <c r="I869" s="18" t="s">
        <v>535</v>
      </c>
      <c r="J869" s="18" t="s">
        <v>188</v>
      </c>
      <c r="K869" s="18" t="s">
        <v>1611</v>
      </c>
      <c r="L869" s="15"/>
    </row>
    <row r="870">
      <c r="A870" s="15">
        <v>869.0</v>
      </c>
      <c r="B870" s="23">
        <v>45926.0</v>
      </c>
      <c r="C870" s="22" t="s">
        <v>1623</v>
      </c>
      <c r="D870" s="18"/>
      <c r="E870" s="18" t="s">
        <v>197</v>
      </c>
      <c r="F870" s="18" t="str">
        <f>IFERROR(__xludf.DUMMYFUNCTION("if(REGEXMATCH(C870,""x.com"")=TRUE,""Twitter"",if(REGEXMATCH(C870,""facebook"")=TRUE,""Facebook"",if(REGEXMATCH(C870,""instagram"")=TRUE,""Instagram"",if(REGEXMATCH(C870,""youtube"")=TRUE,""Youtube"",if(REGEXMATCH(C870,""tiktok"")=TRUE,""Tiktok"",if(REGEX"&amp;"MATCH(C870,""threads"")=TRUE,""Threads""))))))"),"Tiktok")</f>
        <v>Tiktok</v>
      </c>
      <c r="G870" s="18" t="s">
        <v>1624</v>
      </c>
      <c r="H870" s="18" t="s">
        <v>546</v>
      </c>
      <c r="I870" s="18" t="s">
        <v>535</v>
      </c>
      <c r="J870" s="18" t="s">
        <v>188</v>
      </c>
      <c r="K870" s="18" t="s">
        <v>1611</v>
      </c>
      <c r="L870" s="15"/>
    </row>
    <row r="871">
      <c r="A871" s="15">
        <v>870.0</v>
      </c>
      <c r="B871" s="23">
        <v>45926.0</v>
      </c>
      <c r="C871" s="22" t="s">
        <v>1625</v>
      </c>
      <c r="D871" s="18"/>
      <c r="E871" s="18" t="s">
        <v>197</v>
      </c>
      <c r="F871" s="18" t="str">
        <f>IFERROR(__xludf.DUMMYFUNCTION("if(REGEXMATCH(C871,""x.com"")=TRUE,""Twitter"",if(REGEXMATCH(C871,""facebook"")=TRUE,""Facebook"",if(REGEXMATCH(C871,""instagram"")=TRUE,""Instagram"",if(REGEXMATCH(C871,""youtube"")=TRUE,""Youtube"",if(REGEXMATCH(C871,""tiktok"")=TRUE,""Tiktok"",if(REGEX"&amp;"MATCH(C871,""threads"")=TRUE,""Threads""))))))"),"Tiktok")</f>
        <v>Tiktok</v>
      </c>
      <c r="G871" s="18" t="s">
        <v>1626</v>
      </c>
      <c r="H871" s="18" t="s">
        <v>546</v>
      </c>
      <c r="I871" s="18" t="s">
        <v>535</v>
      </c>
      <c r="J871" s="18" t="s">
        <v>188</v>
      </c>
      <c r="K871" s="18" t="s">
        <v>1611</v>
      </c>
      <c r="L871" s="15"/>
    </row>
    <row r="872">
      <c r="A872" s="15">
        <v>871.0</v>
      </c>
      <c r="B872" s="23">
        <v>45926.0</v>
      </c>
      <c r="C872" s="22" t="s">
        <v>1627</v>
      </c>
      <c r="D872" s="18"/>
      <c r="E872" s="18" t="s">
        <v>197</v>
      </c>
      <c r="F872" s="18" t="str">
        <f>IFERROR(__xludf.DUMMYFUNCTION("if(REGEXMATCH(C872,""x.com"")=TRUE,""Twitter"",if(REGEXMATCH(C872,""facebook"")=TRUE,""Facebook"",if(REGEXMATCH(C872,""instagram"")=TRUE,""Instagram"",if(REGEXMATCH(C872,""youtube"")=TRUE,""Youtube"",if(REGEXMATCH(C872,""tiktok"")=TRUE,""Tiktok"",if(REGEX"&amp;"MATCH(C872,""threads"")=TRUE,""Threads""))))))"),"Tiktok")</f>
        <v>Tiktok</v>
      </c>
      <c r="G872" s="18" t="s">
        <v>1628</v>
      </c>
      <c r="H872" s="18" t="s">
        <v>546</v>
      </c>
      <c r="I872" s="18" t="s">
        <v>535</v>
      </c>
      <c r="J872" s="18" t="s">
        <v>188</v>
      </c>
      <c r="K872" s="18" t="s">
        <v>1611</v>
      </c>
      <c r="L872" s="15"/>
    </row>
    <row r="873">
      <c r="A873" s="15">
        <v>872.0</v>
      </c>
      <c r="B873" s="23">
        <v>45926.0</v>
      </c>
      <c r="C873" s="22" t="s">
        <v>1629</v>
      </c>
      <c r="D873" s="18"/>
      <c r="E873" s="18" t="s">
        <v>197</v>
      </c>
      <c r="F873" s="18" t="str">
        <f>IFERROR(__xludf.DUMMYFUNCTION("if(REGEXMATCH(C873,""x.com"")=TRUE,""Twitter"",if(REGEXMATCH(C873,""facebook"")=TRUE,""Facebook"",if(REGEXMATCH(C873,""instagram"")=TRUE,""Instagram"",if(REGEXMATCH(C873,""youtube"")=TRUE,""Youtube"",if(REGEXMATCH(C873,""tiktok"")=TRUE,""Tiktok"",if(REGEX"&amp;"MATCH(C873,""threads"")=TRUE,""Threads""))))))"),"Tiktok")</f>
        <v>Tiktok</v>
      </c>
      <c r="G873" s="18" t="s">
        <v>1630</v>
      </c>
      <c r="H873" s="18" t="s">
        <v>546</v>
      </c>
      <c r="I873" s="18" t="s">
        <v>535</v>
      </c>
      <c r="J873" s="18" t="s">
        <v>188</v>
      </c>
      <c r="K873" s="18" t="s">
        <v>1611</v>
      </c>
      <c r="L873" s="15"/>
    </row>
    <row r="874">
      <c r="A874" s="15">
        <v>873.0</v>
      </c>
      <c r="B874" s="23">
        <v>45926.0</v>
      </c>
      <c r="C874" s="22" t="s">
        <v>1631</v>
      </c>
      <c r="D874" s="18"/>
      <c r="E874" s="18" t="s">
        <v>197</v>
      </c>
      <c r="F874" s="18" t="str">
        <f>IFERROR(__xludf.DUMMYFUNCTION("if(REGEXMATCH(C874,""x.com"")=TRUE,""Twitter"",if(REGEXMATCH(C874,""facebook"")=TRUE,""Facebook"",if(REGEXMATCH(C874,""instagram"")=TRUE,""Instagram"",if(REGEXMATCH(C874,""youtube"")=TRUE,""Youtube"",if(REGEXMATCH(C874,""tiktok"")=TRUE,""Tiktok"",if(REGEX"&amp;"MATCH(C874,""threads"")=TRUE,""Threads""))))))"),"Tiktok")</f>
        <v>Tiktok</v>
      </c>
      <c r="G874" s="18" t="s">
        <v>1632</v>
      </c>
      <c r="H874" s="18"/>
      <c r="I874" s="18"/>
      <c r="J874" s="18" t="s">
        <v>188</v>
      </c>
      <c r="K874" s="18" t="s">
        <v>1611</v>
      </c>
      <c r="L874" s="15"/>
    </row>
    <row r="875">
      <c r="A875" s="15">
        <v>874.0</v>
      </c>
      <c r="B875" s="23">
        <v>45926.0</v>
      </c>
      <c r="C875" s="22" t="s">
        <v>1633</v>
      </c>
      <c r="D875" s="18"/>
      <c r="E875" s="18" t="s">
        <v>197</v>
      </c>
      <c r="F875" s="18" t="str">
        <f>IFERROR(__xludf.DUMMYFUNCTION("if(REGEXMATCH(C875,""x.com"")=TRUE,""Twitter"",if(REGEXMATCH(C875,""facebook"")=TRUE,""Facebook"",if(REGEXMATCH(C875,""instagram"")=TRUE,""Instagram"",if(REGEXMATCH(C875,""youtube"")=TRUE,""Youtube"",if(REGEXMATCH(C875,""tiktok"")=TRUE,""Tiktok"",if(REGEX"&amp;"MATCH(C875,""threads"")=TRUE,""Threads""))))))"),"Tiktok")</f>
        <v>Tiktok</v>
      </c>
      <c r="G875" s="18" t="s">
        <v>1634</v>
      </c>
      <c r="H875" s="18"/>
      <c r="I875" s="18"/>
      <c r="J875" s="18" t="s">
        <v>188</v>
      </c>
      <c r="K875" s="18" t="s">
        <v>1635</v>
      </c>
      <c r="L875" s="15"/>
    </row>
    <row r="876">
      <c r="A876" s="15">
        <v>875.0</v>
      </c>
      <c r="B876" s="23">
        <v>45926.0</v>
      </c>
      <c r="C876" s="22" t="s">
        <v>1636</v>
      </c>
      <c r="D876" s="18"/>
      <c r="E876" s="18" t="s">
        <v>197</v>
      </c>
      <c r="F876" s="18" t="str">
        <f>IFERROR(__xludf.DUMMYFUNCTION("if(REGEXMATCH(C876,""x.com"")=TRUE,""Twitter"",if(REGEXMATCH(C876,""facebook"")=TRUE,""Facebook"",if(REGEXMATCH(C876,""instagram"")=TRUE,""Instagram"",if(REGEXMATCH(C876,""youtube"")=TRUE,""Youtube"",if(REGEXMATCH(C876,""tiktok"")=TRUE,""Tiktok"",if(REGEX"&amp;"MATCH(C876,""threads"")=TRUE,""Threads""))))))"),"Tiktok")</f>
        <v>Tiktok</v>
      </c>
      <c r="G876" s="18" t="s">
        <v>1637</v>
      </c>
      <c r="H876" s="18"/>
      <c r="I876" s="18"/>
      <c r="J876" s="18" t="s">
        <v>188</v>
      </c>
      <c r="K876" s="18" t="s">
        <v>1611</v>
      </c>
      <c r="L876" s="15"/>
    </row>
    <row r="877">
      <c r="A877" s="15">
        <v>876.0</v>
      </c>
      <c r="B877" s="23">
        <v>45926.0</v>
      </c>
      <c r="C877" s="22" t="s">
        <v>1638</v>
      </c>
      <c r="D877" s="18"/>
      <c r="E877" s="18" t="s">
        <v>197</v>
      </c>
      <c r="F877" s="18" t="str">
        <f>IFERROR(__xludf.DUMMYFUNCTION("if(REGEXMATCH(C877,""x.com"")=TRUE,""Twitter"",if(REGEXMATCH(C877,""facebook"")=TRUE,""Facebook"",if(REGEXMATCH(C877,""instagram"")=TRUE,""Instagram"",if(REGEXMATCH(C877,""youtube"")=TRUE,""Youtube"",if(REGEXMATCH(C877,""tiktok"")=TRUE,""Tiktok"",if(REGEX"&amp;"MATCH(C877,""threads"")=TRUE,""Threads""))))))"),"Tiktok")</f>
        <v>Tiktok</v>
      </c>
      <c r="G877" s="18" t="s">
        <v>1639</v>
      </c>
      <c r="H877" s="18"/>
      <c r="I877" s="18"/>
      <c r="J877" s="18" t="s">
        <v>188</v>
      </c>
      <c r="K877" s="18" t="s">
        <v>1611</v>
      </c>
      <c r="L877" s="15"/>
    </row>
    <row r="878">
      <c r="A878" s="15">
        <v>877.0</v>
      </c>
      <c r="B878" s="23">
        <v>45926.0</v>
      </c>
      <c r="C878" s="22" t="s">
        <v>1640</v>
      </c>
      <c r="D878" s="18"/>
      <c r="E878" s="18" t="s">
        <v>197</v>
      </c>
      <c r="F878" s="18" t="str">
        <f>IFERROR(__xludf.DUMMYFUNCTION("if(REGEXMATCH(C878,""x.com"")=TRUE,""Twitter"",if(REGEXMATCH(C878,""facebook"")=TRUE,""Facebook"",if(REGEXMATCH(C878,""instagram"")=TRUE,""Instagram"",if(REGEXMATCH(C878,""youtube"")=TRUE,""Youtube"",if(REGEXMATCH(C878,""tiktok"")=TRUE,""Tiktok"",if(REGEX"&amp;"MATCH(C878,""threads"")=TRUE,""Threads""))))))"),"Tiktok")</f>
        <v>Tiktok</v>
      </c>
      <c r="G878" s="18" t="s">
        <v>1641</v>
      </c>
      <c r="H878" s="18"/>
      <c r="I878" s="18"/>
      <c r="J878" s="18" t="s">
        <v>188</v>
      </c>
      <c r="K878" s="18" t="s">
        <v>1611</v>
      </c>
      <c r="L878" s="15"/>
    </row>
    <row r="879">
      <c r="A879" s="15">
        <v>878.0</v>
      </c>
      <c r="B879" s="23">
        <v>45926.0</v>
      </c>
      <c r="C879" s="22" t="s">
        <v>1642</v>
      </c>
      <c r="D879" s="18"/>
      <c r="E879" s="18" t="s">
        <v>372</v>
      </c>
      <c r="F879" s="18" t="str">
        <f>IFERROR(__xludf.DUMMYFUNCTION("if(REGEXMATCH(C879,""x.com"")=TRUE,""Twitter"",if(REGEXMATCH(C879,""facebook"")=TRUE,""Facebook"",if(REGEXMATCH(C879,""instagram"")=TRUE,""Instagram"",if(REGEXMATCH(C879,""youtube"")=TRUE,""Youtube"",if(REGEXMATCH(C879,""tiktok"")=TRUE,""Tiktok"",if(REGEX"&amp;"MATCH(C879,""threads"")=TRUE,""Threads""))))))"),"Tiktok")</f>
        <v>Tiktok</v>
      </c>
      <c r="G879" s="18" t="s">
        <v>1643</v>
      </c>
      <c r="H879" s="18"/>
      <c r="I879" s="18"/>
      <c r="J879" s="18" t="s">
        <v>188</v>
      </c>
      <c r="K879" s="18" t="s">
        <v>1611</v>
      </c>
      <c r="L879" s="15"/>
    </row>
    <row r="880">
      <c r="A880" s="15">
        <v>879.0</v>
      </c>
      <c r="B880" s="23">
        <v>45926.0</v>
      </c>
      <c r="C880" s="22" t="s">
        <v>1644</v>
      </c>
      <c r="D880" s="18"/>
      <c r="E880" s="18" t="s">
        <v>1645</v>
      </c>
      <c r="F880" s="18" t="str">
        <f>IFERROR(__xludf.DUMMYFUNCTION("if(REGEXMATCH(C880,""x.com"")=TRUE,""Twitter"",if(REGEXMATCH(C880,""facebook"")=TRUE,""Facebook"",if(REGEXMATCH(C880,""instagram"")=TRUE,""Instagram"",if(REGEXMATCH(C880,""youtube"")=TRUE,""Youtube"",if(REGEXMATCH(C880,""tiktok"")=TRUE,""Tiktok"",if(REGEX"&amp;"MATCH(C880,""threads"")=TRUE,""Threads""))))))"),"Facebook")</f>
        <v>Facebook</v>
      </c>
      <c r="G880" s="18" t="s">
        <v>1646</v>
      </c>
      <c r="H880" s="18"/>
      <c r="I880" s="18"/>
      <c r="J880" s="18" t="s">
        <v>188</v>
      </c>
      <c r="K880" s="18" t="s">
        <v>1611</v>
      </c>
      <c r="L880" s="15"/>
    </row>
    <row r="881">
      <c r="A881" s="15">
        <v>880.0</v>
      </c>
      <c r="B881" s="23">
        <v>45926.0</v>
      </c>
      <c r="C881" s="22" t="s">
        <v>1647</v>
      </c>
      <c r="D881" s="18"/>
      <c r="E881" s="18" t="s">
        <v>197</v>
      </c>
      <c r="F881" s="18" t="str">
        <f>IFERROR(__xludf.DUMMYFUNCTION("if(REGEXMATCH(C881,""x.com"")=TRUE,""Twitter"",if(REGEXMATCH(C881,""facebook"")=TRUE,""Facebook"",if(REGEXMATCH(C881,""instagram"")=TRUE,""Instagram"",if(REGEXMATCH(C881,""youtube"")=TRUE,""Youtube"",if(REGEXMATCH(C881,""tiktok"")=TRUE,""Tiktok"",if(REGEX"&amp;"MATCH(C881,""threads"")=TRUE,""Threads""))))))"),"Twitter")</f>
        <v>Twitter</v>
      </c>
      <c r="G881" s="18" t="s">
        <v>1648</v>
      </c>
      <c r="H881" s="18"/>
      <c r="I881" s="18"/>
      <c r="J881" s="18" t="s">
        <v>188</v>
      </c>
      <c r="K881" s="18" t="s">
        <v>1611</v>
      </c>
      <c r="L881" s="15"/>
    </row>
    <row r="882">
      <c r="A882" s="15">
        <v>881.0</v>
      </c>
      <c r="B882" s="23">
        <v>45926.0</v>
      </c>
      <c r="C882" s="22" t="s">
        <v>1649</v>
      </c>
      <c r="D882" s="18"/>
      <c r="E882" s="18" t="s">
        <v>1650</v>
      </c>
      <c r="F882" s="18" t="str">
        <f>IFERROR(__xludf.DUMMYFUNCTION("if(REGEXMATCH(C882,""x.com"")=TRUE,""Twitter"",if(REGEXMATCH(C882,""facebook"")=TRUE,""Facebook"",if(REGEXMATCH(C882,""instagram"")=TRUE,""Instagram"",if(REGEXMATCH(C882,""youtube"")=TRUE,""Youtube"",if(REGEXMATCH(C882,""tiktok"")=TRUE,""Tiktok"",if(REGEX"&amp;"MATCH(C882,""threads"")=TRUE,""Threads""))))))"),"Twitter")</f>
        <v>Twitter</v>
      </c>
      <c r="G882" s="18" t="s">
        <v>1651</v>
      </c>
      <c r="H882" s="18"/>
      <c r="I882" s="18"/>
      <c r="J882" s="18" t="s">
        <v>188</v>
      </c>
      <c r="K882" s="18" t="s">
        <v>1611</v>
      </c>
      <c r="L882" s="15"/>
    </row>
    <row r="883">
      <c r="A883" s="15">
        <v>882.0</v>
      </c>
      <c r="B883" s="23">
        <v>45926.0</v>
      </c>
      <c r="C883" s="22" t="s">
        <v>1652</v>
      </c>
      <c r="D883" s="18"/>
      <c r="E883" s="18" t="s">
        <v>197</v>
      </c>
      <c r="F883" s="18" t="str">
        <f>IFERROR(__xludf.DUMMYFUNCTION("if(REGEXMATCH(C883,""x.com"")=TRUE,""Twitter"",if(REGEXMATCH(C883,""facebook"")=TRUE,""Facebook"",if(REGEXMATCH(C883,""instagram"")=TRUE,""Instagram"",if(REGEXMATCH(C883,""youtube"")=TRUE,""Youtube"",if(REGEXMATCH(C883,""tiktok"")=TRUE,""Tiktok"",if(REGEX"&amp;"MATCH(C883,""threads"")=TRUE,""Threads""))))))"),"Facebook")</f>
        <v>Facebook</v>
      </c>
      <c r="G883" s="18" t="s">
        <v>1653</v>
      </c>
      <c r="H883" s="18"/>
      <c r="I883" s="18"/>
      <c r="J883" s="18" t="s">
        <v>188</v>
      </c>
      <c r="K883" s="18" t="s">
        <v>1654</v>
      </c>
      <c r="L883" s="15"/>
    </row>
    <row r="884">
      <c r="A884" s="15">
        <v>883.0</v>
      </c>
      <c r="B884" s="23">
        <v>45926.0</v>
      </c>
      <c r="C884" s="22" t="s">
        <v>1655</v>
      </c>
      <c r="D884" s="18"/>
      <c r="E884" s="18" t="s">
        <v>401</v>
      </c>
      <c r="F884" s="18" t="str">
        <f>IFERROR(__xludf.DUMMYFUNCTION("if(REGEXMATCH(C884,""x.com"")=TRUE,""Twitter"",if(REGEXMATCH(C884,""facebook"")=TRUE,""Facebook"",if(REGEXMATCH(C884,""instagram"")=TRUE,""Instagram"",if(REGEXMATCH(C884,""youtube"")=TRUE,""Youtube"",if(REGEXMATCH(C884,""tiktok"")=TRUE,""Tiktok"",if(REGEX"&amp;"MATCH(C884,""threads"")=TRUE,""Threads""))))))"),"Facebook")</f>
        <v>Facebook</v>
      </c>
      <c r="G884" s="18" t="s">
        <v>937</v>
      </c>
      <c r="H884" s="18" t="s">
        <v>1542</v>
      </c>
      <c r="I884" s="18" t="s">
        <v>939</v>
      </c>
      <c r="J884" s="18" t="s">
        <v>188</v>
      </c>
      <c r="K884" s="18" t="s">
        <v>1656</v>
      </c>
      <c r="L884" s="15"/>
    </row>
    <row r="885">
      <c r="A885" s="15">
        <v>884.0</v>
      </c>
      <c r="B885" s="23">
        <v>45926.0</v>
      </c>
      <c r="C885" s="27" t="s">
        <v>1657</v>
      </c>
      <c r="D885" s="18"/>
      <c r="E885" s="18" t="s">
        <v>401</v>
      </c>
      <c r="F885" s="18" t="str">
        <f>IFERROR(__xludf.DUMMYFUNCTION("if(REGEXMATCH(C885,""x.com"")=TRUE,""Twitter"",if(REGEXMATCH(C885,""facebook"")=TRUE,""Facebook"",if(REGEXMATCH(C885,""instagram"")=TRUE,""Instagram"",if(REGEXMATCH(C885,""youtube"")=TRUE,""Youtube"",if(REGEXMATCH(C885,""tiktok"")=TRUE,""Tiktok"",if(REGEX"&amp;"MATCH(C885,""threads"")=TRUE,""Threads""))))))"),"Facebook")</f>
        <v>Facebook</v>
      </c>
      <c r="G885" s="18" t="s">
        <v>937</v>
      </c>
      <c r="H885" s="18" t="s">
        <v>1542</v>
      </c>
      <c r="I885" s="18" t="s">
        <v>939</v>
      </c>
      <c r="J885" s="18" t="s">
        <v>188</v>
      </c>
      <c r="K885" s="18" t="s">
        <v>1656</v>
      </c>
      <c r="L885" s="15"/>
    </row>
    <row r="886">
      <c r="A886" s="15">
        <v>885.0</v>
      </c>
      <c r="B886" s="23">
        <v>45926.0</v>
      </c>
      <c r="C886" s="22" t="s">
        <v>1658</v>
      </c>
      <c r="D886" s="18"/>
      <c r="E886" s="18" t="s">
        <v>401</v>
      </c>
      <c r="F886" s="18" t="str">
        <f>IFERROR(__xludf.DUMMYFUNCTION("if(REGEXMATCH(C886,""x.com"")=TRUE,""Twitter"",if(REGEXMATCH(C886,""facebook"")=TRUE,""Facebook"",if(REGEXMATCH(C886,""instagram"")=TRUE,""Instagram"",if(REGEXMATCH(C886,""youtube"")=TRUE,""Youtube"",if(REGEXMATCH(C886,""tiktok"")=TRUE,""Tiktok"",if(REGEX"&amp;"MATCH(C886,""threads"")=TRUE,""Threads""))))))"),"Facebook")</f>
        <v>Facebook</v>
      </c>
      <c r="G886" s="18" t="s">
        <v>937</v>
      </c>
      <c r="H886" s="18" t="s">
        <v>1542</v>
      </c>
      <c r="I886" s="18" t="s">
        <v>939</v>
      </c>
      <c r="J886" s="18" t="s">
        <v>188</v>
      </c>
      <c r="K886" s="18" t="s">
        <v>1656</v>
      </c>
      <c r="L886" s="15"/>
    </row>
    <row r="887">
      <c r="A887" s="15">
        <v>886.0</v>
      </c>
      <c r="B887" s="23">
        <v>45926.0</v>
      </c>
      <c r="C887" s="22" t="s">
        <v>1659</v>
      </c>
      <c r="D887" s="18"/>
      <c r="E887" s="18" t="s">
        <v>401</v>
      </c>
      <c r="F887" s="18" t="str">
        <f>IFERROR(__xludf.DUMMYFUNCTION("if(REGEXMATCH(C887,""x.com"")=TRUE,""Twitter"",if(REGEXMATCH(C887,""facebook"")=TRUE,""Facebook"",if(REGEXMATCH(C887,""instagram"")=TRUE,""Instagram"",if(REGEXMATCH(C887,""youtube"")=TRUE,""Youtube"",if(REGEXMATCH(C887,""tiktok"")=TRUE,""Tiktok"",if(REGEX"&amp;"MATCH(C887,""threads"")=TRUE,""Threads""))))))"),"Facebook")</f>
        <v>Facebook</v>
      </c>
      <c r="G887" s="18" t="s">
        <v>937</v>
      </c>
      <c r="H887" s="18" t="s">
        <v>1542</v>
      </c>
      <c r="I887" s="18" t="s">
        <v>939</v>
      </c>
      <c r="J887" s="18" t="s">
        <v>188</v>
      </c>
      <c r="K887" s="18" t="s">
        <v>1656</v>
      </c>
      <c r="L887" s="15"/>
    </row>
    <row r="888">
      <c r="A888" s="15">
        <v>887.0</v>
      </c>
      <c r="B888" s="23">
        <v>45926.0</v>
      </c>
      <c r="C888" s="27" t="s">
        <v>1660</v>
      </c>
      <c r="D888" s="18"/>
      <c r="E888" s="18" t="s">
        <v>401</v>
      </c>
      <c r="F888" s="18" t="str">
        <f>IFERROR(__xludf.DUMMYFUNCTION("if(REGEXMATCH(C888,""x.com"")=TRUE,""Twitter"",if(REGEXMATCH(C888,""facebook"")=TRUE,""Facebook"",if(REGEXMATCH(C888,""instagram"")=TRUE,""Instagram"",if(REGEXMATCH(C888,""youtube"")=TRUE,""Youtube"",if(REGEXMATCH(C888,""tiktok"")=TRUE,""Tiktok"",if(REGEX"&amp;"MATCH(C888,""threads"")=TRUE,""Threads""))))))"),"Facebook")</f>
        <v>Facebook</v>
      </c>
      <c r="G888" s="18" t="s">
        <v>937</v>
      </c>
      <c r="H888" s="18" t="s">
        <v>1542</v>
      </c>
      <c r="I888" s="18" t="s">
        <v>939</v>
      </c>
      <c r="J888" s="18" t="s">
        <v>188</v>
      </c>
      <c r="K888" s="18" t="s">
        <v>1656</v>
      </c>
      <c r="L888" s="15"/>
    </row>
    <row r="889">
      <c r="A889" s="15">
        <v>888.0</v>
      </c>
      <c r="B889" s="23">
        <v>45926.0</v>
      </c>
      <c r="C889" s="28" t="s">
        <v>1661</v>
      </c>
      <c r="D889" s="18"/>
      <c r="E889" s="18" t="s">
        <v>401</v>
      </c>
      <c r="F889" s="18" t="str">
        <f>IFERROR(__xludf.DUMMYFUNCTION("if(REGEXMATCH(C889,""x.com"")=TRUE,""Twitter"",if(REGEXMATCH(C889,""facebook"")=TRUE,""Facebook"",if(REGEXMATCH(C889,""instagram"")=TRUE,""Instagram"",if(REGEXMATCH(C889,""youtube"")=TRUE,""Youtube"",if(REGEXMATCH(C889,""tiktok"")=TRUE,""Tiktok"",if(REGEX"&amp;"MATCH(C889,""threads"")=TRUE,""Threads""))))))"),"Facebook")</f>
        <v>Facebook</v>
      </c>
      <c r="G889" s="18" t="s">
        <v>937</v>
      </c>
      <c r="H889" s="18" t="s">
        <v>1542</v>
      </c>
      <c r="I889" s="18" t="s">
        <v>939</v>
      </c>
      <c r="J889" s="18" t="s">
        <v>188</v>
      </c>
      <c r="K889" s="18" t="s">
        <v>1656</v>
      </c>
      <c r="L889" s="15"/>
    </row>
    <row r="890">
      <c r="A890" s="15">
        <v>889.0</v>
      </c>
      <c r="B890" s="23">
        <v>45926.0</v>
      </c>
      <c r="C890" s="22" t="s">
        <v>1662</v>
      </c>
      <c r="D890" s="18"/>
      <c r="E890" s="18" t="s">
        <v>401</v>
      </c>
      <c r="F890" s="18" t="str">
        <f>IFERROR(__xludf.DUMMYFUNCTION("if(REGEXMATCH(C890,""x.com"")=TRUE,""Twitter"",if(REGEXMATCH(C890,""facebook"")=TRUE,""Facebook"",if(REGEXMATCH(C890,""instagram"")=TRUE,""Instagram"",if(REGEXMATCH(C890,""youtube"")=TRUE,""Youtube"",if(REGEXMATCH(C890,""tiktok"")=TRUE,""Tiktok"",if(REGEX"&amp;"MATCH(C890,""threads"")=TRUE,""Threads""))))))"),"Facebook")</f>
        <v>Facebook</v>
      </c>
      <c r="G890" s="18" t="s">
        <v>937</v>
      </c>
      <c r="H890" s="18" t="s">
        <v>1542</v>
      </c>
      <c r="I890" s="18" t="s">
        <v>939</v>
      </c>
      <c r="J890" s="18" t="s">
        <v>188</v>
      </c>
      <c r="K890" s="18" t="s">
        <v>1656</v>
      </c>
      <c r="L890" s="15"/>
    </row>
    <row r="891">
      <c r="A891" s="15">
        <v>890.0</v>
      </c>
      <c r="B891" s="23">
        <v>45926.0</v>
      </c>
      <c r="C891" s="22" t="s">
        <v>1663</v>
      </c>
      <c r="D891" s="18"/>
      <c r="E891" s="18" t="s">
        <v>401</v>
      </c>
      <c r="F891" s="18" t="str">
        <f>IFERROR(__xludf.DUMMYFUNCTION("if(REGEXMATCH(C891,""x.com"")=TRUE,""Twitter"",if(REGEXMATCH(C891,""facebook"")=TRUE,""Facebook"",if(REGEXMATCH(C891,""instagram"")=TRUE,""Instagram"",if(REGEXMATCH(C891,""youtube"")=TRUE,""Youtube"",if(REGEXMATCH(C891,""tiktok"")=TRUE,""Tiktok"",if(REGEX"&amp;"MATCH(C891,""threads"")=TRUE,""Threads""))))))"),"Facebook")</f>
        <v>Facebook</v>
      </c>
      <c r="G891" s="18" t="s">
        <v>937</v>
      </c>
      <c r="H891" s="18" t="s">
        <v>1542</v>
      </c>
      <c r="I891" s="18" t="s">
        <v>939</v>
      </c>
      <c r="J891" s="18" t="s">
        <v>188</v>
      </c>
      <c r="K891" s="18" t="s">
        <v>1656</v>
      </c>
      <c r="L891" s="15"/>
    </row>
    <row r="892">
      <c r="A892" s="15">
        <v>891.0</v>
      </c>
      <c r="B892" s="23">
        <v>45926.0</v>
      </c>
      <c r="C892" s="22" t="s">
        <v>1664</v>
      </c>
      <c r="D892" s="18"/>
      <c r="E892" s="18" t="s">
        <v>1665</v>
      </c>
      <c r="F892" s="18" t="str">
        <f>IFERROR(__xludf.DUMMYFUNCTION("if(REGEXMATCH(C892,""x.com"")=TRUE,""Twitter"",if(REGEXMATCH(C892,""facebook"")=TRUE,""Facebook"",if(REGEXMATCH(C892,""instagram"")=TRUE,""Instagram"",if(REGEXMATCH(C892,""youtube"")=TRUE,""Youtube"",if(REGEXMATCH(C892,""tiktok"")=TRUE,""Tiktok"",if(REGEX"&amp;"MATCH(C892,""threads"")=TRUE,""Threads""))))))"),"Instagram")</f>
        <v>Instagram</v>
      </c>
      <c r="G892" s="27" t="s">
        <v>1666</v>
      </c>
      <c r="H892" s="18" t="s">
        <v>407</v>
      </c>
      <c r="I892" s="18" t="s">
        <v>1667</v>
      </c>
      <c r="J892" s="18" t="s">
        <v>188</v>
      </c>
      <c r="K892" s="18" t="s">
        <v>1668</v>
      </c>
      <c r="L892" s="15"/>
    </row>
    <row r="893">
      <c r="A893" s="15">
        <v>892.0</v>
      </c>
      <c r="B893" s="23">
        <v>45926.0</v>
      </c>
      <c r="C893" s="22" t="s">
        <v>1669</v>
      </c>
      <c r="D893" s="18"/>
      <c r="E893" s="18" t="s">
        <v>577</v>
      </c>
      <c r="F893" s="18" t="str">
        <f>IFERROR(__xludf.DUMMYFUNCTION("if(REGEXMATCH(C893,""x.com"")=TRUE,""Twitter"",if(REGEXMATCH(C893,""facebook"")=TRUE,""Facebook"",if(REGEXMATCH(C893,""instagram"")=TRUE,""Instagram"",if(REGEXMATCH(C893,""youtube"")=TRUE,""Youtube"",if(REGEXMATCH(C893,""tiktok"")=TRUE,""Tiktok"",if(REGEX"&amp;"MATCH(C893,""threads"")=TRUE,""Threads""))))))"),"Instagram")</f>
        <v>Instagram</v>
      </c>
      <c r="G893" s="18" t="s">
        <v>1670</v>
      </c>
      <c r="H893" s="18" t="s">
        <v>410</v>
      </c>
      <c r="I893" s="18" t="s">
        <v>1671</v>
      </c>
      <c r="J893" s="18" t="s">
        <v>188</v>
      </c>
      <c r="K893" s="18" t="s">
        <v>1656</v>
      </c>
      <c r="L893" s="15"/>
    </row>
    <row r="894">
      <c r="A894" s="15">
        <v>893.0</v>
      </c>
      <c r="B894" s="23">
        <v>45926.0</v>
      </c>
      <c r="C894" s="22" t="s">
        <v>1672</v>
      </c>
      <c r="D894" s="18"/>
      <c r="E894" s="18" t="s">
        <v>184</v>
      </c>
      <c r="F894" s="18" t="str">
        <f>IFERROR(__xludf.DUMMYFUNCTION("if(REGEXMATCH(C894,""x.com"")=TRUE,""Twitter"",if(REGEXMATCH(C894,""facebook"")=TRUE,""Facebook"",if(REGEXMATCH(C894,""instagram"")=TRUE,""Instagram"",if(REGEXMATCH(C894,""youtube"")=TRUE,""Youtube"",if(REGEXMATCH(C894,""tiktok"")=TRUE,""Tiktok"",if(REGEX"&amp;"MATCH(C894,""threads"")=TRUE,""Threads""))))))"),"Instagram")</f>
        <v>Instagram</v>
      </c>
      <c r="G894" s="18" t="s">
        <v>1673</v>
      </c>
      <c r="H894" s="18" t="s">
        <v>413</v>
      </c>
      <c r="I894" s="18"/>
      <c r="J894" s="18" t="s">
        <v>188</v>
      </c>
      <c r="K894" s="18"/>
      <c r="L894" s="15"/>
    </row>
    <row r="895">
      <c r="A895" s="15">
        <v>894.0</v>
      </c>
      <c r="B895" s="23">
        <v>45926.0</v>
      </c>
      <c r="C895" s="22" t="s">
        <v>1674</v>
      </c>
      <c r="D895" s="18"/>
      <c r="E895" s="18" t="s">
        <v>184</v>
      </c>
      <c r="F895" s="18" t="str">
        <f>IFERROR(__xludf.DUMMYFUNCTION("if(REGEXMATCH(C895,""x.com"")=TRUE,""Twitter"",if(REGEXMATCH(C895,""facebook"")=TRUE,""Facebook"",if(REGEXMATCH(C895,""instagram"")=TRUE,""Instagram"",if(REGEXMATCH(C895,""youtube"")=TRUE,""Youtube"",if(REGEXMATCH(C895,""tiktok"")=TRUE,""Tiktok"",if(REGEX"&amp;"MATCH(C895,""threads"")=TRUE,""Threads""))))))"),"Facebook")</f>
        <v>Facebook</v>
      </c>
      <c r="G895" s="18" t="s">
        <v>1675</v>
      </c>
      <c r="H895" s="18" t="s">
        <v>413</v>
      </c>
      <c r="I895" s="18"/>
      <c r="J895" s="18" t="s">
        <v>188</v>
      </c>
      <c r="K895" s="18"/>
      <c r="L895" s="15"/>
    </row>
    <row r="896">
      <c r="A896" s="15">
        <v>895.0</v>
      </c>
      <c r="B896" s="23">
        <v>45927.0</v>
      </c>
      <c r="C896" s="22" t="s">
        <v>1676</v>
      </c>
      <c r="D896" s="18"/>
      <c r="E896" s="18" t="s">
        <v>184</v>
      </c>
      <c r="F896" s="18" t="str">
        <f>IFERROR(__xludf.DUMMYFUNCTION("if(REGEXMATCH(C896,""twitter"")=TRUE,""Twitter"",if(REGEXMATCH(C896,""facebook"")=TRUE,""Facebook"",if(REGEXMATCH(C896,""instagram"")=TRUE,""Instagram"",if(REGEXMATCH(C896,""youtube"")=TRUE,""Youtube"",if(REGEXMATCH(C896,""tiktok"")=TRUE,""Tiktok"",if(REG"&amp;"EXMATCH(C896,""threads"")=TRUE,""Threads""))))))"),"Tiktok")</f>
        <v>Tiktok</v>
      </c>
      <c r="G896" s="18" t="s">
        <v>1677</v>
      </c>
      <c r="H896" s="34" t="s">
        <v>1678</v>
      </c>
      <c r="I896" s="34" t="s">
        <v>535</v>
      </c>
      <c r="J896" s="18" t="s">
        <v>188</v>
      </c>
      <c r="K896" s="18" t="s">
        <v>1611</v>
      </c>
      <c r="L896" s="15"/>
    </row>
    <row r="897">
      <c r="A897" s="15">
        <v>896.0</v>
      </c>
      <c r="B897" s="23">
        <v>45927.0</v>
      </c>
      <c r="C897" s="22" t="s">
        <v>1679</v>
      </c>
      <c r="D897" s="18"/>
      <c r="E897" s="18" t="s">
        <v>184</v>
      </c>
      <c r="F897" s="18" t="str">
        <f>IFERROR(__xludf.DUMMYFUNCTION("if(REGEXMATCH(C897,""twitter"")=TRUE,""Twitter"",if(REGEXMATCH(C897,""facebook"")=TRUE,""Facebook"",if(REGEXMATCH(C897,""instagram"")=TRUE,""Instagram"",if(REGEXMATCH(C897,""youtube"")=TRUE,""Youtube"",if(REGEXMATCH(C897,""tiktok"")=TRUE,""Tiktok"",if(REG"&amp;"EXMATCH(C897,""threads"")=TRUE,""Threads""))))))"),"Tiktok")</f>
        <v>Tiktok</v>
      </c>
      <c r="G897" s="18" t="s">
        <v>1680</v>
      </c>
      <c r="H897" s="36"/>
      <c r="I897" s="36"/>
      <c r="J897" s="18" t="s">
        <v>188</v>
      </c>
      <c r="K897" s="18" t="s">
        <v>1611</v>
      </c>
      <c r="L897" s="15"/>
    </row>
    <row r="898">
      <c r="A898" s="15">
        <v>897.0</v>
      </c>
      <c r="B898" s="23">
        <v>45927.0</v>
      </c>
      <c r="C898" s="22" t="s">
        <v>1681</v>
      </c>
      <c r="D898" s="18"/>
      <c r="E898" s="18" t="s">
        <v>184</v>
      </c>
      <c r="F898" s="18" t="str">
        <f>IFERROR(__xludf.DUMMYFUNCTION("if(REGEXMATCH(C898,""twitter"")=TRUE,""Twitter"",if(REGEXMATCH(C898,""facebook"")=TRUE,""Facebook"",if(REGEXMATCH(C898,""instagram"")=TRUE,""Instagram"",if(REGEXMATCH(C898,""youtube"")=TRUE,""Youtube"",if(REGEXMATCH(C898,""tiktok"")=TRUE,""Tiktok"",if(REG"&amp;"EXMATCH(C898,""threads"")=TRUE,""Threads""))))))"),"Tiktok")</f>
        <v>Tiktok</v>
      </c>
      <c r="G898" s="18" t="s">
        <v>1677</v>
      </c>
      <c r="H898" s="36"/>
      <c r="I898" s="36"/>
      <c r="J898" s="18" t="s">
        <v>188</v>
      </c>
      <c r="K898" s="18" t="s">
        <v>1611</v>
      </c>
      <c r="L898" s="15"/>
    </row>
    <row r="899">
      <c r="A899" s="15">
        <v>898.0</v>
      </c>
      <c r="B899" s="23">
        <v>45927.0</v>
      </c>
      <c r="C899" s="22" t="s">
        <v>1682</v>
      </c>
      <c r="D899" s="18"/>
      <c r="E899" s="18" t="s">
        <v>184</v>
      </c>
      <c r="F899" s="18" t="str">
        <f>IFERROR(__xludf.DUMMYFUNCTION("if(REGEXMATCH(C899,""twitter"")=TRUE,""Twitter"",if(REGEXMATCH(C899,""facebook"")=TRUE,""Facebook"",if(REGEXMATCH(C899,""instagram"")=TRUE,""Instagram"",if(REGEXMATCH(C899,""youtube"")=TRUE,""Youtube"",if(REGEXMATCH(C899,""tiktok"")=TRUE,""Tiktok"",if(REG"&amp;"EXMATCH(C899,""threads"")=TRUE,""Threads""))))))"),"Tiktok")</f>
        <v>Tiktok</v>
      </c>
      <c r="G899" s="18" t="s">
        <v>1683</v>
      </c>
      <c r="H899" s="36"/>
      <c r="I899" s="36"/>
      <c r="J899" s="18" t="s">
        <v>188</v>
      </c>
      <c r="K899" s="18" t="s">
        <v>1611</v>
      </c>
      <c r="L899" s="15"/>
    </row>
    <row r="900">
      <c r="A900" s="15">
        <v>899.0</v>
      </c>
      <c r="B900" s="23">
        <v>45927.0</v>
      </c>
      <c r="C900" s="22" t="s">
        <v>1684</v>
      </c>
      <c r="D900" s="18"/>
      <c r="E900" s="18" t="s">
        <v>184</v>
      </c>
      <c r="F900" s="18" t="str">
        <f>IFERROR(__xludf.DUMMYFUNCTION("if(REGEXMATCH(C900,""twitter"")=TRUE,""Twitter"",if(REGEXMATCH(C900,""facebook"")=TRUE,""Facebook"",if(REGEXMATCH(C900,""instagram"")=TRUE,""Instagram"",if(REGEXMATCH(C900,""youtube"")=TRUE,""Youtube"",if(REGEXMATCH(C900,""tiktok"")=TRUE,""Tiktok"",if(REG"&amp;"EXMATCH(C900,""threads"")=TRUE,""Threads""))))))"),"Tiktok")</f>
        <v>Tiktok</v>
      </c>
      <c r="G900" s="18" t="s">
        <v>1685</v>
      </c>
      <c r="H900" s="36"/>
      <c r="I900" s="36"/>
      <c r="J900" s="18" t="s">
        <v>188</v>
      </c>
      <c r="K900" s="18" t="s">
        <v>1611</v>
      </c>
      <c r="L900" s="15"/>
    </row>
    <row r="901">
      <c r="A901" s="15">
        <v>900.0</v>
      </c>
      <c r="B901" s="23">
        <v>45927.0</v>
      </c>
      <c r="C901" s="22" t="s">
        <v>1686</v>
      </c>
      <c r="D901" s="18"/>
      <c r="E901" s="18" t="s">
        <v>184</v>
      </c>
      <c r="F901" s="18" t="str">
        <f>IFERROR(__xludf.DUMMYFUNCTION("if(REGEXMATCH(C901,""x.com"")=TRUE,""Twitter"",if(REGEXMATCH(C901,""facebook"")=TRUE,""Facebook"",if(REGEXMATCH(C901,""instagram"")=TRUE,""Instagram"",if(REGEXMATCH(C901,""youtube"")=TRUE,""Youtube"",if(REGEXMATCH(C901,""tiktok"")=TRUE,""Tiktok"",if(REGEX"&amp;"MATCH(C901,""threads"")=TRUE,""Threads""))))))"),"Twitter")</f>
        <v>Twitter</v>
      </c>
      <c r="G901" s="18" t="s">
        <v>1687</v>
      </c>
      <c r="H901" s="36"/>
      <c r="I901" s="36"/>
      <c r="J901" s="18" t="s">
        <v>188</v>
      </c>
      <c r="K901" s="18" t="s">
        <v>1611</v>
      </c>
      <c r="L901" s="15"/>
    </row>
    <row r="902">
      <c r="A902" s="15">
        <v>901.0</v>
      </c>
      <c r="B902" s="23">
        <v>45927.0</v>
      </c>
      <c r="C902" s="22" t="s">
        <v>1688</v>
      </c>
      <c r="D902" s="18"/>
      <c r="E902" s="18" t="s">
        <v>184</v>
      </c>
      <c r="F902" s="18" t="str">
        <f>IFERROR(__xludf.DUMMYFUNCTION("if(REGEXMATCH(C902,""x.com"")=TRUE,""Twitter"",if(REGEXMATCH(C902,""facebook"")=TRUE,""Facebook"",if(REGEXMATCH(C902,""instagram"")=TRUE,""Instagram"",if(REGEXMATCH(C902,""youtube"")=TRUE,""Youtube"",if(REGEXMATCH(C902,""tiktok"")=TRUE,""Tiktok"",if(REGEX"&amp;"MATCH(C902,""threads"")=TRUE,""Threads""))))))"),"Twitter")</f>
        <v>Twitter</v>
      </c>
      <c r="G902" s="18" t="s">
        <v>1689</v>
      </c>
      <c r="H902" s="36"/>
      <c r="I902" s="36"/>
      <c r="J902" s="18" t="s">
        <v>188</v>
      </c>
      <c r="K902" s="18" t="s">
        <v>1611</v>
      </c>
      <c r="L902" s="15"/>
    </row>
    <row r="903">
      <c r="A903" s="15">
        <v>902.0</v>
      </c>
      <c r="B903" s="23">
        <v>45927.0</v>
      </c>
      <c r="C903" s="22" t="s">
        <v>1690</v>
      </c>
      <c r="D903" s="18"/>
      <c r="E903" s="18" t="s">
        <v>1450</v>
      </c>
      <c r="F903" s="18" t="str">
        <f>IFERROR(__xludf.DUMMYFUNCTION("if(REGEXMATCH(C903,""twitter"")=TRUE,""Twitter"",if(REGEXMATCH(C903,""facebook"")=TRUE,""Facebook"",if(REGEXMATCH(C903,""instagram"")=TRUE,""Instagram"",if(REGEXMATCH(C903,""youtube"")=TRUE,""Youtube"",if(REGEXMATCH(C903,""tiktok"")=TRUE,""Tiktok"",if(REG"&amp;"EXMATCH(C903,""threads"")=TRUE,""Threads""))))))"),"Tiktok")</f>
        <v>Tiktok</v>
      </c>
      <c r="G903" s="18" t="s">
        <v>1691</v>
      </c>
      <c r="H903" s="36"/>
      <c r="I903" s="36"/>
      <c r="J903" s="18" t="s">
        <v>188</v>
      </c>
      <c r="K903" s="18" t="s">
        <v>1611</v>
      </c>
      <c r="L903" s="15"/>
    </row>
    <row r="904">
      <c r="A904" s="15">
        <v>903.0</v>
      </c>
      <c r="B904" s="23">
        <v>45927.0</v>
      </c>
      <c r="C904" s="22" t="s">
        <v>1692</v>
      </c>
      <c r="D904" s="18"/>
      <c r="E904" s="18" t="s">
        <v>184</v>
      </c>
      <c r="F904" s="18" t="str">
        <f>IFERROR(__xludf.DUMMYFUNCTION("if(REGEXMATCH(C904,""twitter"")=TRUE,""Twitter"",if(REGEXMATCH(C904,""facebook"")=TRUE,""Facebook"",if(REGEXMATCH(C904,""instagram"")=TRUE,""Instagram"",if(REGEXMATCH(C904,""youtube"")=TRUE,""Youtube"",if(REGEXMATCH(C904,""tiktok"")=TRUE,""Tiktok"",if(REG"&amp;"EXMATCH(C904,""threads"")=TRUE,""Threads""))))))"),"Tiktok")</f>
        <v>Tiktok</v>
      </c>
      <c r="G904" s="18" t="s">
        <v>1693</v>
      </c>
      <c r="H904" s="36"/>
      <c r="I904" s="36"/>
      <c r="J904" s="18" t="s">
        <v>422</v>
      </c>
      <c r="K904" s="18" t="s">
        <v>1694</v>
      </c>
      <c r="L904" s="15"/>
    </row>
    <row r="905">
      <c r="A905" s="15">
        <v>904.0</v>
      </c>
      <c r="B905" s="23">
        <v>45927.0</v>
      </c>
      <c r="C905" s="22" t="s">
        <v>1695</v>
      </c>
      <c r="D905" s="18"/>
      <c r="E905" s="18" t="s">
        <v>184</v>
      </c>
      <c r="F905" s="18" t="str">
        <f>IFERROR(__xludf.DUMMYFUNCTION("if(REGEXMATCH(C905,""twitter"")=TRUE,""Twitter"",if(REGEXMATCH(C905,""facebook"")=TRUE,""Facebook"",if(REGEXMATCH(C905,""instagram"")=TRUE,""Instagram"",if(REGEXMATCH(C905,""youtube"")=TRUE,""Youtube"",if(REGEXMATCH(C905,""tiktok"")=TRUE,""Tiktok"",if(REG"&amp;"EXMATCH(C905,""threads"")=TRUE,""Threads""))))))"),"Tiktok")</f>
        <v>Tiktok</v>
      </c>
      <c r="G905" s="18" t="s">
        <v>1696</v>
      </c>
      <c r="H905" s="36"/>
      <c r="I905" s="36"/>
      <c r="J905" s="18" t="s">
        <v>188</v>
      </c>
      <c r="K905" s="18" t="s">
        <v>1611</v>
      </c>
      <c r="L905" s="15"/>
    </row>
    <row r="906">
      <c r="A906" s="15">
        <v>905.0</v>
      </c>
      <c r="B906" s="23">
        <v>45927.0</v>
      </c>
      <c r="C906" s="22" t="s">
        <v>1697</v>
      </c>
      <c r="D906" s="18"/>
      <c r="E906" s="18" t="s">
        <v>184</v>
      </c>
      <c r="F906" s="18" t="str">
        <f>IFERROR(__xludf.DUMMYFUNCTION("if(REGEXMATCH(C906,""twitter"")=TRUE,""Twitter"",if(REGEXMATCH(C906,""facebook"")=TRUE,""Facebook"",if(REGEXMATCH(C906,""instagram"")=TRUE,""Instagram"",if(REGEXMATCH(C906,""youtube"")=TRUE,""Youtube"",if(REGEXMATCH(C906,""tiktok"")=TRUE,""Tiktok"",if(REG"&amp;"EXMATCH(C906,""threads"")=TRUE,""Threads""))))))"),"Tiktok")</f>
        <v>Tiktok</v>
      </c>
      <c r="G906" s="18" t="s">
        <v>1698</v>
      </c>
      <c r="H906" s="36"/>
      <c r="I906" s="36"/>
      <c r="J906" s="18" t="s">
        <v>422</v>
      </c>
      <c r="K906" s="18" t="s">
        <v>1694</v>
      </c>
      <c r="L906" s="15"/>
    </row>
    <row r="907">
      <c r="A907" s="15">
        <v>906.0</v>
      </c>
      <c r="B907" s="23">
        <v>45927.0</v>
      </c>
      <c r="C907" s="22" t="s">
        <v>1699</v>
      </c>
      <c r="D907" s="18"/>
      <c r="E907" s="18" t="s">
        <v>184</v>
      </c>
      <c r="F907" s="18" t="str">
        <f>IFERROR(__xludf.DUMMYFUNCTION("if(REGEXMATCH(C907,""twitter"")=TRUE,""Twitter"",if(REGEXMATCH(C907,""facebook"")=TRUE,""Facebook"",if(REGEXMATCH(C907,""instagram"")=TRUE,""Instagram"",if(REGEXMATCH(C907,""youtube"")=TRUE,""Youtube"",if(REGEXMATCH(C907,""tiktok"")=TRUE,""Tiktok"",if(REG"&amp;"EXMATCH(C907,""threads"")=TRUE,""Threads""))))))"),"Tiktok")</f>
        <v>Tiktok</v>
      </c>
      <c r="G907" s="18" t="s">
        <v>1700</v>
      </c>
      <c r="H907" s="36"/>
      <c r="I907" s="36"/>
      <c r="J907" s="18" t="s">
        <v>188</v>
      </c>
      <c r="K907" s="18"/>
      <c r="L907" s="15"/>
    </row>
    <row r="908">
      <c r="A908" s="15">
        <v>907.0</v>
      </c>
      <c r="B908" s="23">
        <v>45927.0</v>
      </c>
      <c r="C908" s="22" t="s">
        <v>1701</v>
      </c>
      <c r="D908" s="18"/>
      <c r="E908" s="18" t="s">
        <v>184</v>
      </c>
      <c r="F908" s="18" t="str">
        <f>IFERROR(__xludf.DUMMYFUNCTION("if(REGEXMATCH(C908,""twitter"")=TRUE,""Twitter"",if(REGEXMATCH(C908,""facebook"")=TRUE,""Facebook"",if(REGEXMATCH(C908,""instagram"")=TRUE,""Instagram"",if(REGEXMATCH(C908,""youtube"")=TRUE,""Youtube"",if(REGEXMATCH(C908,""tiktok"")=TRUE,""Tiktok"",if(REG"&amp;"EXMATCH(C908,""threads"")=TRUE,""Threads""))))))"),"Tiktok")</f>
        <v>Tiktok</v>
      </c>
      <c r="G908" s="18" t="s">
        <v>1698</v>
      </c>
      <c r="H908" s="36"/>
      <c r="I908" s="36"/>
      <c r="J908" s="18" t="s">
        <v>188</v>
      </c>
      <c r="K908" s="18" t="s">
        <v>1611</v>
      </c>
      <c r="L908" s="15"/>
    </row>
    <row r="909">
      <c r="A909" s="15">
        <v>908.0</v>
      </c>
      <c r="B909" s="23">
        <v>45927.0</v>
      </c>
      <c r="C909" s="22" t="s">
        <v>1702</v>
      </c>
      <c r="D909" s="18"/>
      <c r="E909" s="18" t="s">
        <v>184</v>
      </c>
      <c r="F909" s="18" t="str">
        <f>IFERROR(__xludf.DUMMYFUNCTION("if(REGEXMATCH(C909,""twitter"")=TRUE,""Twitter"",if(REGEXMATCH(C909,""facebook"")=TRUE,""Facebook"",if(REGEXMATCH(C909,""instagram"")=TRUE,""Instagram"",if(REGEXMATCH(C909,""youtube"")=TRUE,""Youtube"",if(REGEXMATCH(C909,""tiktok"")=TRUE,""Tiktok"",if(REG"&amp;"EXMATCH(C909,""threads"")=TRUE,""Threads""))))))"),"Tiktok")</f>
        <v>Tiktok</v>
      </c>
      <c r="G909" s="18" t="s">
        <v>1703</v>
      </c>
      <c r="H909" s="36"/>
      <c r="I909" s="36"/>
      <c r="J909" s="18" t="s">
        <v>188</v>
      </c>
      <c r="K909" s="18" t="s">
        <v>1704</v>
      </c>
      <c r="L909" s="15"/>
    </row>
    <row r="910">
      <c r="A910" s="15">
        <v>909.0</v>
      </c>
      <c r="B910" s="23">
        <v>45927.0</v>
      </c>
      <c r="C910" s="22" t="s">
        <v>1705</v>
      </c>
      <c r="D910" s="18"/>
      <c r="E910" s="18" t="s">
        <v>184</v>
      </c>
      <c r="F910" s="18" t="str">
        <f>IFERROR(__xludf.DUMMYFUNCTION("if(REGEXMATCH(C910,""twitter"")=TRUE,""Twitter"",if(REGEXMATCH(C910,""facebook"")=TRUE,""Facebook"",if(REGEXMATCH(C910,""instagram"")=TRUE,""Instagram"",if(REGEXMATCH(C910,""youtube"")=TRUE,""Youtube"",if(REGEXMATCH(C910,""tiktok"")=TRUE,""Tiktok"",if(REG"&amp;"EXMATCH(C910,""threads"")=TRUE,""Threads""))))))"),"Tiktok")</f>
        <v>Tiktok</v>
      </c>
      <c r="G910" s="18" t="s">
        <v>1698</v>
      </c>
      <c r="H910" s="36"/>
      <c r="I910" s="36"/>
      <c r="J910" s="18" t="s">
        <v>188</v>
      </c>
      <c r="K910" s="18" t="s">
        <v>1704</v>
      </c>
      <c r="L910" s="15"/>
    </row>
    <row r="911">
      <c r="A911" s="15">
        <v>910.0</v>
      </c>
      <c r="B911" s="23">
        <v>45927.0</v>
      </c>
      <c r="C911" s="22" t="s">
        <v>1706</v>
      </c>
      <c r="D911" s="18"/>
      <c r="E911" s="18" t="s">
        <v>184</v>
      </c>
      <c r="F911" s="18" t="str">
        <f>IFERROR(__xludf.DUMMYFUNCTION("if(REGEXMATCH(C911,""twitter"")=TRUE,""Twitter"",if(REGEXMATCH(C911,""facebook"")=TRUE,""Facebook"",if(REGEXMATCH(C911,""instagram"")=TRUE,""Instagram"",if(REGEXMATCH(C911,""youtube"")=TRUE,""Youtube"",if(REGEXMATCH(C911,""tiktok"")=TRUE,""Tiktok"",if(REG"&amp;"EXMATCH(C911,""threads"")=TRUE,""Threads""))))))"),"Tiktok")</f>
        <v>Tiktok</v>
      </c>
      <c r="G911" s="18" t="s">
        <v>1707</v>
      </c>
      <c r="H911" s="36"/>
      <c r="I911" s="36"/>
      <c r="J911" s="18" t="s">
        <v>188</v>
      </c>
      <c r="K911" s="18" t="s">
        <v>1704</v>
      </c>
      <c r="L911" s="15"/>
    </row>
    <row r="912">
      <c r="A912" s="15">
        <v>911.0</v>
      </c>
      <c r="B912" s="23">
        <v>45927.0</v>
      </c>
      <c r="C912" s="22" t="s">
        <v>1708</v>
      </c>
      <c r="D912" s="18"/>
      <c r="E912" s="18" t="s">
        <v>184</v>
      </c>
      <c r="F912" s="18" t="str">
        <f>IFERROR(__xludf.DUMMYFUNCTION("if(REGEXMATCH(C912,""twitter"")=TRUE,""Twitter"",if(REGEXMATCH(C912,""facebook"")=TRUE,""Facebook"",if(REGEXMATCH(C912,""instagram"")=TRUE,""Instagram"",if(REGEXMATCH(C912,""youtube"")=TRUE,""Youtube"",if(REGEXMATCH(C912,""tiktok"")=TRUE,""Tiktok"",if(REG"&amp;"EXMATCH(C912,""threads"")=TRUE,""Threads""))))))"),"Tiktok")</f>
        <v>Tiktok</v>
      </c>
      <c r="G912" s="18" t="s">
        <v>1698</v>
      </c>
      <c r="H912" s="36"/>
      <c r="I912" s="36"/>
      <c r="J912" s="18" t="s">
        <v>188</v>
      </c>
      <c r="K912" s="18" t="s">
        <v>1709</v>
      </c>
      <c r="L912" s="15"/>
    </row>
    <row r="913">
      <c r="A913" s="15">
        <v>912.0</v>
      </c>
      <c r="B913" s="23">
        <v>45927.0</v>
      </c>
      <c r="C913" s="22" t="s">
        <v>1710</v>
      </c>
      <c r="D913" s="18"/>
      <c r="E913" s="18" t="s">
        <v>184</v>
      </c>
      <c r="F913" s="18" t="str">
        <f>IFERROR(__xludf.DUMMYFUNCTION("if(REGEXMATCH(C913,""twitter"")=TRUE,""Twitter"",if(REGEXMATCH(C913,""facebook"")=TRUE,""Facebook"",if(REGEXMATCH(C913,""instagram"")=TRUE,""Instagram"",if(REGEXMATCH(C913,""youtube"")=TRUE,""Youtube"",if(REGEXMATCH(C913,""tiktok"")=TRUE,""Tiktok"",if(REG"&amp;"EXMATCH(C913,""threads"")=TRUE,""Threads""))))))"),"Tiktok")</f>
        <v>Tiktok</v>
      </c>
      <c r="G913" s="18" t="s">
        <v>1711</v>
      </c>
      <c r="H913" s="36"/>
      <c r="I913" s="36"/>
      <c r="J913" s="18" t="s">
        <v>188</v>
      </c>
      <c r="K913" s="18" t="s">
        <v>1704</v>
      </c>
      <c r="L913" s="15"/>
    </row>
    <row r="914">
      <c r="A914" s="15">
        <v>913.0</v>
      </c>
      <c r="B914" s="23">
        <v>45927.0</v>
      </c>
      <c r="C914" s="22" t="s">
        <v>1712</v>
      </c>
      <c r="D914" s="18"/>
      <c r="E914" s="18" t="s">
        <v>184</v>
      </c>
      <c r="F914" s="18" t="str">
        <f>IFERROR(__xludf.DUMMYFUNCTION("if(REGEXMATCH(C914,""twitter"")=TRUE,""Twitter"",if(REGEXMATCH(C914,""facebook"")=TRUE,""Facebook"",if(REGEXMATCH(C914,""instagram"")=TRUE,""Instagram"",if(REGEXMATCH(C914,""youtube"")=TRUE,""Youtube"",if(REGEXMATCH(C914,""tiktok"")=TRUE,""Tiktok"",if(REG"&amp;"EXMATCH(C914,""threads"")=TRUE,""Threads""))))))"),"Tiktok")</f>
        <v>Tiktok</v>
      </c>
      <c r="G914" s="18" t="s">
        <v>1713</v>
      </c>
      <c r="H914" s="36"/>
      <c r="I914" s="36"/>
      <c r="J914" s="18" t="s">
        <v>188</v>
      </c>
      <c r="K914" s="18" t="s">
        <v>1704</v>
      </c>
      <c r="L914" s="15"/>
    </row>
    <row r="915">
      <c r="A915" s="15">
        <v>914.0</v>
      </c>
      <c r="B915" s="23">
        <v>45927.0</v>
      </c>
      <c r="C915" s="22" t="s">
        <v>1714</v>
      </c>
      <c r="D915" s="18"/>
      <c r="E915" s="18" t="s">
        <v>184</v>
      </c>
      <c r="F915" s="18" t="str">
        <f>IFERROR(__xludf.DUMMYFUNCTION("if(REGEXMATCH(C915,""twitter"")=TRUE,""Twitter"",if(REGEXMATCH(C915,""facebook"")=TRUE,""Facebook"",if(REGEXMATCH(C915,""instagram"")=TRUE,""Instagram"",if(REGEXMATCH(C915,""youtube"")=TRUE,""Youtube"",if(REGEXMATCH(C915,""tiktok"")=TRUE,""Tiktok"",if(REG"&amp;"EXMATCH(C915,""threads"")=TRUE,""Threads""))))))"),"Tiktok")</f>
        <v>Tiktok</v>
      </c>
      <c r="G915" s="18" t="s">
        <v>1715</v>
      </c>
      <c r="H915" s="35"/>
      <c r="I915" s="35"/>
      <c r="J915" s="18" t="s">
        <v>188</v>
      </c>
      <c r="K915" s="18" t="s">
        <v>1704</v>
      </c>
      <c r="L915" s="15"/>
    </row>
    <row r="916">
      <c r="A916" s="15">
        <v>915.0</v>
      </c>
      <c r="B916" s="23">
        <v>45927.0</v>
      </c>
      <c r="C916" s="22" t="s">
        <v>1716</v>
      </c>
      <c r="D916" s="18"/>
      <c r="E916" s="18" t="s">
        <v>401</v>
      </c>
      <c r="F916" s="18" t="str">
        <f>IFERROR(__xludf.DUMMYFUNCTION("if(REGEXMATCH(C916,""twitter"")=TRUE,""Twitter"",if(REGEXMATCH(C916,""facebook"")=TRUE,""Facebook"",if(REGEXMATCH(C916,""instagram"")=TRUE,""Instagram"",if(REGEXMATCH(C916,""youtube"")=TRUE,""Youtube"",if(REGEXMATCH(C916,""tiktok"")=TRUE,""Tiktok"",if(REG"&amp;"EXMATCH(C916,""threads"")=TRUE,""Threads""))))))"),"Facebook")</f>
        <v>Facebook</v>
      </c>
      <c r="G916" s="18" t="s">
        <v>937</v>
      </c>
      <c r="H916" s="18" t="s">
        <v>1542</v>
      </c>
      <c r="I916" s="18" t="s">
        <v>939</v>
      </c>
      <c r="J916" s="18" t="s">
        <v>188</v>
      </c>
      <c r="K916" s="18" t="s">
        <v>1611</v>
      </c>
      <c r="L916" s="15"/>
    </row>
    <row r="917">
      <c r="A917" s="15">
        <v>916.0</v>
      </c>
      <c r="B917" s="23">
        <v>45927.0</v>
      </c>
      <c r="C917" s="27" t="s">
        <v>1717</v>
      </c>
      <c r="D917" s="18"/>
      <c r="E917" s="18" t="s">
        <v>401</v>
      </c>
      <c r="F917" s="18" t="str">
        <f>IFERROR(__xludf.DUMMYFUNCTION("if(REGEXMATCH(C917,""twitter"")=TRUE,""Twitter"",if(REGEXMATCH(C917,""facebook"")=TRUE,""Facebook"",if(REGEXMATCH(C917,""instagram"")=TRUE,""Instagram"",if(REGEXMATCH(C917,""youtube"")=TRUE,""Youtube"",if(REGEXMATCH(C917,""tiktok"")=TRUE,""Tiktok"",if(REG"&amp;"EXMATCH(C917,""threads"")=TRUE,""Threads""))))))"),"Facebook")</f>
        <v>Facebook</v>
      </c>
      <c r="G917" s="18" t="s">
        <v>937</v>
      </c>
      <c r="H917" s="18" t="s">
        <v>1542</v>
      </c>
      <c r="I917" s="18" t="s">
        <v>939</v>
      </c>
      <c r="J917" s="18" t="s">
        <v>188</v>
      </c>
      <c r="K917" s="18" t="s">
        <v>1611</v>
      </c>
      <c r="L917" s="15"/>
    </row>
    <row r="918">
      <c r="A918" s="15">
        <v>917.0</v>
      </c>
      <c r="B918" s="23">
        <v>45927.0</v>
      </c>
      <c r="C918" s="22" t="s">
        <v>1718</v>
      </c>
      <c r="D918" s="18"/>
      <c r="E918" s="18" t="s">
        <v>401</v>
      </c>
      <c r="F918" s="18" t="str">
        <f>IFERROR(__xludf.DUMMYFUNCTION("if(REGEXMATCH(C918,""twitter"")=TRUE,""Twitter"",if(REGEXMATCH(C918,""facebook"")=TRUE,""Facebook"",if(REGEXMATCH(C918,""instagram"")=TRUE,""Instagram"",if(REGEXMATCH(C918,""youtube"")=TRUE,""Youtube"",if(REGEXMATCH(C918,""tiktok"")=TRUE,""Tiktok"",if(REG"&amp;"EXMATCH(C918,""threads"")=TRUE,""Threads""))))))"),"Facebook")</f>
        <v>Facebook</v>
      </c>
      <c r="G918" s="18" t="s">
        <v>937</v>
      </c>
      <c r="H918" s="18" t="s">
        <v>1542</v>
      </c>
      <c r="I918" s="18" t="s">
        <v>939</v>
      </c>
      <c r="J918" s="18" t="s">
        <v>188</v>
      </c>
      <c r="K918" s="18" t="s">
        <v>1611</v>
      </c>
      <c r="L918" s="15"/>
    </row>
    <row r="919">
      <c r="A919" s="15">
        <v>918.0</v>
      </c>
      <c r="B919" s="23">
        <v>45927.0</v>
      </c>
      <c r="C919" s="22" t="s">
        <v>1719</v>
      </c>
      <c r="D919" s="18"/>
      <c r="E919" s="18" t="s">
        <v>401</v>
      </c>
      <c r="F919" s="18" t="str">
        <f>IFERROR(__xludf.DUMMYFUNCTION("if(REGEXMATCH(C919,""twitter"")=TRUE,""Twitter"",if(REGEXMATCH(C919,""facebook"")=TRUE,""Facebook"",if(REGEXMATCH(C919,""instagram"")=TRUE,""Instagram"",if(REGEXMATCH(C919,""youtube"")=TRUE,""Youtube"",if(REGEXMATCH(C919,""tiktok"")=TRUE,""Tiktok"",if(REG"&amp;"EXMATCH(C919,""threads"")=TRUE,""Threads""))))))"),"Facebook")</f>
        <v>Facebook</v>
      </c>
      <c r="G919" s="18" t="s">
        <v>937</v>
      </c>
      <c r="H919" s="18" t="s">
        <v>1542</v>
      </c>
      <c r="I919" s="18" t="s">
        <v>939</v>
      </c>
      <c r="J919" s="18" t="s">
        <v>188</v>
      </c>
      <c r="K919" s="18" t="s">
        <v>1611</v>
      </c>
      <c r="L919" s="15"/>
    </row>
    <row r="920">
      <c r="A920" s="15">
        <v>919.0</v>
      </c>
      <c r="B920" s="23">
        <v>45927.0</v>
      </c>
      <c r="C920" s="27" t="s">
        <v>1720</v>
      </c>
      <c r="D920" s="18"/>
      <c r="E920" s="18" t="s">
        <v>401</v>
      </c>
      <c r="F920" s="18" t="str">
        <f>IFERROR(__xludf.DUMMYFUNCTION("if(REGEXMATCH(C920,""twitter"")=TRUE,""Twitter"",if(REGEXMATCH(C920,""facebook"")=TRUE,""Facebook"",if(REGEXMATCH(C920,""instagram"")=TRUE,""Instagram"",if(REGEXMATCH(C920,""youtube"")=TRUE,""Youtube"",if(REGEXMATCH(C920,""tiktok"")=TRUE,""Tiktok"",if(REG"&amp;"EXMATCH(C920,""threads"")=TRUE,""Threads""))))))"),"Facebook")</f>
        <v>Facebook</v>
      </c>
      <c r="G920" s="18" t="s">
        <v>937</v>
      </c>
      <c r="H920" s="18" t="s">
        <v>1542</v>
      </c>
      <c r="I920" s="18" t="s">
        <v>939</v>
      </c>
      <c r="J920" s="18" t="s">
        <v>188</v>
      </c>
      <c r="K920" s="18" t="s">
        <v>1611</v>
      </c>
      <c r="L920" s="15"/>
    </row>
    <row r="921">
      <c r="A921" s="15">
        <v>920.0</v>
      </c>
      <c r="B921" s="23">
        <v>45927.0</v>
      </c>
      <c r="C921" s="28" t="s">
        <v>1721</v>
      </c>
      <c r="D921" s="18"/>
      <c r="E921" s="18" t="s">
        <v>401</v>
      </c>
      <c r="F921" s="18" t="str">
        <f>IFERROR(__xludf.DUMMYFUNCTION("if(REGEXMATCH(C921,""twitter"")=TRUE,""Twitter"",if(REGEXMATCH(C921,""facebook"")=TRUE,""Facebook"",if(REGEXMATCH(C921,""instagram"")=TRUE,""Instagram"",if(REGEXMATCH(C921,""youtube"")=TRUE,""Youtube"",if(REGEXMATCH(C921,""tiktok"")=TRUE,""Tiktok"",if(REG"&amp;"EXMATCH(C921,""threads"")=TRUE,""Threads""))))))"),"Facebook")</f>
        <v>Facebook</v>
      </c>
      <c r="G921" s="18" t="s">
        <v>937</v>
      </c>
      <c r="H921" s="18" t="s">
        <v>1542</v>
      </c>
      <c r="I921" s="18" t="s">
        <v>939</v>
      </c>
      <c r="J921" s="18" t="s">
        <v>188</v>
      </c>
      <c r="K921" s="18" t="s">
        <v>1611</v>
      </c>
      <c r="L921" s="15"/>
    </row>
    <row r="922">
      <c r="A922" s="15">
        <v>921.0</v>
      </c>
      <c r="B922" s="23">
        <v>45927.0</v>
      </c>
      <c r="C922" s="22" t="s">
        <v>1722</v>
      </c>
      <c r="D922" s="18"/>
      <c r="E922" s="18" t="s">
        <v>401</v>
      </c>
      <c r="F922" s="18" t="str">
        <f>IFERROR(__xludf.DUMMYFUNCTION("if(REGEXMATCH(C922,""twitter"")=TRUE,""Twitter"",if(REGEXMATCH(C922,""facebook"")=TRUE,""Facebook"",if(REGEXMATCH(C922,""instagram"")=TRUE,""Instagram"",if(REGEXMATCH(C922,""youtube"")=TRUE,""Youtube"",if(REGEXMATCH(C922,""tiktok"")=TRUE,""Tiktok"",if(REG"&amp;"EXMATCH(C922,""threads"")=TRUE,""Threads""))))))"),"Facebook")</f>
        <v>Facebook</v>
      </c>
      <c r="G922" s="18" t="s">
        <v>937</v>
      </c>
      <c r="H922" s="18" t="s">
        <v>1542</v>
      </c>
      <c r="I922" s="18" t="s">
        <v>939</v>
      </c>
      <c r="J922" s="18" t="s">
        <v>188</v>
      </c>
      <c r="K922" s="18" t="s">
        <v>1611</v>
      </c>
      <c r="L922" s="15"/>
    </row>
    <row r="923">
      <c r="A923" s="15">
        <v>922.0</v>
      </c>
      <c r="B923" s="23">
        <v>45927.0</v>
      </c>
      <c r="C923" s="22" t="s">
        <v>1723</v>
      </c>
      <c r="D923" s="18"/>
      <c r="E923" s="18" t="s">
        <v>401</v>
      </c>
      <c r="F923" s="18" t="str">
        <f>IFERROR(__xludf.DUMMYFUNCTION("if(REGEXMATCH(C923,""twitter"")=TRUE,""Twitter"",if(REGEXMATCH(C923,""facebook"")=TRUE,""Facebook"",if(REGEXMATCH(C923,""instagram"")=TRUE,""Instagram"",if(REGEXMATCH(C923,""youtube"")=TRUE,""Youtube"",if(REGEXMATCH(C923,""tiktok"")=TRUE,""Tiktok"",if(REG"&amp;"EXMATCH(C923,""threads"")=TRUE,""Threads""))))))"),"Facebook")</f>
        <v>Facebook</v>
      </c>
      <c r="G923" s="18" t="s">
        <v>937</v>
      </c>
      <c r="H923" s="18" t="s">
        <v>1542</v>
      </c>
      <c r="I923" s="18" t="s">
        <v>939</v>
      </c>
      <c r="J923" s="18" t="s">
        <v>188</v>
      </c>
      <c r="K923" s="18" t="s">
        <v>1611</v>
      </c>
      <c r="L923" s="15"/>
    </row>
    <row r="924">
      <c r="A924" s="15">
        <v>923.0</v>
      </c>
      <c r="B924" s="23">
        <v>45927.0</v>
      </c>
      <c r="C924" s="22" t="s">
        <v>1724</v>
      </c>
      <c r="D924" s="18"/>
      <c r="E924" s="18" t="s">
        <v>401</v>
      </c>
      <c r="F924" s="18" t="str">
        <f>IFERROR(__xludf.DUMMYFUNCTION("if(REGEXMATCH(C924,""twitter"")=TRUE,""Twitter"",if(REGEXMATCH(C924,""facebook"")=TRUE,""Facebook"",if(REGEXMATCH(C924,""instagram"")=TRUE,""Instagram"",if(REGEXMATCH(C924,""youtube"")=TRUE,""Youtube"",if(REGEXMATCH(C924,""tiktok"")=TRUE,""Tiktok"",if(REG"&amp;"EXMATCH(C924,""threads"")=TRUE,""Threads""))))))"),"Facebook")</f>
        <v>Facebook</v>
      </c>
      <c r="G924" s="18" t="s">
        <v>937</v>
      </c>
      <c r="H924" s="18" t="s">
        <v>1542</v>
      </c>
      <c r="I924" s="18" t="s">
        <v>939</v>
      </c>
      <c r="J924" s="18" t="s">
        <v>188</v>
      </c>
      <c r="K924" s="18" t="s">
        <v>1611</v>
      </c>
      <c r="L924" s="15"/>
    </row>
    <row r="925">
      <c r="A925" s="15">
        <v>924.0</v>
      </c>
      <c r="B925" s="23">
        <v>45927.0</v>
      </c>
      <c r="C925" s="22" t="s">
        <v>1725</v>
      </c>
      <c r="D925" s="18"/>
      <c r="E925" s="18" t="s">
        <v>401</v>
      </c>
      <c r="F925" s="18" t="str">
        <f>IFERROR(__xludf.DUMMYFUNCTION("if(REGEXMATCH(C925,""twitter"")=TRUE,""Twitter"",if(REGEXMATCH(C925,""facebook"")=TRUE,""Facebook"",if(REGEXMATCH(C925,""instagram"")=TRUE,""Instagram"",if(REGEXMATCH(C925,""youtube"")=TRUE,""Youtube"",if(REGEXMATCH(C925,""tiktok"")=TRUE,""Tiktok"",if(REG"&amp;"EXMATCH(C925,""threads"")=TRUE,""Threads""))))))"),"Facebook")</f>
        <v>Facebook</v>
      </c>
      <c r="G925" s="18" t="s">
        <v>937</v>
      </c>
      <c r="H925" s="18" t="s">
        <v>1542</v>
      </c>
      <c r="I925" s="18" t="s">
        <v>939</v>
      </c>
      <c r="J925" s="18" t="s">
        <v>188</v>
      </c>
      <c r="K925" s="18" t="s">
        <v>1611</v>
      </c>
      <c r="L925" s="15"/>
    </row>
    <row r="926">
      <c r="A926" s="15">
        <v>925.0</v>
      </c>
      <c r="B926" s="23">
        <v>45927.0</v>
      </c>
      <c r="C926" s="22" t="s">
        <v>1726</v>
      </c>
      <c r="D926" s="18"/>
      <c r="E926" s="18" t="s">
        <v>184</v>
      </c>
      <c r="F926" s="18" t="str">
        <f>IFERROR(__xludf.DUMMYFUNCTION("if(REGEXMATCH(C926,""twitter"")=TRUE,""Twitter"",if(REGEXMATCH(C926,""facebook"")=TRUE,""Facebook"",if(REGEXMATCH(C926,""instagram"")=TRUE,""Instagram"",if(REGEXMATCH(C926,""youtube"")=TRUE,""Youtube"",if(REGEXMATCH(C926,""tiktok"")=TRUE,""Tiktok"",if(REG"&amp;"EXMATCH(C926,""threads"")=TRUE,""Threads""))))))"),"Facebook")</f>
        <v>Facebook</v>
      </c>
      <c r="G926" s="18" t="s">
        <v>1727</v>
      </c>
      <c r="H926" s="18" t="s">
        <v>410</v>
      </c>
      <c r="I926" s="18"/>
      <c r="J926" s="18" t="s">
        <v>188</v>
      </c>
      <c r="K926" s="18" t="s">
        <v>1611</v>
      </c>
      <c r="L926" s="15"/>
    </row>
    <row r="927">
      <c r="A927" s="15">
        <v>926.0</v>
      </c>
      <c r="B927" s="23">
        <v>45927.0</v>
      </c>
      <c r="C927" s="22" t="s">
        <v>1728</v>
      </c>
      <c r="D927" s="18"/>
      <c r="E927" s="18" t="s">
        <v>184</v>
      </c>
      <c r="F927" s="18" t="str">
        <f>IFERROR(__xludf.DUMMYFUNCTION("if(REGEXMATCH(C927,""twitter"")=TRUE,""Twitter"",if(REGEXMATCH(C927,""facebook"")=TRUE,""Facebook"",if(REGEXMATCH(C927,""instagram"")=TRUE,""Instagram"",if(REGEXMATCH(C927,""youtube"")=TRUE,""Youtube"",if(REGEXMATCH(C927,""tiktok"")=TRUE,""Tiktok"",if(REG"&amp;"EXMATCH(C927,""threads"")=TRUE,""Threads""))))))"),"Facebook")</f>
        <v>Facebook</v>
      </c>
      <c r="G927" s="18" t="s">
        <v>1729</v>
      </c>
      <c r="H927" s="18" t="s">
        <v>410</v>
      </c>
      <c r="I927" s="18"/>
      <c r="J927" s="18" t="s">
        <v>188</v>
      </c>
      <c r="K927" s="18" t="s">
        <v>1611</v>
      </c>
      <c r="L927" s="15"/>
    </row>
    <row r="928">
      <c r="A928" s="15">
        <v>927.0</v>
      </c>
      <c r="B928" s="23">
        <v>45927.0</v>
      </c>
      <c r="C928" s="22" t="s">
        <v>1730</v>
      </c>
      <c r="D928" s="18"/>
      <c r="E928" s="18" t="s">
        <v>184</v>
      </c>
      <c r="F928" s="18" t="str">
        <f>IFERROR(__xludf.DUMMYFUNCTION("if(REGEXMATCH(C928,""twitter"")=TRUE,""Twitter"",if(REGEXMATCH(C928,""facebook"")=TRUE,""Facebook"",if(REGEXMATCH(C928,""instagram"")=TRUE,""Instagram"",if(REGEXMATCH(C928,""youtube"")=TRUE,""Youtube"",if(REGEXMATCH(C928,""tiktok"")=TRUE,""Tiktok"",if(REG"&amp;"EXMATCH(C928,""threads"")=TRUE,""Threads""))))))"),"Facebook")</f>
        <v>Facebook</v>
      </c>
      <c r="G928" s="18" t="s">
        <v>1731</v>
      </c>
      <c r="H928" s="18" t="s">
        <v>410</v>
      </c>
      <c r="I928" s="18"/>
      <c r="J928" s="18" t="s">
        <v>188</v>
      </c>
      <c r="K928" s="18" t="s">
        <v>1611</v>
      </c>
      <c r="L928" s="15"/>
    </row>
    <row r="929">
      <c r="A929" s="15">
        <v>928.0</v>
      </c>
      <c r="B929" s="23">
        <v>45927.0</v>
      </c>
      <c r="C929" s="22" t="s">
        <v>1732</v>
      </c>
      <c r="D929" s="18"/>
      <c r="E929" s="18" t="s">
        <v>184</v>
      </c>
      <c r="F929" s="18" t="str">
        <f>IFERROR(__xludf.DUMMYFUNCTION("if(REGEXMATCH(C929,""twitter"")=TRUE,""Twitter"",if(REGEXMATCH(C929,""facebook"")=TRUE,""Facebook"",if(REGEXMATCH(C929,""instagram"")=TRUE,""Instagram"",if(REGEXMATCH(C929,""youtube"")=TRUE,""Youtube"",if(REGEXMATCH(C929,""tiktok"")=TRUE,""Tiktok"",if(REG"&amp;"EXMATCH(C929,""threads"")=TRUE,""Threads""))))))"),"Instagram")</f>
        <v>Instagram</v>
      </c>
      <c r="G929" s="18" t="s">
        <v>1733</v>
      </c>
      <c r="H929" s="18" t="s">
        <v>410</v>
      </c>
      <c r="I929" s="18"/>
      <c r="J929" s="18" t="s">
        <v>188</v>
      </c>
      <c r="K929" s="18" t="s">
        <v>1611</v>
      </c>
      <c r="L929" s="15"/>
    </row>
    <row r="930">
      <c r="A930" s="15">
        <v>929.0</v>
      </c>
      <c r="B930" s="23">
        <v>45928.0</v>
      </c>
      <c r="C930" s="25" t="s">
        <v>1734</v>
      </c>
      <c r="D930" s="18"/>
      <c r="E930" s="31" t="s">
        <v>184</v>
      </c>
      <c r="F930" s="31" t="str">
        <f>IFERROR(__xludf.DUMMYFUNCTION("if(REGEXMATCH(C930,""x.com"")=TRUE,""Twitter"",if(REGEXMATCH(C930,""facebook"")=TRUE,""Facebook"",if(REGEXMATCH(C930,""instagram"")=TRUE,""Instagram"",if(REGEXMATCH(C930,""youtube"")=TRUE,""Youtube"",if(REGEXMATCH(C930,""tiktok"")=TRUE,""Tiktok"",if(REGEX"&amp;"MATCH(C930,""threads"")=TRUE,""Threads""))))))"),"Tiktok")</f>
        <v>Tiktok</v>
      </c>
      <c r="G930" s="31" t="s">
        <v>1735</v>
      </c>
      <c r="H930" s="31" t="s">
        <v>1736</v>
      </c>
      <c r="I930" s="31" t="s">
        <v>535</v>
      </c>
      <c r="J930" s="31" t="s">
        <v>188</v>
      </c>
      <c r="K930" s="31" t="s">
        <v>1611</v>
      </c>
      <c r="L930" s="15"/>
    </row>
    <row r="931">
      <c r="A931" s="15">
        <v>930.0</v>
      </c>
      <c r="B931" s="23">
        <v>45928.0</v>
      </c>
      <c r="C931" s="30" t="s">
        <v>1737</v>
      </c>
      <c r="D931" s="18"/>
      <c r="E931" s="31" t="s">
        <v>184</v>
      </c>
      <c r="F931" s="31" t="str">
        <f>IFERROR(__xludf.DUMMYFUNCTION("if(REGEXMATCH(C931,""x.com"")=TRUE,""Twitter"",if(REGEXMATCH(C931,""facebook"")=TRUE,""Facebook"",if(REGEXMATCH(C931,""instagram"")=TRUE,""Instagram"",if(REGEXMATCH(C931,""youtube"")=TRUE,""Youtube"",if(REGEXMATCH(C931,""tiktok"")=TRUE,""Tiktok"",if(REGEX"&amp;"MATCH(C931,""threads"")=TRUE,""Threads""))))))"),"Tiktok")</f>
        <v>Tiktok</v>
      </c>
      <c r="G931" s="31" t="s">
        <v>1738</v>
      </c>
      <c r="H931" s="31" t="s">
        <v>1736</v>
      </c>
      <c r="I931" s="31" t="s">
        <v>535</v>
      </c>
      <c r="J931" s="31" t="s">
        <v>188</v>
      </c>
      <c r="K931" s="31" t="s">
        <v>1611</v>
      </c>
      <c r="L931" s="15"/>
    </row>
    <row r="932">
      <c r="A932" s="15">
        <v>931.0</v>
      </c>
      <c r="B932" s="23">
        <v>45928.0</v>
      </c>
      <c r="C932" s="30" t="s">
        <v>1739</v>
      </c>
      <c r="D932" s="18"/>
      <c r="E932" s="31" t="s">
        <v>184</v>
      </c>
      <c r="F932" s="31" t="b">
        <f>IFERROR(__xludf.DUMMYFUNCTION("if(REGEXMATCH(C932,""x.com"")=TRUE,""Twitter"",if(REGEXMATCH(C932,""facebook"")=TRUE,""Facebook"",if(REGEXMATCH(C932,""instagram"")=TRUE,""Instagram"",if(REGEXMATCH(C932,""youtube"")=TRUE,""Youtube"",if(REGEXMATCH(C932,""tiktok"")=TRUE,""Tiktok"",if(REGEX"&amp;"MATCH(C932,""threads"")=TRUE,""Threads""))))))"),FALSE)</f>
        <v>0</v>
      </c>
      <c r="G932" s="31" t="s">
        <v>1740</v>
      </c>
      <c r="H932" s="31" t="s">
        <v>1736</v>
      </c>
      <c r="I932" s="31" t="s">
        <v>535</v>
      </c>
      <c r="J932" s="31" t="s">
        <v>422</v>
      </c>
      <c r="K932" s="31" t="s">
        <v>1741</v>
      </c>
      <c r="L932" s="15"/>
    </row>
    <row r="933">
      <c r="A933" s="15">
        <v>932.0</v>
      </c>
      <c r="B933" s="23">
        <v>45928.0</v>
      </c>
      <c r="C933" s="30" t="s">
        <v>1742</v>
      </c>
      <c r="D933" s="18"/>
      <c r="E933" s="31" t="s">
        <v>184</v>
      </c>
      <c r="F933" s="31" t="str">
        <f>IFERROR(__xludf.DUMMYFUNCTION("if(REGEXMATCH(C933,""x.com"")=TRUE,""Twitter"",if(REGEXMATCH(C933,""facebook"")=TRUE,""Facebook"",if(REGEXMATCH(C933,""instagram"")=TRUE,""Instagram"",if(REGEXMATCH(C933,""youtube"")=TRUE,""Youtube"",if(REGEXMATCH(C933,""tiktok"")=TRUE,""Tiktok"",if(REGEX"&amp;"MATCH(C933,""threads"")=TRUE,""Threads""))))))"),"Tiktok")</f>
        <v>Tiktok</v>
      </c>
      <c r="G933" s="31" t="s">
        <v>1743</v>
      </c>
      <c r="H933" s="31" t="s">
        <v>1736</v>
      </c>
      <c r="I933" s="31" t="s">
        <v>535</v>
      </c>
      <c r="J933" s="31" t="s">
        <v>188</v>
      </c>
      <c r="K933" s="31" t="s">
        <v>1611</v>
      </c>
      <c r="L933" s="15"/>
    </row>
    <row r="934">
      <c r="A934" s="15">
        <v>933.0</v>
      </c>
      <c r="B934" s="23">
        <v>45928.0</v>
      </c>
      <c r="C934" s="30" t="s">
        <v>1744</v>
      </c>
      <c r="D934" s="18"/>
      <c r="E934" s="31" t="s">
        <v>184</v>
      </c>
      <c r="F934" s="31" t="str">
        <f>IFERROR(__xludf.DUMMYFUNCTION("if(REGEXMATCH(C934,""x.com"")=TRUE,""Twitter"",if(REGEXMATCH(C934,""facebook"")=TRUE,""Facebook"",if(REGEXMATCH(C934,""instagram"")=TRUE,""Instagram"",if(REGEXMATCH(C934,""youtube"")=TRUE,""Youtube"",if(REGEXMATCH(C934,""tiktok"")=TRUE,""Tiktok"",if(REGEX"&amp;"MATCH(C934,""threads"")=TRUE,""Threads""))))))"),"Tiktok")</f>
        <v>Tiktok</v>
      </c>
      <c r="G934" s="31" t="s">
        <v>1745</v>
      </c>
      <c r="H934" s="31" t="s">
        <v>1736</v>
      </c>
      <c r="I934" s="31" t="s">
        <v>535</v>
      </c>
      <c r="J934" s="31" t="s">
        <v>188</v>
      </c>
      <c r="K934" s="31" t="s">
        <v>1611</v>
      </c>
      <c r="L934" s="15"/>
    </row>
    <row r="935">
      <c r="A935" s="15">
        <v>934.0</v>
      </c>
      <c r="B935" s="23">
        <v>45928.0</v>
      </c>
      <c r="C935" s="30" t="s">
        <v>1746</v>
      </c>
      <c r="D935" s="18"/>
      <c r="E935" s="31" t="s">
        <v>1450</v>
      </c>
      <c r="F935" s="31" t="b">
        <f>IFERROR(__xludf.DUMMYFUNCTION("if(REGEXMATCH(C935,""x.com"")=TRUE,""Twitter"",if(REGEXMATCH(C935,""facebook"")=TRUE,""Facebook"",if(REGEXMATCH(C935,""instagram"")=TRUE,""Instagram"",if(REGEXMATCH(C935,""youtube"")=TRUE,""Youtube"",if(REGEXMATCH(C935,""tiktok"")=TRUE,""Tiktok"",if(REGEX"&amp;"MATCH(C935,""threads"")=TRUE,""Threads""))))))"),FALSE)</f>
        <v>0</v>
      </c>
      <c r="G935" s="31" t="s">
        <v>1747</v>
      </c>
      <c r="H935" s="31" t="s">
        <v>1736</v>
      </c>
      <c r="I935" s="31" t="s">
        <v>535</v>
      </c>
      <c r="J935" s="31" t="s">
        <v>188</v>
      </c>
      <c r="K935" s="31" t="s">
        <v>1611</v>
      </c>
      <c r="L935" s="15"/>
    </row>
    <row r="936">
      <c r="A936" s="15">
        <v>935.0</v>
      </c>
      <c r="B936" s="23">
        <v>45928.0</v>
      </c>
      <c r="C936" s="25" t="s">
        <v>1748</v>
      </c>
      <c r="D936" s="18"/>
      <c r="E936" s="31" t="s">
        <v>184</v>
      </c>
      <c r="F936" s="31" t="str">
        <f>IFERROR(__xludf.DUMMYFUNCTION("if(REGEXMATCH(C936,""x.com"")=TRUE,""Twitter"",if(REGEXMATCH(C936,""facebook"")=TRUE,""Facebook"",if(REGEXMATCH(C936,""instagram"")=TRUE,""Instagram"",if(REGEXMATCH(C936,""youtube"")=TRUE,""Youtube"",if(REGEXMATCH(C936,""tiktok"")=TRUE,""Tiktok"",if(REGEX"&amp;"MATCH(C936,""threads"")=TRUE,""Threads""))))))"),"Tiktok")</f>
        <v>Tiktok</v>
      </c>
      <c r="G936" s="31" t="s">
        <v>1749</v>
      </c>
      <c r="H936" s="31" t="s">
        <v>1736</v>
      </c>
      <c r="I936" s="31" t="s">
        <v>535</v>
      </c>
      <c r="J936" s="31" t="s">
        <v>188</v>
      </c>
      <c r="K936" s="31" t="s">
        <v>1611</v>
      </c>
      <c r="L936" s="15"/>
    </row>
    <row r="937">
      <c r="A937" s="15">
        <v>936.0</v>
      </c>
      <c r="B937" s="23">
        <v>45928.0</v>
      </c>
      <c r="C937" s="30" t="s">
        <v>1750</v>
      </c>
      <c r="D937" s="18"/>
      <c r="E937" s="31" t="s">
        <v>184</v>
      </c>
      <c r="F937" s="31" t="str">
        <f>IFERROR(__xludf.DUMMYFUNCTION("if(REGEXMATCH(C937,""x.com"")=TRUE,""Twitter"",if(REGEXMATCH(C937,""facebook"")=TRUE,""Facebook"",if(REGEXMATCH(C937,""instagram"")=TRUE,""Instagram"",if(REGEXMATCH(C937,""youtube"")=TRUE,""Youtube"",if(REGEXMATCH(C937,""tiktok"")=TRUE,""Tiktok"",if(REGEX"&amp;"MATCH(C937,""threads"")=TRUE,""Threads""))))))"),"Tiktok")</f>
        <v>Tiktok</v>
      </c>
      <c r="G937" s="31" t="s">
        <v>1751</v>
      </c>
      <c r="H937" s="31" t="s">
        <v>1736</v>
      </c>
      <c r="I937" s="31" t="s">
        <v>535</v>
      </c>
      <c r="J937" s="31" t="s">
        <v>188</v>
      </c>
      <c r="K937" s="18"/>
      <c r="L937" s="15"/>
    </row>
    <row r="938">
      <c r="A938" s="15">
        <v>937.0</v>
      </c>
      <c r="B938" s="23">
        <v>45928.0</v>
      </c>
      <c r="C938" s="30" t="s">
        <v>1752</v>
      </c>
      <c r="D938" s="18"/>
      <c r="E938" s="31" t="s">
        <v>184</v>
      </c>
      <c r="F938" s="31" t="str">
        <f>IFERROR(__xludf.DUMMYFUNCTION("if(REGEXMATCH(C938,""x.com"")=TRUE,""Twitter"",if(REGEXMATCH(C938,""facebook"")=TRUE,""Facebook"",if(REGEXMATCH(C938,""instagram"")=TRUE,""Instagram"",if(REGEXMATCH(C938,""youtube"")=TRUE,""Youtube"",if(REGEXMATCH(C938,""tiktok"")=TRUE,""Tiktok"",if(REGEX"&amp;"MATCH(C938,""threads"")=TRUE,""Threads""))))))"),"Tiktok")</f>
        <v>Tiktok</v>
      </c>
      <c r="G938" s="31" t="s">
        <v>1753</v>
      </c>
      <c r="H938" s="31" t="s">
        <v>1736</v>
      </c>
      <c r="I938" s="31" t="s">
        <v>535</v>
      </c>
      <c r="J938" s="31" t="s">
        <v>188</v>
      </c>
      <c r="K938" s="18"/>
      <c r="L938" s="15"/>
    </row>
    <row r="939">
      <c r="A939" s="15">
        <v>938.0</v>
      </c>
      <c r="B939" s="23">
        <v>45928.0</v>
      </c>
      <c r="C939" s="30" t="s">
        <v>1754</v>
      </c>
      <c r="D939" s="18"/>
      <c r="E939" s="31" t="s">
        <v>184</v>
      </c>
      <c r="F939" s="31" t="str">
        <f>IFERROR(__xludf.DUMMYFUNCTION("if(REGEXMATCH(C939,""x.com"")=TRUE,""Twitter"",if(REGEXMATCH(C939,""facebook"")=TRUE,""Facebook"",if(REGEXMATCH(C939,""instagram"")=TRUE,""Instagram"",if(REGEXMATCH(C939,""youtube"")=TRUE,""Youtube"",if(REGEXMATCH(C939,""tiktok"")=TRUE,""Tiktok"",if(REGEX"&amp;"MATCH(C939,""threads"")=TRUE,""Threads""))))))"),"Tiktok")</f>
        <v>Tiktok</v>
      </c>
      <c r="G939" s="31" t="s">
        <v>1755</v>
      </c>
      <c r="H939" s="31" t="s">
        <v>1736</v>
      </c>
      <c r="I939" s="31" t="s">
        <v>535</v>
      </c>
      <c r="J939" s="31" t="s">
        <v>188</v>
      </c>
      <c r="K939" s="18"/>
      <c r="L939" s="15"/>
    </row>
    <row r="940">
      <c r="A940" s="15">
        <v>939.0</v>
      </c>
      <c r="B940" s="23">
        <v>45928.0</v>
      </c>
      <c r="C940" s="30" t="s">
        <v>1756</v>
      </c>
      <c r="D940" s="18"/>
      <c r="E940" s="31" t="s">
        <v>184</v>
      </c>
      <c r="F940" s="31" t="str">
        <f>IFERROR(__xludf.DUMMYFUNCTION("if(REGEXMATCH(C940,""x.com"")=TRUE,""Twitter"",if(REGEXMATCH(C940,""facebook"")=TRUE,""Facebook"",if(REGEXMATCH(C940,""instagram"")=TRUE,""Instagram"",if(REGEXMATCH(C940,""youtube"")=TRUE,""Youtube"",if(REGEXMATCH(C940,""tiktok"")=TRUE,""Tiktok"",if(REGEX"&amp;"MATCH(C940,""threads"")=TRUE,""Threads""))))))"),"Tiktok")</f>
        <v>Tiktok</v>
      </c>
      <c r="G940" s="31" t="s">
        <v>1757</v>
      </c>
      <c r="H940" s="31" t="s">
        <v>1736</v>
      </c>
      <c r="I940" s="31" t="s">
        <v>535</v>
      </c>
      <c r="J940" s="31" t="s">
        <v>188</v>
      </c>
      <c r="K940" s="18"/>
      <c r="L940" s="15"/>
    </row>
    <row r="941">
      <c r="A941" s="15">
        <v>940.0</v>
      </c>
      <c r="B941" s="23">
        <v>45928.0</v>
      </c>
      <c r="C941" s="30" t="s">
        <v>1756</v>
      </c>
      <c r="D941" s="18"/>
      <c r="E941" s="31" t="s">
        <v>184</v>
      </c>
      <c r="F941" s="31" t="str">
        <f>IFERROR(__xludf.DUMMYFUNCTION("if(REGEXMATCH(C941,""x.com"")=TRUE,""Twitter"",if(REGEXMATCH(C941,""facebook"")=TRUE,""Facebook"",if(REGEXMATCH(C941,""instagram"")=TRUE,""Instagram"",if(REGEXMATCH(C941,""youtube"")=TRUE,""Youtube"",if(REGEXMATCH(C941,""tiktok"")=TRUE,""Tiktok"",if(REGEX"&amp;"MATCH(C941,""threads"")=TRUE,""Threads""))))))"),"Tiktok")</f>
        <v>Tiktok</v>
      </c>
      <c r="G941" s="31" t="s">
        <v>1758</v>
      </c>
      <c r="H941" s="31" t="s">
        <v>1736</v>
      </c>
      <c r="I941" s="31" t="s">
        <v>535</v>
      </c>
      <c r="J941" s="31" t="s">
        <v>422</v>
      </c>
      <c r="K941" s="31" t="s">
        <v>1759</v>
      </c>
      <c r="L941" s="15"/>
    </row>
    <row r="942">
      <c r="A942" s="15">
        <v>941.0</v>
      </c>
      <c r="B942" s="23">
        <v>45928.0</v>
      </c>
      <c r="C942" s="30" t="s">
        <v>1760</v>
      </c>
      <c r="D942" s="18"/>
      <c r="E942" s="31" t="s">
        <v>184</v>
      </c>
      <c r="F942" s="31" t="str">
        <f>IFERROR(__xludf.DUMMYFUNCTION("if(REGEXMATCH(C942,""x.com"")=TRUE,""Twitter"",if(REGEXMATCH(C942,""facebook"")=TRUE,""Facebook"",if(REGEXMATCH(C942,""instagram"")=TRUE,""Instagram"",if(REGEXMATCH(C942,""youtube"")=TRUE,""Youtube"",if(REGEXMATCH(C942,""tiktok"")=TRUE,""Tiktok"",if(REGEX"&amp;"MATCH(C942,""threads"")=TRUE,""Threads""))))))"),"Tiktok")</f>
        <v>Tiktok</v>
      </c>
      <c r="G942" s="31" t="s">
        <v>1761</v>
      </c>
      <c r="H942" s="31" t="s">
        <v>1736</v>
      </c>
      <c r="I942" s="31" t="s">
        <v>535</v>
      </c>
      <c r="J942" s="31" t="s">
        <v>188</v>
      </c>
      <c r="K942" s="18"/>
      <c r="L942" s="15"/>
    </row>
    <row r="943">
      <c r="A943" s="15">
        <v>942.0</v>
      </c>
      <c r="B943" s="23">
        <v>45928.0</v>
      </c>
      <c r="C943" s="30" t="s">
        <v>1762</v>
      </c>
      <c r="D943" s="18"/>
      <c r="E943" s="31" t="s">
        <v>184</v>
      </c>
      <c r="F943" s="31" t="str">
        <f>IFERROR(__xludf.DUMMYFUNCTION("if(REGEXMATCH(C943,""x.com"")=TRUE,""Twitter"",if(REGEXMATCH(C943,""facebook"")=TRUE,""Facebook"",if(REGEXMATCH(C943,""instagram"")=TRUE,""Instagram"",if(REGEXMATCH(C943,""youtube"")=TRUE,""Youtube"",if(REGEXMATCH(C943,""tiktok"")=TRUE,""Tiktok"",if(REGEX"&amp;"MATCH(C943,""threads"")=TRUE,""Threads""))))))"),"Tiktok")</f>
        <v>Tiktok</v>
      </c>
      <c r="G943" s="31" t="s">
        <v>1758</v>
      </c>
      <c r="H943" s="31" t="s">
        <v>1736</v>
      </c>
      <c r="I943" s="31" t="s">
        <v>535</v>
      </c>
      <c r="J943" s="31" t="s">
        <v>188</v>
      </c>
      <c r="K943" s="18"/>
      <c r="L943" s="15"/>
    </row>
    <row r="944">
      <c r="A944" s="15">
        <v>943.0</v>
      </c>
      <c r="B944" s="23">
        <v>45928.0</v>
      </c>
      <c r="C944" s="30" t="s">
        <v>1763</v>
      </c>
      <c r="D944" s="18"/>
      <c r="E944" s="31" t="s">
        <v>184</v>
      </c>
      <c r="F944" s="31" t="str">
        <f>IFERROR(__xludf.DUMMYFUNCTION("if(REGEXMATCH(C944,""x.com"")=TRUE,""Twitter"",if(REGEXMATCH(C944,""facebook"")=TRUE,""Facebook"",if(REGEXMATCH(C944,""instagram"")=TRUE,""Instagram"",if(REGEXMATCH(C944,""youtube"")=TRUE,""Youtube"",if(REGEXMATCH(C944,""tiktok"")=TRUE,""Tiktok"",if(REGEX"&amp;"MATCH(C944,""threads"")=TRUE,""Threads""))))))"),"Tiktok")</f>
        <v>Tiktok</v>
      </c>
      <c r="G944" s="31" t="s">
        <v>1764</v>
      </c>
      <c r="H944" s="31" t="s">
        <v>1736</v>
      </c>
      <c r="I944" s="31" t="s">
        <v>535</v>
      </c>
      <c r="J944" s="31" t="s">
        <v>188</v>
      </c>
      <c r="K944" s="18"/>
      <c r="L944" s="15"/>
    </row>
    <row r="945">
      <c r="A945" s="15">
        <v>944.0</v>
      </c>
      <c r="B945" s="23">
        <v>45928.0</v>
      </c>
      <c r="C945" s="37" t="s">
        <v>1765</v>
      </c>
      <c r="D945" s="18"/>
      <c r="E945" s="31" t="s">
        <v>401</v>
      </c>
      <c r="F945" s="31" t="str">
        <f>IFERROR(__xludf.DUMMYFUNCTION("if(REGEXMATCH(C945,""x.com"")=TRUE,""Twitter"",if(REGEXMATCH(C945,""facebook"")=TRUE,""Facebook"",if(REGEXMATCH(C945,""instagram"")=TRUE,""Instagram"",if(REGEXMATCH(C945,""youtube"")=TRUE,""Youtube"",if(REGEXMATCH(C945,""tiktok"")=TRUE,""Tiktok"",if(REGEX"&amp;"MATCH(C945,""threads"")=TRUE,""Threads""))))))"),"Facebook")</f>
        <v>Facebook</v>
      </c>
      <c r="G945" s="31" t="s">
        <v>937</v>
      </c>
      <c r="H945" s="31" t="s">
        <v>1542</v>
      </c>
      <c r="I945" s="31" t="s">
        <v>939</v>
      </c>
      <c r="J945" s="31" t="s">
        <v>188</v>
      </c>
      <c r="K945" s="31" t="s">
        <v>1611</v>
      </c>
      <c r="L945" s="15"/>
    </row>
    <row r="946">
      <c r="A946" s="15">
        <v>945.0</v>
      </c>
      <c r="B946" s="23">
        <v>45928.0</v>
      </c>
      <c r="C946" s="25" t="s">
        <v>1766</v>
      </c>
      <c r="D946" s="18"/>
      <c r="E946" s="31" t="s">
        <v>401</v>
      </c>
      <c r="F946" s="31" t="str">
        <f>IFERROR(__xludf.DUMMYFUNCTION("if(REGEXMATCH(C946,""x.com"")=TRUE,""Twitter"",if(REGEXMATCH(C946,""facebook"")=TRUE,""Facebook"",if(REGEXMATCH(C946,""instagram"")=TRUE,""Instagram"",if(REGEXMATCH(C946,""youtube"")=TRUE,""Youtube"",if(REGEXMATCH(C946,""tiktok"")=TRUE,""Tiktok"",if(REGEX"&amp;"MATCH(C946,""threads"")=TRUE,""Threads""))))))"),"Facebook")</f>
        <v>Facebook</v>
      </c>
      <c r="G946" s="31" t="s">
        <v>937</v>
      </c>
      <c r="H946" s="31" t="s">
        <v>1542</v>
      </c>
      <c r="I946" s="31" t="s">
        <v>939</v>
      </c>
      <c r="J946" s="31" t="s">
        <v>188</v>
      </c>
      <c r="K946" s="31" t="s">
        <v>1611</v>
      </c>
      <c r="L946" s="15"/>
    </row>
    <row r="947">
      <c r="A947" s="15">
        <v>946.0</v>
      </c>
      <c r="B947" s="23">
        <v>45928.0</v>
      </c>
      <c r="C947" s="30" t="s">
        <v>1767</v>
      </c>
      <c r="D947" s="18"/>
      <c r="E947" s="31" t="s">
        <v>401</v>
      </c>
      <c r="F947" s="31" t="str">
        <f>IFERROR(__xludf.DUMMYFUNCTION("if(REGEXMATCH(C947,""x.com"")=TRUE,""Twitter"",if(REGEXMATCH(C947,""facebook"")=TRUE,""Facebook"",if(REGEXMATCH(C947,""instagram"")=TRUE,""Instagram"",if(REGEXMATCH(C947,""youtube"")=TRUE,""Youtube"",if(REGEXMATCH(C947,""tiktok"")=TRUE,""Tiktok"",if(REGEX"&amp;"MATCH(C947,""threads"")=TRUE,""Threads""))))))"),"Facebook")</f>
        <v>Facebook</v>
      </c>
      <c r="G947" s="31" t="s">
        <v>937</v>
      </c>
      <c r="H947" s="31" t="s">
        <v>1542</v>
      </c>
      <c r="I947" s="31" t="s">
        <v>939</v>
      </c>
      <c r="J947" s="31" t="s">
        <v>188</v>
      </c>
      <c r="K947" s="31" t="s">
        <v>1611</v>
      </c>
      <c r="L947" s="15"/>
    </row>
    <row r="948">
      <c r="A948" s="15">
        <v>947.0</v>
      </c>
      <c r="B948" s="23">
        <v>45928.0</v>
      </c>
      <c r="C948" s="30" t="s">
        <v>1768</v>
      </c>
      <c r="D948" s="18"/>
      <c r="E948" s="31" t="s">
        <v>401</v>
      </c>
      <c r="F948" s="31" t="str">
        <f>IFERROR(__xludf.DUMMYFUNCTION("if(REGEXMATCH(C948,""x.com"")=TRUE,""Twitter"",if(REGEXMATCH(C948,""facebook"")=TRUE,""Facebook"",if(REGEXMATCH(C948,""instagram"")=TRUE,""Instagram"",if(REGEXMATCH(C948,""youtube"")=TRUE,""Youtube"",if(REGEXMATCH(C948,""tiktok"")=TRUE,""Tiktok"",if(REGEX"&amp;"MATCH(C948,""threads"")=TRUE,""Threads""))))))"),"Facebook")</f>
        <v>Facebook</v>
      </c>
      <c r="G948" s="31" t="s">
        <v>937</v>
      </c>
      <c r="H948" s="31" t="s">
        <v>1542</v>
      </c>
      <c r="I948" s="31" t="s">
        <v>939</v>
      </c>
      <c r="J948" s="31" t="s">
        <v>188</v>
      </c>
      <c r="K948" s="31" t="s">
        <v>1611</v>
      </c>
      <c r="L948" s="15"/>
    </row>
    <row r="949">
      <c r="A949" s="15">
        <v>948.0</v>
      </c>
      <c r="B949" s="23">
        <v>45928.0</v>
      </c>
      <c r="C949" s="25" t="s">
        <v>1769</v>
      </c>
      <c r="D949" s="18"/>
      <c r="E949" s="31" t="s">
        <v>401</v>
      </c>
      <c r="F949" s="31" t="str">
        <f>IFERROR(__xludf.DUMMYFUNCTION("if(REGEXMATCH(C949,""x.com"")=TRUE,""Twitter"",if(REGEXMATCH(C949,""facebook"")=TRUE,""Facebook"",if(REGEXMATCH(C949,""instagram"")=TRUE,""Instagram"",if(REGEXMATCH(C949,""youtube"")=TRUE,""Youtube"",if(REGEXMATCH(C949,""tiktok"")=TRUE,""Tiktok"",if(REGEX"&amp;"MATCH(C949,""threads"")=TRUE,""Threads""))))))"),"Facebook")</f>
        <v>Facebook</v>
      </c>
      <c r="G949" s="31" t="s">
        <v>937</v>
      </c>
      <c r="H949" s="31" t="s">
        <v>1542</v>
      </c>
      <c r="I949" s="31" t="s">
        <v>939</v>
      </c>
      <c r="J949" s="31" t="s">
        <v>188</v>
      </c>
      <c r="K949" s="31" t="s">
        <v>1611</v>
      </c>
      <c r="L949" s="15"/>
    </row>
    <row r="950">
      <c r="A950" s="15">
        <v>949.0</v>
      </c>
      <c r="B950" s="23">
        <v>45928.0</v>
      </c>
      <c r="C950" s="25" t="s">
        <v>1770</v>
      </c>
      <c r="D950" s="18"/>
      <c r="E950" s="31" t="s">
        <v>401</v>
      </c>
      <c r="F950" s="31" t="str">
        <f>IFERROR(__xludf.DUMMYFUNCTION("if(REGEXMATCH(C950,""x.com"")=TRUE,""Twitter"",if(REGEXMATCH(C950,""facebook"")=TRUE,""Facebook"",if(REGEXMATCH(C950,""instagram"")=TRUE,""Instagram"",if(REGEXMATCH(C950,""youtube"")=TRUE,""Youtube"",if(REGEXMATCH(C950,""tiktok"")=TRUE,""Tiktok"",if(REGEX"&amp;"MATCH(C950,""threads"")=TRUE,""Threads""))))))"),"Facebook")</f>
        <v>Facebook</v>
      </c>
      <c r="G950" s="31" t="s">
        <v>937</v>
      </c>
      <c r="H950" s="31" t="s">
        <v>1542</v>
      </c>
      <c r="I950" s="31" t="s">
        <v>939</v>
      </c>
      <c r="J950" s="31" t="s">
        <v>188</v>
      </c>
      <c r="K950" s="31" t="s">
        <v>1611</v>
      </c>
      <c r="L950" s="15"/>
    </row>
    <row r="951">
      <c r="A951" s="15">
        <v>950.0</v>
      </c>
      <c r="B951" s="23">
        <v>45928.0</v>
      </c>
      <c r="C951" s="30" t="s">
        <v>1771</v>
      </c>
      <c r="D951" s="18"/>
      <c r="E951" s="31" t="s">
        <v>401</v>
      </c>
      <c r="F951" s="31" t="str">
        <f>IFERROR(__xludf.DUMMYFUNCTION("if(REGEXMATCH(C951,""x.com"")=TRUE,""Twitter"",if(REGEXMATCH(C951,""facebook"")=TRUE,""Facebook"",if(REGEXMATCH(C951,""instagram"")=TRUE,""Instagram"",if(REGEXMATCH(C951,""youtube"")=TRUE,""Youtube"",if(REGEXMATCH(C951,""tiktok"")=TRUE,""Tiktok"",if(REGEX"&amp;"MATCH(C951,""threads"")=TRUE,""Threads""))))))"),"Facebook")</f>
        <v>Facebook</v>
      </c>
      <c r="G951" s="31" t="s">
        <v>937</v>
      </c>
      <c r="H951" s="31" t="s">
        <v>1542</v>
      </c>
      <c r="I951" s="31" t="s">
        <v>939</v>
      </c>
      <c r="J951" s="31" t="s">
        <v>188</v>
      </c>
      <c r="K951" s="31" t="s">
        <v>1611</v>
      </c>
      <c r="L951" s="15"/>
    </row>
    <row r="952">
      <c r="A952" s="15">
        <v>951.0</v>
      </c>
      <c r="B952" s="23">
        <v>45928.0</v>
      </c>
      <c r="C952" s="30" t="s">
        <v>1772</v>
      </c>
      <c r="D952" s="18"/>
      <c r="E952" s="31" t="s">
        <v>401</v>
      </c>
      <c r="F952" s="31" t="str">
        <f>IFERROR(__xludf.DUMMYFUNCTION("if(REGEXMATCH(C952,""x.com"")=TRUE,""Twitter"",if(REGEXMATCH(C952,""facebook"")=TRUE,""Facebook"",if(REGEXMATCH(C952,""instagram"")=TRUE,""Instagram"",if(REGEXMATCH(C952,""youtube"")=TRUE,""Youtube"",if(REGEXMATCH(C952,""tiktok"")=TRUE,""Tiktok"",if(REGEX"&amp;"MATCH(C952,""threads"")=TRUE,""Threads""))))))"),"Facebook")</f>
        <v>Facebook</v>
      </c>
      <c r="G952" s="31" t="s">
        <v>937</v>
      </c>
      <c r="H952" s="31" t="s">
        <v>1542</v>
      </c>
      <c r="I952" s="31" t="s">
        <v>939</v>
      </c>
      <c r="J952" s="31" t="s">
        <v>188</v>
      </c>
      <c r="K952" s="31" t="s">
        <v>1611</v>
      </c>
      <c r="L952" s="15"/>
    </row>
    <row r="953">
      <c r="A953" s="15">
        <v>952.0</v>
      </c>
      <c r="B953" s="23">
        <v>45928.0</v>
      </c>
      <c r="C953" s="30" t="s">
        <v>1773</v>
      </c>
      <c r="D953" s="18"/>
      <c r="E953" s="31" t="s">
        <v>401</v>
      </c>
      <c r="F953" s="31" t="str">
        <f>IFERROR(__xludf.DUMMYFUNCTION("if(REGEXMATCH(C953,""x.com"")=TRUE,""Twitter"",if(REGEXMATCH(C953,""facebook"")=TRUE,""Facebook"",if(REGEXMATCH(C953,""instagram"")=TRUE,""Instagram"",if(REGEXMATCH(C953,""youtube"")=TRUE,""Youtube"",if(REGEXMATCH(C953,""tiktok"")=TRUE,""Tiktok"",if(REGEX"&amp;"MATCH(C953,""threads"")=TRUE,""Threads""))))))"),"Facebook")</f>
        <v>Facebook</v>
      </c>
      <c r="G953" s="31" t="s">
        <v>937</v>
      </c>
      <c r="H953" s="31" t="s">
        <v>1542</v>
      </c>
      <c r="I953" s="31" t="s">
        <v>939</v>
      </c>
      <c r="J953" s="31" t="s">
        <v>188</v>
      </c>
      <c r="K953" s="31" t="s">
        <v>1611</v>
      </c>
      <c r="L953" s="15"/>
    </row>
    <row r="954">
      <c r="A954" s="15">
        <v>953.0</v>
      </c>
      <c r="B954" s="23">
        <v>45928.0</v>
      </c>
      <c r="C954" s="30" t="s">
        <v>1774</v>
      </c>
      <c r="D954" s="18"/>
      <c r="E954" s="31" t="s">
        <v>401</v>
      </c>
      <c r="F954" s="31" t="str">
        <f>IFERROR(__xludf.DUMMYFUNCTION("if(REGEXMATCH(C954,""x.com"")=TRUE,""Twitter"",if(REGEXMATCH(C954,""facebook"")=TRUE,""Facebook"",if(REGEXMATCH(C954,""instagram"")=TRUE,""Instagram"",if(REGEXMATCH(C954,""youtube"")=TRUE,""Youtube"",if(REGEXMATCH(C954,""tiktok"")=TRUE,""Tiktok"",if(REGEX"&amp;"MATCH(C954,""threads"")=TRUE,""Threads""))))))"),"Facebook")</f>
        <v>Facebook</v>
      </c>
      <c r="G954" s="31" t="s">
        <v>937</v>
      </c>
      <c r="H954" s="31" t="s">
        <v>1542</v>
      </c>
      <c r="I954" s="31" t="s">
        <v>939</v>
      </c>
      <c r="J954" s="31" t="s">
        <v>188</v>
      </c>
      <c r="K954" s="31" t="s">
        <v>1611</v>
      </c>
      <c r="L954" s="15"/>
    </row>
    <row r="955">
      <c r="A955" s="15">
        <v>954.0</v>
      </c>
      <c r="B955" s="23">
        <v>45928.0</v>
      </c>
      <c r="C955" s="30" t="s">
        <v>1775</v>
      </c>
      <c r="D955" s="18"/>
      <c r="E955" s="31" t="s">
        <v>184</v>
      </c>
      <c r="F955" s="31" t="str">
        <f>IFERROR(__xludf.DUMMYFUNCTION("if(REGEXMATCH(C955,""x.com"")=TRUE,""Twitter"",if(REGEXMATCH(C955,""facebook"")=TRUE,""Facebook"",if(REGEXMATCH(C955,""instagram"")=TRUE,""Instagram"",if(REGEXMATCH(C955,""youtube"")=TRUE,""Youtube"",if(REGEXMATCH(C955,""tiktok"")=TRUE,""Tiktok"",if(REGEX"&amp;"MATCH(C955,""threads"")=TRUE,""Threads""))))))"),"Instagram")</f>
        <v>Instagram</v>
      </c>
      <c r="G955" s="31" t="s">
        <v>1776</v>
      </c>
      <c r="H955" s="31" t="s">
        <v>410</v>
      </c>
      <c r="I955" s="18"/>
      <c r="J955" s="31" t="s">
        <v>188</v>
      </c>
      <c r="K955" s="31" t="s">
        <v>1611</v>
      </c>
      <c r="L955" s="15"/>
    </row>
    <row r="956">
      <c r="A956" s="15">
        <v>955.0</v>
      </c>
      <c r="B956" s="23">
        <v>45928.0</v>
      </c>
      <c r="C956" s="30" t="s">
        <v>1777</v>
      </c>
      <c r="D956" s="18"/>
      <c r="E956" s="31" t="s">
        <v>184</v>
      </c>
      <c r="F956" s="31" t="str">
        <f>IFERROR(__xludf.DUMMYFUNCTION("if(REGEXMATCH(C956,""x.com"")=TRUE,""Twitter"",if(REGEXMATCH(C956,""facebook"")=TRUE,""Facebook"",if(REGEXMATCH(C956,""instagram"")=TRUE,""Instagram"",if(REGEXMATCH(C956,""youtube"")=TRUE,""Youtube"",if(REGEXMATCH(C956,""tiktok"")=TRUE,""Tiktok"",if(REGEX"&amp;"MATCH(C956,""threads"")=TRUE,""Threads""))))))"),"Facebook")</f>
        <v>Facebook</v>
      </c>
      <c r="G956" s="31" t="s">
        <v>1778</v>
      </c>
      <c r="H956" s="31" t="s">
        <v>410</v>
      </c>
      <c r="I956" s="18"/>
      <c r="J956" s="31" t="s">
        <v>188</v>
      </c>
      <c r="K956" s="31" t="s">
        <v>1611</v>
      </c>
      <c r="L956" s="15"/>
    </row>
    <row r="957">
      <c r="A957" s="15">
        <v>956.0</v>
      </c>
      <c r="B957" s="23">
        <v>45928.0</v>
      </c>
      <c r="C957" s="30" t="s">
        <v>1779</v>
      </c>
      <c r="D957" s="18"/>
      <c r="E957" s="31" t="s">
        <v>184</v>
      </c>
      <c r="F957" s="31" t="str">
        <f>IFERROR(__xludf.DUMMYFUNCTION("if(REGEXMATCH(C957,""x.com"")=TRUE,""Twitter"",if(REGEXMATCH(C957,""facebook"")=TRUE,""Facebook"",if(REGEXMATCH(C957,""instagram"")=TRUE,""Instagram"",if(REGEXMATCH(C957,""youtube"")=TRUE,""Youtube"",if(REGEXMATCH(C957,""tiktok"")=TRUE,""Tiktok"",if(REGEX"&amp;"MATCH(C957,""threads"")=TRUE,""Threads""))))))"),"Facebook")</f>
        <v>Facebook</v>
      </c>
      <c r="G957" s="31" t="s">
        <v>1778</v>
      </c>
      <c r="H957" s="31" t="s">
        <v>410</v>
      </c>
      <c r="I957" s="18"/>
      <c r="J957" s="31" t="s">
        <v>188</v>
      </c>
      <c r="K957" s="31" t="s">
        <v>1611</v>
      </c>
      <c r="L957" s="15"/>
    </row>
    <row r="958">
      <c r="A958" s="15">
        <v>957.0</v>
      </c>
      <c r="B958" s="23">
        <v>45929.0</v>
      </c>
      <c r="C958" s="22" t="s">
        <v>1780</v>
      </c>
      <c r="D958" s="18"/>
      <c r="E958" s="18" t="s">
        <v>184</v>
      </c>
      <c r="F958" s="18" t="str">
        <f>IFERROR(__xludf.DUMMYFUNCTION("if(REGEXMATCH(C958,""x.com"")=TRUE,""Twitter"",if(REGEXMATCH(C958,""facebook"")=TRUE,""Facebook"",if(REGEXMATCH(C958,""instagram"")=TRUE,""Instagram"",if(REGEXMATCH(C958,""youtube"")=TRUE,""Youtube"",if(REGEXMATCH(C958,""tiktok"")=TRUE,""Tiktok"",if(REGEX"&amp;"MATCH(C958,""threads"")=TRUE,""Threads""))))))"),"Tiktok")</f>
        <v>Tiktok</v>
      </c>
      <c r="G958" s="18" t="s">
        <v>1781</v>
      </c>
      <c r="H958" s="34" t="s">
        <v>1782</v>
      </c>
      <c r="I958" s="18" t="s">
        <v>535</v>
      </c>
      <c r="J958" s="18" t="s">
        <v>188</v>
      </c>
      <c r="K958" s="18"/>
      <c r="L958" s="15"/>
    </row>
    <row r="959">
      <c r="A959" s="15">
        <v>958.0</v>
      </c>
      <c r="B959" s="23">
        <v>45929.0</v>
      </c>
      <c r="C959" s="22" t="s">
        <v>1783</v>
      </c>
      <c r="D959" s="18"/>
      <c r="E959" s="18" t="s">
        <v>184</v>
      </c>
      <c r="F959" s="18" t="str">
        <f>IFERROR(__xludf.DUMMYFUNCTION("if(REGEXMATCH(C959,""x.com"")=TRUE,""Twitter"",if(REGEXMATCH(C959,""facebook"")=TRUE,""Facebook"",if(REGEXMATCH(C959,""instagram"")=TRUE,""Instagram"",if(REGEXMATCH(C959,""youtube"")=TRUE,""Youtube"",if(REGEXMATCH(C959,""tiktok"")=TRUE,""Tiktok"",if(REGEX"&amp;"MATCH(C959,""threads"")=TRUE,""Threads""))))))"),"Tiktok")</f>
        <v>Tiktok</v>
      </c>
      <c r="G959" s="18" t="s">
        <v>1784</v>
      </c>
      <c r="H959" s="36"/>
      <c r="I959" s="18" t="s">
        <v>535</v>
      </c>
      <c r="J959" s="18" t="s">
        <v>422</v>
      </c>
      <c r="K959" s="18" t="s">
        <v>1785</v>
      </c>
      <c r="L959" s="15"/>
    </row>
    <row r="960">
      <c r="A960" s="15">
        <v>959.0</v>
      </c>
      <c r="B960" s="23">
        <v>45929.0</v>
      </c>
      <c r="C960" s="22" t="s">
        <v>1786</v>
      </c>
      <c r="D960" s="18"/>
      <c r="E960" s="18" t="s">
        <v>184</v>
      </c>
      <c r="F960" s="18" t="str">
        <f>IFERROR(__xludf.DUMMYFUNCTION("if(REGEXMATCH(C960,""x.com"")=TRUE,""Twitter"",if(REGEXMATCH(C960,""facebook"")=TRUE,""Facebook"",if(REGEXMATCH(C960,""instagram"")=TRUE,""Instagram"",if(REGEXMATCH(C960,""youtube"")=TRUE,""Youtube"",if(REGEXMATCH(C960,""tiktok"")=TRUE,""Tiktok"",if(REGEX"&amp;"MATCH(C960,""threads"")=TRUE,""Threads""))))))"),"Tiktok")</f>
        <v>Tiktok</v>
      </c>
      <c r="G960" s="18" t="s">
        <v>1787</v>
      </c>
      <c r="H960" s="36"/>
      <c r="I960" s="18" t="s">
        <v>535</v>
      </c>
      <c r="J960" s="18" t="s">
        <v>188</v>
      </c>
      <c r="K960" s="18"/>
      <c r="L960" s="15"/>
    </row>
    <row r="961">
      <c r="A961" s="15">
        <v>960.0</v>
      </c>
      <c r="B961" s="23">
        <v>45929.0</v>
      </c>
      <c r="C961" s="22" t="s">
        <v>1788</v>
      </c>
      <c r="D961" s="18"/>
      <c r="E961" s="18" t="s">
        <v>184</v>
      </c>
      <c r="F961" s="18" t="str">
        <f>IFERROR(__xludf.DUMMYFUNCTION("if(REGEXMATCH(C961,""x.com"")=TRUE,""Twitter"",if(REGEXMATCH(C961,""facebook"")=TRUE,""Facebook"",if(REGEXMATCH(C961,""instagram"")=TRUE,""Instagram"",if(REGEXMATCH(C961,""youtube"")=TRUE,""Youtube"",if(REGEXMATCH(C961,""tiktok"")=TRUE,""Tiktok"",if(REGEX"&amp;"MATCH(C961,""threads"")=TRUE,""Threads""))))))"),"Tiktok")</f>
        <v>Tiktok</v>
      </c>
      <c r="G961" s="18" t="s">
        <v>1789</v>
      </c>
      <c r="H961" s="36"/>
      <c r="I961" s="18" t="s">
        <v>535</v>
      </c>
      <c r="J961" s="18" t="s">
        <v>188</v>
      </c>
      <c r="K961" s="18"/>
      <c r="L961" s="15"/>
    </row>
    <row r="962">
      <c r="A962" s="15">
        <v>961.0</v>
      </c>
      <c r="B962" s="23">
        <v>45929.0</v>
      </c>
      <c r="C962" s="22" t="s">
        <v>1790</v>
      </c>
      <c r="D962" s="18"/>
      <c r="E962" s="18" t="s">
        <v>184</v>
      </c>
      <c r="F962" s="18" t="str">
        <f>IFERROR(__xludf.DUMMYFUNCTION("if(REGEXMATCH(C962,""x.com"")=TRUE,""Twitter"",if(REGEXMATCH(C962,""facebook"")=TRUE,""Facebook"",if(REGEXMATCH(C962,""instagram"")=TRUE,""Instagram"",if(REGEXMATCH(C962,""youtube"")=TRUE,""Youtube"",if(REGEXMATCH(C962,""tiktok"")=TRUE,""Tiktok"",if(REGEX"&amp;"MATCH(C962,""threads"")=TRUE,""Threads""))))))"),"Tiktok")</f>
        <v>Tiktok</v>
      </c>
      <c r="G962" s="18" t="s">
        <v>1791</v>
      </c>
      <c r="H962" s="36"/>
      <c r="I962" s="18" t="s">
        <v>535</v>
      </c>
      <c r="J962" s="18" t="s">
        <v>188</v>
      </c>
      <c r="K962" s="18"/>
      <c r="L962" s="15"/>
    </row>
    <row r="963">
      <c r="A963" s="15">
        <v>962.0</v>
      </c>
      <c r="B963" s="23">
        <v>45929.0</v>
      </c>
      <c r="C963" s="22" t="s">
        <v>1792</v>
      </c>
      <c r="D963" s="18"/>
      <c r="E963" s="18" t="s">
        <v>184</v>
      </c>
      <c r="F963" s="18" t="str">
        <f>IFERROR(__xludf.DUMMYFUNCTION("if(REGEXMATCH(C963,""x.com"")=TRUE,""Twitter"",if(REGEXMATCH(C963,""facebook"")=TRUE,""Facebook"",if(REGEXMATCH(C963,""instagram"")=TRUE,""Instagram"",if(REGEXMATCH(C963,""youtube"")=TRUE,""Youtube"",if(REGEXMATCH(C963,""tiktok"")=TRUE,""Tiktok"",if(REGEX"&amp;"MATCH(C963,""threads"")=TRUE,""Threads""))))))"),"Tiktok")</f>
        <v>Tiktok</v>
      </c>
      <c r="G963" s="18" t="s">
        <v>1793</v>
      </c>
      <c r="H963" s="36"/>
      <c r="I963" s="18" t="s">
        <v>535</v>
      </c>
      <c r="J963" s="18" t="s">
        <v>188</v>
      </c>
      <c r="K963" s="18"/>
      <c r="L963" s="15"/>
    </row>
    <row r="964">
      <c r="A964" s="15">
        <v>963.0</v>
      </c>
      <c r="B964" s="23">
        <v>45929.0</v>
      </c>
      <c r="C964" s="22" t="s">
        <v>1794</v>
      </c>
      <c r="D964" s="18"/>
      <c r="E964" s="18" t="s">
        <v>184</v>
      </c>
      <c r="F964" s="18" t="str">
        <f>IFERROR(__xludf.DUMMYFUNCTION("if(REGEXMATCH(C964,""x.com"")=TRUE,""Twitter"",if(REGEXMATCH(C964,""facebook"")=TRUE,""Facebook"",if(REGEXMATCH(C964,""instagram"")=TRUE,""Instagram"",if(REGEXMATCH(C964,""youtube"")=TRUE,""Youtube"",if(REGEXMATCH(C964,""tiktok"")=TRUE,""Tiktok"",if(REGEX"&amp;"MATCH(C964,""threads"")=TRUE,""Threads""))))))"),"Tiktok")</f>
        <v>Tiktok</v>
      </c>
      <c r="G964" s="18" t="s">
        <v>1795</v>
      </c>
      <c r="H964" s="36"/>
      <c r="I964" s="18" t="s">
        <v>535</v>
      </c>
      <c r="J964" s="18" t="s">
        <v>188</v>
      </c>
      <c r="K964" s="18"/>
      <c r="L964" s="15"/>
    </row>
    <row r="965">
      <c r="A965" s="15">
        <v>964.0</v>
      </c>
      <c r="B965" s="23">
        <v>45929.0</v>
      </c>
      <c r="C965" s="22" t="s">
        <v>1796</v>
      </c>
      <c r="D965" s="18"/>
      <c r="E965" s="18" t="s">
        <v>1797</v>
      </c>
      <c r="F965" s="18" t="str">
        <f>IFERROR(__xludf.DUMMYFUNCTION("if(REGEXMATCH(C965,""x.com"")=TRUE,""Twitter"",if(REGEXMATCH(C965,""facebook"")=TRUE,""Facebook"",if(REGEXMATCH(C965,""instagram"")=TRUE,""Instagram"",if(REGEXMATCH(C965,""youtube"")=TRUE,""Youtube"",if(REGEXMATCH(C965,""tiktok"")=TRUE,""Tiktok"",if(REGEX"&amp;"MATCH(C965,""threads"")=TRUE,""Threads""))))))"),"Tiktok")</f>
        <v>Tiktok</v>
      </c>
      <c r="G965" s="18" t="s">
        <v>1798</v>
      </c>
      <c r="H965" s="36"/>
      <c r="I965" s="18" t="s">
        <v>535</v>
      </c>
      <c r="J965" s="18" t="s">
        <v>188</v>
      </c>
      <c r="K965" s="18"/>
      <c r="L965" s="15"/>
    </row>
    <row r="966">
      <c r="A966" s="15">
        <v>965.0</v>
      </c>
      <c r="B966" s="23">
        <v>45929.0</v>
      </c>
      <c r="C966" s="22" t="s">
        <v>1799</v>
      </c>
      <c r="D966" s="18"/>
      <c r="E966" s="18" t="s">
        <v>184</v>
      </c>
      <c r="F966" s="18" t="str">
        <f>IFERROR(__xludf.DUMMYFUNCTION("if(REGEXMATCH(C966,""x.com"")=TRUE,""Twitter"",if(REGEXMATCH(C966,""facebook"")=TRUE,""Facebook"",if(REGEXMATCH(C966,""instagram"")=TRUE,""Instagram"",if(REGEXMATCH(C966,""youtube"")=TRUE,""Youtube"",if(REGEXMATCH(C966,""tiktok"")=TRUE,""Tiktok"",if(REGEX"&amp;"MATCH(C966,""threads"")=TRUE,""Threads""))))))"),"Tiktok")</f>
        <v>Tiktok</v>
      </c>
      <c r="G966" s="18" t="s">
        <v>1800</v>
      </c>
      <c r="H966" s="36"/>
      <c r="I966" s="18" t="s">
        <v>535</v>
      </c>
      <c r="J966" s="18" t="s">
        <v>188</v>
      </c>
      <c r="K966" s="18"/>
      <c r="L966" s="15"/>
    </row>
    <row r="967">
      <c r="A967" s="15">
        <v>966.0</v>
      </c>
      <c r="B967" s="23">
        <v>45929.0</v>
      </c>
      <c r="C967" s="22" t="s">
        <v>1801</v>
      </c>
      <c r="D967" s="18"/>
      <c r="E967" s="18" t="s">
        <v>184</v>
      </c>
      <c r="F967" s="18" t="str">
        <f>IFERROR(__xludf.DUMMYFUNCTION("if(REGEXMATCH(C967,""x.com"")=TRUE,""Twitter"",if(REGEXMATCH(C967,""facebook"")=TRUE,""Facebook"",if(REGEXMATCH(C967,""instagram"")=TRUE,""Instagram"",if(REGEXMATCH(C967,""youtube"")=TRUE,""Youtube"",if(REGEXMATCH(C967,""tiktok"")=TRUE,""Tiktok"",if(REGEX"&amp;"MATCH(C967,""threads"")=TRUE,""Threads""))))))"),"Twitter")</f>
        <v>Twitter</v>
      </c>
      <c r="G967" s="18" t="s">
        <v>1802</v>
      </c>
      <c r="H967" s="36"/>
      <c r="I967" s="18" t="s">
        <v>535</v>
      </c>
      <c r="J967" s="18" t="s">
        <v>188</v>
      </c>
      <c r="K967" s="18"/>
      <c r="L967" s="15"/>
    </row>
    <row r="968">
      <c r="A968" s="15">
        <v>967.0</v>
      </c>
      <c r="B968" s="23">
        <v>45929.0</v>
      </c>
      <c r="C968" s="22" t="s">
        <v>1803</v>
      </c>
      <c r="D968" s="18"/>
      <c r="E968" s="18" t="s">
        <v>184</v>
      </c>
      <c r="F968" s="18" t="str">
        <f>IFERROR(__xludf.DUMMYFUNCTION("if(REGEXMATCH(C968,""x.com"")=TRUE,""Twitter"",if(REGEXMATCH(C968,""facebook"")=TRUE,""Facebook"",if(REGEXMATCH(C968,""instagram"")=TRUE,""Instagram"",if(REGEXMATCH(C968,""youtube"")=TRUE,""Youtube"",if(REGEXMATCH(C968,""tiktok"")=TRUE,""Tiktok"",if(REGEX"&amp;"MATCH(C968,""threads"")=TRUE,""Threads""))))))"),"Twitter")</f>
        <v>Twitter</v>
      </c>
      <c r="G968" s="18" t="s">
        <v>1804</v>
      </c>
      <c r="H968" s="36"/>
      <c r="I968" s="18" t="s">
        <v>535</v>
      </c>
      <c r="J968" s="18" t="s">
        <v>188</v>
      </c>
      <c r="K968" s="18"/>
      <c r="L968" s="15"/>
    </row>
    <row r="969">
      <c r="A969" s="15">
        <v>968.0</v>
      </c>
      <c r="B969" s="23">
        <v>45929.0</v>
      </c>
      <c r="C969" s="22" t="s">
        <v>1805</v>
      </c>
      <c r="D969" s="18"/>
      <c r="E969" s="18" t="s">
        <v>184</v>
      </c>
      <c r="F969" s="18" t="str">
        <f>IFERROR(__xludf.DUMMYFUNCTION("if(REGEXMATCH(C969,""x.com"")=TRUE,""Twitter"",if(REGEXMATCH(C969,""facebook"")=TRUE,""Facebook"",if(REGEXMATCH(C969,""instagram"")=TRUE,""Instagram"",if(REGEXMATCH(C969,""youtube"")=TRUE,""Youtube"",if(REGEXMATCH(C969,""tiktok"")=TRUE,""Tiktok"",if(REGEX"&amp;"MATCH(C969,""threads"")=TRUE,""Threads""))))))"),"Twitter")</f>
        <v>Twitter</v>
      </c>
      <c r="G969" s="18" t="s">
        <v>1806</v>
      </c>
      <c r="H969" s="36"/>
      <c r="I969" s="18" t="s">
        <v>535</v>
      </c>
      <c r="J969" s="18" t="s">
        <v>188</v>
      </c>
      <c r="K969" s="18"/>
      <c r="L969" s="15"/>
    </row>
    <row r="970">
      <c r="A970" s="15">
        <v>969.0</v>
      </c>
      <c r="B970" s="23">
        <v>45929.0</v>
      </c>
      <c r="C970" s="22" t="s">
        <v>1807</v>
      </c>
      <c r="D970" s="18"/>
      <c r="E970" s="18" t="s">
        <v>184</v>
      </c>
      <c r="F970" s="18" t="str">
        <f>IFERROR(__xludf.DUMMYFUNCTION("if(REGEXMATCH(C970,""x.com"")=TRUE,""Twitter"",if(REGEXMATCH(C970,""facebook"")=TRUE,""Facebook"",if(REGEXMATCH(C970,""instagram"")=TRUE,""Instagram"",if(REGEXMATCH(C970,""youtube"")=TRUE,""Youtube"",if(REGEXMATCH(C970,""tiktok"")=TRUE,""Tiktok"",if(REGEX"&amp;"MATCH(C970,""threads"")=TRUE,""Threads""))))))"),"Tiktok")</f>
        <v>Tiktok</v>
      </c>
      <c r="G970" s="18" t="s">
        <v>1808</v>
      </c>
      <c r="H970" s="36"/>
      <c r="I970" s="18" t="s">
        <v>535</v>
      </c>
      <c r="J970" s="18" t="s">
        <v>188</v>
      </c>
      <c r="K970" s="18"/>
      <c r="L970" s="15"/>
    </row>
    <row r="971">
      <c r="A971" s="15">
        <v>970.0</v>
      </c>
      <c r="B971" s="23">
        <v>45929.0</v>
      </c>
      <c r="C971" s="22" t="s">
        <v>1809</v>
      </c>
      <c r="D971" s="18"/>
      <c r="E971" s="18" t="s">
        <v>184</v>
      </c>
      <c r="F971" s="18" t="str">
        <f>IFERROR(__xludf.DUMMYFUNCTION("if(REGEXMATCH(C971,""x.com"")=TRUE,""Twitter"",if(REGEXMATCH(C971,""facebook"")=TRUE,""Facebook"",if(REGEXMATCH(C971,""instagram"")=TRUE,""Instagram"",if(REGEXMATCH(C971,""youtube"")=TRUE,""Youtube"",if(REGEXMATCH(C971,""tiktok"")=TRUE,""Tiktok"",if(REGEX"&amp;"MATCH(C971,""threads"")=TRUE,""Threads""))))))"),"Tiktok")</f>
        <v>Tiktok</v>
      </c>
      <c r="G971" s="18" t="s">
        <v>1808</v>
      </c>
      <c r="H971" s="36"/>
      <c r="I971" s="18" t="s">
        <v>535</v>
      </c>
      <c r="J971" s="18" t="s">
        <v>188</v>
      </c>
      <c r="K971" s="18" t="s">
        <v>696</v>
      </c>
      <c r="L971" s="15"/>
    </row>
    <row r="972">
      <c r="A972" s="15">
        <v>971.0</v>
      </c>
      <c r="B972" s="23">
        <v>45929.0</v>
      </c>
      <c r="C972" s="22" t="s">
        <v>1810</v>
      </c>
      <c r="D972" s="18"/>
      <c r="E972" s="18" t="s">
        <v>184</v>
      </c>
      <c r="F972" s="18" t="str">
        <f>IFERROR(__xludf.DUMMYFUNCTION("if(REGEXMATCH(C972,""x.com"")=TRUE,""Twitter"",if(REGEXMATCH(C972,""facebook"")=TRUE,""Facebook"",if(REGEXMATCH(C972,""instagram"")=TRUE,""Instagram"",if(REGEXMATCH(C972,""youtube"")=TRUE,""Youtube"",if(REGEXMATCH(C972,""tiktok"")=TRUE,""Tiktok"",if(REGEX"&amp;"MATCH(C972,""threads"")=TRUE,""Threads""))))))"),"Tiktok")</f>
        <v>Tiktok</v>
      </c>
      <c r="G972" s="18" t="s">
        <v>1808</v>
      </c>
      <c r="H972" s="35"/>
      <c r="I972" s="18" t="s">
        <v>535</v>
      </c>
      <c r="J972" s="18" t="s">
        <v>188</v>
      </c>
      <c r="K972" s="18"/>
      <c r="L972" s="15"/>
    </row>
    <row r="973">
      <c r="A973" s="15">
        <v>972.0</v>
      </c>
      <c r="B973" s="23">
        <v>45929.0</v>
      </c>
      <c r="C973" s="22" t="s">
        <v>1811</v>
      </c>
      <c r="D973" s="18"/>
      <c r="E973" s="18" t="s">
        <v>184</v>
      </c>
      <c r="F973" s="18" t="str">
        <f>IFERROR(__xludf.DUMMYFUNCTION("if(REGEXMATCH(C973,""x.com"")=TRUE,""Twitter"",if(REGEXMATCH(C973,""facebook"")=TRUE,""Facebook"",if(REGEXMATCH(C973,""instagram"")=TRUE,""Instagram"",if(REGEXMATCH(C973,""youtube"")=TRUE,""Youtube"",if(REGEXMATCH(C973,""tiktok"")=TRUE,""Tiktok"",if(REGEX"&amp;"MATCH(C973,""threads"")=TRUE,""Threads""))))))"),"Tiktok")</f>
        <v>Tiktok</v>
      </c>
      <c r="G973" s="18" t="s">
        <v>1808</v>
      </c>
      <c r="H973" s="18"/>
      <c r="I973" s="18" t="s">
        <v>535</v>
      </c>
      <c r="J973" s="18" t="s">
        <v>188</v>
      </c>
      <c r="K973" s="18"/>
      <c r="L973" s="15"/>
    </row>
    <row r="974">
      <c r="A974" s="15">
        <v>973.0</v>
      </c>
      <c r="B974" s="23">
        <v>45929.0</v>
      </c>
      <c r="C974" s="22" t="s">
        <v>1812</v>
      </c>
      <c r="D974" s="18"/>
      <c r="E974" s="18" t="s">
        <v>184</v>
      </c>
      <c r="F974" s="18" t="str">
        <f>IFERROR(__xludf.DUMMYFUNCTION("if(REGEXMATCH(C974,""x.com"")=TRUE,""Twitter"",if(REGEXMATCH(C974,""facebook"")=TRUE,""Facebook"",if(REGEXMATCH(C974,""instagram"")=TRUE,""Instagram"",if(REGEXMATCH(C974,""youtube"")=TRUE,""Youtube"",if(REGEXMATCH(C974,""tiktok"")=TRUE,""Tiktok"",if(REGEX"&amp;"MATCH(C974,""threads"")=TRUE,""Threads""))))))"),"Tiktok")</f>
        <v>Tiktok</v>
      </c>
      <c r="G974" s="18" t="s">
        <v>1813</v>
      </c>
      <c r="H974" s="18"/>
      <c r="I974" s="18" t="s">
        <v>535</v>
      </c>
      <c r="J974" s="18" t="s">
        <v>188</v>
      </c>
      <c r="K974" s="18"/>
      <c r="L974" s="15"/>
    </row>
    <row r="975">
      <c r="A975" s="15">
        <v>974.0</v>
      </c>
      <c r="B975" s="23">
        <v>45929.0</v>
      </c>
      <c r="C975" s="22" t="s">
        <v>1814</v>
      </c>
      <c r="D975" s="18"/>
      <c r="E975" s="18" t="s">
        <v>184</v>
      </c>
      <c r="F975" s="18" t="str">
        <f>IFERROR(__xludf.DUMMYFUNCTION("if(REGEXMATCH(C975,""x.com"")=TRUE,""Twitter"",if(REGEXMATCH(C975,""facebook"")=TRUE,""Facebook"",if(REGEXMATCH(C975,""instagram"")=TRUE,""Instagram"",if(REGEXMATCH(C975,""youtube"")=TRUE,""Youtube"",if(REGEXMATCH(C975,""tiktok"")=TRUE,""Tiktok"",if(REGEX"&amp;"MATCH(C975,""threads"")=TRUE,""Threads""))))))"),"Tiktok")</f>
        <v>Tiktok</v>
      </c>
      <c r="G975" s="18" t="s">
        <v>1813</v>
      </c>
      <c r="H975" s="18"/>
      <c r="I975" s="18" t="s">
        <v>535</v>
      </c>
      <c r="J975" s="18" t="s">
        <v>188</v>
      </c>
      <c r="K975" s="18" t="s">
        <v>1815</v>
      </c>
      <c r="L975" s="15"/>
    </row>
    <row r="976">
      <c r="A976" s="15">
        <v>975.0</v>
      </c>
      <c r="B976" s="23">
        <v>45929.0</v>
      </c>
      <c r="C976" s="30" t="s">
        <v>1816</v>
      </c>
      <c r="D976" s="18"/>
      <c r="E976" s="18" t="s">
        <v>401</v>
      </c>
      <c r="F976" s="18" t="str">
        <f>IFERROR(__xludf.DUMMYFUNCTION("if(REGEXMATCH(C976,""x.com"")=TRUE,""Twitter"",if(REGEXMATCH(C976,""facebook"")=TRUE,""Facebook"",if(REGEXMATCH(C976,""instagram"")=TRUE,""Instagram"",if(REGEXMATCH(C976,""youtube"")=TRUE,""Youtube"",if(REGEXMATCH(C976,""tiktok"")=TRUE,""Tiktok"",if(REGEX"&amp;"MATCH(C976,""threads"")=TRUE,""Threads""))))))"),"Facebook")</f>
        <v>Facebook</v>
      </c>
      <c r="G976" s="18" t="s">
        <v>937</v>
      </c>
      <c r="H976" s="18" t="s">
        <v>1542</v>
      </c>
      <c r="I976" s="18" t="s">
        <v>939</v>
      </c>
      <c r="J976" s="18" t="s">
        <v>188</v>
      </c>
      <c r="K976" s="18" t="s">
        <v>1611</v>
      </c>
      <c r="L976" s="15"/>
    </row>
    <row r="977">
      <c r="A977" s="15">
        <v>976.0</v>
      </c>
      <c r="B977" s="23">
        <v>45929.0</v>
      </c>
      <c r="C977" s="30" t="s">
        <v>1817</v>
      </c>
      <c r="D977" s="18"/>
      <c r="E977" s="18" t="s">
        <v>401</v>
      </c>
      <c r="F977" s="18" t="str">
        <f>IFERROR(__xludf.DUMMYFUNCTION("if(REGEXMATCH(C977,""x.com"")=TRUE,""Twitter"",if(REGEXMATCH(C977,""facebook"")=TRUE,""Facebook"",if(REGEXMATCH(C977,""instagram"")=TRUE,""Instagram"",if(REGEXMATCH(C977,""youtube"")=TRUE,""Youtube"",if(REGEXMATCH(C977,""tiktok"")=TRUE,""Tiktok"",if(REGEX"&amp;"MATCH(C977,""threads"")=TRUE,""Threads""))))))"),"Facebook")</f>
        <v>Facebook</v>
      </c>
      <c r="G977" s="18" t="s">
        <v>937</v>
      </c>
      <c r="H977" s="18" t="s">
        <v>1542</v>
      </c>
      <c r="I977" s="18" t="s">
        <v>939</v>
      </c>
      <c r="J977" s="18" t="s">
        <v>188</v>
      </c>
      <c r="K977" s="18" t="s">
        <v>1611</v>
      </c>
      <c r="L977" s="15"/>
    </row>
    <row r="978">
      <c r="A978" s="15">
        <v>977.0</v>
      </c>
      <c r="B978" s="23">
        <v>45929.0</v>
      </c>
      <c r="C978" s="30" t="s">
        <v>1818</v>
      </c>
      <c r="D978" s="18"/>
      <c r="E978" s="18" t="s">
        <v>401</v>
      </c>
      <c r="F978" s="18" t="str">
        <f>IFERROR(__xludf.DUMMYFUNCTION("if(REGEXMATCH(C978,""x.com"")=TRUE,""Twitter"",if(REGEXMATCH(C978,""facebook"")=TRUE,""Facebook"",if(REGEXMATCH(C978,""instagram"")=TRUE,""Instagram"",if(REGEXMATCH(C978,""youtube"")=TRUE,""Youtube"",if(REGEXMATCH(C978,""tiktok"")=TRUE,""Tiktok"",if(REGEX"&amp;"MATCH(C978,""threads"")=TRUE,""Threads""))))))"),"Facebook")</f>
        <v>Facebook</v>
      </c>
      <c r="G978" s="18" t="s">
        <v>937</v>
      </c>
      <c r="H978" s="18" t="s">
        <v>1542</v>
      </c>
      <c r="I978" s="18" t="s">
        <v>939</v>
      </c>
      <c r="J978" s="18" t="s">
        <v>188</v>
      </c>
      <c r="K978" s="18" t="s">
        <v>1611</v>
      </c>
      <c r="L978" s="15"/>
    </row>
    <row r="979">
      <c r="A979" s="15">
        <v>978.0</v>
      </c>
      <c r="B979" s="23">
        <v>45929.0</v>
      </c>
      <c r="C979" s="30" t="s">
        <v>1819</v>
      </c>
      <c r="D979" s="18"/>
      <c r="E979" s="18" t="s">
        <v>401</v>
      </c>
      <c r="F979" s="18" t="str">
        <f>IFERROR(__xludf.DUMMYFUNCTION("if(REGEXMATCH(C979,""x.com"")=TRUE,""Twitter"",if(REGEXMATCH(C979,""facebook"")=TRUE,""Facebook"",if(REGEXMATCH(C979,""instagram"")=TRUE,""Instagram"",if(REGEXMATCH(C979,""youtube"")=TRUE,""Youtube"",if(REGEXMATCH(C979,""tiktok"")=TRUE,""Tiktok"",if(REGEX"&amp;"MATCH(C979,""threads"")=TRUE,""Threads""))))))"),"Facebook")</f>
        <v>Facebook</v>
      </c>
      <c r="G979" s="18" t="s">
        <v>937</v>
      </c>
      <c r="H979" s="18" t="s">
        <v>1542</v>
      </c>
      <c r="I979" s="18" t="s">
        <v>939</v>
      </c>
      <c r="J979" s="18" t="s">
        <v>188</v>
      </c>
      <c r="K979" s="18" t="s">
        <v>1611</v>
      </c>
      <c r="L979" s="15"/>
    </row>
    <row r="980">
      <c r="A980" s="15">
        <v>979.0</v>
      </c>
      <c r="B980" s="23">
        <v>45929.0</v>
      </c>
      <c r="C980" s="30" t="s">
        <v>1820</v>
      </c>
      <c r="D980" s="18"/>
      <c r="E980" s="18" t="s">
        <v>401</v>
      </c>
      <c r="F980" s="18" t="str">
        <f>IFERROR(__xludf.DUMMYFUNCTION("if(REGEXMATCH(C980,""x.com"")=TRUE,""Twitter"",if(REGEXMATCH(C980,""facebook"")=TRUE,""Facebook"",if(REGEXMATCH(C980,""instagram"")=TRUE,""Instagram"",if(REGEXMATCH(C980,""youtube"")=TRUE,""Youtube"",if(REGEXMATCH(C980,""tiktok"")=TRUE,""Tiktok"",if(REGEX"&amp;"MATCH(C980,""threads"")=TRUE,""Threads""))))))"),"Facebook")</f>
        <v>Facebook</v>
      </c>
      <c r="G980" s="18" t="s">
        <v>1821</v>
      </c>
      <c r="H980" s="18" t="s">
        <v>1542</v>
      </c>
      <c r="I980" s="18" t="s">
        <v>939</v>
      </c>
      <c r="J980" s="18" t="s">
        <v>422</v>
      </c>
      <c r="K980" s="18" t="s">
        <v>1822</v>
      </c>
      <c r="L980" s="15"/>
    </row>
    <row r="981">
      <c r="A981" s="15">
        <v>980.0</v>
      </c>
      <c r="B981" s="23">
        <v>45929.0</v>
      </c>
      <c r="C981" s="30" t="s">
        <v>1823</v>
      </c>
      <c r="D981" s="18"/>
      <c r="E981" s="18" t="s">
        <v>401</v>
      </c>
      <c r="F981" s="18" t="str">
        <f>IFERROR(__xludf.DUMMYFUNCTION("if(REGEXMATCH(C981,""x.com"")=TRUE,""Twitter"",if(REGEXMATCH(C981,""facebook"")=TRUE,""Facebook"",if(REGEXMATCH(C981,""instagram"")=TRUE,""Instagram"",if(REGEXMATCH(C981,""youtube"")=TRUE,""Youtube"",if(REGEXMATCH(C981,""tiktok"")=TRUE,""Tiktok"",if(REGEX"&amp;"MATCH(C981,""threads"")=TRUE,""Threads""))))))"),"Facebook")</f>
        <v>Facebook</v>
      </c>
      <c r="G981" s="18" t="s">
        <v>937</v>
      </c>
      <c r="H981" s="18" t="s">
        <v>1542</v>
      </c>
      <c r="I981" s="18" t="s">
        <v>939</v>
      </c>
      <c r="J981" s="18" t="s">
        <v>188</v>
      </c>
      <c r="K981" s="18" t="s">
        <v>1611</v>
      </c>
      <c r="L981" s="15"/>
    </row>
    <row r="982">
      <c r="A982" s="15">
        <v>981.0</v>
      </c>
      <c r="B982" s="23">
        <v>45929.0</v>
      </c>
      <c r="C982" s="30" t="s">
        <v>1824</v>
      </c>
      <c r="D982" s="18"/>
      <c r="E982" s="18" t="s">
        <v>401</v>
      </c>
      <c r="F982" s="18" t="str">
        <f>IFERROR(__xludf.DUMMYFUNCTION("if(REGEXMATCH(C982,""x.com"")=TRUE,""Twitter"",if(REGEXMATCH(C982,""facebook"")=TRUE,""Facebook"",if(REGEXMATCH(C982,""instagram"")=TRUE,""Instagram"",if(REGEXMATCH(C982,""youtube"")=TRUE,""Youtube"",if(REGEXMATCH(C982,""tiktok"")=TRUE,""Tiktok"",if(REGEX"&amp;"MATCH(C982,""threads"")=TRUE,""Threads""))))))"),"Facebook")</f>
        <v>Facebook</v>
      </c>
      <c r="G982" s="18" t="s">
        <v>937</v>
      </c>
      <c r="H982" s="18" t="s">
        <v>1542</v>
      </c>
      <c r="I982" s="18" t="s">
        <v>939</v>
      </c>
      <c r="J982" s="18" t="s">
        <v>188</v>
      </c>
      <c r="K982" s="18" t="s">
        <v>1611</v>
      </c>
      <c r="L982" s="15"/>
    </row>
    <row r="983">
      <c r="A983" s="15">
        <v>982.0</v>
      </c>
      <c r="B983" s="23">
        <v>45929.0</v>
      </c>
      <c r="C983" s="30" t="s">
        <v>1825</v>
      </c>
      <c r="D983" s="18"/>
      <c r="E983" s="18" t="s">
        <v>401</v>
      </c>
      <c r="F983" s="18" t="str">
        <f>IFERROR(__xludf.DUMMYFUNCTION("if(REGEXMATCH(C983,""x.com"")=TRUE,""Twitter"",if(REGEXMATCH(C983,""facebook"")=TRUE,""Facebook"",if(REGEXMATCH(C983,""instagram"")=TRUE,""Instagram"",if(REGEXMATCH(C983,""youtube"")=TRUE,""Youtube"",if(REGEXMATCH(C983,""tiktok"")=TRUE,""Tiktok"",if(REGEX"&amp;"MATCH(C983,""threads"")=TRUE,""Threads""))))))"),"Facebook")</f>
        <v>Facebook</v>
      </c>
      <c r="G983" s="18" t="s">
        <v>937</v>
      </c>
      <c r="H983" s="18" t="s">
        <v>1542</v>
      </c>
      <c r="I983" s="18" t="s">
        <v>939</v>
      </c>
      <c r="J983" s="18" t="s">
        <v>188</v>
      </c>
      <c r="K983" s="18" t="s">
        <v>1611</v>
      </c>
      <c r="L983" s="15"/>
    </row>
    <row r="984">
      <c r="A984" s="15">
        <v>983.0</v>
      </c>
      <c r="B984" s="23">
        <v>45929.0</v>
      </c>
      <c r="C984" s="30" t="s">
        <v>1826</v>
      </c>
      <c r="D984" s="18"/>
      <c r="E984" s="18" t="s">
        <v>401</v>
      </c>
      <c r="F984" s="18" t="str">
        <f>IFERROR(__xludf.DUMMYFUNCTION("if(REGEXMATCH(C984,""x.com"")=TRUE,""Twitter"",if(REGEXMATCH(C984,""facebook"")=TRUE,""Facebook"",if(REGEXMATCH(C984,""instagram"")=TRUE,""Instagram"",if(REGEXMATCH(C984,""youtube"")=TRUE,""Youtube"",if(REGEXMATCH(C984,""tiktok"")=TRUE,""Tiktok"",if(REGEX"&amp;"MATCH(C984,""threads"")=TRUE,""Threads""))))))"),"Facebook")</f>
        <v>Facebook</v>
      </c>
      <c r="G984" s="18" t="s">
        <v>937</v>
      </c>
      <c r="H984" s="18" t="s">
        <v>1542</v>
      </c>
      <c r="I984" s="18" t="s">
        <v>939</v>
      </c>
      <c r="J984" s="18" t="s">
        <v>188</v>
      </c>
      <c r="K984" s="18" t="s">
        <v>1611</v>
      </c>
      <c r="L984" s="15"/>
    </row>
    <row r="985">
      <c r="A985" s="15">
        <v>984.0</v>
      </c>
      <c r="B985" s="23">
        <v>45929.0</v>
      </c>
      <c r="C985" s="30" t="s">
        <v>1827</v>
      </c>
      <c r="D985" s="18"/>
      <c r="E985" s="18" t="s">
        <v>401</v>
      </c>
      <c r="F985" s="18" t="str">
        <f>IFERROR(__xludf.DUMMYFUNCTION("if(REGEXMATCH(C985,""x.com"")=TRUE,""Twitter"",if(REGEXMATCH(C985,""facebook"")=TRUE,""Facebook"",if(REGEXMATCH(C985,""instagram"")=TRUE,""Instagram"",if(REGEXMATCH(C985,""youtube"")=TRUE,""Youtube"",if(REGEXMATCH(C985,""tiktok"")=TRUE,""Tiktok"",if(REGEX"&amp;"MATCH(C985,""threads"")=TRUE,""Threads""))))))"),"Facebook")</f>
        <v>Facebook</v>
      </c>
      <c r="G985" s="18" t="s">
        <v>937</v>
      </c>
      <c r="H985" s="18" t="s">
        <v>1542</v>
      </c>
      <c r="I985" s="18" t="s">
        <v>939</v>
      </c>
      <c r="J985" s="18" t="s">
        <v>188</v>
      </c>
      <c r="K985" s="18" t="s">
        <v>1611</v>
      </c>
      <c r="L985" s="15"/>
    </row>
    <row r="986">
      <c r="A986" s="15">
        <v>985.0</v>
      </c>
      <c r="B986" s="23">
        <v>45929.0</v>
      </c>
      <c r="C986" s="22" t="s">
        <v>1828</v>
      </c>
      <c r="D986" s="18"/>
      <c r="E986" s="18" t="s">
        <v>184</v>
      </c>
      <c r="F986" s="18" t="str">
        <f>IFERROR(__xludf.DUMMYFUNCTION("if(REGEXMATCH(C986,""x.com"")=TRUE,""Twitter"",if(REGEXMATCH(C986,""facebook"")=TRUE,""Facebook"",if(REGEXMATCH(C986,""instagram"")=TRUE,""Instagram"",if(REGEXMATCH(C986,""youtube"")=TRUE,""Youtube"",if(REGEXMATCH(C986,""tiktok"")=TRUE,""Tiktok"",if(REGEX"&amp;"MATCH(C986,""threads"")=TRUE,""Threads""))))))"),"Facebook")</f>
        <v>Facebook</v>
      </c>
      <c r="G986" s="18" t="s">
        <v>1829</v>
      </c>
      <c r="H986" s="18" t="s">
        <v>410</v>
      </c>
      <c r="I986" s="15"/>
      <c r="J986" s="18" t="s">
        <v>188</v>
      </c>
      <c r="K986" s="15"/>
      <c r="L986" s="15"/>
    </row>
    <row r="987">
      <c r="A987" s="15">
        <v>986.0</v>
      </c>
      <c r="B987" s="23">
        <v>45929.0</v>
      </c>
      <c r="C987" s="22" t="s">
        <v>1830</v>
      </c>
      <c r="D987" s="18"/>
      <c r="E987" s="18" t="s">
        <v>184</v>
      </c>
      <c r="F987" s="18" t="str">
        <f>IFERROR(__xludf.DUMMYFUNCTION("if(REGEXMATCH(C987,""x.com"")=TRUE,""Twitter"",if(REGEXMATCH(C987,""facebook"")=TRUE,""Facebook"",if(REGEXMATCH(C987,""instagram"")=TRUE,""Instagram"",if(REGEXMATCH(C987,""youtube"")=TRUE,""Youtube"",if(REGEXMATCH(C987,""tiktok"")=TRUE,""Tiktok"",if(REGEX"&amp;"MATCH(C987,""threads"")=TRUE,""Threads""))))))"),"Facebook")</f>
        <v>Facebook</v>
      </c>
      <c r="G987" s="18" t="s">
        <v>1831</v>
      </c>
      <c r="H987" s="18" t="s">
        <v>410</v>
      </c>
      <c r="I987" s="15"/>
      <c r="J987" s="18" t="s">
        <v>188</v>
      </c>
      <c r="K987" s="15"/>
      <c r="L987" s="15"/>
    </row>
    <row r="988">
      <c r="A988" s="15">
        <v>987.0</v>
      </c>
      <c r="B988" s="23">
        <v>45929.0</v>
      </c>
      <c r="C988" s="22" t="s">
        <v>1832</v>
      </c>
      <c r="D988" s="18"/>
      <c r="E988" s="18" t="s">
        <v>184</v>
      </c>
      <c r="F988" s="18" t="str">
        <f>IFERROR(__xludf.DUMMYFUNCTION("if(REGEXMATCH(C988,""x.com"")=TRUE,""Twitter"",if(REGEXMATCH(C988,""facebook"")=TRUE,""Facebook"",if(REGEXMATCH(C988,""instagram"")=TRUE,""Instagram"",if(REGEXMATCH(C988,""youtube"")=TRUE,""Youtube"",if(REGEXMATCH(C988,""tiktok"")=TRUE,""Tiktok"",if(REGEX"&amp;"MATCH(C988,""threads"")=TRUE,""Threads""))))))"),"Instagram")</f>
        <v>Instagram</v>
      </c>
      <c r="G988" s="18" t="s">
        <v>1833</v>
      </c>
      <c r="H988" s="18" t="s">
        <v>410</v>
      </c>
      <c r="I988" s="15"/>
      <c r="J988" s="18" t="s">
        <v>188</v>
      </c>
      <c r="K988" s="15"/>
      <c r="L988" s="15"/>
    </row>
    <row r="989">
      <c r="A989" s="15">
        <v>988.0</v>
      </c>
      <c r="B989" s="23">
        <v>45930.0</v>
      </c>
      <c r="C989" s="22" t="s">
        <v>1834</v>
      </c>
      <c r="D989" s="18"/>
      <c r="E989" s="18" t="s">
        <v>202</v>
      </c>
      <c r="F989" s="18" t="str">
        <f>IFERROR(__xludf.DUMMYFUNCTION("if(REGEXMATCH(C989,""x.com"")=TRUE,""Twitter"",if(REGEXMATCH(C989,""facebook"")=TRUE,""Facebook"",if(REGEXMATCH(C989,""instagram"")=TRUE,""Instagram"",if(REGEXMATCH(C989,""youtube"")=TRUE,""Youtube"",if(REGEXMATCH(C989,""tiktok"")=TRUE,""Tiktok"",if(REGEX"&amp;"MATCH(C989,""threads"")=TRUE,""Threads""))))))"),"Tiktok")</f>
        <v>Tiktok</v>
      </c>
      <c r="G989" s="18" t="s">
        <v>1835</v>
      </c>
      <c r="H989" s="34" t="s">
        <v>1782</v>
      </c>
      <c r="I989" s="18" t="s">
        <v>535</v>
      </c>
      <c r="J989" s="18" t="s">
        <v>188</v>
      </c>
      <c r="K989" s="18"/>
      <c r="L989" s="15"/>
    </row>
    <row r="990">
      <c r="A990" s="15">
        <v>989.0</v>
      </c>
      <c r="B990" s="23">
        <v>45930.0</v>
      </c>
      <c r="C990" s="22" t="s">
        <v>1836</v>
      </c>
      <c r="D990" s="18"/>
      <c r="E990" s="18" t="s">
        <v>184</v>
      </c>
      <c r="F990" s="18" t="str">
        <f>IFERROR(__xludf.DUMMYFUNCTION("if(REGEXMATCH(C990,""x.com"")=TRUE,""Twitter"",if(REGEXMATCH(C990,""facebook"")=TRUE,""Facebook"",if(REGEXMATCH(C990,""instagram"")=TRUE,""Instagram"",if(REGEXMATCH(C990,""youtube"")=TRUE,""Youtube"",if(REGEXMATCH(C990,""tiktok"")=TRUE,""Tiktok"",if(REGEX"&amp;"MATCH(C990,""threads"")=TRUE,""Threads""))))))"),"Tiktok")</f>
        <v>Tiktok</v>
      </c>
      <c r="G990" s="18" t="s">
        <v>1837</v>
      </c>
      <c r="H990" s="36"/>
      <c r="I990" s="18" t="s">
        <v>535</v>
      </c>
      <c r="J990" s="18" t="s">
        <v>422</v>
      </c>
      <c r="K990" s="18" t="s">
        <v>1558</v>
      </c>
      <c r="L990" s="15"/>
    </row>
    <row r="991">
      <c r="A991" s="15">
        <v>990.0</v>
      </c>
      <c r="B991" s="23">
        <v>45930.0</v>
      </c>
      <c r="C991" s="22" t="s">
        <v>1838</v>
      </c>
      <c r="D991" s="18"/>
      <c r="E991" s="18" t="s">
        <v>184</v>
      </c>
      <c r="F991" s="18" t="str">
        <f>IFERROR(__xludf.DUMMYFUNCTION("if(REGEXMATCH(C991,""x.com"")=TRUE,""Twitter"",if(REGEXMATCH(C991,""facebook"")=TRUE,""Facebook"",if(REGEXMATCH(C991,""instagram"")=TRUE,""Instagram"",if(REGEXMATCH(C991,""youtube"")=TRUE,""Youtube"",if(REGEXMATCH(C991,""tiktok"")=TRUE,""Tiktok"",if(REGEX"&amp;"MATCH(C991,""threads"")=TRUE,""Threads""))))))"),"Tiktok")</f>
        <v>Tiktok</v>
      </c>
      <c r="G991" s="18" t="s">
        <v>1787</v>
      </c>
      <c r="H991" s="36"/>
      <c r="I991" s="18" t="s">
        <v>535</v>
      </c>
      <c r="J991" s="18" t="s">
        <v>188</v>
      </c>
      <c r="K991" s="18"/>
      <c r="L991" s="15"/>
    </row>
    <row r="992">
      <c r="A992" s="15">
        <v>991.0</v>
      </c>
      <c r="B992" s="23">
        <v>45930.0</v>
      </c>
      <c r="C992" s="22" t="s">
        <v>1839</v>
      </c>
      <c r="D992" s="18"/>
      <c r="E992" s="18" t="s">
        <v>184</v>
      </c>
      <c r="F992" s="18" t="str">
        <f>IFERROR(__xludf.DUMMYFUNCTION("if(REGEXMATCH(C992,""x.com"")=TRUE,""Twitter"",if(REGEXMATCH(C992,""facebook"")=TRUE,""Facebook"",if(REGEXMATCH(C992,""instagram"")=TRUE,""Instagram"",if(REGEXMATCH(C992,""youtube"")=TRUE,""Youtube"",if(REGEXMATCH(C992,""tiktok"")=TRUE,""Tiktok"",if(REGEX"&amp;"MATCH(C992,""threads"")=TRUE,""Threads""))))))"),"Tiktok")</f>
        <v>Tiktok</v>
      </c>
      <c r="G992" s="18" t="s">
        <v>1840</v>
      </c>
      <c r="H992" s="36"/>
      <c r="I992" s="18" t="s">
        <v>535</v>
      </c>
      <c r="J992" s="18" t="s">
        <v>188</v>
      </c>
      <c r="K992" s="18"/>
      <c r="L992" s="15"/>
    </row>
    <row r="993">
      <c r="A993" s="15">
        <v>992.0</v>
      </c>
      <c r="B993" s="23">
        <v>45930.0</v>
      </c>
      <c r="C993" s="22" t="s">
        <v>1841</v>
      </c>
      <c r="D993" s="18"/>
      <c r="E993" s="18" t="s">
        <v>184</v>
      </c>
      <c r="F993" s="18" t="str">
        <f>IFERROR(__xludf.DUMMYFUNCTION("if(REGEXMATCH(C993,""x.com"")=TRUE,""Twitter"",if(REGEXMATCH(C993,""facebook"")=TRUE,""Facebook"",if(REGEXMATCH(C993,""instagram"")=TRUE,""Instagram"",if(REGEXMATCH(C993,""youtube"")=TRUE,""Youtube"",if(REGEXMATCH(C993,""tiktok"")=TRUE,""Tiktok"",if(REGEX"&amp;"MATCH(C993,""threads"")=TRUE,""Threads""))))))"),"Facebook")</f>
        <v>Facebook</v>
      </c>
      <c r="G993" s="18" t="s">
        <v>1842</v>
      </c>
      <c r="H993" s="36"/>
      <c r="I993" s="18" t="s">
        <v>535</v>
      </c>
      <c r="J993" s="18" t="s">
        <v>188</v>
      </c>
      <c r="K993" s="18"/>
      <c r="L993" s="15"/>
    </row>
    <row r="994">
      <c r="A994" s="15">
        <v>993.0</v>
      </c>
      <c r="B994" s="23">
        <v>45930.0</v>
      </c>
      <c r="C994" s="22" t="s">
        <v>1843</v>
      </c>
      <c r="D994" s="18"/>
      <c r="E994" s="18" t="s">
        <v>202</v>
      </c>
      <c r="F994" s="18" t="str">
        <f>IFERROR(__xludf.DUMMYFUNCTION("if(REGEXMATCH(C994,""x.com"")=TRUE,""Twitter"",if(REGEXMATCH(C994,""facebook"")=TRUE,""Facebook"",if(REGEXMATCH(C994,""instagram"")=TRUE,""Instagram"",if(REGEXMATCH(C994,""youtube"")=TRUE,""Youtube"",if(REGEXMATCH(C994,""tiktok"")=TRUE,""Tiktok"",if(REGEX"&amp;"MATCH(C994,""threads"")=TRUE,""Threads""))))))"),"Tiktok")</f>
        <v>Tiktok</v>
      </c>
      <c r="G994" s="18" t="s">
        <v>1844</v>
      </c>
      <c r="H994" s="36"/>
      <c r="I994" s="18" t="s">
        <v>535</v>
      </c>
      <c r="J994" s="18" t="s">
        <v>188</v>
      </c>
      <c r="K994" s="18"/>
      <c r="L994" s="15"/>
    </row>
    <row r="995">
      <c r="A995" s="15">
        <v>994.0</v>
      </c>
      <c r="B995" s="23">
        <v>45930.0</v>
      </c>
      <c r="C995" s="22" t="s">
        <v>1845</v>
      </c>
      <c r="D995" s="18"/>
      <c r="E995" s="18" t="s">
        <v>202</v>
      </c>
      <c r="F995" s="18" t="str">
        <f>IFERROR(__xludf.DUMMYFUNCTION("if(REGEXMATCH(C995,""x.com"")=TRUE,""Twitter"",if(REGEXMATCH(C995,""facebook"")=TRUE,""Facebook"",if(REGEXMATCH(C995,""instagram"")=TRUE,""Instagram"",if(REGEXMATCH(C995,""youtube"")=TRUE,""Youtube"",if(REGEXMATCH(C995,""tiktok"")=TRUE,""Tiktok"",if(REGEX"&amp;"MATCH(C995,""threads"")=TRUE,""Threads""))))))"),"Tiktok")</f>
        <v>Tiktok</v>
      </c>
      <c r="G995" s="18" t="s">
        <v>1846</v>
      </c>
      <c r="H995" s="36"/>
      <c r="I995" s="18" t="s">
        <v>535</v>
      </c>
      <c r="J995" s="18" t="s">
        <v>188</v>
      </c>
      <c r="K995" s="18"/>
      <c r="L995" s="15"/>
    </row>
    <row r="996">
      <c r="A996" s="15">
        <v>995.0</v>
      </c>
      <c r="B996" s="23">
        <v>45930.0</v>
      </c>
      <c r="C996" s="22" t="s">
        <v>1847</v>
      </c>
      <c r="D996" s="18"/>
      <c r="E996" s="18" t="s">
        <v>798</v>
      </c>
      <c r="F996" s="18" t="str">
        <f>IFERROR(__xludf.DUMMYFUNCTION("if(REGEXMATCH(C996,""x.com"")=TRUE,""Twitter"",if(REGEXMATCH(C996,""facebook"")=TRUE,""Facebook"",if(REGEXMATCH(C996,""instagram"")=TRUE,""Instagram"",if(REGEXMATCH(C996,""youtube"")=TRUE,""Youtube"",if(REGEXMATCH(C996,""tiktok"")=TRUE,""Tiktok"",if(REGEX"&amp;"MATCH(C996,""threads"")=TRUE,""Threads""))))))"),"Tiktok")</f>
        <v>Tiktok</v>
      </c>
      <c r="G996" s="18" t="s">
        <v>1848</v>
      </c>
      <c r="H996" s="36"/>
      <c r="I996" s="18" t="s">
        <v>535</v>
      </c>
      <c r="J996" s="18" t="s">
        <v>188</v>
      </c>
      <c r="K996" s="18"/>
      <c r="L996" s="15"/>
    </row>
    <row r="997">
      <c r="A997" s="15">
        <v>996.0</v>
      </c>
      <c r="B997" s="23">
        <v>45930.0</v>
      </c>
      <c r="C997" s="22" t="s">
        <v>1849</v>
      </c>
      <c r="D997" s="18"/>
      <c r="E997" s="18" t="s">
        <v>184</v>
      </c>
      <c r="F997" s="18" t="str">
        <f>IFERROR(__xludf.DUMMYFUNCTION("if(REGEXMATCH(C997,""x.com"")=TRUE,""Twitter"",if(REGEXMATCH(C997,""facebook"")=TRUE,""Facebook"",if(REGEXMATCH(C997,""instagram"")=TRUE,""Instagram"",if(REGEXMATCH(C997,""youtube"")=TRUE,""Youtube"",if(REGEXMATCH(C997,""tiktok"")=TRUE,""Tiktok"",if(REGEX"&amp;"MATCH(C997,""threads"")=TRUE,""Threads""))))))"),"Tiktok")</f>
        <v>Tiktok</v>
      </c>
      <c r="G997" s="18" t="s">
        <v>1850</v>
      </c>
      <c r="H997" s="36"/>
      <c r="I997" s="18" t="s">
        <v>535</v>
      </c>
      <c r="J997" s="18" t="s">
        <v>188</v>
      </c>
      <c r="K997" s="18"/>
      <c r="L997" s="15"/>
    </row>
    <row r="998">
      <c r="A998" s="15">
        <v>997.0</v>
      </c>
      <c r="B998" s="23">
        <v>45930.0</v>
      </c>
      <c r="C998" s="22" t="s">
        <v>1851</v>
      </c>
      <c r="D998" s="18"/>
      <c r="E998" s="18" t="s">
        <v>184</v>
      </c>
      <c r="F998" s="18" t="str">
        <f>IFERROR(__xludf.DUMMYFUNCTION("if(REGEXMATCH(C998,""x.com"")=TRUE,""Twitter"",if(REGEXMATCH(C998,""facebook"")=TRUE,""Facebook"",if(REGEXMATCH(C998,""instagram"")=TRUE,""Instagram"",if(REGEXMATCH(C998,""youtube"")=TRUE,""Youtube"",if(REGEXMATCH(C998,""tiktok"")=TRUE,""Tiktok"",if(REGEX"&amp;"MATCH(C998,""threads"")=TRUE,""Threads""))))))"),"Tiktok")</f>
        <v>Tiktok</v>
      </c>
      <c r="G998" s="18" t="s">
        <v>1850</v>
      </c>
      <c r="H998" s="36"/>
      <c r="I998" s="18" t="s">
        <v>535</v>
      </c>
      <c r="J998" s="18" t="s">
        <v>422</v>
      </c>
      <c r="K998" s="18" t="s">
        <v>1852</v>
      </c>
      <c r="L998" s="15"/>
    </row>
    <row r="999">
      <c r="A999" s="15">
        <v>998.0</v>
      </c>
      <c r="B999" s="23">
        <v>45930.0</v>
      </c>
      <c r="C999" s="22" t="s">
        <v>1853</v>
      </c>
      <c r="D999" s="18"/>
      <c r="E999" s="18" t="s">
        <v>401</v>
      </c>
      <c r="F999" s="18" t="str">
        <f>IFERROR(__xludf.DUMMYFUNCTION("if(REGEXMATCH(C999,""x.com"")=TRUE,""Twitter"",if(REGEXMATCH(C999,""facebook"")=TRUE,""Facebook"",if(REGEXMATCH(C999,""instagram"")=TRUE,""Instagram"",if(REGEXMATCH(C999,""youtube"")=TRUE,""Youtube"",if(REGEXMATCH(C999,""tiktok"")=TRUE,""Tiktok"",if(REGEX"&amp;"MATCH(C999,""threads"")=TRUE,""Threads""))))))"),"Facebook")</f>
        <v>Facebook</v>
      </c>
      <c r="G999" s="18" t="s">
        <v>1854</v>
      </c>
      <c r="H999" s="36"/>
      <c r="I999" s="18" t="s">
        <v>535</v>
      </c>
      <c r="J999" s="18" t="s">
        <v>188</v>
      </c>
      <c r="K999" s="18"/>
      <c r="L999" s="15"/>
    </row>
    <row r="1000">
      <c r="A1000" s="15">
        <v>999.0</v>
      </c>
      <c r="B1000" s="23">
        <v>45930.0</v>
      </c>
      <c r="C1000" s="22" t="s">
        <v>1855</v>
      </c>
      <c r="D1000" s="18"/>
      <c r="E1000" s="18" t="s">
        <v>184</v>
      </c>
      <c r="F1000" s="18" t="str">
        <f>IFERROR(__xludf.DUMMYFUNCTION("if(REGEXMATCH(C1000,""x.com"")=TRUE,""Twitter"",if(REGEXMATCH(C1000,""facebook"")=TRUE,""Facebook"",if(REGEXMATCH(C1000,""instagram"")=TRUE,""Instagram"",if(REGEXMATCH(C1000,""youtube"")=TRUE,""Youtube"",if(REGEXMATCH(C1000,""tiktok"")=TRUE,""Tiktok"",if("&amp;"REGEXMATCH(C1000,""threads"")=TRUE,""Threads""))))))"),"Tiktok")</f>
        <v>Tiktok</v>
      </c>
      <c r="G1000" s="18" t="s">
        <v>1856</v>
      </c>
      <c r="H1000" s="36"/>
      <c r="I1000" s="18" t="s">
        <v>535</v>
      </c>
      <c r="J1000" s="18" t="s">
        <v>188</v>
      </c>
      <c r="K1000" s="18"/>
      <c r="L1000" s="15"/>
    </row>
    <row r="1001">
      <c r="A1001" s="15">
        <v>1000.0</v>
      </c>
      <c r="B1001" s="23">
        <v>45930.0</v>
      </c>
      <c r="C1001" s="22" t="s">
        <v>1857</v>
      </c>
      <c r="D1001" s="18"/>
      <c r="E1001" s="18" t="s">
        <v>184</v>
      </c>
      <c r="F1001" s="18" t="str">
        <f>IFERROR(__xludf.DUMMYFUNCTION("if(REGEXMATCH(C1001,""x.com"")=TRUE,""Twitter"",if(REGEXMATCH(C1001,""facebook"")=TRUE,""Facebook"",if(REGEXMATCH(C1001,""instagram"")=TRUE,""Instagram"",if(REGEXMATCH(C1001,""youtube"")=TRUE,""Youtube"",if(REGEXMATCH(C1001,""tiktok"")=TRUE,""Tiktok"",if("&amp;"REGEXMATCH(C1001,""threads"")=TRUE,""Threads""))))))"),"Tiktok")</f>
        <v>Tiktok</v>
      </c>
      <c r="G1001" s="18" t="s">
        <v>1858</v>
      </c>
      <c r="H1001" s="36"/>
      <c r="I1001" s="18" t="s">
        <v>535</v>
      </c>
      <c r="J1001" s="18" t="s">
        <v>188</v>
      </c>
      <c r="K1001" s="18"/>
      <c r="L1001" s="15"/>
    </row>
    <row r="1002">
      <c r="A1002" s="15">
        <v>1001.0</v>
      </c>
      <c r="B1002" s="23">
        <v>45930.0</v>
      </c>
      <c r="C1002" s="22" t="s">
        <v>1859</v>
      </c>
      <c r="D1002" s="18"/>
      <c r="E1002" s="18" t="s">
        <v>184</v>
      </c>
      <c r="F1002" s="18" t="str">
        <f>IFERROR(__xludf.DUMMYFUNCTION("if(REGEXMATCH(C1002,""x.com"")=TRUE,""Twitter"",if(REGEXMATCH(C1002,""facebook"")=TRUE,""Facebook"",if(REGEXMATCH(C1002,""instagram"")=TRUE,""Instagram"",if(REGEXMATCH(C1002,""youtube"")=TRUE,""Youtube"",if(REGEXMATCH(C1002,""tiktok"")=TRUE,""Tiktok"",if("&amp;"REGEXMATCH(C1002,""threads"")=TRUE,""Threads""))))))"),"Twitter")</f>
        <v>Twitter</v>
      </c>
      <c r="G1002" s="18" t="s">
        <v>1860</v>
      </c>
      <c r="H1002" s="35"/>
      <c r="I1002" s="18" t="s">
        <v>535</v>
      </c>
      <c r="J1002" s="18" t="s">
        <v>188</v>
      </c>
      <c r="K1002" s="18"/>
      <c r="L1002" s="15"/>
    </row>
    <row r="1003">
      <c r="A1003" s="15">
        <v>1002.0</v>
      </c>
      <c r="B1003" s="23">
        <v>45930.0</v>
      </c>
      <c r="C1003" s="22" t="s">
        <v>1861</v>
      </c>
      <c r="D1003" s="18"/>
      <c r="E1003" s="18" t="s">
        <v>184</v>
      </c>
      <c r="F1003" s="18" t="str">
        <f>IFERROR(__xludf.DUMMYFUNCTION("if(REGEXMATCH(C1003,""x.com"")=TRUE,""Twitter"",if(REGEXMATCH(C1003,""facebook"")=TRUE,""Facebook"",if(REGEXMATCH(C1003,""instagram"")=TRUE,""Instagram"",if(REGEXMATCH(C1003,""youtube"")=TRUE,""Youtube"",if(REGEXMATCH(C1003,""tiktok"")=TRUE,""Tiktok"",if("&amp;"REGEXMATCH(C1003,""threads"")=TRUE,""Threads""))))))"),"Twitter")</f>
        <v>Twitter</v>
      </c>
      <c r="G1003" s="18" t="s">
        <v>1862</v>
      </c>
      <c r="H1003" s="18"/>
      <c r="I1003" s="18" t="s">
        <v>535</v>
      </c>
      <c r="J1003" s="18" t="s">
        <v>188</v>
      </c>
      <c r="K1003" s="18"/>
      <c r="L1003" s="15"/>
    </row>
    <row r="1004">
      <c r="A1004" s="15">
        <v>1003.0</v>
      </c>
      <c r="B1004" s="23">
        <v>45930.0</v>
      </c>
      <c r="C1004" s="22" t="s">
        <v>1863</v>
      </c>
      <c r="D1004" s="18"/>
      <c r="E1004" s="18" t="s">
        <v>184</v>
      </c>
      <c r="F1004" s="18" t="str">
        <f>IFERROR(__xludf.DUMMYFUNCTION("if(REGEXMATCH(C1004,""x.com"")=TRUE,""Twitter"",if(REGEXMATCH(C1004,""facebook"")=TRUE,""Facebook"",if(REGEXMATCH(C1004,""instagram"")=TRUE,""Instagram"",if(REGEXMATCH(C1004,""youtube"")=TRUE,""Youtube"",if(REGEXMATCH(C1004,""tiktok"")=TRUE,""Tiktok"",if("&amp;"REGEXMATCH(C1004,""threads"")=TRUE,""Threads""))))))"),"Twitter")</f>
        <v>Twitter</v>
      </c>
      <c r="G1004" s="18" t="s">
        <v>1864</v>
      </c>
      <c r="H1004" s="18"/>
      <c r="I1004" s="18" t="s">
        <v>535</v>
      </c>
      <c r="J1004" s="18" t="s">
        <v>188</v>
      </c>
      <c r="K1004" s="18"/>
      <c r="L1004" s="15"/>
    </row>
    <row r="1005">
      <c r="A1005" s="15">
        <v>1004.0</v>
      </c>
      <c r="B1005" s="23">
        <v>45930.0</v>
      </c>
      <c r="C1005" s="22" t="s">
        <v>1865</v>
      </c>
      <c r="D1005" s="18"/>
      <c r="E1005" s="18" t="s">
        <v>184</v>
      </c>
      <c r="F1005" s="18" t="str">
        <f>IFERROR(__xludf.DUMMYFUNCTION("if(REGEXMATCH(C1005,""x.com"")=TRUE,""Twitter"",if(REGEXMATCH(C1005,""facebook"")=TRUE,""Facebook"",if(REGEXMATCH(C1005,""instagram"")=TRUE,""Instagram"",if(REGEXMATCH(C1005,""youtube"")=TRUE,""Youtube"",if(REGEXMATCH(C1005,""tiktok"")=TRUE,""Tiktok"",if("&amp;"REGEXMATCH(C1005,""threads"")=TRUE,""Threads""))))))"),"Twitter")</f>
        <v>Twitter</v>
      </c>
      <c r="G1005" s="18" t="s">
        <v>1866</v>
      </c>
      <c r="H1005" s="18"/>
      <c r="I1005" s="18" t="s">
        <v>535</v>
      </c>
      <c r="J1005" s="18" t="s">
        <v>188</v>
      </c>
      <c r="K1005" s="18"/>
      <c r="L1005" s="15"/>
    </row>
    <row r="1006">
      <c r="A1006" s="15">
        <v>1005.0</v>
      </c>
      <c r="B1006" s="23">
        <v>45930.0</v>
      </c>
      <c r="C1006" s="22" t="s">
        <v>1867</v>
      </c>
      <c r="D1006" s="18"/>
      <c r="E1006" s="18" t="s">
        <v>184</v>
      </c>
      <c r="F1006" s="18" t="str">
        <f>IFERROR(__xludf.DUMMYFUNCTION("if(REGEXMATCH(C1006,""x.com"")=TRUE,""Twitter"",if(REGEXMATCH(C1006,""facebook"")=TRUE,""Facebook"",if(REGEXMATCH(C1006,""instagram"")=TRUE,""Instagram"",if(REGEXMATCH(C1006,""youtube"")=TRUE,""Youtube"",if(REGEXMATCH(C1006,""tiktok"")=TRUE,""Tiktok"",if("&amp;"REGEXMATCH(C1006,""threads"")=TRUE,""Threads""))))))"),"Twitter")</f>
        <v>Twitter</v>
      </c>
      <c r="G1006" s="18" t="s">
        <v>1868</v>
      </c>
      <c r="H1006" s="18"/>
      <c r="I1006" s="18" t="s">
        <v>535</v>
      </c>
      <c r="J1006" s="18" t="s">
        <v>188</v>
      </c>
      <c r="K1006" s="18"/>
      <c r="L1006" s="15"/>
    </row>
    <row r="1007">
      <c r="A1007" s="15">
        <v>1006.0</v>
      </c>
      <c r="B1007" s="23">
        <v>45930.0</v>
      </c>
      <c r="C1007" s="22" t="s">
        <v>1869</v>
      </c>
      <c r="D1007" s="18"/>
      <c r="E1007" s="18" t="s">
        <v>184</v>
      </c>
      <c r="F1007" s="18" t="str">
        <f>IFERROR(__xludf.DUMMYFUNCTION("if(REGEXMATCH(C1007,""x.com"")=TRUE,""Twitter"",if(REGEXMATCH(C1007,""facebook"")=TRUE,""Facebook"",if(REGEXMATCH(C1007,""instagram"")=TRUE,""Instagram"",if(REGEXMATCH(C1007,""youtube"")=TRUE,""Youtube"",if(REGEXMATCH(C1007,""tiktok"")=TRUE,""Tiktok"",if("&amp;"REGEXMATCH(C1007,""threads"")=TRUE,""Threads""))))))"),"Instagram")</f>
        <v>Instagram</v>
      </c>
      <c r="G1007" s="27" t="s">
        <v>1870</v>
      </c>
      <c r="H1007" s="18"/>
      <c r="I1007" s="18" t="s">
        <v>535</v>
      </c>
      <c r="J1007" s="18" t="s">
        <v>188</v>
      </c>
      <c r="K1007" s="18" t="s">
        <v>1871</v>
      </c>
      <c r="L1007" s="15"/>
    </row>
    <row r="1008">
      <c r="A1008" s="15">
        <v>1007.0</v>
      </c>
      <c r="B1008" s="23">
        <v>45930.0</v>
      </c>
      <c r="C1008" s="22" t="s">
        <v>1872</v>
      </c>
      <c r="D1008" s="18"/>
      <c r="E1008" s="18" t="s">
        <v>1873</v>
      </c>
      <c r="F1008" s="18" t="str">
        <f>IFERROR(__xludf.DUMMYFUNCTION("if(REGEXMATCH(C1008,""x.com"")=TRUE,""Twitter"",if(REGEXMATCH(C1008,""facebook"")=TRUE,""Facebook"",if(REGEXMATCH(C1008,""instagram"")=TRUE,""Instagram"",if(REGEXMATCH(C1008,""youtube"")=TRUE,""Youtube"",if(REGEXMATCH(C1008,""tiktok"")=TRUE,""Tiktok"",if("&amp;"REGEXMATCH(C1008,""threads"")=TRUE,""Threads""))))))"),"Instagram")</f>
        <v>Instagram</v>
      </c>
      <c r="G1008" s="27" t="s">
        <v>1874</v>
      </c>
      <c r="H1008" s="18"/>
      <c r="I1008" s="18" t="s">
        <v>535</v>
      </c>
      <c r="J1008" s="18" t="s">
        <v>188</v>
      </c>
      <c r="K1008" s="18"/>
      <c r="L1008" s="15"/>
    </row>
    <row r="1009">
      <c r="A1009" s="15">
        <v>1008.0</v>
      </c>
      <c r="B1009" s="23">
        <v>45930.0</v>
      </c>
      <c r="C1009" s="22" t="s">
        <v>1875</v>
      </c>
      <c r="D1009" s="18"/>
      <c r="E1009" s="18" t="s">
        <v>197</v>
      </c>
      <c r="F1009" s="18" t="str">
        <f>IFERROR(__xludf.DUMMYFUNCTION("if(REGEXMATCH(C1009,""x.com"")=TRUE,""Twitter"",if(REGEXMATCH(C1009,""facebook"")=TRUE,""Facebook"",if(REGEXMATCH(C1009,""instagram"")=TRUE,""Instagram"",if(REGEXMATCH(C1009,""youtube"")=TRUE,""Youtube"",if(REGEXMATCH(C1009,""tiktok"")=TRUE,""Tiktok"",if("&amp;"REGEXMATCH(C1009,""threads"")=TRUE,""Threads""))))))"),"Tiktok")</f>
        <v>Tiktok</v>
      </c>
      <c r="G1009" s="18" t="s">
        <v>1876</v>
      </c>
      <c r="H1009" s="18"/>
      <c r="I1009" s="18" t="s">
        <v>535</v>
      </c>
      <c r="J1009" s="18" t="s">
        <v>188</v>
      </c>
      <c r="K1009" s="18"/>
      <c r="L1009" s="15"/>
    </row>
    <row r="1010">
      <c r="A1010" s="15">
        <v>1009.0</v>
      </c>
      <c r="B1010" s="23">
        <v>45930.0</v>
      </c>
      <c r="C1010" s="22" t="s">
        <v>1621</v>
      </c>
      <c r="D1010" s="18"/>
      <c r="E1010" s="18" t="s">
        <v>197</v>
      </c>
      <c r="F1010" s="18" t="str">
        <f>IFERROR(__xludf.DUMMYFUNCTION("if(REGEXMATCH(C1010,""x.com"")=TRUE,""Twitter"",if(REGEXMATCH(C1010,""facebook"")=TRUE,""Facebook"",if(REGEXMATCH(C1010,""instagram"")=TRUE,""Instagram"",if(REGEXMATCH(C1010,""youtube"")=TRUE,""Youtube"",if(REGEXMATCH(C1010,""tiktok"")=TRUE,""Tiktok"",if("&amp;"REGEXMATCH(C1010,""threads"")=TRUE,""Threads""))))))"),"Tiktok")</f>
        <v>Tiktok</v>
      </c>
      <c r="G1010" s="18" t="s">
        <v>1877</v>
      </c>
      <c r="H1010" s="18"/>
      <c r="I1010" s="18" t="s">
        <v>535</v>
      </c>
      <c r="J1010" s="18" t="s">
        <v>188</v>
      </c>
      <c r="K1010" s="18"/>
      <c r="L1010" s="15"/>
    </row>
    <row r="1011">
      <c r="A1011" s="15">
        <v>1010.0</v>
      </c>
      <c r="B1011" s="23">
        <v>45930.0</v>
      </c>
      <c r="C1011" s="22" t="s">
        <v>1878</v>
      </c>
      <c r="D1011" s="18"/>
      <c r="E1011" s="18" t="s">
        <v>197</v>
      </c>
      <c r="F1011" s="18" t="str">
        <f>IFERROR(__xludf.DUMMYFUNCTION("if(REGEXMATCH(C1011,""x.com"")=TRUE,""Twitter"",if(REGEXMATCH(C1011,""facebook"")=TRUE,""Facebook"",if(REGEXMATCH(C1011,""instagram"")=TRUE,""Instagram"",if(REGEXMATCH(C1011,""youtube"")=TRUE,""Youtube"",if(REGEXMATCH(C1011,""tiktok"")=TRUE,""Tiktok"",if("&amp;"REGEXMATCH(C1011,""threads"")=TRUE,""Threads""))))))"),"Tiktok")</f>
        <v>Tiktok</v>
      </c>
      <c r="G1011" s="18" t="s">
        <v>1879</v>
      </c>
      <c r="H1011" s="18"/>
      <c r="I1011" s="18" t="s">
        <v>535</v>
      </c>
      <c r="J1011" s="18" t="s">
        <v>188</v>
      </c>
      <c r="K1011" s="18"/>
      <c r="L1011" s="15"/>
    </row>
    <row r="1012">
      <c r="A1012" s="15">
        <v>1011.0</v>
      </c>
      <c r="B1012" s="23">
        <v>45930.0</v>
      </c>
      <c r="C1012" s="22" t="s">
        <v>1880</v>
      </c>
      <c r="D1012" s="18"/>
      <c r="E1012" s="18" t="s">
        <v>197</v>
      </c>
      <c r="F1012" s="18" t="str">
        <f>IFERROR(__xludf.DUMMYFUNCTION("if(REGEXMATCH(C1012,""x.com"")=TRUE,""Twitter"",if(REGEXMATCH(C1012,""facebook"")=TRUE,""Facebook"",if(REGEXMATCH(C1012,""instagram"")=TRUE,""Instagram"",if(REGEXMATCH(C1012,""youtube"")=TRUE,""Youtube"",if(REGEXMATCH(C1012,""tiktok"")=TRUE,""Tiktok"",if("&amp;"REGEXMATCH(C1012,""threads"")=TRUE,""Threads""))))))"),"Tiktok")</f>
        <v>Tiktok</v>
      </c>
      <c r="G1012" s="18" t="s">
        <v>1877</v>
      </c>
      <c r="H1012" s="18"/>
      <c r="I1012" s="18" t="s">
        <v>535</v>
      </c>
      <c r="J1012" s="18" t="s">
        <v>188</v>
      </c>
      <c r="K1012" s="18"/>
      <c r="L1012" s="15"/>
    </row>
    <row r="1013">
      <c r="A1013" s="15">
        <v>1012.0</v>
      </c>
      <c r="B1013" s="23">
        <v>45930.0</v>
      </c>
      <c r="C1013" s="22" t="s">
        <v>1881</v>
      </c>
      <c r="D1013" s="18"/>
      <c r="E1013" s="18" t="s">
        <v>197</v>
      </c>
      <c r="F1013" s="18" t="str">
        <f>IFERROR(__xludf.DUMMYFUNCTION("if(REGEXMATCH(C1013,""x.com"")=TRUE,""Twitter"",if(REGEXMATCH(C1013,""facebook"")=TRUE,""Facebook"",if(REGEXMATCH(C1013,""instagram"")=TRUE,""Instagram"",if(REGEXMATCH(C1013,""youtube"")=TRUE,""Youtube"",if(REGEXMATCH(C1013,""tiktok"")=TRUE,""Tiktok"",if("&amp;"REGEXMATCH(C1013,""threads"")=TRUE,""Threads""))))))"),"Tiktok")</f>
        <v>Tiktok</v>
      </c>
      <c r="G1013" s="18" t="s">
        <v>1882</v>
      </c>
      <c r="H1013" s="18"/>
      <c r="I1013" s="18" t="s">
        <v>535</v>
      </c>
      <c r="J1013" s="18" t="s">
        <v>188</v>
      </c>
      <c r="K1013" s="18"/>
      <c r="L1013" s="15"/>
    </row>
    <row r="1014">
      <c r="A1014" s="15">
        <v>1013.0</v>
      </c>
      <c r="B1014" s="23">
        <v>45930.0</v>
      </c>
      <c r="C1014" s="22" t="s">
        <v>1883</v>
      </c>
      <c r="D1014" s="18"/>
      <c r="E1014" s="18" t="s">
        <v>401</v>
      </c>
      <c r="F1014" s="18" t="str">
        <f>IFERROR(__xludf.DUMMYFUNCTION("if(REGEXMATCH(C1014,""x.com"")=TRUE,""Twitter"",if(REGEXMATCH(C1014,""facebook"")=TRUE,""Facebook"",if(REGEXMATCH(C1014,""instagram"")=TRUE,""Instagram"",if(REGEXMATCH(C1014,""youtube"")=TRUE,""Youtube"",if(REGEXMATCH(C1014,""tiktok"")=TRUE,""Tiktok"",if("&amp;"REGEXMATCH(C1014,""threads"")=TRUE,""Threads""))))))"),"Instagram")</f>
        <v>Instagram</v>
      </c>
      <c r="G1014" s="18" t="s">
        <v>937</v>
      </c>
      <c r="H1014" s="18" t="s">
        <v>1542</v>
      </c>
      <c r="I1014" s="18" t="s">
        <v>939</v>
      </c>
      <c r="J1014" s="18" t="s">
        <v>188</v>
      </c>
      <c r="K1014" s="18"/>
      <c r="L1014" s="15"/>
    </row>
    <row r="1015">
      <c r="A1015" s="15">
        <v>1014.0</v>
      </c>
      <c r="B1015" s="23">
        <v>45930.0</v>
      </c>
      <c r="C1015" s="22" t="s">
        <v>1884</v>
      </c>
      <c r="D1015" s="18"/>
      <c r="E1015" s="18" t="s">
        <v>401</v>
      </c>
      <c r="F1015" s="18" t="str">
        <f>IFERROR(__xludf.DUMMYFUNCTION("if(REGEXMATCH(C1015,""x.com"")=TRUE,""Twitter"",if(REGEXMATCH(C1015,""facebook"")=TRUE,""Facebook"",if(REGEXMATCH(C1015,""instagram"")=TRUE,""Instagram"",if(REGEXMATCH(C1015,""youtube"")=TRUE,""Youtube"",if(REGEXMATCH(C1015,""tiktok"")=TRUE,""Tiktok"",if("&amp;"REGEXMATCH(C1015,""threads"")=TRUE,""Threads""))))))"),"Instagram")</f>
        <v>Instagram</v>
      </c>
      <c r="G1015" s="18" t="s">
        <v>937</v>
      </c>
      <c r="H1015" s="18" t="s">
        <v>1542</v>
      </c>
      <c r="I1015" s="18" t="s">
        <v>939</v>
      </c>
      <c r="J1015" s="18" t="s">
        <v>188</v>
      </c>
      <c r="K1015" s="18"/>
      <c r="L1015" s="15"/>
    </row>
    <row r="1016">
      <c r="A1016" s="15">
        <v>1015.0</v>
      </c>
      <c r="B1016" s="23">
        <v>45930.0</v>
      </c>
      <c r="C1016" s="22" t="s">
        <v>1885</v>
      </c>
      <c r="D1016" s="18"/>
      <c r="E1016" s="18" t="s">
        <v>401</v>
      </c>
      <c r="F1016" s="18" t="str">
        <f>IFERROR(__xludf.DUMMYFUNCTION("if(REGEXMATCH(C1016,""x.com"")=TRUE,""Twitter"",if(REGEXMATCH(C1016,""facebook"")=TRUE,""Facebook"",if(REGEXMATCH(C1016,""instagram"")=TRUE,""Instagram"",if(REGEXMATCH(C1016,""youtube"")=TRUE,""Youtube"",if(REGEXMATCH(C1016,""tiktok"")=TRUE,""Tiktok"",if("&amp;"REGEXMATCH(C1016,""threads"")=TRUE,""Threads""))))))"),"Instagram")</f>
        <v>Instagram</v>
      </c>
      <c r="G1016" s="18" t="s">
        <v>937</v>
      </c>
      <c r="H1016" s="18" t="s">
        <v>1542</v>
      </c>
      <c r="I1016" s="18" t="s">
        <v>939</v>
      </c>
      <c r="J1016" s="18" t="s">
        <v>188</v>
      </c>
      <c r="K1016" s="18"/>
      <c r="L1016" s="15"/>
    </row>
    <row r="1017">
      <c r="A1017" s="15">
        <v>1016.0</v>
      </c>
      <c r="B1017" s="23">
        <v>45930.0</v>
      </c>
      <c r="C1017" s="22" t="s">
        <v>1886</v>
      </c>
      <c r="D1017" s="18"/>
      <c r="E1017" s="18" t="s">
        <v>401</v>
      </c>
      <c r="F1017" s="18" t="str">
        <f>IFERROR(__xludf.DUMMYFUNCTION("if(REGEXMATCH(C1017,""x.com"")=TRUE,""Twitter"",if(REGEXMATCH(C1017,""facebook"")=TRUE,""Facebook"",if(REGEXMATCH(C1017,""instagram"")=TRUE,""Instagram"",if(REGEXMATCH(C1017,""youtube"")=TRUE,""Youtube"",if(REGEXMATCH(C1017,""tiktok"")=TRUE,""Tiktok"",if("&amp;"REGEXMATCH(C1017,""threads"")=TRUE,""Threads""))))))"),"Instagram")</f>
        <v>Instagram</v>
      </c>
      <c r="G1017" s="18" t="s">
        <v>937</v>
      </c>
      <c r="H1017" s="18" t="s">
        <v>1542</v>
      </c>
      <c r="I1017" s="18" t="s">
        <v>939</v>
      </c>
      <c r="J1017" s="18" t="s">
        <v>188</v>
      </c>
      <c r="K1017" s="18"/>
      <c r="L1017" s="15"/>
    </row>
    <row r="1018">
      <c r="A1018" s="15">
        <v>1017.0</v>
      </c>
      <c r="B1018" s="23">
        <v>45930.0</v>
      </c>
      <c r="C1018" s="22" t="s">
        <v>1887</v>
      </c>
      <c r="D1018" s="18"/>
      <c r="E1018" s="18" t="s">
        <v>401</v>
      </c>
      <c r="F1018" s="18" t="str">
        <f>IFERROR(__xludf.DUMMYFUNCTION("if(REGEXMATCH(C1018,""x.com"")=TRUE,""Twitter"",if(REGEXMATCH(C1018,""facebook"")=TRUE,""Facebook"",if(REGEXMATCH(C1018,""instagram"")=TRUE,""Instagram"",if(REGEXMATCH(C1018,""youtube"")=TRUE,""Youtube"",if(REGEXMATCH(C1018,""tiktok"")=TRUE,""Tiktok"",if("&amp;"REGEXMATCH(C1018,""threads"")=TRUE,""Threads""))))))"),"Instagram")</f>
        <v>Instagram</v>
      </c>
      <c r="G1018" s="18" t="s">
        <v>937</v>
      </c>
      <c r="H1018" s="18" t="s">
        <v>1542</v>
      </c>
      <c r="I1018" s="18" t="s">
        <v>939</v>
      </c>
      <c r="J1018" s="18" t="s">
        <v>188</v>
      </c>
      <c r="K1018" s="18"/>
      <c r="L1018" s="15"/>
    </row>
    <row r="1019">
      <c r="A1019" s="15">
        <v>1018.0</v>
      </c>
      <c r="B1019" s="23">
        <v>45930.0</v>
      </c>
      <c r="C1019" s="33" t="s">
        <v>1888</v>
      </c>
      <c r="D1019" s="18"/>
      <c r="E1019" s="18" t="s">
        <v>1270</v>
      </c>
      <c r="F1019" s="18" t="str">
        <f>IFERROR(__xludf.DUMMYFUNCTION("if(REGEXMATCH(C1019,""x.com"")=TRUE,""Twitter"",if(REGEXMATCH(C1019,""facebook"")=TRUE,""Facebook"",if(REGEXMATCH(C1019,""instagram"")=TRUE,""Instagram"",if(REGEXMATCH(C1019,""youtube"")=TRUE,""Youtube"",if(REGEXMATCH(C1019,""tiktok"")=TRUE,""Tiktok"",if("&amp;"REGEXMATCH(C1019,""threads"")=TRUE,""Threads""))))))"),"Instagram")</f>
        <v>Instagram</v>
      </c>
      <c r="G1019" s="18" t="s">
        <v>1889</v>
      </c>
      <c r="H1019" s="18" t="s">
        <v>1320</v>
      </c>
      <c r="I1019" s="18" t="s">
        <v>1321</v>
      </c>
      <c r="J1019" s="18" t="s">
        <v>188</v>
      </c>
      <c r="K1019" s="18" t="s">
        <v>1890</v>
      </c>
      <c r="L1019" s="15"/>
    </row>
    <row r="1020">
      <c r="A1020" s="15">
        <v>1019.0</v>
      </c>
      <c r="B1020" s="23">
        <v>45930.0</v>
      </c>
      <c r="C1020" s="22" t="s">
        <v>1891</v>
      </c>
      <c r="D1020" s="18"/>
      <c r="E1020" s="18" t="s">
        <v>1892</v>
      </c>
      <c r="F1020" s="18" t="str">
        <f>IFERROR(__xludf.DUMMYFUNCTION("if(REGEXMATCH(C1020,""x.com"")=TRUE,""Twitter"",if(REGEXMATCH(C1020,""facebook"")=TRUE,""Facebook"",if(REGEXMATCH(C1020,""instagram"")=TRUE,""Instagram"",if(REGEXMATCH(C1020,""youtube"")=TRUE,""Youtube"",if(REGEXMATCH(C1020,""tiktok"")=TRUE,""Tiktok"",if("&amp;"REGEXMATCH(C1020,""threads"")=TRUE,""Threads""))))))"),"Instagram")</f>
        <v>Instagram</v>
      </c>
      <c r="G1020" s="18" t="s">
        <v>1893</v>
      </c>
      <c r="H1020" s="18" t="s">
        <v>407</v>
      </c>
      <c r="I1020" s="18" t="s">
        <v>1894</v>
      </c>
      <c r="J1020" s="18" t="s">
        <v>188</v>
      </c>
      <c r="K1020" s="18"/>
      <c r="L1020" s="15"/>
    </row>
    <row r="1021">
      <c r="A1021" s="15">
        <v>1020.0</v>
      </c>
      <c r="B1021" s="23">
        <v>45962.0</v>
      </c>
      <c r="C1021" s="30" t="s">
        <v>1895</v>
      </c>
      <c r="D1021" s="18"/>
      <c r="E1021" s="31" t="s">
        <v>197</v>
      </c>
      <c r="F1021" s="31" t="str">
        <f>IFERROR(__xludf.DUMMYFUNCTION("if(REGEXMATCH(C1021,""x.com"")=TRUE,""Twitter"",if(REGEXMATCH(C1021,""facebook"")=TRUE,""Facebook"",if(REGEXMATCH(C1021,""instagram"")=TRUE,""Instagram"",if(REGEXMATCH(C1021,""youtube"")=TRUE,""Youtube"",if(REGEXMATCH(C1021,""tiktok"")=TRUE,""Tiktok"",if("&amp;"REGEXMATCH(C1021,""threads"")=TRUE,""Threads""))))))"),"Twitter")</f>
        <v>Twitter</v>
      </c>
      <c r="G1021" s="31" t="s">
        <v>1896</v>
      </c>
      <c r="H1021" s="31" t="s">
        <v>1782</v>
      </c>
      <c r="I1021" s="31" t="s">
        <v>535</v>
      </c>
      <c r="J1021" s="31" t="s">
        <v>188</v>
      </c>
      <c r="K1021" s="31" t="s">
        <v>1611</v>
      </c>
      <c r="L1021" s="15"/>
    </row>
    <row r="1022">
      <c r="A1022" s="15">
        <v>1021.0</v>
      </c>
      <c r="B1022" s="23">
        <v>45962.0</v>
      </c>
      <c r="C1022" s="30" t="s">
        <v>1897</v>
      </c>
      <c r="D1022" s="18"/>
      <c r="E1022" s="31" t="s">
        <v>197</v>
      </c>
      <c r="F1022" s="31" t="str">
        <f>IFERROR(__xludf.DUMMYFUNCTION("if(REGEXMATCH(C1022,""x.com"")=TRUE,""Twitter"",if(REGEXMATCH(C1022,""facebook"")=TRUE,""Facebook"",if(REGEXMATCH(C1022,""instagram"")=TRUE,""Instagram"",if(REGEXMATCH(C1022,""youtube"")=TRUE,""Youtube"",if(REGEXMATCH(C1022,""tiktok"")=TRUE,""Tiktok"",if("&amp;"REGEXMATCH(C1022,""threads"")=TRUE,""Threads""))))))"),"Twitter")</f>
        <v>Twitter</v>
      </c>
      <c r="G1022" s="31" t="s">
        <v>1898</v>
      </c>
      <c r="H1022" s="31" t="s">
        <v>1782</v>
      </c>
      <c r="I1022" s="31" t="s">
        <v>535</v>
      </c>
      <c r="J1022" s="31" t="s">
        <v>188</v>
      </c>
      <c r="K1022" s="31" t="s">
        <v>1611</v>
      </c>
      <c r="L1022" s="15"/>
    </row>
    <row r="1023">
      <c r="A1023" s="15">
        <v>1022.0</v>
      </c>
      <c r="B1023" s="23">
        <v>45962.0</v>
      </c>
      <c r="C1023" s="30" t="s">
        <v>1899</v>
      </c>
      <c r="D1023" s="18"/>
      <c r="E1023" s="31" t="s">
        <v>197</v>
      </c>
      <c r="F1023" s="31" t="str">
        <f>IFERROR(__xludf.DUMMYFUNCTION("if(REGEXMATCH(C1023,""x.com"")=TRUE,""Twitter"",if(REGEXMATCH(C1023,""facebook"")=TRUE,""Facebook"",if(REGEXMATCH(C1023,""instagram"")=TRUE,""Instagram"",if(REGEXMATCH(C1023,""youtube"")=TRUE,""Youtube"",if(REGEXMATCH(C1023,""tiktok"")=TRUE,""Tiktok"",if("&amp;"REGEXMATCH(C1023,""threads"")=TRUE,""Threads""))))))"),"Twitter")</f>
        <v>Twitter</v>
      </c>
      <c r="G1023" s="31" t="s">
        <v>1900</v>
      </c>
      <c r="H1023" s="31" t="s">
        <v>1782</v>
      </c>
      <c r="I1023" s="31" t="s">
        <v>535</v>
      </c>
      <c r="J1023" s="31" t="s">
        <v>188</v>
      </c>
      <c r="K1023" s="31" t="s">
        <v>1611</v>
      </c>
      <c r="L1023" s="15"/>
    </row>
    <row r="1024">
      <c r="A1024" s="15">
        <v>1023.0</v>
      </c>
      <c r="B1024" s="23">
        <v>45962.0</v>
      </c>
      <c r="C1024" s="30" t="s">
        <v>1901</v>
      </c>
      <c r="D1024" s="18"/>
      <c r="E1024" s="31" t="s">
        <v>197</v>
      </c>
      <c r="F1024" s="31" t="str">
        <f>IFERROR(__xludf.DUMMYFUNCTION("if(REGEXMATCH(C1024,""x.com"")=TRUE,""Twitter"",if(REGEXMATCH(C1024,""facebook"")=TRUE,""Facebook"",if(REGEXMATCH(C1024,""instagram"")=TRUE,""Instagram"",if(REGEXMATCH(C1024,""youtube"")=TRUE,""Youtube"",if(REGEXMATCH(C1024,""tiktok"")=TRUE,""Tiktok"",if("&amp;"REGEXMATCH(C1024,""threads"")=TRUE,""Threads""))))))"),"Twitter")</f>
        <v>Twitter</v>
      </c>
      <c r="G1024" s="31" t="s">
        <v>1902</v>
      </c>
      <c r="H1024" s="31" t="s">
        <v>1782</v>
      </c>
      <c r="I1024" s="31" t="s">
        <v>535</v>
      </c>
      <c r="J1024" s="31" t="s">
        <v>188</v>
      </c>
      <c r="K1024" s="31" t="s">
        <v>1611</v>
      </c>
      <c r="L1024" s="15"/>
    </row>
    <row r="1025">
      <c r="A1025" s="15">
        <v>1024.0</v>
      </c>
      <c r="B1025" s="23">
        <v>45962.0</v>
      </c>
      <c r="C1025" s="30" t="s">
        <v>1903</v>
      </c>
      <c r="D1025" s="18"/>
      <c r="E1025" s="31" t="s">
        <v>197</v>
      </c>
      <c r="F1025" s="31" t="str">
        <f>IFERROR(__xludf.DUMMYFUNCTION("if(REGEXMATCH(C1025,""x.com"")=TRUE,""Twitter"",if(REGEXMATCH(C1025,""facebook"")=TRUE,""Facebook"",if(REGEXMATCH(C1025,""instagram"")=TRUE,""Instagram"",if(REGEXMATCH(C1025,""youtube"")=TRUE,""Youtube"",if(REGEXMATCH(C1025,""tiktok"")=TRUE,""Tiktok"",if("&amp;"REGEXMATCH(C1025,""threads"")=TRUE,""Threads""))))))"),"Twitter")</f>
        <v>Twitter</v>
      </c>
      <c r="G1025" s="31" t="s">
        <v>1904</v>
      </c>
      <c r="H1025" s="31" t="s">
        <v>1782</v>
      </c>
      <c r="I1025" s="31" t="s">
        <v>535</v>
      </c>
      <c r="J1025" s="31" t="s">
        <v>188</v>
      </c>
      <c r="K1025" s="31" t="s">
        <v>1611</v>
      </c>
      <c r="L1025" s="15"/>
    </row>
    <row r="1026">
      <c r="A1026" s="15">
        <v>1025.0</v>
      </c>
      <c r="B1026" s="23">
        <v>45962.0</v>
      </c>
      <c r="C1026" s="25" t="s">
        <v>1905</v>
      </c>
      <c r="D1026" s="18"/>
      <c r="E1026" s="31" t="s">
        <v>197</v>
      </c>
      <c r="F1026" s="31" t="str">
        <f>IFERROR(__xludf.DUMMYFUNCTION("if(REGEXMATCH(C1026,""x.com"")=TRUE,""Twitter"",if(REGEXMATCH(C1026,""facebook"")=TRUE,""Facebook"",if(REGEXMATCH(C1026,""instagram"")=TRUE,""Instagram"",if(REGEXMATCH(C1026,""youtube"")=TRUE,""Youtube"",if(REGEXMATCH(C1026,""tiktok"")=TRUE,""Tiktok"",if("&amp;"REGEXMATCH(C1026,""threads"")=TRUE,""Threads""))))))"),"Facebook")</f>
        <v>Facebook</v>
      </c>
      <c r="G1026" s="31" t="s">
        <v>1902</v>
      </c>
      <c r="H1026" s="31" t="s">
        <v>1782</v>
      </c>
      <c r="I1026" s="31" t="s">
        <v>535</v>
      </c>
      <c r="J1026" s="31" t="s">
        <v>188</v>
      </c>
      <c r="K1026" s="31" t="s">
        <v>1611</v>
      </c>
      <c r="L1026" s="15"/>
    </row>
    <row r="1027">
      <c r="A1027" s="15">
        <v>1026.0</v>
      </c>
      <c r="B1027" s="23">
        <v>45962.0</v>
      </c>
      <c r="C1027" s="30" t="s">
        <v>1906</v>
      </c>
      <c r="D1027" s="18"/>
      <c r="E1027" s="31" t="s">
        <v>197</v>
      </c>
      <c r="F1027" s="31" t="str">
        <f>IFERROR(__xludf.DUMMYFUNCTION("if(REGEXMATCH(C1027,""x.com"")=TRUE,""Twitter"",if(REGEXMATCH(C1027,""facebook"")=TRUE,""Facebook"",if(REGEXMATCH(C1027,""instagram"")=TRUE,""Instagram"",if(REGEXMATCH(C1027,""youtube"")=TRUE,""Youtube"",if(REGEXMATCH(C1027,""tiktok"")=TRUE,""Tiktok"",if("&amp;"REGEXMATCH(C1027,""threads"")=TRUE,""Threads""))))))"),"Facebook")</f>
        <v>Facebook</v>
      </c>
      <c r="G1027" s="31" t="s">
        <v>1902</v>
      </c>
      <c r="H1027" s="31" t="s">
        <v>1782</v>
      </c>
      <c r="I1027" s="31" t="s">
        <v>535</v>
      </c>
      <c r="J1027" s="31" t="s">
        <v>188</v>
      </c>
      <c r="K1027" s="31" t="s">
        <v>1611</v>
      </c>
      <c r="L1027" s="15"/>
    </row>
    <row r="1028">
      <c r="A1028" s="15">
        <v>1027.0</v>
      </c>
      <c r="B1028" s="23">
        <v>45962.0</v>
      </c>
      <c r="C1028" s="30" t="s">
        <v>1907</v>
      </c>
      <c r="D1028" s="18"/>
      <c r="E1028" s="31" t="s">
        <v>197</v>
      </c>
      <c r="F1028" s="31" t="str">
        <f>IFERROR(__xludf.DUMMYFUNCTION("if(REGEXMATCH(C1028,""x.com"")=TRUE,""Twitter"",if(REGEXMATCH(C1028,""facebook"")=TRUE,""Facebook"",if(REGEXMATCH(C1028,""instagram"")=TRUE,""Instagram"",if(REGEXMATCH(C1028,""youtube"")=TRUE,""Youtube"",if(REGEXMATCH(C1028,""tiktok"")=TRUE,""Tiktok"",if("&amp;"REGEXMATCH(C1028,""threads"")=TRUE,""Threads""))))))"),"Twitter")</f>
        <v>Twitter</v>
      </c>
      <c r="G1028" s="31" t="s">
        <v>1908</v>
      </c>
      <c r="H1028" s="31" t="s">
        <v>1782</v>
      </c>
      <c r="I1028" s="31" t="s">
        <v>535</v>
      </c>
      <c r="J1028" s="31" t="s">
        <v>188</v>
      </c>
      <c r="K1028" s="31" t="s">
        <v>1611</v>
      </c>
      <c r="L1028" s="15"/>
    </row>
    <row r="1029">
      <c r="A1029" s="15">
        <v>1028.0</v>
      </c>
      <c r="B1029" s="23">
        <v>45962.0</v>
      </c>
      <c r="C1029" s="30" t="s">
        <v>1909</v>
      </c>
      <c r="D1029" s="18"/>
      <c r="E1029" s="31" t="s">
        <v>197</v>
      </c>
      <c r="F1029" s="31" t="str">
        <f>IFERROR(__xludf.DUMMYFUNCTION("if(REGEXMATCH(C1029,""x.com"")=TRUE,""Twitter"",if(REGEXMATCH(C1029,""facebook"")=TRUE,""Facebook"",if(REGEXMATCH(C1029,""instagram"")=TRUE,""Instagram"",if(REGEXMATCH(C1029,""youtube"")=TRUE,""Youtube"",if(REGEXMATCH(C1029,""tiktok"")=TRUE,""Tiktok"",if("&amp;"REGEXMATCH(C1029,""threads"")=TRUE,""Threads""))))))"),"Twitter")</f>
        <v>Twitter</v>
      </c>
      <c r="G1029" s="31" t="s">
        <v>1910</v>
      </c>
      <c r="H1029" s="31" t="s">
        <v>1782</v>
      </c>
      <c r="I1029" s="31" t="s">
        <v>535</v>
      </c>
      <c r="J1029" s="31" t="s">
        <v>188</v>
      </c>
      <c r="K1029" s="18"/>
      <c r="L1029" s="15"/>
    </row>
    <row r="1030">
      <c r="A1030" s="15">
        <v>1029.0</v>
      </c>
      <c r="B1030" s="23">
        <v>45962.0</v>
      </c>
      <c r="C1030" s="30" t="s">
        <v>1911</v>
      </c>
      <c r="D1030" s="18"/>
      <c r="E1030" s="31" t="s">
        <v>197</v>
      </c>
      <c r="F1030" s="31" t="str">
        <f>IFERROR(__xludf.DUMMYFUNCTION("if(REGEXMATCH(C1030,""x.com"")=TRUE,""Twitter"",if(REGEXMATCH(C1030,""facebook"")=TRUE,""Facebook"",if(REGEXMATCH(C1030,""instagram"")=TRUE,""Instagram"",if(REGEXMATCH(C1030,""youtube"")=TRUE,""Youtube"",if(REGEXMATCH(C1030,""tiktok"")=TRUE,""Tiktok"",if("&amp;"REGEXMATCH(C1030,""threads"")=TRUE,""Threads""))))))"),"Facebook")</f>
        <v>Facebook</v>
      </c>
      <c r="G1030" s="31" t="s">
        <v>1912</v>
      </c>
      <c r="H1030" s="31" t="s">
        <v>1782</v>
      </c>
      <c r="I1030" s="31" t="s">
        <v>535</v>
      </c>
      <c r="J1030" s="31" t="s">
        <v>188</v>
      </c>
      <c r="K1030" s="18"/>
      <c r="L1030" s="15"/>
    </row>
    <row r="1031">
      <c r="A1031" s="15">
        <v>1030.0</v>
      </c>
      <c r="B1031" s="23">
        <v>45962.0</v>
      </c>
      <c r="C1031" s="25" t="s">
        <v>1913</v>
      </c>
      <c r="D1031" s="18"/>
      <c r="E1031" s="31" t="s">
        <v>577</v>
      </c>
      <c r="F1031" s="31" t="str">
        <f>IFERROR(__xludf.DUMMYFUNCTION("if(REGEXMATCH(C1031,""x.com"")=TRUE,""Twitter"",if(REGEXMATCH(C1031,""facebook"")=TRUE,""Facebook"",if(REGEXMATCH(C1031,""instagram"")=TRUE,""Instagram"",if(REGEXMATCH(C1031,""youtube"")=TRUE,""Youtube"",if(REGEXMATCH(C1031,""tiktok"")=TRUE,""Tiktok"",if("&amp;"REGEXMATCH(C1031,""threads"")=TRUE,""Threads""))))))"),"Instagram")</f>
        <v>Instagram</v>
      </c>
      <c r="G1031" s="31" t="s">
        <v>822</v>
      </c>
      <c r="H1031" s="31" t="s">
        <v>407</v>
      </c>
      <c r="I1031" s="31" t="s">
        <v>1914</v>
      </c>
      <c r="J1031" s="31" t="s">
        <v>188</v>
      </c>
      <c r="K1031" s="18"/>
      <c r="L1031" s="15"/>
    </row>
    <row r="1032">
      <c r="A1032" s="15">
        <v>1031.0</v>
      </c>
      <c r="B1032" s="23">
        <v>45962.0</v>
      </c>
      <c r="C1032" s="25" t="s">
        <v>1915</v>
      </c>
      <c r="D1032" s="18"/>
      <c r="E1032" s="31" t="s">
        <v>577</v>
      </c>
      <c r="F1032" s="31" t="str">
        <f>IFERROR(__xludf.DUMMYFUNCTION("if(REGEXMATCH(C1032,""x.com"")=TRUE,""Twitter"",if(REGEXMATCH(C1032,""facebook"")=TRUE,""Facebook"",if(REGEXMATCH(C1032,""instagram"")=TRUE,""Instagram"",if(REGEXMATCH(C1032,""youtube"")=TRUE,""Youtube"",if(REGEXMATCH(C1032,""tiktok"")=TRUE,""Tiktok"",if("&amp;"REGEXMATCH(C1032,""threads"")=TRUE,""Threads""))))))"),"Instagram")</f>
        <v>Instagram</v>
      </c>
      <c r="G1032" s="31" t="s">
        <v>822</v>
      </c>
      <c r="H1032" s="31" t="s">
        <v>407</v>
      </c>
      <c r="I1032" s="31" t="s">
        <v>1914</v>
      </c>
      <c r="J1032" s="31" t="s">
        <v>188</v>
      </c>
      <c r="K1032" s="18"/>
      <c r="L1032" s="15"/>
    </row>
    <row r="1033">
      <c r="A1033" s="15">
        <v>1032.0</v>
      </c>
      <c r="B1033" s="23">
        <v>45962.0</v>
      </c>
      <c r="C1033" s="25" t="s">
        <v>1916</v>
      </c>
      <c r="D1033" s="18"/>
      <c r="E1033" s="31" t="s">
        <v>577</v>
      </c>
      <c r="F1033" s="31" t="str">
        <f>IFERROR(__xludf.DUMMYFUNCTION("if(REGEXMATCH(C1033,""x.com"")=TRUE,""Twitter"",if(REGEXMATCH(C1033,""facebook"")=TRUE,""Facebook"",if(REGEXMATCH(C1033,""instagram"")=TRUE,""Instagram"",if(REGEXMATCH(C1033,""youtube"")=TRUE,""Youtube"",if(REGEXMATCH(C1033,""tiktok"")=TRUE,""Tiktok"",if("&amp;"REGEXMATCH(C1033,""threads"")=TRUE,""Threads""))))))"),"Facebook")</f>
        <v>Facebook</v>
      </c>
      <c r="G1033" s="31" t="s">
        <v>822</v>
      </c>
      <c r="H1033" s="31" t="s">
        <v>407</v>
      </c>
      <c r="I1033" s="31" t="s">
        <v>1914</v>
      </c>
      <c r="J1033" s="31" t="s">
        <v>188</v>
      </c>
      <c r="K1033" s="18"/>
      <c r="L1033" s="15"/>
    </row>
    <row r="1034">
      <c r="A1034" s="15">
        <v>1033.0</v>
      </c>
      <c r="B1034" s="23">
        <v>45962.0</v>
      </c>
      <c r="C1034" s="30" t="s">
        <v>1917</v>
      </c>
      <c r="D1034" s="18"/>
      <c r="E1034" s="31" t="s">
        <v>577</v>
      </c>
      <c r="F1034" s="31" t="str">
        <f>IFERROR(__xludf.DUMMYFUNCTION("if(REGEXMATCH(C1034,""x.com"")=TRUE,""Twitter"",if(REGEXMATCH(C1034,""facebook"")=TRUE,""Facebook"",if(REGEXMATCH(C1034,""instagram"")=TRUE,""Instagram"",if(REGEXMATCH(C1034,""youtube"")=TRUE,""Youtube"",if(REGEXMATCH(C1034,""tiktok"")=TRUE,""Tiktok"",if("&amp;"REGEXMATCH(C1034,""threads"")=TRUE,""Threads""))))))"),"Facebook")</f>
        <v>Facebook</v>
      </c>
      <c r="G1034" s="31" t="s">
        <v>822</v>
      </c>
      <c r="H1034" s="31" t="s">
        <v>407</v>
      </c>
      <c r="I1034" s="31" t="s">
        <v>1914</v>
      </c>
      <c r="J1034" s="31" t="s">
        <v>188</v>
      </c>
      <c r="K1034" s="18"/>
      <c r="L1034" s="15"/>
    </row>
    <row r="1035">
      <c r="A1035" s="15">
        <v>1034.0</v>
      </c>
      <c r="B1035" s="23">
        <v>45963.0</v>
      </c>
      <c r="C1035" s="30" t="s">
        <v>1918</v>
      </c>
      <c r="D1035" s="18"/>
      <c r="E1035" s="31" t="s">
        <v>184</v>
      </c>
      <c r="F1035" s="31" t="str">
        <f>IFERROR(__xludf.DUMMYFUNCTION("if(REGEXMATCH(C1035,""x.com"")=TRUE,""Twitter"",if(REGEXMATCH(C1035,""facebook"")=TRUE,""Facebook"",if(REGEXMATCH(C1035,""instagram"")=TRUE,""Instagram"",if(REGEXMATCH(C1035,""youtube"")=TRUE,""Youtube"",if(REGEXMATCH(C1035,""tiktok"")=TRUE,""Tiktok"",if("&amp;"REGEXMATCH(C1035,""threads"")=TRUE,""Threads""))))))"),"Facebook")</f>
        <v>Facebook</v>
      </c>
      <c r="G1035" s="31" t="s">
        <v>822</v>
      </c>
      <c r="H1035" s="31" t="s">
        <v>407</v>
      </c>
      <c r="I1035" s="31" t="s">
        <v>1914</v>
      </c>
      <c r="J1035" s="31" t="s">
        <v>188</v>
      </c>
      <c r="K1035" s="18"/>
      <c r="L1035" s="15"/>
    </row>
    <row r="1036">
      <c r="A1036" s="15">
        <v>1035.0</v>
      </c>
      <c r="B1036" s="23">
        <v>45963.0</v>
      </c>
      <c r="C1036" s="30" t="s">
        <v>1919</v>
      </c>
      <c r="D1036" s="18"/>
      <c r="E1036" s="31" t="s">
        <v>184</v>
      </c>
      <c r="F1036" s="31" t="str">
        <f>IFERROR(__xludf.DUMMYFUNCTION("if(REGEXMATCH(C1036,""x.com"")=TRUE,""Twitter"",if(REGEXMATCH(C1036,""facebook"")=TRUE,""Facebook"",if(REGEXMATCH(C1036,""instagram"")=TRUE,""Instagram"",if(REGEXMATCH(C1036,""youtube"")=TRUE,""Youtube"",if(REGEXMATCH(C1036,""tiktok"")=TRUE,""Tiktok"",if("&amp;"REGEXMATCH(C1036,""threads"")=TRUE,""Threads""))))))"),"Facebook")</f>
        <v>Facebook</v>
      </c>
      <c r="G1036" s="31" t="s">
        <v>822</v>
      </c>
      <c r="H1036" s="31" t="s">
        <v>407</v>
      </c>
      <c r="I1036" s="31" t="s">
        <v>1914</v>
      </c>
      <c r="J1036" s="31" t="s">
        <v>188</v>
      </c>
      <c r="K1036" s="18"/>
      <c r="L1036" s="15"/>
    </row>
    <row r="1037">
      <c r="A1037" s="15">
        <v>1036.0</v>
      </c>
      <c r="B1037" s="23">
        <v>45963.0</v>
      </c>
      <c r="C1037" s="30" t="s">
        <v>1920</v>
      </c>
      <c r="D1037" s="18"/>
      <c r="E1037" s="31" t="s">
        <v>401</v>
      </c>
      <c r="F1037" s="31" t="str">
        <f>IFERROR(__xludf.DUMMYFUNCTION("if(REGEXMATCH(C1037,""x.com"")=TRUE,""Twitter"",if(REGEXMATCH(C1037,""facebook"")=TRUE,""Facebook"",if(REGEXMATCH(C1037,""instagram"")=TRUE,""Instagram"",if(REGEXMATCH(C1037,""youtube"")=TRUE,""Youtube"",if(REGEXMATCH(C1037,""tiktok"")=TRUE,""Tiktok"",if("&amp;"REGEXMATCH(C1037,""threads"")=TRUE,""Threads""))))))"),"Facebook")</f>
        <v>Facebook</v>
      </c>
      <c r="G1037" s="31" t="s">
        <v>937</v>
      </c>
      <c r="H1037" s="31" t="s">
        <v>1542</v>
      </c>
      <c r="I1037" s="31" t="s">
        <v>939</v>
      </c>
      <c r="J1037" s="31" t="s">
        <v>188</v>
      </c>
      <c r="K1037" s="31" t="s">
        <v>1921</v>
      </c>
      <c r="L1037" s="15"/>
    </row>
    <row r="1038">
      <c r="A1038" s="15">
        <v>1037.0</v>
      </c>
      <c r="B1038" s="23">
        <v>45963.0</v>
      </c>
      <c r="C1038" s="30" t="s">
        <v>1922</v>
      </c>
      <c r="D1038" s="18"/>
      <c r="E1038" s="31" t="s">
        <v>401</v>
      </c>
      <c r="F1038" s="31" t="str">
        <f>IFERROR(__xludf.DUMMYFUNCTION("if(REGEXMATCH(C1038,""x.com"")=TRUE,""Twitter"",if(REGEXMATCH(C1038,""facebook"")=TRUE,""Facebook"",if(REGEXMATCH(C1038,""instagram"")=TRUE,""Instagram"",if(REGEXMATCH(C1038,""youtube"")=TRUE,""Youtube"",if(REGEXMATCH(C1038,""tiktok"")=TRUE,""Tiktok"",if("&amp;"REGEXMATCH(C1038,""threads"")=TRUE,""Threads""))))))"),"Facebook")</f>
        <v>Facebook</v>
      </c>
      <c r="G1038" s="31" t="s">
        <v>937</v>
      </c>
      <c r="H1038" s="31" t="s">
        <v>1542</v>
      </c>
      <c r="I1038" s="31" t="s">
        <v>939</v>
      </c>
      <c r="J1038" s="31" t="s">
        <v>188</v>
      </c>
      <c r="K1038" s="31" t="s">
        <v>1921</v>
      </c>
      <c r="L1038" s="15"/>
    </row>
    <row r="1039">
      <c r="A1039" s="15">
        <v>1038.0</v>
      </c>
      <c r="B1039" s="23">
        <v>45963.0</v>
      </c>
      <c r="C1039" s="30" t="s">
        <v>1923</v>
      </c>
      <c r="D1039" s="18"/>
      <c r="E1039" s="31" t="s">
        <v>401</v>
      </c>
      <c r="F1039" s="31" t="str">
        <f>IFERROR(__xludf.DUMMYFUNCTION("if(REGEXMATCH(C1039,""x.com"")=TRUE,""Twitter"",if(REGEXMATCH(C1039,""facebook"")=TRUE,""Facebook"",if(REGEXMATCH(C1039,""instagram"")=TRUE,""Instagram"",if(REGEXMATCH(C1039,""youtube"")=TRUE,""Youtube"",if(REGEXMATCH(C1039,""tiktok"")=TRUE,""Tiktok"",if("&amp;"REGEXMATCH(C1039,""threads"")=TRUE,""Threads""))))))"),"Facebook")</f>
        <v>Facebook</v>
      </c>
      <c r="G1039" s="31" t="s">
        <v>937</v>
      </c>
      <c r="H1039" s="31" t="s">
        <v>1542</v>
      </c>
      <c r="I1039" s="31" t="s">
        <v>939</v>
      </c>
      <c r="J1039" s="31" t="s">
        <v>188</v>
      </c>
      <c r="K1039" s="31" t="s">
        <v>1921</v>
      </c>
      <c r="L1039" s="15"/>
    </row>
    <row r="1040">
      <c r="A1040" s="15">
        <v>1039.0</v>
      </c>
      <c r="B1040" s="23">
        <v>45963.0</v>
      </c>
      <c r="C1040" s="30" t="s">
        <v>1924</v>
      </c>
      <c r="D1040" s="18"/>
      <c r="E1040" s="31" t="s">
        <v>197</v>
      </c>
      <c r="F1040" s="31" t="str">
        <f>IFERROR(__xludf.DUMMYFUNCTION("if(REGEXMATCH(C1040,""x.com"")=TRUE,""Twitter"",if(REGEXMATCH(C1040,""facebook"")=TRUE,""Facebook"",if(REGEXMATCH(C1040,""instagram"")=TRUE,""Instagram"",if(REGEXMATCH(C1040,""youtube"")=TRUE,""Youtube"",if(REGEXMATCH(C1040,""tiktok"")=TRUE,""Tiktok"",if("&amp;"REGEXMATCH(C1040,""threads"")=TRUE,""Threads""))))))"),"Twitter")</f>
        <v>Twitter</v>
      </c>
      <c r="G1040" s="31" t="s">
        <v>1896</v>
      </c>
      <c r="H1040" s="31" t="s">
        <v>1782</v>
      </c>
      <c r="I1040" s="31" t="s">
        <v>535</v>
      </c>
      <c r="J1040" s="31" t="s">
        <v>188</v>
      </c>
      <c r="K1040" s="31" t="s">
        <v>1611</v>
      </c>
      <c r="L1040" s="15"/>
    </row>
    <row r="1041">
      <c r="A1041" s="15">
        <v>1040.0</v>
      </c>
      <c r="B1041" s="23">
        <v>45963.0</v>
      </c>
      <c r="C1041" s="30" t="s">
        <v>1925</v>
      </c>
      <c r="D1041" s="18"/>
      <c r="E1041" s="31" t="s">
        <v>197</v>
      </c>
      <c r="F1041" s="31" t="str">
        <f>IFERROR(__xludf.DUMMYFUNCTION("if(REGEXMATCH(C1041,""x.com"")=TRUE,""Twitter"",if(REGEXMATCH(C1041,""facebook"")=TRUE,""Facebook"",if(REGEXMATCH(C1041,""instagram"")=TRUE,""Instagram"",if(REGEXMATCH(C1041,""youtube"")=TRUE,""Youtube"",if(REGEXMATCH(C1041,""tiktok"")=TRUE,""Tiktok"",if("&amp;"REGEXMATCH(C1041,""threads"")=TRUE,""Threads""))))))"),"Twitter")</f>
        <v>Twitter</v>
      </c>
      <c r="G1041" s="31" t="s">
        <v>1926</v>
      </c>
      <c r="H1041" s="31" t="s">
        <v>1782</v>
      </c>
      <c r="I1041" s="31" t="s">
        <v>535</v>
      </c>
      <c r="J1041" s="31" t="s">
        <v>188</v>
      </c>
      <c r="K1041" s="31" t="s">
        <v>1611</v>
      </c>
      <c r="L1041" s="15"/>
    </row>
    <row r="1042">
      <c r="A1042" s="15">
        <v>1041.0</v>
      </c>
      <c r="B1042" s="23">
        <v>45963.0</v>
      </c>
      <c r="C1042" s="30" t="s">
        <v>1927</v>
      </c>
      <c r="D1042" s="18"/>
      <c r="E1042" s="31" t="s">
        <v>197</v>
      </c>
      <c r="F1042" s="31" t="str">
        <f>IFERROR(__xludf.DUMMYFUNCTION("if(REGEXMATCH(C1042,""x.com"")=TRUE,""Twitter"",if(REGEXMATCH(C1042,""facebook"")=TRUE,""Facebook"",if(REGEXMATCH(C1042,""instagram"")=TRUE,""Instagram"",if(REGEXMATCH(C1042,""youtube"")=TRUE,""Youtube"",if(REGEXMATCH(C1042,""tiktok"")=TRUE,""Tiktok"",if("&amp;"REGEXMATCH(C1042,""threads"")=TRUE,""Threads""))))))"),"Facebook")</f>
        <v>Facebook</v>
      </c>
      <c r="G1042" s="31" t="s">
        <v>1928</v>
      </c>
      <c r="H1042" s="31" t="s">
        <v>1782</v>
      </c>
      <c r="I1042" s="31" t="s">
        <v>535</v>
      </c>
      <c r="J1042" s="31" t="s">
        <v>188</v>
      </c>
      <c r="K1042" s="31" t="s">
        <v>1611</v>
      </c>
      <c r="L1042" s="15"/>
    </row>
    <row r="1043">
      <c r="A1043" s="15">
        <v>1042.0</v>
      </c>
      <c r="B1043" s="23">
        <v>45963.0</v>
      </c>
      <c r="C1043" s="30" t="s">
        <v>1929</v>
      </c>
      <c r="D1043" s="18"/>
      <c r="E1043" s="31" t="s">
        <v>197</v>
      </c>
      <c r="F1043" s="31" t="str">
        <f>IFERROR(__xludf.DUMMYFUNCTION("if(REGEXMATCH(C1043,""x.com"")=TRUE,""Twitter"",if(REGEXMATCH(C1043,""facebook"")=TRUE,""Facebook"",if(REGEXMATCH(C1043,""instagram"")=TRUE,""Instagram"",if(REGEXMATCH(C1043,""youtube"")=TRUE,""Youtube"",if(REGEXMATCH(C1043,""tiktok"")=TRUE,""Tiktok"",if("&amp;"REGEXMATCH(C1043,""threads"")=TRUE,""Threads""))))))"),"Twitter")</f>
        <v>Twitter</v>
      </c>
      <c r="G1043" s="31" t="s">
        <v>1930</v>
      </c>
      <c r="H1043" s="31" t="s">
        <v>1782</v>
      </c>
      <c r="I1043" s="31" t="s">
        <v>535</v>
      </c>
      <c r="J1043" s="31" t="s">
        <v>188</v>
      </c>
      <c r="K1043" s="31" t="s">
        <v>1611</v>
      </c>
      <c r="L1043" s="15"/>
    </row>
    <row r="1044">
      <c r="A1044" s="15">
        <v>1043.0</v>
      </c>
      <c r="B1044" s="23">
        <v>45963.0</v>
      </c>
      <c r="C1044" s="30" t="s">
        <v>1931</v>
      </c>
      <c r="D1044" s="18"/>
      <c r="E1044" s="31" t="s">
        <v>372</v>
      </c>
      <c r="F1044" s="31" t="str">
        <f>IFERROR(__xludf.DUMMYFUNCTION("if(REGEXMATCH(C1044,""x.com"")=TRUE,""Twitter"",if(REGEXMATCH(C1044,""facebook"")=TRUE,""Facebook"",if(REGEXMATCH(C1044,""instagram"")=TRUE,""Instagram"",if(REGEXMATCH(C1044,""youtube"")=TRUE,""Youtube"",if(REGEXMATCH(C1044,""tiktok"")=TRUE,""Tiktok"",if("&amp;"REGEXMATCH(C1044,""threads"")=TRUE,""Threads""))))))"),"Facebook")</f>
        <v>Facebook</v>
      </c>
      <c r="G1044" s="31" t="s">
        <v>1932</v>
      </c>
      <c r="H1044" s="31" t="s">
        <v>1782</v>
      </c>
      <c r="I1044" s="31" t="s">
        <v>535</v>
      </c>
      <c r="J1044" s="31" t="s">
        <v>188</v>
      </c>
      <c r="K1044" s="31" t="s">
        <v>1611</v>
      </c>
      <c r="L1044" s="15"/>
    </row>
    <row r="1045">
      <c r="A1045" s="15">
        <v>1044.0</v>
      </c>
      <c r="B1045" s="23">
        <v>45963.0</v>
      </c>
      <c r="C1045" s="30" t="s">
        <v>1933</v>
      </c>
      <c r="D1045" s="18"/>
      <c r="E1045" s="31" t="s">
        <v>197</v>
      </c>
      <c r="F1045" s="31" t="str">
        <f>IFERROR(__xludf.DUMMYFUNCTION("if(REGEXMATCH(C1045,""x.com"")=TRUE,""Twitter"",if(REGEXMATCH(C1045,""facebook"")=TRUE,""Facebook"",if(REGEXMATCH(C1045,""instagram"")=TRUE,""Instagram"",if(REGEXMATCH(C1045,""youtube"")=TRUE,""Youtube"",if(REGEXMATCH(C1045,""tiktok"")=TRUE,""Tiktok"",if("&amp;"REGEXMATCH(C1045,""threads"")=TRUE,""Threads""))))))"),"Twitter")</f>
        <v>Twitter</v>
      </c>
      <c r="G1045" s="31" t="s">
        <v>1934</v>
      </c>
      <c r="H1045" s="31" t="s">
        <v>1782</v>
      </c>
      <c r="I1045" s="31" t="s">
        <v>535</v>
      </c>
      <c r="J1045" s="31" t="s">
        <v>188</v>
      </c>
      <c r="K1045" s="31" t="s">
        <v>1611</v>
      </c>
      <c r="L1045" s="15"/>
    </row>
    <row r="1046">
      <c r="A1046" s="15">
        <v>1045.0</v>
      </c>
      <c r="B1046" s="23">
        <v>45963.0</v>
      </c>
      <c r="C1046" s="30" t="s">
        <v>1935</v>
      </c>
      <c r="D1046" s="18"/>
      <c r="E1046" s="31" t="s">
        <v>197</v>
      </c>
      <c r="F1046" s="31" t="str">
        <f>IFERROR(__xludf.DUMMYFUNCTION("if(REGEXMATCH(C1046,""x.com"")=TRUE,""Twitter"",if(REGEXMATCH(C1046,""facebook"")=TRUE,""Facebook"",if(REGEXMATCH(C1046,""instagram"")=TRUE,""Instagram"",if(REGEXMATCH(C1046,""youtube"")=TRUE,""Youtube"",if(REGEXMATCH(C1046,""tiktok"")=TRUE,""Tiktok"",if("&amp;"REGEXMATCH(C1046,""threads"")=TRUE,""Threads""))))))"),"Twitter")</f>
        <v>Twitter</v>
      </c>
      <c r="G1046" s="31" t="s">
        <v>1936</v>
      </c>
      <c r="H1046" s="31" t="s">
        <v>1782</v>
      </c>
      <c r="I1046" s="31" t="s">
        <v>535</v>
      </c>
      <c r="J1046" s="31" t="s">
        <v>188</v>
      </c>
      <c r="K1046" s="31" t="s">
        <v>1611</v>
      </c>
      <c r="L1046" s="15"/>
    </row>
    <row r="1047">
      <c r="A1047" s="15">
        <v>1046.0</v>
      </c>
      <c r="B1047" s="23">
        <v>45963.0</v>
      </c>
      <c r="C1047" s="30" t="s">
        <v>1937</v>
      </c>
      <c r="D1047" s="18"/>
      <c r="E1047" s="31" t="s">
        <v>197</v>
      </c>
      <c r="F1047" s="31" t="str">
        <f>IFERROR(__xludf.DUMMYFUNCTION("if(REGEXMATCH(C1047,""x.com"")=TRUE,""Twitter"",if(REGEXMATCH(C1047,""facebook"")=TRUE,""Facebook"",if(REGEXMATCH(C1047,""instagram"")=TRUE,""Instagram"",if(REGEXMATCH(C1047,""youtube"")=TRUE,""Youtube"",if(REGEXMATCH(C1047,""tiktok"")=TRUE,""Tiktok"",if("&amp;"REGEXMATCH(C1047,""threads"")=TRUE,""Threads""))))))"),"Facebook")</f>
        <v>Facebook</v>
      </c>
      <c r="G1047" s="31" t="s">
        <v>1938</v>
      </c>
      <c r="H1047" s="31" t="s">
        <v>1782</v>
      </c>
      <c r="I1047" s="31" t="s">
        <v>535</v>
      </c>
      <c r="J1047" s="31" t="s">
        <v>188</v>
      </c>
      <c r="K1047" s="31" t="s">
        <v>1611</v>
      </c>
      <c r="L1047" s="15"/>
    </row>
    <row r="1048">
      <c r="A1048" s="15">
        <v>1047.0</v>
      </c>
      <c r="B1048" s="23">
        <v>45963.0</v>
      </c>
      <c r="C1048" s="30" t="s">
        <v>1939</v>
      </c>
      <c r="D1048" s="18"/>
      <c r="E1048" s="31" t="s">
        <v>197</v>
      </c>
      <c r="F1048" s="31" t="str">
        <f>IFERROR(__xludf.DUMMYFUNCTION("if(REGEXMATCH(C1048,""x.com"")=TRUE,""Twitter"",if(REGEXMATCH(C1048,""facebook"")=TRUE,""Facebook"",if(REGEXMATCH(C1048,""instagram"")=TRUE,""Instagram"",if(REGEXMATCH(C1048,""youtube"")=TRUE,""Youtube"",if(REGEXMATCH(C1048,""tiktok"")=TRUE,""Tiktok"",if("&amp;"REGEXMATCH(C1048,""threads"")=TRUE,""Threads""))))))"),"Facebook")</f>
        <v>Facebook</v>
      </c>
      <c r="G1048" s="31" t="s">
        <v>1940</v>
      </c>
      <c r="H1048" s="31" t="s">
        <v>1782</v>
      </c>
      <c r="I1048" s="31" t="s">
        <v>535</v>
      </c>
      <c r="J1048" s="31" t="s">
        <v>188</v>
      </c>
      <c r="K1048" s="31" t="s">
        <v>1611</v>
      </c>
      <c r="L1048" s="15"/>
    </row>
    <row r="1049">
      <c r="A1049" s="15">
        <v>1048.0</v>
      </c>
      <c r="B1049" s="23">
        <v>45963.0</v>
      </c>
      <c r="C1049" s="30" t="s">
        <v>1941</v>
      </c>
      <c r="D1049" s="18"/>
      <c r="E1049" s="31" t="s">
        <v>197</v>
      </c>
      <c r="F1049" s="31" t="str">
        <f>IFERROR(__xludf.DUMMYFUNCTION("if(REGEXMATCH(C1049,""x.com"")=TRUE,""Twitter"",if(REGEXMATCH(C1049,""facebook"")=TRUE,""Facebook"",if(REGEXMATCH(C1049,""instagram"")=TRUE,""Instagram"",if(REGEXMATCH(C1049,""youtube"")=TRUE,""Youtube"",if(REGEXMATCH(C1049,""tiktok"")=TRUE,""Tiktok"",if("&amp;"REGEXMATCH(C1049,""threads"")=TRUE,""Threads""))))))"),"Facebook")</f>
        <v>Facebook</v>
      </c>
      <c r="G1049" s="31" t="s">
        <v>1942</v>
      </c>
      <c r="H1049" s="31" t="s">
        <v>1782</v>
      </c>
      <c r="I1049" s="31" t="s">
        <v>535</v>
      </c>
      <c r="J1049" s="31" t="s">
        <v>188</v>
      </c>
      <c r="K1049" s="31" t="s">
        <v>1611</v>
      </c>
      <c r="L1049" s="15"/>
    </row>
    <row r="1050">
      <c r="A1050" s="15">
        <v>1049.0</v>
      </c>
      <c r="B1050" s="23">
        <v>45963.0</v>
      </c>
      <c r="C1050" s="22" t="s">
        <v>1943</v>
      </c>
      <c r="D1050" s="18"/>
      <c r="E1050" s="18" t="s">
        <v>197</v>
      </c>
      <c r="F1050" s="18" t="str">
        <f>IFERROR(__xludf.DUMMYFUNCTION("if(REGEXMATCH(C1050,""x.com"")=TRUE,""Twitter"",if(REGEXMATCH(C1050,""facebook"")=TRUE,""Facebook"",if(REGEXMATCH(C1050,""instagram"")=TRUE,""Instagram"",if(REGEXMATCH(C1050,""youtube"")=TRUE,""Youtube"",if(REGEXMATCH(C1050,""tiktok"")=TRUE,""Tiktok"",if("&amp;"REGEXMATCH(C1050,""threads"")=TRUE,""Threads""))))))"),"Tiktok")</f>
        <v>Tiktok</v>
      </c>
      <c r="G1050" s="18" t="s">
        <v>1944</v>
      </c>
      <c r="H1050" s="18" t="s">
        <v>1945</v>
      </c>
      <c r="I1050" s="18" t="s">
        <v>535</v>
      </c>
      <c r="J1050" s="18" t="s">
        <v>188</v>
      </c>
      <c r="K1050" s="15"/>
      <c r="L1050" s="15"/>
    </row>
    <row r="1051">
      <c r="A1051" s="15">
        <v>1050.0</v>
      </c>
      <c r="B1051" s="23">
        <v>45963.0</v>
      </c>
      <c r="C1051" s="22" t="s">
        <v>1946</v>
      </c>
      <c r="D1051" s="18"/>
      <c r="E1051" s="18" t="s">
        <v>197</v>
      </c>
      <c r="F1051" s="18" t="str">
        <f>IFERROR(__xludf.DUMMYFUNCTION("if(REGEXMATCH(C1051,""x.com"")=TRUE,""Twitter"",if(REGEXMATCH(C1051,""facebook"")=TRUE,""Facebook"",if(REGEXMATCH(C1051,""instagram"")=TRUE,""Instagram"",if(REGEXMATCH(C1051,""youtube"")=TRUE,""Youtube"",if(REGEXMATCH(C1051,""tiktok"")=TRUE,""Tiktok"",if("&amp;"REGEXMATCH(C1051,""threads"")=TRUE,""Threads""))))))"),"Tiktok")</f>
        <v>Tiktok</v>
      </c>
      <c r="G1051" s="18" t="s">
        <v>1947</v>
      </c>
      <c r="H1051" s="18" t="s">
        <v>1945</v>
      </c>
      <c r="I1051" s="18" t="s">
        <v>535</v>
      </c>
      <c r="J1051" s="18" t="s">
        <v>188</v>
      </c>
      <c r="K1051" s="15"/>
      <c r="L1051" s="15"/>
    </row>
    <row r="1052">
      <c r="A1052" s="15">
        <v>1051.0</v>
      </c>
      <c r="B1052" s="23">
        <v>45963.0</v>
      </c>
      <c r="C1052" s="22" t="s">
        <v>1948</v>
      </c>
      <c r="D1052" s="18"/>
      <c r="E1052" s="18" t="s">
        <v>197</v>
      </c>
      <c r="F1052" s="18" t="str">
        <f>IFERROR(__xludf.DUMMYFUNCTION("if(REGEXMATCH(C1052,""x.com"")=TRUE,""Twitter"",if(REGEXMATCH(C1052,""facebook"")=TRUE,""Facebook"",if(REGEXMATCH(C1052,""instagram"")=TRUE,""Instagram"",if(REGEXMATCH(C1052,""youtube"")=TRUE,""Youtube"",if(REGEXMATCH(C1052,""tiktok"")=TRUE,""Tiktok"",if("&amp;"REGEXMATCH(C1052,""threads"")=TRUE,""Threads""))))))"),"Tiktok")</f>
        <v>Tiktok</v>
      </c>
      <c r="G1052" s="18" t="s">
        <v>1947</v>
      </c>
      <c r="H1052" s="18" t="s">
        <v>1945</v>
      </c>
      <c r="I1052" s="18" t="s">
        <v>535</v>
      </c>
      <c r="J1052" s="18" t="s">
        <v>188</v>
      </c>
      <c r="K1052" s="15"/>
      <c r="L1052" s="15"/>
    </row>
    <row r="1053">
      <c r="A1053" s="15">
        <v>1052.0</v>
      </c>
      <c r="B1053" s="23">
        <v>45963.0</v>
      </c>
      <c r="C1053" s="22" t="s">
        <v>1949</v>
      </c>
      <c r="D1053" s="18"/>
      <c r="E1053" s="18" t="s">
        <v>197</v>
      </c>
      <c r="F1053" s="18" t="str">
        <f>IFERROR(__xludf.DUMMYFUNCTION("if(REGEXMATCH(C1053,""x.com"")=TRUE,""Twitter"",if(REGEXMATCH(C1053,""facebook"")=TRUE,""Facebook"",if(REGEXMATCH(C1053,""instagram"")=TRUE,""Instagram"",if(REGEXMATCH(C1053,""youtube"")=TRUE,""Youtube"",if(REGEXMATCH(C1053,""tiktok"")=TRUE,""Tiktok"",if("&amp;"REGEXMATCH(C1053,""threads"")=TRUE,""Threads""))))))"),"Tiktok")</f>
        <v>Tiktok</v>
      </c>
      <c r="G1053" s="18" t="s">
        <v>1947</v>
      </c>
      <c r="H1053" s="18" t="s">
        <v>1945</v>
      </c>
      <c r="I1053" s="18" t="s">
        <v>535</v>
      </c>
      <c r="J1053" s="18" t="s">
        <v>188</v>
      </c>
      <c r="K1053" s="15"/>
      <c r="L1053" s="15"/>
    </row>
    <row r="1054">
      <c r="A1054" s="15">
        <v>1053.0</v>
      </c>
      <c r="B1054" s="23">
        <v>45963.0</v>
      </c>
      <c r="C1054" s="22" t="s">
        <v>1950</v>
      </c>
      <c r="D1054" s="18"/>
      <c r="E1054" s="18" t="s">
        <v>197</v>
      </c>
      <c r="F1054" s="18" t="str">
        <f>IFERROR(__xludf.DUMMYFUNCTION("if(REGEXMATCH(C1054,""x.com"")=TRUE,""Twitter"",if(REGEXMATCH(C1054,""facebook"")=TRUE,""Facebook"",if(REGEXMATCH(C1054,""instagram"")=TRUE,""Instagram"",if(REGEXMATCH(C1054,""youtube"")=TRUE,""Youtube"",if(REGEXMATCH(C1054,""tiktok"")=TRUE,""Tiktok"",if("&amp;"REGEXMATCH(C1054,""threads"")=TRUE,""Threads""))))))"),"Tiktok")</f>
        <v>Tiktok</v>
      </c>
      <c r="G1054" s="18" t="s">
        <v>1947</v>
      </c>
      <c r="H1054" s="18" t="s">
        <v>1945</v>
      </c>
      <c r="I1054" s="18" t="s">
        <v>535</v>
      </c>
      <c r="J1054" s="18" t="s">
        <v>188</v>
      </c>
      <c r="K1054" s="15"/>
      <c r="L1054" s="15"/>
    </row>
    <row r="1055">
      <c r="A1055" s="15">
        <v>1054.0</v>
      </c>
      <c r="B1055" s="23">
        <v>45963.0</v>
      </c>
      <c r="C1055" s="22" t="s">
        <v>1951</v>
      </c>
      <c r="D1055" s="18"/>
      <c r="E1055" s="18" t="s">
        <v>230</v>
      </c>
      <c r="F1055" s="18" t="str">
        <f>IFERROR(__xludf.DUMMYFUNCTION("if(REGEXMATCH(C1055,""x.com"")=TRUE,""Twitter"",if(REGEXMATCH(C1055,""facebook"")=TRUE,""Facebook"",if(REGEXMATCH(C1055,""instagram"")=TRUE,""Instagram"",if(REGEXMATCH(C1055,""youtube"")=TRUE,""Youtube"",if(REGEXMATCH(C1055,""tiktok"")=TRUE,""Tiktok"",if("&amp;"REGEXMATCH(C1055,""threads"")=TRUE,""Threads""))))))"),"Twitter")</f>
        <v>Twitter</v>
      </c>
      <c r="G1055" s="18" t="s">
        <v>1952</v>
      </c>
      <c r="H1055" s="18" t="s">
        <v>1945</v>
      </c>
      <c r="I1055" s="18" t="s">
        <v>535</v>
      </c>
      <c r="J1055" s="18" t="s">
        <v>188</v>
      </c>
      <c r="K1055" s="15"/>
      <c r="L1055" s="15"/>
    </row>
    <row r="1056">
      <c r="A1056" s="15">
        <v>1055.0</v>
      </c>
      <c r="B1056" s="23">
        <v>45963.0</v>
      </c>
      <c r="C1056" s="22" t="s">
        <v>1953</v>
      </c>
      <c r="D1056" s="18"/>
      <c r="E1056" s="18" t="s">
        <v>197</v>
      </c>
      <c r="F1056" s="18" t="str">
        <f>IFERROR(__xludf.DUMMYFUNCTION("if(REGEXMATCH(C1056,""x.com"")=TRUE,""Twitter"",if(REGEXMATCH(C1056,""facebook"")=TRUE,""Facebook"",if(REGEXMATCH(C1056,""instagram"")=TRUE,""Instagram"",if(REGEXMATCH(C1056,""youtube"")=TRUE,""Youtube"",if(REGEXMATCH(C1056,""tiktok"")=TRUE,""Tiktok"",if("&amp;"REGEXMATCH(C1056,""threads"")=TRUE,""Threads""))))))"),"Twitter")</f>
        <v>Twitter</v>
      </c>
      <c r="G1056" s="18" t="s">
        <v>1954</v>
      </c>
      <c r="H1056" s="18" t="s">
        <v>1945</v>
      </c>
      <c r="I1056" s="18" t="s">
        <v>535</v>
      </c>
      <c r="J1056" s="18" t="s">
        <v>188</v>
      </c>
      <c r="K1056" s="15"/>
      <c r="L1056" s="15"/>
    </row>
    <row r="1057">
      <c r="A1057" s="15">
        <v>1056.0</v>
      </c>
      <c r="B1057" s="23">
        <v>45963.0</v>
      </c>
      <c r="C1057" s="22" t="s">
        <v>1955</v>
      </c>
      <c r="D1057" s="18"/>
      <c r="E1057" s="18" t="s">
        <v>197</v>
      </c>
      <c r="F1057" s="18" t="str">
        <f>IFERROR(__xludf.DUMMYFUNCTION("if(REGEXMATCH(C1057,""x.com"")=TRUE,""Twitter"",if(REGEXMATCH(C1057,""facebook"")=TRUE,""Facebook"",if(REGEXMATCH(C1057,""instagram"")=TRUE,""Instagram"",if(REGEXMATCH(C1057,""youtube"")=TRUE,""Youtube"",if(REGEXMATCH(C1057,""tiktok"")=TRUE,""Tiktok"",if("&amp;"REGEXMATCH(C1057,""threads"")=TRUE,""Threads""))))))"),"Tiktok")</f>
        <v>Tiktok</v>
      </c>
      <c r="G1057" s="18" t="s">
        <v>1956</v>
      </c>
      <c r="H1057" s="18" t="s">
        <v>1945</v>
      </c>
      <c r="I1057" s="18" t="s">
        <v>535</v>
      </c>
      <c r="J1057" s="18" t="s">
        <v>188</v>
      </c>
      <c r="K1057" s="15"/>
      <c r="L1057" s="15"/>
    </row>
    <row r="1058">
      <c r="A1058" s="15">
        <v>1057.0</v>
      </c>
      <c r="B1058" s="23">
        <v>45963.0</v>
      </c>
      <c r="C1058" s="22" t="s">
        <v>1957</v>
      </c>
      <c r="D1058" s="18"/>
      <c r="E1058" s="18" t="s">
        <v>1958</v>
      </c>
      <c r="F1058" s="18" t="str">
        <f>IFERROR(__xludf.DUMMYFUNCTION("if(REGEXMATCH(C1058,""x.com"")=TRUE,""Twitter"",if(REGEXMATCH(C1058,""facebook"")=TRUE,""Facebook"",if(REGEXMATCH(C1058,""instagram"")=TRUE,""Instagram"",if(REGEXMATCH(C1058,""youtube"")=TRUE,""Youtube"",if(REGEXMATCH(C1058,""tiktok"")=TRUE,""Tiktok"",if("&amp;"REGEXMATCH(C1058,""threads"")=TRUE,""Threads""))))))"),"Tiktok")</f>
        <v>Tiktok</v>
      </c>
      <c r="G1058" s="18" t="s">
        <v>1959</v>
      </c>
      <c r="H1058" s="18" t="s">
        <v>1945</v>
      </c>
      <c r="I1058" s="18" t="s">
        <v>535</v>
      </c>
      <c r="J1058" s="18" t="s">
        <v>188</v>
      </c>
      <c r="K1058" s="15"/>
      <c r="L1058" s="15"/>
    </row>
    <row r="1059">
      <c r="A1059" s="15">
        <v>1058.0</v>
      </c>
      <c r="B1059" s="23">
        <v>45963.0</v>
      </c>
      <c r="C1059" s="18" t="s">
        <v>1960</v>
      </c>
      <c r="D1059" s="18"/>
      <c r="E1059" s="18"/>
      <c r="F1059" s="18" t="str">
        <f>IFERROR(__xludf.DUMMYFUNCTION("if(REGEXMATCH(C1059,""x.com"")=TRUE,""Twitter"",if(REGEXMATCH(C1059,""facebook"")=TRUE,""Facebook"",if(REGEXMATCH(C1059,""instagram"")=TRUE,""Instagram"",if(REGEXMATCH(C1059,""youtube"")=TRUE,""Youtube"",if(REGEXMATCH(C1059,""tiktok"")=TRUE,""Tiktok"",if("&amp;"REGEXMATCH(C1059,""threads"")=TRUE,""Threads""))))))"),"Tiktok")</f>
        <v>Tiktok</v>
      </c>
      <c r="G1059" s="18" t="s">
        <v>1961</v>
      </c>
      <c r="H1059" s="18" t="s">
        <v>1945</v>
      </c>
      <c r="I1059" s="18" t="s">
        <v>535</v>
      </c>
      <c r="J1059" s="18" t="s">
        <v>188</v>
      </c>
      <c r="K1059" s="15"/>
      <c r="L1059" s="15"/>
    </row>
    <row r="1060">
      <c r="A1060" s="15">
        <v>1059.0</v>
      </c>
      <c r="B1060" s="23">
        <v>45963.0</v>
      </c>
      <c r="C1060" s="22" t="s">
        <v>1962</v>
      </c>
      <c r="D1060" s="18"/>
      <c r="E1060" s="18"/>
      <c r="F1060" s="18" t="str">
        <f>IFERROR(__xludf.DUMMYFUNCTION("if(REGEXMATCH(C1060,""x.com"")=TRUE,""Twitter"",if(REGEXMATCH(C1060,""facebook"")=TRUE,""Facebook"",if(REGEXMATCH(C1060,""instagram"")=TRUE,""Instagram"",if(REGEXMATCH(C1060,""youtube"")=TRUE,""Youtube"",if(REGEXMATCH(C1060,""tiktok"")=TRUE,""Tiktok"",if("&amp;"REGEXMATCH(C1060,""threads"")=TRUE,""Threads""))))))"),"Tiktok")</f>
        <v>Tiktok</v>
      </c>
      <c r="G1060" s="18" t="s">
        <v>1963</v>
      </c>
      <c r="H1060" s="18" t="s">
        <v>1945</v>
      </c>
      <c r="I1060" s="18" t="s">
        <v>535</v>
      </c>
      <c r="J1060" s="18" t="s">
        <v>188</v>
      </c>
      <c r="K1060" s="15"/>
      <c r="L1060" s="15"/>
    </row>
    <row r="1061">
      <c r="A1061" s="15">
        <v>1060.0</v>
      </c>
      <c r="B1061" s="23">
        <v>45963.0</v>
      </c>
      <c r="C1061" s="22" t="s">
        <v>1964</v>
      </c>
      <c r="D1061" s="18"/>
      <c r="E1061" s="18" t="s">
        <v>401</v>
      </c>
      <c r="F1061" s="18" t="str">
        <f>IFERROR(__xludf.DUMMYFUNCTION("if(REGEXMATCH(C1061,""x.com"")=TRUE,""Twitter"",if(REGEXMATCH(C1061,""facebook"")=TRUE,""Facebook"",if(REGEXMATCH(C1061,""instagram"")=TRUE,""Instagram"",if(REGEXMATCH(C1061,""youtube"")=TRUE,""Youtube"",if(REGEXMATCH(C1061,""tiktok"")=TRUE,""Tiktok"",if("&amp;"REGEXMATCH(C1061,""threads"")=TRUE,""Threads""))))))"),"Facebook")</f>
        <v>Facebook</v>
      </c>
      <c r="G1061" s="18" t="s">
        <v>937</v>
      </c>
      <c r="H1061" s="18" t="s">
        <v>1542</v>
      </c>
      <c r="I1061" s="18" t="s">
        <v>939</v>
      </c>
      <c r="J1061" s="18" t="s">
        <v>188</v>
      </c>
      <c r="K1061" s="15"/>
      <c r="L1061" s="15"/>
    </row>
    <row r="1062">
      <c r="A1062" s="15">
        <v>1061.0</v>
      </c>
      <c r="B1062" s="23">
        <v>45963.0</v>
      </c>
      <c r="C1062" s="22" t="s">
        <v>1965</v>
      </c>
      <c r="D1062" s="18"/>
      <c r="E1062" s="18" t="s">
        <v>401</v>
      </c>
      <c r="F1062" s="18" t="str">
        <f>IFERROR(__xludf.DUMMYFUNCTION("if(REGEXMATCH(C1062,""x.com"")=TRUE,""Twitter"",if(REGEXMATCH(C1062,""facebook"")=TRUE,""Facebook"",if(REGEXMATCH(C1062,""instagram"")=TRUE,""Instagram"",if(REGEXMATCH(C1062,""youtube"")=TRUE,""Youtube"",if(REGEXMATCH(C1062,""tiktok"")=TRUE,""Tiktok"",if("&amp;"REGEXMATCH(C1062,""threads"")=TRUE,""Threads""))))))"),"Facebook")</f>
        <v>Facebook</v>
      </c>
      <c r="G1062" s="18" t="s">
        <v>937</v>
      </c>
      <c r="H1062" s="18" t="s">
        <v>1542</v>
      </c>
      <c r="I1062" s="18" t="s">
        <v>939</v>
      </c>
      <c r="J1062" s="18" t="s">
        <v>188</v>
      </c>
      <c r="K1062" s="15"/>
      <c r="L1062" s="15"/>
    </row>
    <row r="1063">
      <c r="A1063" s="15">
        <v>1062.0</v>
      </c>
      <c r="B1063" s="23">
        <v>45963.0</v>
      </c>
      <c r="C1063" s="22" t="s">
        <v>1966</v>
      </c>
      <c r="D1063" s="18"/>
      <c r="E1063" s="18" t="s">
        <v>401</v>
      </c>
      <c r="F1063" s="18" t="str">
        <f>IFERROR(__xludf.DUMMYFUNCTION("if(REGEXMATCH(C1063,""x.com"")=TRUE,""Twitter"",if(REGEXMATCH(C1063,""facebook"")=TRUE,""Facebook"",if(REGEXMATCH(C1063,""instagram"")=TRUE,""Instagram"",if(REGEXMATCH(C1063,""youtube"")=TRUE,""Youtube"",if(REGEXMATCH(C1063,""tiktok"")=TRUE,""Tiktok"",if("&amp;"REGEXMATCH(C1063,""threads"")=TRUE,""Threads""))))))"),"Facebook")</f>
        <v>Facebook</v>
      </c>
      <c r="G1063" s="18" t="s">
        <v>937</v>
      </c>
      <c r="H1063" s="18" t="s">
        <v>1542</v>
      </c>
      <c r="I1063" s="18" t="s">
        <v>939</v>
      </c>
      <c r="J1063" s="18" t="s">
        <v>188</v>
      </c>
      <c r="K1063" s="15"/>
      <c r="L1063" s="15"/>
    </row>
    <row r="1064">
      <c r="A1064" s="15">
        <v>1063.0</v>
      </c>
      <c r="B1064" s="23">
        <v>45963.0</v>
      </c>
      <c r="C1064" s="22" t="s">
        <v>1967</v>
      </c>
      <c r="D1064" s="18"/>
      <c r="E1064" s="18" t="s">
        <v>401</v>
      </c>
      <c r="F1064" s="18" t="str">
        <f>IFERROR(__xludf.DUMMYFUNCTION("if(REGEXMATCH(C1064,""x.com"")=TRUE,""Twitter"",if(REGEXMATCH(C1064,""facebook"")=TRUE,""Facebook"",if(REGEXMATCH(C1064,""instagram"")=TRUE,""Instagram"",if(REGEXMATCH(C1064,""youtube"")=TRUE,""Youtube"",if(REGEXMATCH(C1064,""tiktok"")=TRUE,""Tiktok"",if("&amp;"REGEXMATCH(C1064,""threads"")=TRUE,""Threads""))))))"),"Facebook")</f>
        <v>Facebook</v>
      </c>
      <c r="G1064" s="18" t="s">
        <v>937</v>
      </c>
      <c r="H1064" s="18" t="s">
        <v>1542</v>
      </c>
      <c r="I1064" s="18" t="s">
        <v>939</v>
      </c>
      <c r="J1064" s="18" t="s">
        <v>188</v>
      </c>
      <c r="K1064" s="15"/>
      <c r="L1064" s="15"/>
    </row>
    <row r="1065">
      <c r="A1065" s="15">
        <v>1064.0</v>
      </c>
      <c r="B1065" s="23">
        <v>45963.0</v>
      </c>
      <c r="C1065" s="22" t="s">
        <v>1968</v>
      </c>
      <c r="D1065" s="18"/>
      <c r="E1065" s="18" t="s">
        <v>401</v>
      </c>
      <c r="F1065" s="18" t="str">
        <f>IFERROR(__xludf.DUMMYFUNCTION("if(REGEXMATCH(C1065,""x.com"")=TRUE,""Twitter"",if(REGEXMATCH(C1065,""facebook"")=TRUE,""Facebook"",if(REGEXMATCH(C1065,""instagram"")=TRUE,""Instagram"",if(REGEXMATCH(C1065,""youtube"")=TRUE,""Youtube"",if(REGEXMATCH(C1065,""tiktok"")=TRUE,""Tiktok"",if("&amp;"REGEXMATCH(C1065,""threads"")=TRUE,""Threads""))))))"),"Facebook")</f>
        <v>Facebook</v>
      </c>
      <c r="G1065" s="18" t="s">
        <v>937</v>
      </c>
      <c r="H1065" s="18" t="s">
        <v>1542</v>
      </c>
      <c r="I1065" s="18" t="s">
        <v>939</v>
      </c>
      <c r="J1065" s="18" t="s">
        <v>188</v>
      </c>
      <c r="K1065" s="15"/>
      <c r="L1065" s="15"/>
    </row>
    <row r="1066">
      <c r="A1066" s="15">
        <v>1065.0</v>
      </c>
      <c r="B1066" s="23">
        <v>45963.0</v>
      </c>
      <c r="C1066" s="27" t="s">
        <v>1969</v>
      </c>
      <c r="D1066" s="18"/>
      <c r="E1066" s="18" t="s">
        <v>401</v>
      </c>
      <c r="F1066" s="18" t="str">
        <f>IFERROR(__xludf.DUMMYFUNCTION("if(REGEXMATCH(C1066,""x.com"")=TRUE,""Twitter"",if(REGEXMATCH(C1066,""facebook"")=TRUE,""Facebook"",if(REGEXMATCH(C1066,""instagram"")=TRUE,""Instagram"",if(REGEXMATCH(C1066,""youtube"")=TRUE,""Youtube"",if(REGEXMATCH(C1066,""tiktok"")=TRUE,""Tiktok"",if("&amp;"REGEXMATCH(C1066,""threads"")=TRUE,""Threads""))))))"),"Facebook")</f>
        <v>Facebook</v>
      </c>
      <c r="G1066" s="18" t="s">
        <v>937</v>
      </c>
      <c r="H1066" s="18" t="s">
        <v>1542</v>
      </c>
      <c r="I1066" s="18" t="s">
        <v>939</v>
      </c>
      <c r="J1066" s="18" t="s">
        <v>188</v>
      </c>
      <c r="K1066" s="15"/>
      <c r="L1066" s="15"/>
    </row>
    <row r="1067">
      <c r="A1067" s="15">
        <v>1066.0</v>
      </c>
      <c r="B1067" s="23">
        <v>45963.0</v>
      </c>
      <c r="C1067" s="22" t="s">
        <v>1970</v>
      </c>
      <c r="D1067" s="18"/>
      <c r="E1067" s="18" t="s">
        <v>401</v>
      </c>
      <c r="F1067" s="18" t="str">
        <f>IFERROR(__xludf.DUMMYFUNCTION("if(REGEXMATCH(C1067,""x.com"")=TRUE,""Twitter"",if(REGEXMATCH(C1067,""facebook"")=TRUE,""Facebook"",if(REGEXMATCH(C1067,""instagram"")=TRUE,""Instagram"",if(REGEXMATCH(C1067,""youtube"")=TRUE,""Youtube"",if(REGEXMATCH(C1067,""tiktok"")=TRUE,""Tiktok"",if("&amp;"REGEXMATCH(C1067,""threads"")=TRUE,""Threads""))))))"),"Facebook")</f>
        <v>Facebook</v>
      </c>
      <c r="G1067" s="18" t="s">
        <v>937</v>
      </c>
      <c r="H1067" s="18" t="s">
        <v>1542</v>
      </c>
      <c r="I1067" s="18" t="s">
        <v>939</v>
      </c>
      <c r="J1067" s="18" t="s">
        <v>188</v>
      </c>
      <c r="K1067" s="15"/>
      <c r="L1067" s="15"/>
    </row>
    <row r="1068">
      <c r="A1068" s="15">
        <v>1067.0</v>
      </c>
      <c r="B1068" s="23">
        <v>45963.0</v>
      </c>
      <c r="C1068" s="22" t="s">
        <v>1971</v>
      </c>
      <c r="D1068" s="18"/>
      <c r="E1068" s="18" t="s">
        <v>401</v>
      </c>
      <c r="F1068" s="18" t="str">
        <f>IFERROR(__xludf.DUMMYFUNCTION("if(REGEXMATCH(C1068,""x.com"")=TRUE,""Twitter"",if(REGEXMATCH(C1068,""facebook"")=TRUE,""Facebook"",if(REGEXMATCH(C1068,""instagram"")=TRUE,""Instagram"",if(REGEXMATCH(C1068,""youtube"")=TRUE,""Youtube"",if(REGEXMATCH(C1068,""tiktok"")=TRUE,""Tiktok"",if("&amp;"REGEXMATCH(C1068,""threads"")=TRUE,""Threads""))))))"),"Facebook")</f>
        <v>Facebook</v>
      </c>
      <c r="G1068" s="18" t="s">
        <v>937</v>
      </c>
      <c r="H1068" s="18" t="s">
        <v>1542</v>
      </c>
      <c r="I1068" s="18" t="s">
        <v>939</v>
      </c>
      <c r="J1068" s="18" t="s">
        <v>188</v>
      </c>
      <c r="K1068" s="15"/>
      <c r="L1068" s="15"/>
    </row>
    <row r="1069">
      <c r="A1069" s="15">
        <v>1068.0</v>
      </c>
      <c r="B1069" s="23">
        <v>45963.0</v>
      </c>
      <c r="C1069" s="22" t="s">
        <v>1972</v>
      </c>
      <c r="D1069" s="18"/>
      <c r="E1069" s="18" t="s">
        <v>577</v>
      </c>
      <c r="F1069" s="18" t="str">
        <f>IFERROR(__xludf.DUMMYFUNCTION("if(REGEXMATCH(C1069,""x.com"")=TRUE,""Twitter"",if(REGEXMATCH(C1069,""facebook"")=TRUE,""Facebook"",if(REGEXMATCH(C1069,""instagram"")=TRUE,""Instagram"",if(REGEXMATCH(C1069,""youtube"")=TRUE,""Youtube"",if(REGEXMATCH(C1069,""tiktok"")=TRUE,""Tiktok"",if("&amp;"REGEXMATCH(C1069,""threads"")=TRUE,""Threads""))))))"),"Instagram")</f>
        <v>Instagram</v>
      </c>
      <c r="G1069" s="18" t="s">
        <v>1973</v>
      </c>
      <c r="H1069" s="18" t="s">
        <v>1974</v>
      </c>
      <c r="I1069" s="18"/>
      <c r="J1069" s="18" t="s">
        <v>188</v>
      </c>
      <c r="K1069" s="18"/>
      <c r="L1069" s="15"/>
    </row>
    <row r="1070">
      <c r="A1070" s="15">
        <v>1069.0</v>
      </c>
      <c r="B1070" s="23">
        <v>45963.0</v>
      </c>
      <c r="C1070" s="22" t="s">
        <v>1975</v>
      </c>
      <c r="D1070" s="18"/>
      <c r="E1070" s="18" t="s">
        <v>401</v>
      </c>
      <c r="F1070" s="18" t="str">
        <f>IFERROR(__xludf.DUMMYFUNCTION("if(REGEXMATCH(C1070,""x.com"")=TRUE,""Twitter"",if(REGEXMATCH(C1070,""facebook"")=TRUE,""Facebook"",if(REGEXMATCH(C1070,""instagram"")=TRUE,""Instagram"",if(REGEXMATCH(C1070,""youtube"")=TRUE,""Youtube"",if(REGEXMATCH(C1070,""tiktok"")=TRUE,""Tiktok"",if("&amp;"REGEXMATCH(C1070,""threads"")=TRUE,""Threads""))))))"),"Facebook")</f>
        <v>Facebook</v>
      </c>
      <c r="G1070" s="18" t="s">
        <v>937</v>
      </c>
      <c r="H1070" s="18" t="s">
        <v>1542</v>
      </c>
      <c r="I1070" s="18" t="s">
        <v>939</v>
      </c>
      <c r="J1070" s="18" t="s">
        <v>188</v>
      </c>
      <c r="K1070" s="18"/>
      <c r="L1070" s="15"/>
    </row>
    <row r="1071">
      <c r="A1071" s="15">
        <v>1070.0</v>
      </c>
      <c r="B1071" s="23">
        <v>45963.0</v>
      </c>
      <c r="C1071" s="22" t="s">
        <v>1976</v>
      </c>
      <c r="D1071" s="18"/>
      <c r="E1071" s="18" t="s">
        <v>401</v>
      </c>
      <c r="F1071" s="18" t="str">
        <f>IFERROR(__xludf.DUMMYFUNCTION("if(REGEXMATCH(C1071,""x.com"")=TRUE,""Twitter"",if(REGEXMATCH(C1071,""facebook"")=TRUE,""Facebook"",if(REGEXMATCH(C1071,""instagram"")=TRUE,""Instagram"",if(REGEXMATCH(C1071,""youtube"")=TRUE,""Youtube"",if(REGEXMATCH(C1071,""tiktok"")=TRUE,""Tiktok"",if("&amp;"REGEXMATCH(C1071,""threads"")=TRUE,""Threads""))))))"),"Facebook")</f>
        <v>Facebook</v>
      </c>
      <c r="G1071" s="18" t="s">
        <v>937</v>
      </c>
      <c r="H1071" s="18" t="s">
        <v>1542</v>
      </c>
      <c r="I1071" s="18" t="s">
        <v>939</v>
      </c>
      <c r="J1071" s="18" t="s">
        <v>188</v>
      </c>
      <c r="K1071" s="18"/>
      <c r="L1071" s="15"/>
    </row>
    <row r="1072">
      <c r="A1072" s="15">
        <v>1071.0</v>
      </c>
      <c r="B1072" s="23">
        <v>45963.0</v>
      </c>
      <c r="C1072" s="22" t="s">
        <v>1977</v>
      </c>
      <c r="D1072" s="18"/>
      <c r="E1072" s="18" t="s">
        <v>401</v>
      </c>
      <c r="F1072" s="18" t="str">
        <f>IFERROR(__xludf.DUMMYFUNCTION("if(REGEXMATCH(C1072,""x.com"")=TRUE,""Twitter"",if(REGEXMATCH(C1072,""facebook"")=TRUE,""Facebook"",if(REGEXMATCH(C1072,""instagram"")=TRUE,""Instagram"",if(REGEXMATCH(C1072,""youtube"")=TRUE,""Youtube"",if(REGEXMATCH(C1072,""tiktok"")=TRUE,""Tiktok"",if("&amp;"REGEXMATCH(C1072,""threads"")=TRUE,""Threads""))))))"),"Facebook")</f>
        <v>Facebook</v>
      </c>
      <c r="G1072" s="18" t="s">
        <v>937</v>
      </c>
      <c r="H1072" s="18" t="s">
        <v>1542</v>
      </c>
      <c r="I1072" s="18" t="s">
        <v>939</v>
      </c>
      <c r="J1072" s="18" t="s">
        <v>188</v>
      </c>
      <c r="K1072" s="18"/>
      <c r="L1072" s="15"/>
    </row>
    <row r="1073">
      <c r="A1073" s="15">
        <v>1072.0</v>
      </c>
      <c r="B1073" s="23">
        <v>45964.0</v>
      </c>
      <c r="C1073" s="22" t="s">
        <v>1943</v>
      </c>
      <c r="D1073" s="18"/>
      <c r="E1073" s="18" t="s">
        <v>197</v>
      </c>
      <c r="F1073" s="18" t="str">
        <f>IFERROR(__xludf.DUMMYFUNCTION("if(REGEXMATCH(C1073,""x.com"")=TRUE,""Twitter"",if(REGEXMATCH(C1073,""facebook"")=TRUE,""Facebook"",if(REGEXMATCH(C1073,""instagram"")=TRUE,""Instagram"",if(REGEXMATCH(C1073,""youtube"")=TRUE,""Youtube"",if(REGEXMATCH(C1073,""tiktok"")=TRUE,""Tiktok"",if("&amp;"REGEXMATCH(C1073,""threads"")=TRUE,""Threads""))))))"),"Tiktok")</f>
        <v>Tiktok</v>
      </c>
      <c r="G1073" s="18" t="s">
        <v>1944</v>
      </c>
      <c r="H1073" s="18" t="s">
        <v>1945</v>
      </c>
      <c r="I1073" s="18" t="s">
        <v>535</v>
      </c>
      <c r="J1073" s="18" t="s">
        <v>188</v>
      </c>
      <c r="K1073" s="18" t="s">
        <v>1611</v>
      </c>
      <c r="L1073" s="15"/>
    </row>
    <row r="1074">
      <c r="A1074" s="15">
        <v>1073.0</v>
      </c>
      <c r="B1074" s="23">
        <v>45964.0</v>
      </c>
      <c r="C1074" s="22" t="s">
        <v>1946</v>
      </c>
      <c r="D1074" s="18"/>
      <c r="E1074" s="18" t="s">
        <v>197</v>
      </c>
      <c r="F1074" s="18" t="str">
        <f>IFERROR(__xludf.DUMMYFUNCTION("if(REGEXMATCH(C1074,""x.com"")=TRUE,""Twitter"",if(REGEXMATCH(C1074,""facebook"")=TRUE,""Facebook"",if(REGEXMATCH(C1074,""instagram"")=TRUE,""Instagram"",if(REGEXMATCH(C1074,""youtube"")=TRUE,""Youtube"",if(REGEXMATCH(C1074,""tiktok"")=TRUE,""Tiktok"",if("&amp;"REGEXMATCH(C1074,""threads"")=TRUE,""Threads""))))))"),"Tiktok")</f>
        <v>Tiktok</v>
      </c>
      <c r="G1074" s="18" t="s">
        <v>1947</v>
      </c>
      <c r="H1074" s="18" t="s">
        <v>1945</v>
      </c>
      <c r="I1074" s="18" t="s">
        <v>535</v>
      </c>
      <c r="J1074" s="18" t="s">
        <v>188</v>
      </c>
      <c r="K1074" s="18" t="s">
        <v>1611</v>
      </c>
      <c r="L1074" s="15"/>
    </row>
    <row r="1075">
      <c r="A1075" s="15">
        <v>1074.0</v>
      </c>
      <c r="B1075" s="23">
        <v>45964.0</v>
      </c>
      <c r="C1075" s="22" t="s">
        <v>1948</v>
      </c>
      <c r="D1075" s="18"/>
      <c r="E1075" s="18" t="s">
        <v>197</v>
      </c>
      <c r="F1075" s="18" t="str">
        <f>IFERROR(__xludf.DUMMYFUNCTION("if(REGEXMATCH(C1075,""x.com"")=TRUE,""Twitter"",if(REGEXMATCH(C1075,""facebook"")=TRUE,""Facebook"",if(REGEXMATCH(C1075,""instagram"")=TRUE,""Instagram"",if(REGEXMATCH(C1075,""youtube"")=TRUE,""Youtube"",if(REGEXMATCH(C1075,""tiktok"")=TRUE,""Tiktok"",if("&amp;"REGEXMATCH(C1075,""threads"")=TRUE,""Threads""))))))"),"Tiktok")</f>
        <v>Tiktok</v>
      </c>
      <c r="G1075" s="18" t="s">
        <v>1947</v>
      </c>
      <c r="H1075" s="18" t="s">
        <v>1945</v>
      </c>
      <c r="I1075" s="18" t="s">
        <v>535</v>
      </c>
      <c r="J1075" s="18" t="s">
        <v>188</v>
      </c>
      <c r="K1075" s="18" t="s">
        <v>1611</v>
      </c>
      <c r="L1075" s="15"/>
    </row>
    <row r="1076">
      <c r="A1076" s="15">
        <v>1075.0</v>
      </c>
      <c r="B1076" s="23">
        <v>45964.0</v>
      </c>
      <c r="C1076" s="22" t="s">
        <v>1949</v>
      </c>
      <c r="D1076" s="18"/>
      <c r="E1076" s="18" t="s">
        <v>197</v>
      </c>
      <c r="F1076" s="18" t="str">
        <f>IFERROR(__xludf.DUMMYFUNCTION("if(REGEXMATCH(C1076,""x.com"")=TRUE,""Twitter"",if(REGEXMATCH(C1076,""facebook"")=TRUE,""Facebook"",if(REGEXMATCH(C1076,""instagram"")=TRUE,""Instagram"",if(REGEXMATCH(C1076,""youtube"")=TRUE,""Youtube"",if(REGEXMATCH(C1076,""tiktok"")=TRUE,""Tiktok"",if("&amp;"REGEXMATCH(C1076,""threads"")=TRUE,""Threads""))))))"),"Tiktok")</f>
        <v>Tiktok</v>
      </c>
      <c r="G1076" s="18" t="s">
        <v>1947</v>
      </c>
      <c r="H1076" s="18" t="s">
        <v>1945</v>
      </c>
      <c r="I1076" s="18" t="s">
        <v>535</v>
      </c>
      <c r="J1076" s="18" t="s">
        <v>188</v>
      </c>
      <c r="K1076" s="18" t="s">
        <v>1611</v>
      </c>
      <c r="L1076" s="15"/>
    </row>
    <row r="1077">
      <c r="A1077" s="15">
        <v>1076.0</v>
      </c>
      <c r="B1077" s="23">
        <v>45964.0</v>
      </c>
      <c r="C1077" s="22" t="s">
        <v>1950</v>
      </c>
      <c r="D1077" s="18"/>
      <c r="E1077" s="18" t="s">
        <v>197</v>
      </c>
      <c r="F1077" s="18" t="str">
        <f>IFERROR(__xludf.DUMMYFUNCTION("if(REGEXMATCH(C1077,""x.com"")=TRUE,""Twitter"",if(REGEXMATCH(C1077,""facebook"")=TRUE,""Facebook"",if(REGEXMATCH(C1077,""instagram"")=TRUE,""Instagram"",if(REGEXMATCH(C1077,""youtube"")=TRUE,""Youtube"",if(REGEXMATCH(C1077,""tiktok"")=TRUE,""Tiktok"",if("&amp;"REGEXMATCH(C1077,""threads"")=TRUE,""Threads""))))))"),"Tiktok")</f>
        <v>Tiktok</v>
      </c>
      <c r="G1077" s="18" t="s">
        <v>1947</v>
      </c>
      <c r="H1077" s="18" t="s">
        <v>1945</v>
      </c>
      <c r="I1077" s="18" t="s">
        <v>535</v>
      </c>
      <c r="J1077" s="18" t="s">
        <v>188</v>
      </c>
      <c r="K1077" s="18" t="s">
        <v>1611</v>
      </c>
      <c r="L1077" s="15"/>
    </row>
    <row r="1078">
      <c r="A1078" s="15">
        <v>1077.0</v>
      </c>
      <c r="B1078" s="23">
        <v>45964.0</v>
      </c>
      <c r="C1078" s="22" t="s">
        <v>1951</v>
      </c>
      <c r="D1078" s="18"/>
      <c r="E1078" s="18" t="s">
        <v>230</v>
      </c>
      <c r="F1078" s="18" t="str">
        <f>IFERROR(__xludf.DUMMYFUNCTION("if(REGEXMATCH(C1078,""x.com"")=TRUE,""Twitter"",if(REGEXMATCH(C1078,""facebook"")=TRUE,""Facebook"",if(REGEXMATCH(C1078,""instagram"")=TRUE,""Instagram"",if(REGEXMATCH(C1078,""youtube"")=TRUE,""Youtube"",if(REGEXMATCH(C1078,""tiktok"")=TRUE,""Tiktok"",if("&amp;"REGEXMATCH(C1078,""threads"")=TRUE,""Threads""))))))"),"Twitter")</f>
        <v>Twitter</v>
      </c>
      <c r="G1078" s="18" t="s">
        <v>1952</v>
      </c>
      <c r="H1078" s="18" t="s">
        <v>1945</v>
      </c>
      <c r="I1078" s="18" t="s">
        <v>535</v>
      </c>
      <c r="J1078" s="18" t="s">
        <v>188</v>
      </c>
      <c r="K1078" s="18" t="s">
        <v>1611</v>
      </c>
      <c r="L1078" s="15"/>
    </row>
    <row r="1079">
      <c r="A1079" s="15">
        <v>1078.0</v>
      </c>
      <c r="B1079" s="23">
        <v>45964.0</v>
      </c>
      <c r="C1079" s="22" t="s">
        <v>1953</v>
      </c>
      <c r="D1079" s="18"/>
      <c r="E1079" s="18" t="s">
        <v>197</v>
      </c>
      <c r="F1079" s="18" t="str">
        <f>IFERROR(__xludf.DUMMYFUNCTION("if(REGEXMATCH(C1079,""x.com"")=TRUE,""Twitter"",if(REGEXMATCH(C1079,""facebook"")=TRUE,""Facebook"",if(REGEXMATCH(C1079,""instagram"")=TRUE,""Instagram"",if(REGEXMATCH(C1079,""youtube"")=TRUE,""Youtube"",if(REGEXMATCH(C1079,""tiktok"")=TRUE,""Tiktok"",if("&amp;"REGEXMATCH(C1079,""threads"")=TRUE,""Threads""))))))"),"Twitter")</f>
        <v>Twitter</v>
      </c>
      <c r="G1079" s="18" t="s">
        <v>1954</v>
      </c>
      <c r="H1079" s="18" t="s">
        <v>1945</v>
      </c>
      <c r="I1079" s="18" t="s">
        <v>535</v>
      </c>
      <c r="J1079" s="18" t="s">
        <v>188</v>
      </c>
      <c r="K1079" s="18" t="s">
        <v>1611</v>
      </c>
      <c r="L1079" s="15"/>
    </row>
    <row r="1080">
      <c r="A1080" s="15">
        <v>1079.0</v>
      </c>
      <c r="B1080" s="23">
        <v>45964.0</v>
      </c>
      <c r="C1080" s="22" t="s">
        <v>1955</v>
      </c>
      <c r="D1080" s="18"/>
      <c r="E1080" s="18" t="s">
        <v>197</v>
      </c>
      <c r="F1080" s="18" t="str">
        <f>IFERROR(__xludf.DUMMYFUNCTION("if(REGEXMATCH(C1080,""x.com"")=TRUE,""Twitter"",if(REGEXMATCH(C1080,""facebook"")=TRUE,""Facebook"",if(REGEXMATCH(C1080,""instagram"")=TRUE,""Instagram"",if(REGEXMATCH(C1080,""youtube"")=TRUE,""Youtube"",if(REGEXMATCH(C1080,""tiktok"")=TRUE,""Tiktok"",if("&amp;"REGEXMATCH(C1080,""threads"")=TRUE,""Threads""))))))"),"Tiktok")</f>
        <v>Tiktok</v>
      </c>
      <c r="G1080" s="18" t="s">
        <v>1956</v>
      </c>
      <c r="H1080" s="18" t="s">
        <v>1945</v>
      </c>
      <c r="I1080" s="18" t="s">
        <v>535</v>
      </c>
      <c r="J1080" s="18" t="s">
        <v>188</v>
      </c>
      <c r="K1080" s="18" t="s">
        <v>1611</v>
      </c>
      <c r="L1080" s="15"/>
    </row>
    <row r="1081">
      <c r="A1081" s="15">
        <v>1080.0</v>
      </c>
      <c r="B1081" s="23">
        <v>45964.0</v>
      </c>
      <c r="C1081" s="22" t="s">
        <v>1957</v>
      </c>
      <c r="D1081" s="18"/>
      <c r="E1081" s="18" t="s">
        <v>1958</v>
      </c>
      <c r="F1081" s="18" t="str">
        <f>IFERROR(__xludf.DUMMYFUNCTION("if(REGEXMATCH(C1081,""x.com"")=TRUE,""Twitter"",if(REGEXMATCH(C1081,""facebook"")=TRUE,""Facebook"",if(REGEXMATCH(C1081,""instagram"")=TRUE,""Instagram"",if(REGEXMATCH(C1081,""youtube"")=TRUE,""Youtube"",if(REGEXMATCH(C1081,""tiktok"")=TRUE,""Tiktok"",if("&amp;"REGEXMATCH(C1081,""threads"")=TRUE,""Threads""))))))"),"Tiktok")</f>
        <v>Tiktok</v>
      </c>
      <c r="G1081" s="18" t="s">
        <v>1959</v>
      </c>
      <c r="H1081" s="18" t="s">
        <v>1945</v>
      </c>
      <c r="I1081" s="18" t="s">
        <v>535</v>
      </c>
      <c r="J1081" s="18" t="s">
        <v>188</v>
      </c>
      <c r="K1081" s="18"/>
      <c r="L1081" s="15"/>
    </row>
    <row r="1082">
      <c r="A1082" s="15">
        <v>1081.0</v>
      </c>
      <c r="B1082" s="23">
        <v>45964.0</v>
      </c>
      <c r="C1082" s="18" t="s">
        <v>1960</v>
      </c>
      <c r="D1082" s="18"/>
      <c r="E1082" s="18"/>
      <c r="F1082" s="18" t="str">
        <f>IFERROR(__xludf.DUMMYFUNCTION("if(REGEXMATCH(C1082,""x.com"")=TRUE,""Twitter"",if(REGEXMATCH(C1082,""facebook"")=TRUE,""Facebook"",if(REGEXMATCH(C1082,""instagram"")=TRUE,""Instagram"",if(REGEXMATCH(C1082,""youtube"")=TRUE,""Youtube"",if(REGEXMATCH(C1082,""tiktok"")=TRUE,""Tiktok"",if("&amp;"REGEXMATCH(C1082,""threads"")=TRUE,""Threads""))))))"),"Tiktok")</f>
        <v>Tiktok</v>
      </c>
      <c r="G1082" s="18" t="s">
        <v>1961</v>
      </c>
      <c r="H1082" s="18" t="s">
        <v>1945</v>
      </c>
      <c r="I1082" s="18" t="s">
        <v>535</v>
      </c>
      <c r="J1082" s="18" t="s">
        <v>188</v>
      </c>
      <c r="K1082" s="18"/>
      <c r="L1082" s="15"/>
    </row>
    <row r="1083">
      <c r="A1083" s="15">
        <v>1082.0</v>
      </c>
      <c r="B1083" s="23">
        <v>45964.0</v>
      </c>
      <c r="C1083" s="22" t="s">
        <v>1964</v>
      </c>
      <c r="D1083" s="18"/>
      <c r="E1083" s="18" t="s">
        <v>401</v>
      </c>
      <c r="F1083" s="18" t="str">
        <f>IFERROR(__xludf.DUMMYFUNCTION("if(REGEXMATCH(C1083,""x.com"")=TRUE,""Twitter"",if(REGEXMATCH(C1083,""facebook"")=TRUE,""Facebook"",if(REGEXMATCH(C1083,""instagram"")=TRUE,""Instagram"",if(REGEXMATCH(C1083,""youtube"")=TRUE,""Youtube"",if(REGEXMATCH(C1083,""tiktok"")=TRUE,""Tiktok"",if("&amp;"REGEXMATCH(C1083,""threads"")=TRUE,""Threads""))))))"),"Facebook")</f>
        <v>Facebook</v>
      </c>
      <c r="G1083" s="18" t="s">
        <v>937</v>
      </c>
      <c r="H1083" s="18" t="s">
        <v>1542</v>
      </c>
      <c r="I1083" s="18" t="s">
        <v>939</v>
      </c>
      <c r="J1083" s="18" t="s">
        <v>188</v>
      </c>
      <c r="K1083" s="15"/>
      <c r="L1083" s="15"/>
    </row>
    <row r="1084">
      <c r="A1084" s="15">
        <v>1083.0</v>
      </c>
      <c r="B1084" s="23">
        <v>45964.0</v>
      </c>
      <c r="C1084" s="22" t="s">
        <v>1965</v>
      </c>
      <c r="D1084" s="18"/>
      <c r="E1084" s="18" t="s">
        <v>401</v>
      </c>
      <c r="F1084" s="18" t="str">
        <f>IFERROR(__xludf.DUMMYFUNCTION("if(REGEXMATCH(C1084,""x.com"")=TRUE,""Twitter"",if(REGEXMATCH(C1084,""facebook"")=TRUE,""Facebook"",if(REGEXMATCH(C1084,""instagram"")=TRUE,""Instagram"",if(REGEXMATCH(C1084,""youtube"")=TRUE,""Youtube"",if(REGEXMATCH(C1084,""tiktok"")=TRUE,""Tiktok"",if("&amp;"REGEXMATCH(C1084,""threads"")=TRUE,""Threads""))))))"),"Facebook")</f>
        <v>Facebook</v>
      </c>
      <c r="G1084" s="18" t="s">
        <v>937</v>
      </c>
      <c r="H1084" s="18" t="s">
        <v>1542</v>
      </c>
      <c r="I1084" s="18" t="s">
        <v>939</v>
      </c>
      <c r="J1084" s="18" t="s">
        <v>188</v>
      </c>
      <c r="K1084" s="15"/>
      <c r="L1084" s="15"/>
    </row>
    <row r="1085">
      <c r="A1085" s="15">
        <v>1084.0</v>
      </c>
      <c r="B1085" s="23">
        <v>45964.0</v>
      </c>
      <c r="C1085" s="22" t="s">
        <v>1966</v>
      </c>
      <c r="D1085" s="18"/>
      <c r="E1085" s="18" t="s">
        <v>401</v>
      </c>
      <c r="F1085" s="18" t="str">
        <f>IFERROR(__xludf.DUMMYFUNCTION("if(REGEXMATCH(C1085,""x.com"")=TRUE,""Twitter"",if(REGEXMATCH(C1085,""facebook"")=TRUE,""Facebook"",if(REGEXMATCH(C1085,""instagram"")=TRUE,""Instagram"",if(REGEXMATCH(C1085,""youtube"")=TRUE,""Youtube"",if(REGEXMATCH(C1085,""tiktok"")=TRUE,""Tiktok"",if("&amp;"REGEXMATCH(C1085,""threads"")=TRUE,""Threads""))))))"),"Facebook")</f>
        <v>Facebook</v>
      </c>
      <c r="G1085" s="18" t="s">
        <v>937</v>
      </c>
      <c r="H1085" s="18" t="s">
        <v>1542</v>
      </c>
      <c r="I1085" s="18" t="s">
        <v>939</v>
      </c>
      <c r="J1085" s="18" t="s">
        <v>188</v>
      </c>
      <c r="K1085" s="15"/>
      <c r="L1085" s="15"/>
    </row>
    <row r="1086">
      <c r="A1086" s="15">
        <v>1085.0</v>
      </c>
      <c r="B1086" s="23">
        <v>45964.0</v>
      </c>
      <c r="C1086" s="22" t="s">
        <v>1967</v>
      </c>
      <c r="D1086" s="18"/>
      <c r="E1086" s="18" t="s">
        <v>401</v>
      </c>
      <c r="F1086" s="18" t="str">
        <f>IFERROR(__xludf.DUMMYFUNCTION("if(REGEXMATCH(C1086,""x.com"")=TRUE,""Twitter"",if(REGEXMATCH(C1086,""facebook"")=TRUE,""Facebook"",if(REGEXMATCH(C1086,""instagram"")=TRUE,""Instagram"",if(REGEXMATCH(C1086,""youtube"")=TRUE,""Youtube"",if(REGEXMATCH(C1086,""tiktok"")=TRUE,""Tiktok"",if("&amp;"REGEXMATCH(C1086,""threads"")=TRUE,""Threads""))))))"),"Facebook")</f>
        <v>Facebook</v>
      </c>
      <c r="G1086" s="18" t="s">
        <v>937</v>
      </c>
      <c r="H1086" s="18" t="s">
        <v>1542</v>
      </c>
      <c r="I1086" s="18" t="s">
        <v>939</v>
      </c>
      <c r="J1086" s="18" t="s">
        <v>188</v>
      </c>
      <c r="K1086" s="15"/>
      <c r="L1086" s="15"/>
    </row>
    <row r="1087">
      <c r="A1087" s="15">
        <v>1086.0</v>
      </c>
      <c r="B1087" s="23">
        <v>45964.0</v>
      </c>
      <c r="C1087" s="22" t="s">
        <v>1968</v>
      </c>
      <c r="D1087" s="18"/>
      <c r="E1087" s="18" t="s">
        <v>401</v>
      </c>
      <c r="F1087" s="18" t="str">
        <f>IFERROR(__xludf.DUMMYFUNCTION("if(REGEXMATCH(C1087,""x.com"")=TRUE,""Twitter"",if(REGEXMATCH(C1087,""facebook"")=TRUE,""Facebook"",if(REGEXMATCH(C1087,""instagram"")=TRUE,""Instagram"",if(REGEXMATCH(C1087,""youtube"")=TRUE,""Youtube"",if(REGEXMATCH(C1087,""tiktok"")=TRUE,""Tiktok"",if("&amp;"REGEXMATCH(C1087,""threads"")=TRUE,""Threads""))))))"),"Facebook")</f>
        <v>Facebook</v>
      </c>
      <c r="G1087" s="18" t="s">
        <v>937</v>
      </c>
      <c r="H1087" s="18" t="s">
        <v>1542</v>
      </c>
      <c r="I1087" s="18" t="s">
        <v>939</v>
      </c>
      <c r="J1087" s="18" t="s">
        <v>188</v>
      </c>
      <c r="K1087" s="15"/>
      <c r="L1087" s="15"/>
    </row>
    <row r="1088">
      <c r="A1088" s="15">
        <v>1087.0</v>
      </c>
      <c r="B1088" s="23">
        <v>45964.0</v>
      </c>
      <c r="C1088" s="27" t="s">
        <v>1978</v>
      </c>
      <c r="D1088" s="18"/>
      <c r="E1088" s="18" t="s">
        <v>401</v>
      </c>
      <c r="F1088" s="18" t="str">
        <f>IFERROR(__xludf.DUMMYFUNCTION("if(REGEXMATCH(C1088,""x.com"")=TRUE,""Twitter"",if(REGEXMATCH(C1088,""facebook"")=TRUE,""Facebook"",if(REGEXMATCH(C1088,""instagram"")=TRUE,""Instagram"",if(REGEXMATCH(C1088,""youtube"")=TRUE,""Youtube"",if(REGEXMATCH(C1088,""tiktok"")=TRUE,""Tiktok"",if("&amp;"REGEXMATCH(C1088,""threads"")=TRUE,""Threads""))))))"),"Facebook")</f>
        <v>Facebook</v>
      </c>
      <c r="G1088" s="18" t="s">
        <v>937</v>
      </c>
      <c r="H1088" s="18" t="s">
        <v>1542</v>
      </c>
      <c r="I1088" s="18" t="s">
        <v>939</v>
      </c>
      <c r="J1088" s="18" t="s">
        <v>188</v>
      </c>
      <c r="K1088" s="15"/>
      <c r="L1088" s="15"/>
    </row>
    <row r="1089">
      <c r="A1089" s="15">
        <v>1088.0</v>
      </c>
      <c r="B1089" s="23">
        <v>45964.0</v>
      </c>
      <c r="C1089" s="22" t="s">
        <v>1970</v>
      </c>
      <c r="D1089" s="18"/>
      <c r="E1089" s="18" t="s">
        <v>401</v>
      </c>
      <c r="F1089" s="18" t="str">
        <f>IFERROR(__xludf.DUMMYFUNCTION("if(REGEXMATCH(C1089,""x.com"")=TRUE,""Twitter"",if(REGEXMATCH(C1089,""facebook"")=TRUE,""Facebook"",if(REGEXMATCH(C1089,""instagram"")=TRUE,""Instagram"",if(REGEXMATCH(C1089,""youtube"")=TRUE,""Youtube"",if(REGEXMATCH(C1089,""tiktok"")=TRUE,""Tiktok"",if("&amp;"REGEXMATCH(C1089,""threads"")=TRUE,""Threads""))))))"),"Facebook")</f>
        <v>Facebook</v>
      </c>
      <c r="G1089" s="18" t="s">
        <v>937</v>
      </c>
      <c r="H1089" s="18" t="s">
        <v>1542</v>
      </c>
      <c r="I1089" s="18" t="s">
        <v>939</v>
      </c>
      <c r="J1089" s="18" t="s">
        <v>188</v>
      </c>
      <c r="K1089" s="15"/>
      <c r="L1089" s="15"/>
    </row>
    <row r="1090">
      <c r="A1090" s="15">
        <v>1089.0</v>
      </c>
      <c r="B1090" s="23">
        <v>45964.0</v>
      </c>
      <c r="C1090" s="22" t="s">
        <v>1979</v>
      </c>
      <c r="D1090" s="18"/>
      <c r="E1090" s="18" t="s">
        <v>401</v>
      </c>
      <c r="F1090" s="18" t="str">
        <f>IFERROR(__xludf.DUMMYFUNCTION("if(REGEXMATCH(C1090,""x.com"")=TRUE,""Twitter"",if(REGEXMATCH(C1090,""facebook"")=TRUE,""Facebook"",if(REGEXMATCH(C1090,""instagram"")=TRUE,""Instagram"",if(REGEXMATCH(C1090,""youtube"")=TRUE,""Youtube"",if(REGEXMATCH(C1090,""tiktok"")=TRUE,""Tiktok"",if("&amp;"REGEXMATCH(C1090,""threads"")=TRUE,""Threads""))))))"),"Facebook")</f>
        <v>Facebook</v>
      </c>
      <c r="G1090" s="18" t="s">
        <v>937</v>
      </c>
      <c r="H1090" s="18" t="s">
        <v>1542</v>
      </c>
      <c r="I1090" s="18" t="s">
        <v>939</v>
      </c>
      <c r="J1090" s="18" t="s">
        <v>188</v>
      </c>
      <c r="K1090" s="15"/>
      <c r="L1090" s="15"/>
    </row>
    <row r="1091">
      <c r="A1091" s="15">
        <v>1090.0</v>
      </c>
      <c r="B1091" s="23">
        <v>45965.0</v>
      </c>
      <c r="C1091" s="22" t="s">
        <v>1980</v>
      </c>
      <c r="D1091" s="18"/>
      <c r="E1091" s="18" t="s">
        <v>197</v>
      </c>
      <c r="F1091" s="18" t="str">
        <f>IFERROR(__xludf.DUMMYFUNCTION("if(REGEXMATCH(C1091,""x.com"")=TRUE,""Twitter"",if(REGEXMATCH(C1091,""facebook"")=TRUE,""Facebook"",if(REGEXMATCH(C1091,""instagram"")=TRUE,""Instagram"",if(REGEXMATCH(C1091,""youtube"")=TRUE,""Youtube"",if(REGEXMATCH(C1091,""tiktok"")=TRUE,""Tiktok"",if("&amp;"REGEXMATCH(C1091,""threads"")=TRUE,""Threads""))))))"),"Tiktok")</f>
        <v>Tiktok</v>
      </c>
      <c r="G1091" s="18" t="s">
        <v>1981</v>
      </c>
      <c r="H1091" s="18" t="s">
        <v>1945</v>
      </c>
      <c r="I1091" s="18" t="s">
        <v>535</v>
      </c>
      <c r="J1091" s="18" t="s">
        <v>188</v>
      </c>
      <c r="K1091" s="18"/>
      <c r="L1091" s="15"/>
    </row>
    <row r="1092">
      <c r="A1092" s="15">
        <v>1091.0</v>
      </c>
      <c r="B1092" s="23">
        <v>45965.0</v>
      </c>
      <c r="C1092" s="22" t="s">
        <v>1982</v>
      </c>
      <c r="D1092" s="18"/>
      <c r="E1092" s="18" t="s">
        <v>197</v>
      </c>
      <c r="F1092" s="18" t="str">
        <f>IFERROR(__xludf.DUMMYFUNCTION("if(REGEXMATCH(C1092,""x.com"")=TRUE,""Twitter"",if(REGEXMATCH(C1092,""facebook"")=TRUE,""Facebook"",if(REGEXMATCH(C1092,""instagram"")=TRUE,""Instagram"",if(REGEXMATCH(C1092,""youtube"")=TRUE,""Youtube"",if(REGEXMATCH(C1092,""tiktok"")=TRUE,""Tiktok"",if("&amp;"REGEXMATCH(C1092,""threads"")=TRUE,""Threads""))))))"),"Tiktok")</f>
        <v>Tiktok</v>
      </c>
      <c r="G1092" s="18" t="s">
        <v>1981</v>
      </c>
      <c r="H1092" s="18" t="s">
        <v>1945</v>
      </c>
      <c r="I1092" s="18" t="s">
        <v>535</v>
      </c>
      <c r="J1092" s="18" t="s">
        <v>188</v>
      </c>
      <c r="K1092" s="18"/>
      <c r="L1092" s="15"/>
    </row>
    <row r="1093">
      <c r="A1093" s="15">
        <v>1092.0</v>
      </c>
      <c r="B1093" s="23">
        <v>45965.0</v>
      </c>
      <c r="C1093" s="22" t="s">
        <v>1983</v>
      </c>
      <c r="D1093" s="18"/>
      <c r="E1093" s="18" t="s">
        <v>197</v>
      </c>
      <c r="F1093" s="18" t="str">
        <f>IFERROR(__xludf.DUMMYFUNCTION("if(REGEXMATCH(C1093,""x.com"")=TRUE,""Twitter"",if(REGEXMATCH(C1093,""facebook"")=TRUE,""Facebook"",if(REGEXMATCH(C1093,""instagram"")=TRUE,""Instagram"",if(REGEXMATCH(C1093,""youtube"")=TRUE,""Youtube"",if(REGEXMATCH(C1093,""tiktok"")=TRUE,""Tiktok"",if("&amp;"REGEXMATCH(C1093,""threads"")=TRUE,""Threads""))))))"),"Tiktok")</f>
        <v>Tiktok</v>
      </c>
      <c r="G1093" s="18" t="s">
        <v>1981</v>
      </c>
      <c r="H1093" s="18" t="s">
        <v>1945</v>
      </c>
      <c r="I1093" s="18" t="s">
        <v>535</v>
      </c>
      <c r="J1093" s="18" t="s">
        <v>188</v>
      </c>
      <c r="K1093" s="18"/>
      <c r="L1093" s="15"/>
    </row>
    <row r="1094">
      <c r="A1094" s="15">
        <v>1093.0</v>
      </c>
      <c r="B1094" s="23">
        <v>45965.0</v>
      </c>
      <c r="C1094" s="22" t="s">
        <v>1984</v>
      </c>
      <c r="D1094" s="18"/>
      <c r="E1094" s="18" t="s">
        <v>197</v>
      </c>
      <c r="F1094" s="18" t="str">
        <f>IFERROR(__xludf.DUMMYFUNCTION("if(REGEXMATCH(C1094,""x.com"")=TRUE,""Twitter"",if(REGEXMATCH(C1094,""facebook"")=TRUE,""Facebook"",if(REGEXMATCH(C1094,""instagram"")=TRUE,""Instagram"",if(REGEXMATCH(C1094,""youtube"")=TRUE,""Youtube"",if(REGEXMATCH(C1094,""tiktok"")=TRUE,""Tiktok"",if("&amp;"REGEXMATCH(C1094,""threads"")=TRUE,""Threads""))))))"),"Tiktok")</f>
        <v>Tiktok</v>
      </c>
      <c r="G1094" s="18" t="s">
        <v>1981</v>
      </c>
      <c r="H1094" s="18" t="s">
        <v>1945</v>
      </c>
      <c r="I1094" s="18" t="s">
        <v>535</v>
      </c>
      <c r="J1094" s="18" t="s">
        <v>188</v>
      </c>
      <c r="K1094" s="18"/>
      <c r="L1094" s="15"/>
    </row>
    <row r="1095">
      <c r="A1095" s="15">
        <v>1094.0</v>
      </c>
      <c r="B1095" s="23">
        <v>45965.0</v>
      </c>
      <c r="C1095" s="22" t="s">
        <v>1985</v>
      </c>
      <c r="D1095" s="18"/>
      <c r="E1095" s="18" t="s">
        <v>197</v>
      </c>
      <c r="F1095" s="18" t="str">
        <f>IFERROR(__xludf.DUMMYFUNCTION("if(REGEXMATCH(C1095,""x.com"")=TRUE,""Twitter"",if(REGEXMATCH(C1095,""facebook"")=TRUE,""Facebook"",if(REGEXMATCH(C1095,""instagram"")=TRUE,""Instagram"",if(REGEXMATCH(C1095,""youtube"")=TRUE,""Youtube"",if(REGEXMATCH(C1095,""tiktok"")=TRUE,""Tiktok"",if("&amp;"REGEXMATCH(C1095,""threads"")=TRUE,""Threads""))))))"),"Tiktok")</f>
        <v>Tiktok</v>
      </c>
      <c r="G1095" s="18" t="s">
        <v>1981</v>
      </c>
      <c r="H1095" s="18" t="s">
        <v>1945</v>
      </c>
      <c r="I1095" s="18" t="s">
        <v>535</v>
      </c>
      <c r="J1095" s="18" t="s">
        <v>188</v>
      </c>
      <c r="K1095" s="18"/>
      <c r="L1095" s="15"/>
    </row>
    <row r="1096">
      <c r="A1096" s="15">
        <v>1095.0</v>
      </c>
      <c r="B1096" s="23">
        <v>45965.0</v>
      </c>
      <c r="C1096" s="22" t="s">
        <v>1986</v>
      </c>
      <c r="D1096" s="18"/>
      <c r="E1096" s="18" t="s">
        <v>1178</v>
      </c>
      <c r="F1096" s="18" t="str">
        <f>IFERROR(__xludf.DUMMYFUNCTION("if(REGEXMATCH(C1096,""x.com"")=TRUE,""Twitter"",if(REGEXMATCH(C1096,""facebook"")=TRUE,""Facebook"",if(REGEXMATCH(C1096,""instagram"")=TRUE,""Instagram"",if(REGEXMATCH(C1096,""youtube"")=TRUE,""Youtube"",if(REGEXMATCH(C1096,""tiktok"")=TRUE,""Tiktok"",if("&amp;"REGEXMATCH(C1096,""threads"")=TRUE,""Threads""))))))"),"Tiktok")</f>
        <v>Tiktok</v>
      </c>
      <c r="G1096" s="18" t="s">
        <v>1987</v>
      </c>
      <c r="H1096" s="18" t="s">
        <v>1945</v>
      </c>
      <c r="I1096" s="18"/>
      <c r="J1096" s="18" t="s">
        <v>188</v>
      </c>
      <c r="K1096" s="18"/>
      <c r="L1096" s="15"/>
    </row>
    <row r="1097">
      <c r="A1097" s="15">
        <v>1096.0</v>
      </c>
      <c r="B1097" s="23">
        <v>45965.0</v>
      </c>
      <c r="C1097" s="22" t="s">
        <v>1988</v>
      </c>
      <c r="D1097" s="18"/>
      <c r="E1097" s="18" t="s">
        <v>197</v>
      </c>
      <c r="F1097" s="18" t="str">
        <f>IFERROR(__xludf.DUMMYFUNCTION("if(REGEXMATCH(C1097,""x.com"")=TRUE,""Twitter"",if(REGEXMATCH(C1097,""facebook"")=TRUE,""Facebook"",if(REGEXMATCH(C1097,""instagram"")=TRUE,""Instagram"",if(REGEXMATCH(C1097,""youtube"")=TRUE,""Youtube"",if(REGEXMATCH(C1097,""tiktok"")=TRUE,""Tiktok"",if("&amp;"REGEXMATCH(C1097,""threads"")=TRUE,""Threads""))))))"),"Twitter")</f>
        <v>Twitter</v>
      </c>
      <c r="G1097" s="18" t="s">
        <v>1989</v>
      </c>
      <c r="H1097" s="18" t="s">
        <v>1945</v>
      </c>
      <c r="I1097" s="18"/>
      <c r="J1097" s="18" t="s">
        <v>188</v>
      </c>
      <c r="K1097" s="18"/>
      <c r="L1097" s="15"/>
    </row>
    <row r="1098">
      <c r="A1098" s="15">
        <v>1097.0</v>
      </c>
      <c r="B1098" s="23">
        <v>45965.0</v>
      </c>
      <c r="C1098" s="22" t="s">
        <v>1990</v>
      </c>
      <c r="D1098" s="18"/>
      <c r="E1098" s="18" t="s">
        <v>197</v>
      </c>
      <c r="F1098" s="18" t="str">
        <f>IFERROR(__xludf.DUMMYFUNCTION("if(REGEXMATCH(C1098,""x.com"")=TRUE,""Twitter"",if(REGEXMATCH(C1098,""facebook"")=TRUE,""Facebook"",if(REGEXMATCH(C1098,""instagram"")=TRUE,""Instagram"",if(REGEXMATCH(C1098,""youtube"")=TRUE,""Youtube"",if(REGEXMATCH(C1098,""tiktok"")=TRUE,""Tiktok"",if("&amp;"REGEXMATCH(C1098,""threads"")=TRUE,""Threads""))))))"),"Twitter")</f>
        <v>Twitter</v>
      </c>
      <c r="G1098" s="18" t="s">
        <v>1991</v>
      </c>
      <c r="H1098" s="18" t="s">
        <v>1945</v>
      </c>
      <c r="I1098" s="18"/>
      <c r="J1098" s="18" t="s">
        <v>188</v>
      </c>
      <c r="K1098" s="18"/>
      <c r="L1098" s="15"/>
    </row>
    <row r="1099">
      <c r="A1099" s="15">
        <v>1098.0</v>
      </c>
      <c r="B1099" s="23">
        <v>45965.0</v>
      </c>
      <c r="C1099" s="22" t="s">
        <v>1992</v>
      </c>
      <c r="D1099" s="18"/>
      <c r="E1099" s="18" t="s">
        <v>197</v>
      </c>
      <c r="F1099" s="18" t="str">
        <f>IFERROR(__xludf.DUMMYFUNCTION("if(REGEXMATCH(C1099,""x.com"")=TRUE,""Twitter"",if(REGEXMATCH(C1099,""facebook"")=TRUE,""Facebook"",if(REGEXMATCH(C1099,""instagram"")=TRUE,""Instagram"",if(REGEXMATCH(C1099,""youtube"")=TRUE,""Youtube"",if(REGEXMATCH(C1099,""tiktok"")=TRUE,""Tiktok"",if("&amp;"REGEXMATCH(C1099,""threads"")=TRUE,""Threads""))))))"),"Facebook")</f>
        <v>Facebook</v>
      </c>
      <c r="G1099" s="18" t="s">
        <v>1993</v>
      </c>
      <c r="H1099" s="18" t="s">
        <v>1945</v>
      </c>
      <c r="I1099" s="18"/>
      <c r="J1099" s="18" t="s">
        <v>188</v>
      </c>
      <c r="K1099" s="18"/>
      <c r="L1099" s="15"/>
    </row>
    <row r="1100">
      <c r="A1100" s="15">
        <v>1099.0</v>
      </c>
      <c r="B1100" s="23">
        <v>45965.0</v>
      </c>
      <c r="C1100" s="22" t="s">
        <v>1994</v>
      </c>
      <c r="D1100" s="18"/>
      <c r="E1100" s="18" t="s">
        <v>1995</v>
      </c>
      <c r="F1100" s="18" t="str">
        <f>IFERROR(__xludf.DUMMYFUNCTION("if(REGEXMATCH(C1100,""x.com"")=TRUE,""Twitter"",if(REGEXMATCH(C1100,""facebook"")=TRUE,""Facebook"",if(REGEXMATCH(C1100,""instagram"")=TRUE,""Instagram"",if(REGEXMATCH(C1100,""youtube"")=TRUE,""Youtube"",if(REGEXMATCH(C1100,""tiktok"")=TRUE,""Tiktok"",if("&amp;"REGEXMATCH(C1100,""threads"")=TRUE,""Threads""))))))"),"Facebook")</f>
        <v>Facebook</v>
      </c>
      <c r="G1100" s="18" t="s">
        <v>1996</v>
      </c>
      <c r="H1100" s="18" t="s">
        <v>1945</v>
      </c>
      <c r="I1100" s="18"/>
      <c r="J1100" s="18" t="s">
        <v>188</v>
      </c>
      <c r="K1100" s="18"/>
      <c r="L1100" s="15"/>
    </row>
    <row r="1101">
      <c r="A1101" s="15">
        <v>1100.0</v>
      </c>
      <c r="B1101" s="23">
        <v>45965.0</v>
      </c>
      <c r="C1101" s="22" t="s">
        <v>1997</v>
      </c>
      <c r="D1101" s="18"/>
      <c r="E1101" s="18" t="s">
        <v>1178</v>
      </c>
      <c r="F1101" s="18" t="str">
        <f>IFERROR(__xludf.DUMMYFUNCTION("if(REGEXMATCH(C1101,""x.com"")=TRUE,""Twitter"",if(REGEXMATCH(C1101,""facebook"")=TRUE,""Facebook"",if(REGEXMATCH(C1101,""instagram"")=TRUE,""Instagram"",if(REGEXMATCH(C1101,""youtube"")=TRUE,""Youtube"",if(REGEXMATCH(C1101,""tiktok"")=TRUE,""Tiktok"",if("&amp;"REGEXMATCH(C1101,""threads"")=TRUE,""Threads""))))))"),"Facebook")</f>
        <v>Facebook</v>
      </c>
      <c r="G1101" s="18" t="s">
        <v>1998</v>
      </c>
      <c r="H1101" s="18" t="s">
        <v>1945</v>
      </c>
      <c r="I1101" s="18"/>
      <c r="J1101" s="18" t="s">
        <v>188</v>
      </c>
      <c r="K1101" s="18"/>
      <c r="L1101" s="15"/>
    </row>
    <row r="1102">
      <c r="A1102" s="15">
        <v>1101.0</v>
      </c>
      <c r="B1102" s="23">
        <v>45965.0</v>
      </c>
      <c r="C1102" s="22" t="s">
        <v>1999</v>
      </c>
      <c r="D1102" s="18"/>
      <c r="E1102" s="18" t="s">
        <v>2000</v>
      </c>
      <c r="F1102" s="18" t="str">
        <f>IFERROR(__xludf.DUMMYFUNCTION("if(REGEXMATCH(C1102,""x.com"")=TRUE,""Twitter"",if(REGEXMATCH(C1102,""facebook"")=TRUE,""Facebook"",if(REGEXMATCH(C1102,""instagram"")=TRUE,""Instagram"",if(REGEXMATCH(C1102,""youtube"")=TRUE,""Youtube"",if(REGEXMATCH(C1102,""tiktok"")=TRUE,""Tiktok"",if("&amp;"REGEXMATCH(C1102,""threads"")=TRUE,""Threads""))))))"),"Twitter")</f>
        <v>Twitter</v>
      </c>
      <c r="G1102" s="18" t="s">
        <v>2001</v>
      </c>
      <c r="H1102" s="18" t="s">
        <v>1945</v>
      </c>
      <c r="I1102" s="18"/>
      <c r="J1102" s="18" t="s">
        <v>188</v>
      </c>
      <c r="K1102" s="18"/>
      <c r="L1102" s="15"/>
    </row>
    <row r="1103">
      <c r="A1103" s="15">
        <v>1102.0</v>
      </c>
      <c r="B1103" s="23">
        <v>45965.0</v>
      </c>
      <c r="C1103" s="22" t="s">
        <v>1975</v>
      </c>
      <c r="D1103" s="18"/>
      <c r="E1103" s="18" t="s">
        <v>401</v>
      </c>
      <c r="F1103" s="18" t="str">
        <f>IFERROR(__xludf.DUMMYFUNCTION("if(REGEXMATCH(C1103,""x.com"")=TRUE,""Twitter"",if(REGEXMATCH(C1103,""facebook"")=TRUE,""Facebook"",if(REGEXMATCH(C1103,""instagram"")=TRUE,""Instagram"",if(REGEXMATCH(C1103,""youtube"")=TRUE,""Youtube"",if(REGEXMATCH(C1103,""tiktok"")=TRUE,""Tiktok"",if("&amp;"REGEXMATCH(C1103,""threads"")=TRUE,""Threads""))))))"),"Facebook")</f>
        <v>Facebook</v>
      </c>
      <c r="G1103" s="18" t="s">
        <v>937</v>
      </c>
      <c r="H1103" s="18" t="s">
        <v>1542</v>
      </c>
      <c r="I1103" s="18" t="s">
        <v>939</v>
      </c>
      <c r="J1103" s="18" t="s">
        <v>188</v>
      </c>
      <c r="K1103" s="18"/>
      <c r="L1103" s="15"/>
    </row>
    <row r="1104">
      <c r="A1104" s="15">
        <v>1103.0</v>
      </c>
      <c r="B1104" s="23">
        <v>45965.0</v>
      </c>
      <c r="C1104" s="22" t="s">
        <v>1976</v>
      </c>
      <c r="D1104" s="18"/>
      <c r="E1104" s="18" t="s">
        <v>401</v>
      </c>
      <c r="F1104" s="18" t="str">
        <f>IFERROR(__xludf.DUMMYFUNCTION("if(REGEXMATCH(C1104,""x.com"")=TRUE,""Twitter"",if(REGEXMATCH(C1104,""facebook"")=TRUE,""Facebook"",if(REGEXMATCH(C1104,""instagram"")=TRUE,""Instagram"",if(REGEXMATCH(C1104,""youtube"")=TRUE,""Youtube"",if(REGEXMATCH(C1104,""tiktok"")=TRUE,""Tiktok"",if("&amp;"REGEXMATCH(C1104,""threads"")=TRUE,""Threads""))))))"),"Facebook")</f>
        <v>Facebook</v>
      </c>
      <c r="G1104" s="18" t="s">
        <v>937</v>
      </c>
      <c r="H1104" s="18" t="s">
        <v>1542</v>
      </c>
      <c r="I1104" s="18" t="s">
        <v>939</v>
      </c>
      <c r="J1104" s="18" t="s">
        <v>188</v>
      </c>
      <c r="K1104" s="18"/>
      <c r="L1104" s="15"/>
    </row>
    <row r="1105">
      <c r="A1105" s="15">
        <v>1104.0</v>
      </c>
      <c r="B1105" s="23">
        <v>45965.0</v>
      </c>
      <c r="C1105" s="22" t="s">
        <v>1977</v>
      </c>
      <c r="D1105" s="18"/>
      <c r="E1105" s="18" t="s">
        <v>401</v>
      </c>
      <c r="F1105" s="18" t="str">
        <f>IFERROR(__xludf.DUMMYFUNCTION("if(REGEXMATCH(C1105,""x.com"")=TRUE,""Twitter"",if(REGEXMATCH(C1105,""facebook"")=TRUE,""Facebook"",if(REGEXMATCH(C1105,""instagram"")=TRUE,""Instagram"",if(REGEXMATCH(C1105,""youtube"")=TRUE,""Youtube"",if(REGEXMATCH(C1105,""tiktok"")=TRUE,""Tiktok"",if("&amp;"REGEXMATCH(C1105,""threads"")=TRUE,""Threads""))))))"),"Facebook")</f>
        <v>Facebook</v>
      </c>
      <c r="G1105" s="18" t="s">
        <v>937</v>
      </c>
      <c r="H1105" s="18" t="s">
        <v>1542</v>
      </c>
      <c r="I1105" s="18" t="s">
        <v>939</v>
      </c>
      <c r="J1105" s="18" t="s">
        <v>188</v>
      </c>
      <c r="K1105" s="18"/>
      <c r="L1105" s="15"/>
    </row>
    <row r="1106">
      <c r="A1106" s="15">
        <v>1105.0</v>
      </c>
      <c r="B1106" s="23">
        <v>45965.0</v>
      </c>
      <c r="C1106" s="22" t="s">
        <v>1972</v>
      </c>
      <c r="D1106" s="18"/>
      <c r="E1106" s="18" t="s">
        <v>577</v>
      </c>
      <c r="F1106" s="18" t="str">
        <f>IFERROR(__xludf.DUMMYFUNCTION("if(REGEXMATCH(C1106,""x.com"")=TRUE,""Twitter"",if(REGEXMATCH(C1106,""facebook"")=TRUE,""Facebook"",if(REGEXMATCH(C1106,""instagram"")=TRUE,""Instagram"",if(REGEXMATCH(C1106,""youtube"")=TRUE,""Youtube"",if(REGEXMATCH(C1106,""tiktok"")=TRUE,""Tiktok"",if("&amp;"REGEXMATCH(C1106,""threads"")=TRUE,""Threads""))))))"),"Instagram")</f>
        <v>Instagram</v>
      </c>
      <c r="G1106" s="18" t="s">
        <v>1973</v>
      </c>
      <c r="H1106" s="18" t="s">
        <v>1974</v>
      </c>
      <c r="I1106" s="18"/>
      <c r="J1106" s="18" t="s">
        <v>188</v>
      </c>
      <c r="K1106" s="18"/>
      <c r="L1106" s="15"/>
    </row>
    <row r="1107">
      <c r="A1107" s="15">
        <v>1106.0</v>
      </c>
      <c r="B1107" s="23">
        <v>45965.0</v>
      </c>
      <c r="C1107" s="22" t="s">
        <v>2002</v>
      </c>
      <c r="D1107" s="18"/>
      <c r="E1107" s="18" t="s">
        <v>577</v>
      </c>
      <c r="F1107" s="18" t="str">
        <f>IFERROR(__xludf.DUMMYFUNCTION("if(REGEXMATCH(C1107,""x.com"")=TRUE,""Twitter"",if(REGEXMATCH(C1107,""facebook"")=TRUE,""Facebook"",if(REGEXMATCH(C1107,""instagram"")=TRUE,""Instagram"",if(REGEXMATCH(C1107,""youtube"")=TRUE,""Youtube"",if(REGEXMATCH(C1107,""tiktok"")=TRUE,""Tiktok"",if("&amp;"REGEXMATCH(C1107,""threads"")=TRUE,""Threads""))))))"),"Instagram")</f>
        <v>Instagram</v>
      </c>
      <c r="G1107" s="18" t="s">
        <v>2003</v>
      </c>
      <c r="H1107" s="18" t="s">
        <v>1974</v>
      </c>
      <c r="I1107" s="18"/>
      <c r="J1107" s="18" t="s">
        <v>188</v>
      </c>
      <c r="K1107" s="18"/>
      <c r="L1107" s="15"/>
    </row>
    <row r="1108">
      <c r="A1108" s="15">
        <v>1107.0</v>
      </c>
      <c r="B1108" s="23">
        <v>45966.0</v>
      </c>
      <c r="C1108" s="22" t="s">
        <v>2004</v>
      </c>
      <c r="D1108" s="18"/>
      <c r="E1108" s="18" t="s">
        <v>197</v>
      </c>
      <c r="F1108" s="18" t="str">
        <f>IFERROR(__xludf.DUMMYFUNCTION("if(REGEXMATCH(C1108,""x.com"")=TRUE,""Twitter"",if(REGEXMATCH(C1108,""facebook"")=TRUE,""Facebook"",if(REGEXMATCH(C1108,""instagram"")=TRUE,""Instagram"",if(REGEXMATCH(C1108,""youtube"")=TRUE,""Youtube"",if(REGEXMATCH(C1108,""tiktok"")=TRUE,""Tiktok"",if("&amp;"REGEXMATCH(C1108,""threads"")=TRUE,""Threads""))))))"),"Facebook")</f>
        <v>Facebook</v>
      </c>
      <c r="G1108" s="18" t="s">
        <v>2005</v>
      </c>
      <c r="H1108" s="34" t="s">
        <v>2006</v>
      </c>
      <c r="I1108" s="34" t="s">
        <v>535</v>
      </c>
      <c r="J1108" s="18" t="s">
        <v>188</v>
      </c>
      <c r="K1108" s="18" t="s">
        <v>1815</v>
      </c>
      <c r="L1108" s="15"/>
    </row>
    <row r="1109">
      <c r="A1109" s="15">
        <v>1108.0</v>
      </c>
      <c r="B1109" s="23">
        <v>45966.0</v>
      </c>
      <c r="C1109" s="22" t="s">
        <v>2007</v>
      </c>
      <c r="D1109" s="18"/>
      <c r="E1109" s="18" t="s">
        <v>197</v>
      </c>
      <c r="F1109" s="18" t="str">
        <f>IFERROR(__xludf.DUMMYFUNCTION("if(REGEXMATCH(C1109,""x.com"")=TRUE,""Twitter"",if(REGEXMATCH(C1109,""facebook"")=TRUE,""Facebook"",if(REGEXMATCH(C1109,""instagram"")=TRUE,""Instagram"",if(REGEXMATCH(C1109,""youtube"")=TRUE,""Youtube"",if(REGEXMATCH(C1109,""tiktok"")=TRUE,""Tiktok"",if("&amp;"REGEXMATCH(C1109,""threads"")=TRUE,""Threads""))))))"),"Facebook")</f>
        <v>Facebook</v>
      </c>
      <c r="G1109" s="18" t="s">
        <v>2008</v>
      </c>
      <c r="H1109" s="36"/>
      <c r="I1109" s="36"/>
      <c r="J1109" s="18" t="s">
        <v>188</v>
      </c>
      <c r="K1109" s="18" t="s">
        <v>1611</v>
      </c>
      <c r="L1109" s="15"/>
    </row>
    <row r="1110">
      <c r="A1110" s="15">
        <v>1109.0</v>
      </c>
      <c r="B1110" s="23">
        <v>45966.0</v>
      </c>
      <c r="C1110" s="22" t="s">
        <v>2009</v>
      </c>
      <c r="D1110" s="18"/>
      <c r="E1110" s="18" t="s">
        <v>197</v>
      </c>
      <c r="F1110" s="18" t="str">
        <f>IFERROR(__xludf.DUMMYFUNCTION("if(REGEXMATCH(C1110,""x.com"")=TRUE,""Twitter"",if(REGEXMATCH(C1110,""facebook"")=TRUE,""Facebook"",if(REGEXMATCH(C1110,""instagram"")=TRUE,""Instagram"",if(REGEXMATCH(C1110,""youtube"")=TRUE,""Youtube"",if(REGEXMATCH(C1110,""tiktok"")=TRUE,""Tiktok"",if("&amp;"REGEXMATCH(C1110,""threads"")=TRUE,""Threads""))))))"),"Facebook")</f>
        <v>Facebook</v>
      </c>
      <c r="G1110" s="18" t="s">
        <v>2010</v>
      </c>
      <c r="H1110" s="36"/>
      <c r="I1110" s="36"/>
      <c r="J1110" s="18" t="s">
        <v>422</v>
      </c>
      <c r="K1110" s="18" t="s">
        <v>696</v>
      </c>
      <c r="L1110" s="15"/>
    </row>
    <row r="1111">
      <c r="A1111" s="15">
        <v>1110.0</v>
      </c>
      <c r="B1111" s="23">
        <v>45966.0</v>
      </c>
      <c r="C1111" s="22" t="s">
        <v>2011</v>
      </c>
      <c r="D1111" s="18"/>
      <c r="E1111" s="18" t="s">
        <v>197</v>
      </c>
      <c r="F1111" s="18" t="str">
        <f>IFERROR(__xludf.DUMMYFUNCTION("if(REGEXMATCH(C1111,""x.com"")=TRUE,""Twitter"",if(REGEXMATCH(C1111,""facebook"")=TRUE,""Facebook"",if(REGEXMATCH(C1111,""instagram"")=TRUE,""Instagram"",if(REGEXMATCH(C1111,""youtube"")=TRUE,""Youtube"",if(REGEXMATCH(C1111,""tiktok"")=TRUE,""Tiktok"",if("&amp;"REGEXMATCH(C1111,""threads"")=TRUE,""Threads""))))))"),"Facebook")</f>
        <v>Facebook</v>
      </c>
      <c r="G1111" s="18" t="s">
        <v>2012</v>
      </c>
      <c r="H1111" s="36"/>
      <c r="I1111" s="36"/>
      <c r="J1111" s="18" t="s">
        <v>188</v>
      </c>
      <c r="K1111" s="18" t="s">
        <v>1611</v>
      </c>
      <c r="L1111" s="15"/>
    </row>
    <row r="1112">
      <c r="A1112" s="15">
        <v>1111.0</v>
      </c>
      <c r="B1112" s="23">
        <v>45966.0</v>
      </c>
      <c r="C1112" s="22" t="s">
        <v>2013</v>
      </c>
      <c r="D1112" s="18"/>
      <c r="E1112" s="18" t="s">
        <v>197</v>
      </c>
      <c r="F1112" s="18" t="str">
        <f>IFERROR(__xludf.DUMMYFUNCTION("if(REGEXMATCH(C1112,""x.com"")=TRUE,""Twitter"",if(REGEXMATCH(C1112,""facebook"")=TRUE,""Facebook"",if(REGEXMATCH(C1112,""instagram"")=TRUE,""Instagram"",if(REGEXMATCH(C1112,""youtube"")=TRUE,""Youtube"",if(REGEXMATCH(C1112,""tiktok"")=TRUE,""Tiktok"",if("&amp;"REGEXMATCH(C1112,""threads"")=TRUE,""Threads""))))))"),"Facebook")</f>
        <v>Facebook</v>
      </c>
      <c r="G1112" s="18" t="s">
        <v>2014</v>
      </c>
      <c r="H1112" s="36"/>
      <c r="I1112" s="36"/>
      <c r="J1112" s="18" t="s">
        <v>188</v>
      </c>
      <c r="K1112" s="18" t="s">
        <v>1815</v>
      </c>
      <c r="L1112" s="15"/>
    </row>
    <row r="1113">
      <c r="A1113" s="15">
        <v>1112.0</v>
      </c>
      <c r="B1113" s="23">
        <v>45966.0</v>
      </c>
      <c r="C1113" s="22" t="s">
        <v>2015</v>
      </c>
      <c r="D1113" s="18"/>
      <c r="E1113" s="18" t="s">
        <v>197</v>
      </c>
      <c r="F1113" s="18" t="str">
        <f>IFERROR(__xludf.DUMMYFUNCTION("if(REGEXMATCH(C1113,""x.com"")=TRUE,""Twitter"",if(REGEXMATCH(C1113,""facebook"")=TRUE,""Facebook"",if(REGEXMATCH(C1113,""instagram"")=TRUE,""Instagram"",if(REGEXMATCH(C1113,""youtube"")=TRUE,""Youtube"",if(REGEXMATCH(C1113,""tiktok"")=TRUE,""Tiktok"",if("&amp;"REGEXMATCH(C1113,""threads"")=TRUE,""Threads""))))))"),"Facebook")</f>
        <v>Facebook</v>
      </c>
      <c r="G1113" s="18" t="s">
        <v>2016</v>
      </c>
      <c r="H1113" s="35"/>
      <c r="I1113" s="35"/>
      <c r="J1113" s="18" t="s">
        <v>188</v>
      </c>
      <c r="K1113" s="18" t="s">
        <v>1611</v>
      </c>
      <c r="L1113" s="15"/>
    </row>
    <row r="1114">
      <c r="A1114" s="15">
        <v>1113.0</v>
      </c>
      <c r="B1114" s="23">
        <v>45967.0</v>
      </c>
      <c r="C1114" s="22" t="s">
        <v>2017</v>
      </c>
      <c r="D1114" s="18"/>
      <c r="E1114" s="18" t="s">
        <v>2018</v>
      </c>
      <c r="F1114" s="18" t="str">
        <f>IFERROR(__xludf.DUMMYFUNCTION("if(REGEXMATCH(C1114,""x.com"")=TRUE,""Twitter"",if(REGEXMATCH(C1114,""facebook"")=TRUE,""Facebook"",if(REGEXMATCH(C1114,""instagram"")=TRUE,""Instagram"",if(REGEXMATCH(C1114,""youtube"")=TRUE,""Youtube"",if(REGEXMATCH(C1114,""tiktok"")=TRUE,""Tiktok"",if("&amp;"REGEXMATCH(C1114,""threads"")=TRUE,""Threads""))))))"),"Facebook")</f>
        <v>Facebook</v>
      </c>
      <c r="G1114" s="18" t="s">
        <v>2019</v>
      </c>
      <c r="H1114" s="18" t="s">
        <v>2020</v>
      </c>
      <c r="I1114" s="18"/>
      <c r="J1114" s="18" t="s">
        <v>188</v>
      </c>
      <c r="K1114" s="18"/>
      <c r="L1114" s="15"/>
    </row>
    <row r="1115">
      <c r="A1115" s="15">
        <v>1114.0</v>
      </c>
      <c r="B1115" s="23">
        <v>45967.0</v>
      </c>
      <c r="C1115" s="22" t="s">
        <v>2021</v>
      </c>
      <c r="D1115" s="18"/>
      <c r="E1115" s="18" t="s">
        <v>2018</v>
      </c>
      <c r="F1115" s="18" t="str">
        <f>IFERROR(__xludf.DUMMYFUNCTION("if(REGEXMATCH(C1115,""x.com"")=TRUE,""Twitter"",if(REGEXMATCH(C1115,""facebook"")=TRUE,""Facebook"",if(REGEXMATCH(C1115,""instagram"")=TRUE,""Instagram"",if(REGEXMATCH(C1115,""youtube"")=TRUE,""Youtube"",if(REGEXMATCH(C1115,""tiktok"")=TRUE,""Tiktok"",if("&amp;"REGEXMATCH(C1115,""threads"")=TRUE,""Threads""))))))"),"Facebook")</f>
        <v>Facebook</v>
      </c>
      <c r="G1115" s="27" t="s">
        <v>2022</v>
      </c>
      <c r="H1115" s="18" t="s">
        <v>2023</v>
      </c>
      <c r="I1115" s="18"/>
      <c r="J1115" s="18" t="s">
        <v>188</v>
      </c>
      <c r="K1115" s="18"/>
      <c r="L1115" s="15"/>
    </row>
    <row r="1116">
      <c r="A1116" s="15">
        <v>1115.0</v>
      </c>
      <c r="B1116" s="23">
        <v>45967.0</v>
      </c>
      <c r="C1116" s="22" t="s">
        <v>2024</v>
      </c>
      <c r="D1116" s="18"/>
      <c r="E1116" s="18" t="s">
        <v>401</v>
      </c>
      <c r="F1116" s="18" t="str">
        <f>IFERROR(__xludf.DUMMYFUNCTION("if(REGEXMATCH(C1116,""x.com"")=TRUE,""Twitter"",if(REGEXMATCH(C1116,""facebook"")=TRUE,""Facebook"",if(REGEXMATCH(C1116,""instagram"")=TRUE,""Instagram"",if(REGEXMATCH(C1116,""youtube"")=TRUE,""Youtube"",if(REGEXMATCH(C1116,""tiktok"")=TRUE,""Tiktok"",if("&amp;"REGEXMATCH(C1116,""threads"")=TRUE,""Threads""))))))"),"Facebook")</f>
        <v>Facebook</v>
      </c>
      <c r="G1116" s="18" t="s">
        <v>937</v>
      </c>
      <c r="H1116" s="18" t="s">
        <v>1542</v>
      </c>
      <c r="I1116" s="18" t="s">
        <v>939</v>
      </c>
      <c r="J1116" s="18" t="s">
        <v>188</v>
      </c>
      <c r="K1116" s="18"/>
      <c r="L1116" s="15"/>
    </row>
    <row r="1117">
      <c r="A1117" s="15">
        <v>1116.0</v>
      </c>
      <c r="B1117" s="23">
        <v>45967.0</v>
      </c>
      <c r="C1117" s="22" t="s">
        <v>2025</v>
      </c>
      <c r="D1117" s="18"/>
      <c r="E1117" s="18" t="s">
        <v>401</v>
      </c>
      <c r="F1117" s="18" t="str">
        <f>IFERROR(__xludf.DUMMYFUNCTION("if(REGEXMATCH(C1117,""x.com"")=TRUE,""Twitter"",if(REGEXMATCH(C1117,""facebook"")=TRUE,""Facebook"",if(REGEXMATCH(C1117,""instagram"")=TRUE,""Instagram"",if(REGEXMATCH(C1117,""youtube"")=TRUE,""Youtube"",if(REGEXMATCH(C1117,""tiktok"")=TRUE,""Tiktok"",if("&amp;"REGEXMATCH(C1117,""threads"")=TRUE,""Threads""))))))"),"Facebook")</f>
        <v>Facebook</v>
      </c>
      <c r="G1117" s="18" t="s">
        <v>937</v>
      </c>
      <c r="H1117" s="18" t="s">
        <v>1542</v>
      </c>
      <c r="I1117" s="18" t="s">
        <v>939</v>
      </c>
      <c r="J1117" s="18" t="s">
        <v>188</v>
      </c>
      <c r="K1117" s="18"/>
      <c r="L1117" s="15"/>
    </row>
    <row r="1118">
      <c r="A1118" s="15">
        <v>1117.0</v>
      </c>
      <c r="B1118" s="23">
        <v>45967.0</v>
      </c>
      <c r="C1118" s="22" t="s">
        <v>2026</v>
      </c>
      <c r="D1118" s="18"/>
      <c r="E1118" s="18" t="s">
        <v>401</v>
      </c>
      <c r="F1118" s="18" t="str">
        <f>IFERROR(__xludf.DUMMYFUNCTION("if(REGEXMATCH(C1118,""x.com"")=TRUE,""Twitter"",if(REGEXMATCH(C1118,""facebook"")=TRUE,""Facebook"",if(REGEXMATCH(C1118,""instagram"")=TRUE,""Instagram"",if(REGEXMATCH(C1118,""youtube"")=TRUE,""Youtube"",if(REGEXMATCH(C1118,""tiktok"")=TRUE,""Tiktok"",if("&amp;"REGEXMATCH(C1118,""threads"")=TRUE,""Threads""))))))"),"Facebook")</f>
        <v>Facebook</v>
      </c>
      <c r="G1118" s="18" t="s">
        <v>937</v>
      </c>
      <c r="H1118" s="18" t="s">
        <v>1542</v>
      </c>
      <c r="I1118" s="18" t="s">
        <v>939</v>
      </c>
      <c r="J1118" s="18" t="s">
        <v>188</v>
      </c>
      <c r="K1118" s="18"/>
      <c r="L1118" s="15"/>
    </row>
    <row r="1119">
      <c r="A1119" s="15">
        <v>1118.0</v>
      </c>
      <c r="B1119" s="23">
        <v>45967.0</v>
      </c>
      <c r="C1119" s="22" t="s">
        <v>2027</v>
      </c>
      <c r="D1119" s="18"/>
      <c r="E1119" s="18" t="s">
        <v>401</v>
      </c>
      <c r="F1119" s="18" t="str">
        <f>IFERROR(__xludf.DUMMYFUNCTION("if(REGEXMATCH(C1119,""x.com"")=TRUE,""Twitter"",if(REGEXMATCH(C1119,""facebook"")=TRUE,""Facebook"",if(REGEXMATCH(C1119,""instagram"")=TRUE,""Instagram"",if(REGEXMATCH(C1119,""youtube"")=TRUE,""Youtube"",if(REGEXMATCH(C1119,""tiktok"")=TRUE,""Tiktok"",if("&amp;"REGEXMATCH(C1119,""threads"")=TRUE,""Threads""))))))"),"Facebook")</f>
        <v>Facebook</v>
      </c>
      <c r="G1119" s="18" t="s">
        <v>937</v>
      </c>
      <c r="H1119" s="18" t="s">
        <v>1542</v>
      </c>
      <c r="I1119" s="18" t="s">
        <v>939</v>
      </c>
      <c r="J1119" s="18" t="s">
        <v>188</v>
      </c>
      <c r="K1119" s="18"/>
      <c r="L1119" s="15"/>
    </row>
    <row r="1120">
      <c r="A1120" s="15">
        <v>1119.0</v>
      </c>
      <c r="B1120" s="23">
        <v>45967.0</v>
      </c>
      <c r="C1120" s="22" t="s">
        <v>2028</v>
      </c>
      <c r="D1120" s="18"/>
      <c r="E1120" s="18" t="s">
        <v>401</v>
      </c>
      <c r="F1120" s="18" t="str">
        <f>IFERROR(__xludf.DUMMYFUNCTION("if(REGEXMATCH(C1120,""x.com"")=TRUE,""Twitter"",if(REGEXMATCH(C1120,""facebook"")=TRUE,""Facebook"",if(REGEXMATCH(C1120,""instagram"")=TRUE,""Instagram"",if(REGEXMATCH(C1120,""youtube"")=TRUE,""Youtube"",if(REGEXMATCH(C1120,""tiktok"")=TRUE,""Tiktok"",if("&amp;"REGEXMATCH(C1120,""threads"")=TRUE,""Threads""))))))"),"Facebook")</f>
        <v>Facebook</v>
      </c>
      <c r="G1120" s="18" t="s">
        <v>937</v>
      </c>
      <c r="H1120" s="18" t="s">
        <v>1542</v>
      </c>
      <c r="I1120" s="18" t="s">
        <v>939</v>
      </c>
      <c r="J1120" s="18" t="s">
        <v>188</v>
      </c>
      <c r="K1120" s="18"/>
      <c r="L1120" s="15"/>
    </row>
    <row r="1121">
      <c r="A1121" s="15">
        <v>1120.0</v>
      </c>
      <c r="B1121" s="23">
        <v>45967.0</v>
      </c>
      <c r="C1121" s="33" t="s">
        <v>2029</v>
      </c>
      <c r="D1121" s="18"/>
      <c r="E1121" s="18" t="s">
        <v>401</v>
      </c>
      <c r="F1121" s="18" t="str">
        <f>IFERROR(__xludf.DUMMYFUNCTION("if(REGEXMATCH(C1121,""x.com"")=TRUE,""Twitter"",if(REGEXMATCH(C1121,""facebook"")=TRUE,""Facebook"",if(REGEXMATCH(C1121,""instagram"")=TRUE,""Instagram"",if(REGEXMATCH(C1121,""youtube"")=TRUE,""Youtube"",if(REGEXMATCH(C1121,""tiktok"")=TRUE,""Tiktok"",if("&amp;"REGEXMATCH(C1121,""threads"")=TRUE,""Threads""))))))"),"Facebook")</f>
        <v>Facebook</v>
      </c>
      <c r="G1121" s="18" t="s">
        <v>937</v>
      </c>
      <c r="H1121" s="18" t="s">
        <v>1542</v>
      </c>
      <c r="I1121" s="18" t="s">
        <v>939</v>
      </c>
      <c r="J1121" s="18" t="s">
        <v>188</v>
      </c>
      <c r="K1121" s="18"/>
      <c r="L1121" s="15"/>
    </row>
    <row r="1122">
      <c r="A1122" s="15">
        <v>1121.0</v>
      </c>
      <c r="B1122" s="23">
        <v>45967.0</v>
      </c>
      <c r="C1122" s="22" t="s">
        <v>2030</v>
      </c>
      <c r="D1122" s="18"/>
      <c r="E1122" s="18" t="s">
        <v>401</v>
      </c>
      <c r="F1122" s="18" t="str">
        <f>IFERROR(__xludf.DUMMYFUNCTION("if(REGEXMATCH(C1122,""x.com"")=TRUE,""Twitter"",if(REGEXMATCH(C1122,""facebook"")=TRUE,""Facebook"",if(REGEXMATCH(C1122,""instagram"")=TRUE,""Instagram"",if(REGEXMATCH(C1122,""youtube"")=TRUE,""Youtube"",if(REGEXMATCH(C1122,""tiktok"")=TRUE,""Tiktok"",if("&amp;"REGEXMATCH(C1122,""threads"")=TRUE,""Threads""))))))"),"Facebook")</f>
        <v>Facebook</v>
      </c>
      <c r="G1122" s="18" t="s">
        <v>937</v>
      </c>
      <c r="H1122" s="18" t="s">
        <v>1542</v>
      </c>
      <c r="I1122" s="18" t="s">
        <v>939</v>
      </c>
      <c r="J1122" s="18" t="s">
        <v>188</v>
      </c>
      <c r="K1122" s="18"/>
      <c r="L1122" s="15"/>
    </row>
    <row r="1123">
      <c r="A1123" s="15">
        <v>1122.0</v>
      </c>
      <c r="B1123" s="23">
        <v>45967.0</v>
      </c>
      <c r="C1123" s="22" t="s">
        <v>2031</v>
      </c>
      <c r="D1123" s="18"/>
      <c r="E1123" s="18" t="s">
        <v>401</v>
      </c>
      <c r="F1123" s="18" t="str">
        <f>IFERROR(__xludf.DUMMYFUNCTION("if(REGEXMATCH(C1123,""x.com"")=TRUE,""Twitter"",if(REGEXMATCH(C1123,""facebook"")=TRUE,""Facebook"",if(REGEXMATCH(C1123,""instagram"")=TRUE,""Instagram"",if(REGEXMATCH(C1123,""youtube"")=TRUE,""Youtube"",if(REGEXMATCH(C1123,""tiktok"")=TRUE,""Tiktok"",if("&amp;"REGEXMATCH(C1123,""threads"")=TRUE,""Threads""))))))"),"Facebook")</f>
        <v>Facebook</v>
      </c>
      <c r="G1123" s="18" t="s">
        <v>937</v>
      </c>
      <c r="H1123" s="18" t="s">
        <v>1542</v>
      </c>
      <c r="I1123" s="18" t="s">
        <v>939</v>
      </c>
      <c r="J1123" s="18" t="s">
        <v>188</v>
      </c>
      <c r="K1123" s="18"/>
      <c r="L1123" s="15"/>
    </row>
    <row r="1124">
      <c r="A1124" s="15">
        <v>1123.0</v>
      </c>
      <c r="B1124" s="23">
        <v>45967.0</v>
      </c>
      <c r="C1124" s="22" t="s">
        <v>2032</v>
      </c>
      <c r="D1124" s="18"/>
      <c r="E1124" s="18" t="s">
        <v>401</v>
      </c>
      <c r="F1124" s="18" t="str">
        <f>IFERROR(__xludf.DUMMYFUNCTION("if(REGEXMATCH(C1124,""x.com"")=TRUE,""Twitter"",if(REGEXMATCH(C1124,""facebook"")=TRUE,""Facebook"",if(REGEXMATCH(C1124,""instagram"")=TRUE,""Instagram"",if(REGEXMATCH(C1124,""youtube"")=TRUE,""Youtube"",if(REGEXMATCH(C1124,""tiktok"")=TRUE,""Tiktok"",if("&amp;"REGEXMATCH(C1124,""threads"")=TRUE,""Threads""))))))"),"Facebook")</f>
        <v>Facebook</v>
      </c>
      <c r="G1124" s="18" t="s">
        <v>937</v>
      </c>
      <c r="H1124" s="18" t="s">
        <v>1542</v>
      </c>
      <c r="I1124" s="18" t="s">
        <v>939</v>
      </c>
      <c r="J1124" s="18" t="s">
        <v>188</v>
      </c>
      <c r="K1124" s="18"/>
      <c r="L1124" s="15"/>
    </row>
    <row r="1125">
      <c r="A1125" s="15">
        <v>1124.0</v>
      </c>
      <c r="B1125" s="23">
        <v>45967.0</v>
      </c>
      <c r="C1125" s="22" t="s">
        <v>2033</v>
      </c>
      <c r="D1125" s="18"/>
      <c r="E1125" s="18" t="s">
        <v>401</v>
      </c>
      <c r="F1125" s="18" t="str">
        <f>IFERROR(__xludf.DUMMYFUNCTION("if(REGEXMATCH(C1125,""x.com"")=TRUE,""Twitter"",if(REGEXMATCH(C1125,""facebook"")=TRUE,""Facebook"",if(REGEXMATCH(C1125,""instagram"")=TRUE,""Instagram"",if(REGEXMATCH(C1125,""youtube"")=TRUE,""Youtube"",if(REGEXMATCH(C1125,""tiktok"")=TRUE,""Tiktok"",if("&amp;"REGEXMATCH(C1125,""threads"")=TRUE,""Threads""))))))"),"Facebook")</f>
        <v>Facebook</v>
      </c>
      <c r="G1125" s="18" t="s">
        <v>937</v>
      </c>
      <c r="H1125" s="18" t="s">
        <v>1542</v>
      </c>
      <c r="I1125" s="18" t="s">
        <v>939</v>
      </c>
      <c r="J1125" s="18" t="s">
        <v>188</v>
      </c>
      <c r="K1125" s="18"/>
      <c r="L1125" s="15"/>
    </row>
    <row r="1126">
      <c r="A1126" s="15">
        <v>1125.0</v>
      </c>
      <c r="B1126" s="23">
        <v>45967.0</v>
      </c>
      <c r="C1126" s="22" t="s">
        <v>2034</v>
      </c>
      <c r="D1126" s="18"/>
      <c r="E1126" s="18" t="s">
        <v>401</v>
      </c>
      <c r="F1126" s="18" t="str">
        <f>IFERROR(__xludf.DUMMYFUNCTION("if(REGEXMATCH(C1126,""x.com"")=TRUE,""Twitter"",if(REGEXMATCH(C1126,""facebook"")=TRUE,""Facebook"",if(REGEXMATCH(C1126,""instagram"")=TRUE,""Instagram"",if(REGEXMATCH(C1126,""youtube"")=TRUE,""Youtube"",if(REGEXMATCH(C1126,""tiktok"")=TRUE,""Tiktok"",if("&amp;"REGEXMATCH(C1126,""threads"")=TRUE,""Threads""))))))"),"Facebook")</f>
        <v>Facebook</v>
      </c>
      <c r="G1126" s="18" t="s">
        <v>937</v>
      </c>
      <c r="H1126" s="18" t="s">
        <v>1542</v>
      </c>
      <c r="I1126" s="18" t="s">
        <v>939</v>
      </c>
      <c r="J1126" s="18" t="s">
        <v>188</v>
      </c>
      <c r="K1126" s="18"/>
      <c r="L1126" s="15"/>
    </row>
    <row r="1127">
      <c r="A1127" s="15">
        <v>1126.0</v>
      </c>
      <c r="B1127" s="23">
        <v>45967.0</v>
      </c>
      <c r="C1127" s="22" t="s">
        <v>2035</v>
      </c>
      <c r="D1127" s="18"/>
      <c r="E1127" s="18" t="s">
        <v>197</v>
      </c>
      <c r="F1127" s="18" t="str">
        <f>IFERROR(__xludf.DUMMYFUNCTION("if(REGEXMATCH(C1127,""x.com"")=TRUE,""Twitter"",if(REGEXMATCH(C1127,""facebook"")=TRUE,""Facebook"",if(REGEXMATCH(C1127,""instagram"")=TRUE,""Instagram"",if(REGEXMATCH(C1127,""youtube"")=TRUE,""Youtube"",if(REGEXMATCH(C1127,""tiktok"")=TRUE,""Tiktok"",if("&amp;"REGEXMATCH(C1127,""threads"")=TRUE,""Threads""))))))"),"Facebook")</f>
        <v>Facebook</v>
      </c>
      <c r="G1127" s="18" t="s">
        <v>2036</v>
      </c>
      <c r="H1127" s="34" t="s">
        <v>1945</v>
      </c>
      <c r="I1127" s="34" t="s">
        <v>535</v>
      </c>
      <c r="J1127" s="18" t="s">
        <v>188</v>
      </c>
      <c r="K1127" s="18"/>
      <c r="L1127" s="15"/>
    </row>
    <row r="1128">
      <c r="A1128" s="15">
        <v>1127.0</v>
      </c>
      <c r="B1128" s="23">
        <v>45967.0</v>
      </c>
      <c r="C1128" s="22" t="s">
        <v>2037</v>
      </c>
      <c r="D1128" s="18"/>
      <c r="E1128" s="18" t="s">
        <v>197</v>
      </c>
      <c r="F1128" s="18" t="str">
        <f>IFERROR(__xludf.DUMMYFUNCTION("if(REGEXMATCH(C1128,""x.com"")=TRUE,""Twitter"",if(REGEXMATCH(C1128,""facebook"")=TRUE,""Facebook"",if(REGEXMATCH(C1128,""instagram"")=TRUE,""Instagram"",if(REGEXMATCH(C1128,""youtube"")=TRUE,""Youtube"",if(REGEXMATCH(C1128,""tiktok"")=TRUE,""Tiktok"",if("&amp;"REGEXMATCH(C1128,""threads"")=TRUE,""Threads""))))))"),"Youtube")</f>
        <v>Youtube</v>
      </c>
      <c r="G1128" s="18" t="s">
        <v>2038</v>
      </c>
      <c r="H1128" s="36"/>
      <c r="I1128" s="36"/>
      <c r="J1128" s="18" t="s">
        <v>188</v>
      </c>
      <c r="K1128" s="18"/>
      <c r="L1128" s="15"/>
    </row>
    <row r="1129">
      <c r="A1129" s="15">
        <v>1128.0</v>
      </c>
      <c r="B1129" s="23">
        <v>45967.0</v>
      </c>
      <c r="C1129" s="22" t="s">
        <v>2039</v>
      </c>
      <c r="D1129" s="18"/>
      <c r="E1129" s="18" t="s">
        <v>197</v>
      </c>
      <c r="F1129" s="18" t="str">
        <f>IFERROR(__xludf.DUMMYFUNCTION("if(REGEXMATCH(C1129,""x.com"")=TRUE,""Twitter"",if(REGEXMATCH(C1129,""facebook"")=TRUE,""Facebook"",if(REGEXMATCH(C1129,""instagram"")=TRUE,""Instagram"",if(REGEXMATCH(C1129,""youtube"")=TRUE,""Youtube"",if(REGEXMATCH(C1129,""tiktok"")=TRUE,""Tiktok"",if("&amp;"REGEXMATCH(C1129,""threads"")=TRUE,""Threads""))))))"),"Facebook")</f>
        <v>Facebook</v>
      </c>
      <c r="G1129" s="18" t="s">
        <v>2040</v>
      </c>
      <c r="H1129" s="36"/>
      <c r="I1129" s="36"/>
      <c r="J1129" s="18" t="s">
        <v>188</v>
      </c>
      <c r="K1129" s="18" t="s">
        <v>2041</v>
      </c>
      <c r="L1129" s="15"/>
    </row>
    <row r="1130">
      <c r="A1130" s="15">
        <v>1129.0</v>
      </c>
      <c r="B1130" s="23">
        <v>45967.0</v>
      </c>
      <c r="C1130" s="22" t="s">
        <v>2042</v>
      </c>
      <c r="D1130" s="18"/>
      <c r="E1130" s="18" t="s">
        <v>197</v>
      </c>
      <c r="F1130" s="18" t="str">
        <f>IFERROR(__xludf.DUMMYFUNCTION("if(REGEXMATCH(C1130,""x.com"")=TRUE,""Twitter"",if(REGEXMATCH(C1130,""facebook"")=TRUE,""Facebook"",if(REGEXMATCH(C1130,""instagram"")=TRUE,""Instagram"",if(REGEXMATCH(C1130,""youtube"")=TRUE,""Youtube"",if(REGEXMATCH(C1130,""tiktok"")=TRUE,""Tiktok"",if("&amp;"REGEXMATCH(C1130,""threads"")=TRUE,""Threads""))))))"),"Twitter")</f>
        <v>Twitter</v>
      </c>
      <c r="G1130" s="18" t="s">
        <v>2043</v>
      </c>
      <c r="H1130" s="36"/>
      <c r="I1130" s="36"/>
      <c r="J1130" s="18" t="s">
        <v>188</v>
      </c>
      <c r="K1130" s="18"/>
      <c r="L1130" s="15"/>
    </row>
    <row r="1131">
      <c r="A1131" s="15">
        <v>1130.0</v>
      </c>
      <c r="B1131" s="23">
        <v>45967.0</v>
      </c>
      <c r="C1131" s="22" t="s">
        <v>2044</v>
      </c>
      <c r="D1131" s="18"/>
      <c r="E1131" s="18" t="s">
        <v>197</v>
      </c>
      <c r="F1131" s="18" t="str">
        <f>IFERROR(__xludf.DUMMYFUNCTION("if(REGEXMATCH(C1131,""x.com"")=TRUE,""Twitter"",if(REGEXMATCH(C1131,""facebook"")=TRUE,""Facebook"",if(REGEXMATCH(C1131,""instagram"")=TRUE,""Instagram"",if(REGEXMATCH(C1131,""youtube"")=TRUE,""Youtube"",if(REGEXMATCH(C1131,""tiktok"")=TRUE,""Tiktok"",if("&amp;"REGEXMATCH(C1131,""threads"")=TRUE,""Threads""))))))"),"Tiktok")</f>
        <v>Tiktok</v>
      </c>
      <c r="G1131" s="18" t="s">
        <v>2045</v>
      </c>
      <c r="H1131" s="36"/>
      <c r="I1131" s="36"/>
      <c r="J1131" s="18" t="s">
        <v>188</v>
      </c>
      <c r="K1131" s="18"/>
      <c r="L1131" s="15"/>
    </row>
    <row r="1132">
      <c r="A1132" s="15">
        <v>1131.0</v>
      </c>
      <c r="B1132" s="23">
        <v>45967.0</v>
      </c>
      <c r="C1132" s="22" t="s">
        <v>2046</v>
      </c>
      <c r="D1132" s="18"/>
      <c r="E1132" s="18" t="s">
        <v>197</v>
      </c>
      <c r="F1132" s="18" t="str">
        <f>IFERROR(__xludf.DUMMYFUNCTION("if(REGEXMATCH(C1132,""x.com"")=TRUE,""Twitter"",if(REGEXMATCH(C1132,""facebook"")=TRUE,""Facebook"",if(REGEXMATCH(C1132,""instagram"")=TRUE,""Instagram"",if(REGEXMATCH(C1132,""youtube"")=TRUE,""Youtube"",if(REGEXMATCH(C1132,""tiktok"")=TRUE,""Tiktok"",if("&amp;"REGEXMATCH(C1132,""threads"")=TRUE,""Threads""))))))"),"Tiktok")</f>
        <v>Tiktok</v>
      </c>
      <c r="G1132" s="18" t="s">
        <v>2047</v>
      </c>
      <c r="H1132" s="36"/>
      <c r="I1132" s="36"/>
      <c r="J1132" s="18" t="s">
        <v>188</v>
      </c>
      <c r="K1132" s="18"/>
      <c r="L1132" s="15"/>
    </row>
    <row r="1133">
      <c r="A1133" s="15">
        <v>1132.0</v>
      </c>
      <c r="B1133" s="23">
        <v>45967.0</v>
      </c>
      <c r="C1133" s="22" t="s">
        <v>2048</v>
      </c>
      <c r="D1133" s="18"/>
      <c r="E1133" s="18" t="s">
        <v>197</v>
      </c>
      <c r="F1133" s="18" t="str">
        <f>IFERROR(__xludf.DUMMYFUNCTION("if(REGEXMATCH(C1133,""x.com"")=TRUE,""Twitter"",if(REGEXMATCH(C1133,""facebook"")=TRUE,""Facebook"",if(REGEXMATCH(C1133,""instagram"")=TRUE,""Instagram"",if(REGEXMATCH(C1133,""youtube"")=TRUE,""Youtube"",if(REGEXMATCH(C1133,""tiktok"")=TRUE,""Tiktok"",if("&amp;"REGEXMATCH(C1133,""threads"")=TRUE,""Threads""))))))"),"Facebook")</f>
        <v>Facebook</v>
      </c>
      <c r="G1133" s="18" t="s">
        <v>2049</v>
      </c>
      <c r="H1133" s="36"/>
      <c r="I1133" s="36"/>
      <c r="J1133" s="18" t="s">
        <v>188</v>
      </c>
      <c r="K1133" s="18"/>
      <c r="L1133" s="15"/>
    </row>
    <row r="1134">
      <c r="A1134" s="15">
        <v>1133.0</v>
      </c>
      <c r="B1134" s="23">
        <v>45967.0</v>
      </c>
      <c r="C1134" s="22" t="s">
        <v>2050</v>
      </c>
      <c r="D1134" s="18"/>
      <c r="E1134" s="18" t="s">
        <v>197</v>
      </c>
      <c r="F1134" s="18" t="str">
        <f>IFERROR(__xludf.DUMMYFUNCTION("if(REGEXMATCH(C1134,""x.com"")=TRUE,""Twitter"",if(REGEXMATCH(C1134,""facebook"")=TRUE,""Facebook"",if(REGEXMATCH(C1134,""instagram"")=TRUE,""Instagram"",if(REGEXMATCH(C1134,""youtube"")=TRUE,""Youtube"",if(REGEXMATCH(C1134,""tiktok"")=TRUE,""Tiktok"",if("&amp;"REGEXMATCH(C1134,""threads"")=TRUE,""Threads""))))))"),"Twitter")</f>
        <v>Twitter</v>
      </c>
      <c r="G1134" s="18" t="s">
        <v>2051</v>
      </c>
      <c r="H1134" s="36"/>
      <c r="I1134" s="36"/>
      <c r="J1134" s="18" t="s">
        <v>188</v>
      </c>
      <c r="K1134" s="18"/>
      <c r="L1134" s="15"/>
    </row>
    <row r="1135">
      <c r="A1135" s="15">
        <v>1134.0</v>
      </c>
      <c r="B1135" s="23">
        <v>45967.0</v>
      </c>
      <c r="C1135" s="22" t="s">
        <v>2052</v>
      </c>
      <c r="D1135" s="18"/>
      <c r="E1135" s="18" t="s">
        <v>197</v>
      </c>
      <c r="F1135" s="18" t="str">
        <f>IFERROR(__xludf.DUMMYFUNCTION("if(REGEXMATCH(C1135,""x.com"")=TRUE,""Twitter"",if(REGEXMATCH(C1135,""facebook"")=TRUE,""Facebook"",if(REGEXMATCH(C1135,""instagram"")=TRUE,""Instagram"",if(REGEXMATCH(C1135,""youtube"")=TRUE,""Youtube"",if(REGEXMATCH(C1135,""tiktok"")=TRUE,""Tiktok"",if("&amp;"REGEXMATCH(C1135,""threads"")=TRUE,""Threads""))))))"),"Facebook")</f>
        <v>Facebook</v>
      </c>
      <c r="G1135" s="18" t="s">
        <v>2053</v>
      </c>
      <c r="H1135" s="36"/>
      <c r="I1135" s="36"/>
      <c r="J1135" s="18" t="s">
        <v>188</v>
      </c>
      <c r="K1135" s="18"/>
      <c r="L1135" s="15"/>
    </row>
    <row r="1136">
      <c r="A1136" s="15">
        <v>1135.0</v>
      </c>
      <c r="B1136" s="23">
        <v>45967.0</v>
      </c>
      <c r="C1136" s="22" t="s">
        <v>2054</v>
      </c>
      <c r="D1136" s="18"/>
      <c r="E1136" s="18" t="s">
        <v>197</v>
      </c>
      <c r="F1136" s="18" t="str">
        <f>IFERROR(__xludf.DUMMYFUNCTION("if(REGEXMATCH(C1136,""x.com"")=TRUE,""Twitter"",if(REGEXMATCH(C1136,""facebook"")=TRUE,""Facebook"",if(REGEXMATCH(C1136,""instagram"")=TRUE,""Instagram"",if(REGEXMATCH(C1136,""youtube"")=TRUE,""Youtube"",if(REGEXMATCH(C1136,""tiktok"")=TRUE,""Tiktok"",if("&amp;"REGEXMATCH(C1136,""threads"")=TRUE,""Threads""))))))"),"Facebook")</f>
        <v>Facebook</v>
      </c>
      <c r="G1136" s="18" t="s">
        <v>2055</v>
      </c>
      <c r="H1136" s="35"/>
      <c r="I1136" s="35"/>
      <c r="J1136" s="18" t="s">
        <v>188</v>
      </c>
      <c r="K1136" s="18"/>
      <c r="L1136" s="15"/>
    </row>
    <row r="1137">
      <c r="A1137" s="15">
        <v>1136.0</v>
      </c>
      <c r="B1137" s="23">
        <v>45968.0</v>
      </c>
      <c r="C1137" s="22" t="s">
        <v>1895</v>
      </c>
      <c r="D1137" s="18"/>
      <c r="E1137" s="18" t="s">
        <v>197</v>
      </c>
      <c r="F1137" s="18" t="str">
        <f>IFERROR(__xludf.DUMMYFUNCTION("if(REGEXMATCH(C1137,""x.com"")=TRUE,""Twitter"",if(REGEXMATCH(C1137,""facebook"")=TRUE,""Facebook"",if(REGEXMATCH(C1137,""instagram"")=TRUE,""Instagram"",if(REGEXMATCH(C1137,""youtube"")=TRUE,""Youtube"",if(REGEXMATCH(C1137,""tiktok"")=TRUE,""Tiktok"",if("&amp;"REGEXMATCH(C1137,""threads"")=TRUE,""Threads""))))))"),"Twitter")</f>
        <v>Twitter</v>
      </c>
      <c r="G1137" s="18" t="s">
        <v>2056</v>
      </c>
      <c r="H1137" s="34" t="s">
        <v>2057</v>
      </c>
      <c r="I1137" s="34" t="s">
        <v>535</v>
      </c>
      <c r="J1137" s="18" t="s">
        <v>188</v>
      </c>
      <c r="K1137" s="18"/>
      <c r="L1137" s="15"/>
    </row>
    <row r="1138">
      <c r="A1138" s="15">
        <v>1137.0</v>
      </c>
      <c r="B1138" s="23">
        <v>45968.0</v>
      </c>
      <c r="C1138" s="22" t="s">
        <v>2058</v>
      </c>
      <c r="D1138" s="18"/>
      <c r="E1138" s="18" t="s">
        <v>197</v>
      </c>
      <c r="F1138" s="18" t="str">
        <f>IFERROR(__xludf.DUMMYFUNCTION("if(REGEXMATCH(C1138,""x.com"")=TRUE,""Twitter"",if(REGEXMATCH(C1138,""facebook"")=TRUE,""Facebook"",if(REGEXMATCH(C1138,""instagram"")=TRUE,""Instagram"",if(REGEXMATCH(C1138,""youtube"")=TRUE,""Youtube"",if(REGEXMATCH(C1138,""tiktok"")=TRUE,""Tiktok"",if("&amp;"REGEXMATCH(C1138,""threads"")=TRUE,""Threads""))))))"),"Twitter")</f>
        <v>Twitter</v>
      </c>
      <c r="G1138" s="18" t="s">
        <v>2059</v>
      </c>
      <c r="H1138" s="36"/>
      <c r="I1138" s="36"/>
      <c r="J1138" s="18" t="s">
        <v>188</v>
      </c>
      <c r="K1138" s="18"/>
      <c r="L1138" s="15"/>
    </row>
    <row r="1139">
      <c r="A1139" s="15">
        <v>1138.0</v>
      </c>
      <c r="B1139" s="23">
        <v>45968.0</v>
      </c>
      <c r="C1139" s="22" t="s">
        <v>2060</v>
      </c>
      <c r="D1139" s="18"/>
      <c r="E1139" s="18" t="s">
        <v>1178</v>
      </c>
      <c r="F1139" s="18" t="str">
        <f>IFERROR(__xludf.DUMMYFUNCTION("if(REGEXMATCH(C1139,""x.com"")=TRUE,""Twitter"",if(REGEXMATCH(C1139,""facebook"")=TRUE,""Facebook"",if(REGEXMATCH(C1139,""instagram"")=TRUE,""Instagram"",if(REGEXMATCH(C1139,""youtube"")=TRUE,""Youtube"",if(REGEXMATCH(C1139,""tiktok"")=TRUE,""Tiktok"",if("&amp;"REGEXMATCH(C1139,""threads"")=TRUE,""Threads""))))))"),"Facebook")</f>
        <v>Facebook</v>
      </c>
      <c r="G1139" s="18" t="s">
        <v>2061</v>
      </c>
      <c r="H1139" s="36"/>
      <c r="I1139" s="36"/>
      <c r="J1139" s="18" t="s">
        <v>188</v>
      </c>
      <c r="K1139" s="18"/>
      <c r="L1139" s="15"/>
    </row>
    <row r="1140">
      <c r="A1140" s="15">
        <v>1139.0</v>
      </c>
      <c r="B1140" s="23">
        <v>45968.0</v>
      </c>
      <c r="C1140" s="22" t="s">
        <v>2062</v>
      </c>
      <c r="D1140" s="18"/>
      <c r="E1140" s="18" t="s">
        <v>197</v>
      </c>
      <c r="F1140" s="18" t="str">
        <f>IFERROR(__xludf.DUMMYFUNCTION("if(REGEXMATCH(C1140,""x.com"")=TRUE,""Twitter"",if(REGEXMATCH(C1140,""facebook"")=TRUE,""Facebook"",if(REGEXMATCH(C1140,""instagram"")=TRUE,""Instagram"",if(REGEXMATCH(C1140,""youtube"")=TRUE,""Youtube"",if(REGEXMATCH(C1140,""tiktok"")=TRUE,""Tiktok"",if("&amp;"REGEXMATCH(C1140,""threads"")=TRUE,""Threads""))))))"),"Facebook")</f>
        <v>Facebook</v>
      </c>
      <c r="G1140" s="18" t="s">
        <v>2063</v>
      </c>
      <c r="H1140" s="36"/>
      <c r="I1140" s="36"/>
      <c r="J1140" s="18" t="s">
        <v>422</v>
      </c>
      <c r="K1140" s="18" t="s">
        <v>2064</v>
      </c>
      <c r="L1140" s="15"/>
    </row>
    <row r="1141">
      <c r="A1141" s="15">
        <v>1140.0</v>
      </c>
      <c r="B1141" s="23">
        <v>45968.0</v>
      </c>
      <c r="C1141" s="22" t="s">
        <v>2065</v>
      </c>
      <c r="D1141" s="18"/>
      <c r="E1141" s="18" t="s">
        <v>197</v>
      </c>
      <c r="F1141" s="18" t="str">
        <f>IFERROR(__xludf.DUMMYFUNCTION("if(REGEXMATCH(C1141,""x.com"")=TRUE,""Twitter"",if(REGEXMATCH(C1141,""facebook"")=TRUE,""Facebook"",if(REGEXMATCH(C1141,""instagram"")=TRUE,""Instagram"",if(REGEXMATCH(C1141,""youtube"")=TRUE,""Youtube"",if(REGEXMATCH(C1141,""tiktok"")=TRUE,""Tiktok"",if("&amp;"REGEXMATCH(C1141,""threads"")=TRUE,""Threads""))))))"),"Twitter")</f>
        <v>Twitter</v>
      </c>
      <c r="G1141" s="18" t="s">
        <v>2066</v>
      </c>
      <c r="H1141" s="36"/>
      <c r="I1141" s="36"/>
      <c r="J1141" s="18" t="s">
        <v>188</v>
      </c>
      <c r="K1141" s="18"/>
      <c r="L1141" s="15"/>
    </row>
    <row r="1142">
      <c r="A1142" s="15">
        <v>1141.0</v>
      </c>
      <c r="B1142" s="23">
        <v>45968.0</v>
      </c>
      <c r="C1142" s="22" t="s">
        <v>2067</v>
      </c>
      <c r="D1142" s="18"/>
      <c r="E1142" s="18" t="s">
        <v>197</v>
      </c>
      <c r="F1142" s="18" t="str">
        <f>IFERROR(__xludf.DUMMYFUNCTION("if(REGEXMATCH(C1142,""x.com"")=TRUE,""Twitter"",if(REGEXMATCH(C1142,""facebook"")=TRUE,""Facebook"",if(REGEXMATCH(C1142,""instagram"")=TRUE,""Instagram"",if(REGEXMATCH(C1142,""youtube"")=TRUE,""Youtube"",if(REGEXMATCH(C1142,""tiktok"")=TRUE,""Tiktok"",if("&amp;"REGEXMATCH(C1142,""threads"")=TRUE,""Threads""))))))"),"Twitter")</f>
        <v>Twitter</v>
      </c>
      <c r="G1142" s="18" t="s">
        <v>2068</v>
      </c>
      <c r="H1142" s="36"/>
      <c r="I1142" s="36"/>
      <c r="J1142" s="18" t="s">
        <v>188</v>
      </c>
      <c r="K1142" s="18"/>
      <c r="L1142" s="15"/>
    </row>
    <row r="1143">
      <c r="A1143" s="15">
        <v>1142.0</v>
      </c>
      <c r="B1143" s="23">
        <v>45968.0</v>
      </c>
      <c r="C1143" s="22" t="s">
        <v>2069</v>
      </c>
      <c r="D1143" s="18"/>
      <c r="E1143" s="18" t="s">
        <v>197</v>
      </c>
      <c r="F1143" s="18" t="str">
        <f>IFERROR(__xludf.DUMMYFUNCTION("if(REGEXMATCH(C1143,""x.com"")=TRUE,""Twitter"",if(REGEXMATCH(C1143,""facebook"")=TRUE,""Facebook"",if(REGEXMATCH(C1143,""instagram"")=TRUE,""Instagram"",if(REGEXMATCH(C1143,""youtube"")=TRUE,""Youtube"",if(REGEXMATCH(C1143,""tiktok"")=TRUE,""Tiktok"",if("&amp;"REGEXMATCH(C1143,""threads"")=TRUE,""Threads""))))))"),"Tiktok")</f>
        <v>Tiktok</v>
      </c>
      <c r="G1143" s="18" t="s">
        <v>2070</v>
      </c>
      <c r="H1143" s="36"/>
      <c r="I1143" s="36"/>
      <c r="J1143" s="18" t="s">
        <v>422</v>
      </c>
      <c r="K1143" s="18" t="s">
        <v>2071</v>
      </c>
      <c r="L1143" s="15"/>
    </row>
    <row r="1144">
      <c r="A1144" s="15">
        <v>1143.0</v>
      </c>
      <c r="B1144" s="23">
        <v>45968.0</v>
      </c>
      <c r="C1144" s="22" t="s">
        <v>2072</v>
      </c>
      <c r="D1144" s="18"/>
      <c r="E1144" s="18" t="s">
        <v>197</v>
      </c>
      <c r="F1144" s="18" t="str">
        <f>IFERROR(__xludf.DUMMYFUNCTION("if(REGEXMATCH(C1144,""x.com"")=TRUE,""Twitter"",if(REGEXMATCH(C1144,""facebook"")=TRUE,""Facebook"",if(REGEXMATCH(C1144,""instagram"")=TRUE,""Instagram"",if(REGEXMATCH(C1144,""youtube"")=TRUE,""Youtube"",if(REGEXMATCH(C1144,""tiktok"")=TRUE,""Tiktok"",if("&amp;"REGEXMATCH(C1144,""threads"")=TRUE,""Threads""))))))"),"Tiktok")</f>
        <v>Tiktok</v>
      </c>
      <c r="G1144" s="18" t="s">
        <v>2073</v>
      </c>
      <c r="H1144" s="36"/>
      <c r="I1144" s="36"/>
      <c r="J1144" s="18" t="s">
        <v>188</v>
      </c>
      <c r="K1144" s="18"/>
      <c r="L1144" s="15"/>
    </row>
    <row r="1145">
      <c r="A1145" s="15">
        <v>1144.0</v>
      </c>
      <c r="B1145" s="23">
        <v>45968.0</v>
      </c>
      <c r="C1145" s="22" t="s">
        <v>2074</v>
      </c>
      <c r="D1145" s="18"/>
      <c r="E1145" s="18" t="s">
        <v>197</v>
      </c>
      <c r="F1145" s="18" t="str">
        <f>IFERROR(__xludf.DUMMYFUNCTION("if(REGEXMATCH(C1145,""x.com"")=TRUE,""Twitter"",if(REGEXMATCH(C1145,""facebook"")=TRUE,""Facebook"",if(REGEXMATCH(C1145,""instagram"")=TRUE,""Instagram"",if(REGEXMATCH(C1145,""youtube"")=TRUE,""Youtube"",if(REGEXMATCH(C1145,""tiktok"")=TRUE,""Tiktok"",if("&amp;"REGEXMATCH(C1145,""threads"")=TRUE,""Threads""))))))"),"Tiktok")</f>
        <v>Tiktok</v>
      </c>
      <c r="G1145" s="18" t="s">
        <v>2073</v>
      </c>
      <c r="H1145" s="36"/>
      <c r="I1145" s="36"/>
      <c r="J1145" s="18" t="s">
        <v>422</v>
      </c>
      <c r="K1145" s="18" t="s">
        <v>2075</v>
      </c>
      <c r="L1145" s="15"/>
    </row>
    <row r="1146">
      <c r="A1146" s="15">
        <v>1145.0</v>
      </c>
      <c r="B1146" s="23">
        <v>45968.0</v>
      </c>
      <c r="C1146" s="22" t="s">
        <v>2076</v>
      </c>
      <c r="D1146" s="18"/>
      <c r="E1146" s="18" t="s">
        <v>197</v>
      </c>
      <c r="F1146" s="18" t="str">
        <f>IFERROR(__xludf.DUMMYFUNCTION("if(REGEXMATCH(C1146,""x.com"")=TRUE,""Twitter"",if(REGEXMATCH(C1146,""facebook"")=TRUE,""Facebook"",if(REGEXMATCH(C1146,""instagram"")=TRUE,""Instagram"",if(REGEXMATCH(C1146,""youtube"")=TRUE,""Youtube"",if(REGEXMATCH(C1146,""tiktok"")=TRUE,""Tiktok"",if("&amp;"REGEXMATCH(C1146,""threads"")=TRUE,""Threads""))))))"),"Tiktok")</f>
        <v>Tiktok</v>
      </c>
      <c r="G1146" s="18" t="s">
        <v>2073</v>
      </c>
      <c r="H1146" s="36"/>
      <c r="I1146" s="36"/>
      <c r="J1146" s="18" t="s">
        <v>188</v>
      </c>
      <c r="K1146" s="18"/>
      <c r="L1146" s="15"/>
    </row>
    <row r="1147">
      <c r="A1147" s="15">
        <v>1146.0</v>
      </c>
      <c r="B1147" s="23">
        <v>45968.0</v>
      </c>
      <c r="C1147" s="22" t="s">
        <v>2077</v>
      </c>
      <c r="D1147" s="18"/>
      <c r="E1147" s="18" t="s">
        <v>197</v>
      </c>
      <c r="F1147" s="18" t="str">
        <f>IFERROR(__xludf.DUMMYFUNCTION("if(REGEXMATCH(C1147,""x.com"")=TRUE,""Twitter"",if(REGEXMATCH(C1147,""facebook"")=TRUE,""Facebook"",if(REGEXMATCH(C1147,""instagram"")=TRUE,""Instagram"",if(REGEXMATCH(C1147,""youtube"")=TRUE,""Youtube"",if(REGEXMATCH(C1147,""tiktok"")=TRUE,""Tiktok"",if("&amp;"REGEXMATCH(C1147,""threads"")=TRUE,""Threads""))))))"),"Tiktok")</f>
        <v>Tiktok</v>
      </c>
      <c r="G1147" s="18" t="s">
        <v>2073</v>
      </c>
      <c r="H1147" s="36"/>
      <c r="I1147" s="36"/>
      <c r="J1147" s="18" t="s">
        <v>188</v>
      </c>
      <c r="K1147" s="18"/>
      <c r="L1147" s="15"/>
    </row>
    <row r="1148">
      <c r="A1148" s="15">
        <v>1147.0</v>
      </c>
      <c r="B1148" s="23">
        <v>45968.0</v>
      </c>
      <c r="C1148" s="22" t="s">
        <v>2078</v>
      </c>
      <c r="D1148" s="18"/>
      <c r="E1148" s="18" t="s">
        <v>197</v>
      </c>
      <c r="F1148" s="18" t="str">
        <f>IFERROR(__xludf.DUMMYFUNCTION("if(REGEXMATCH(C1148,""x.com"")=TRUE,""Twitter"",if(REGEXMATCH(C1148,""facebook"")=TRUE,""Facebook"",if(REGEXMATCH(C1148,""instagram"")=TRUE,""Instagram"",if(REGEXMATCH(C1148,""youtube"")=TRUE,""Youtube"",if(REGEXMATCH(C1148,""tiktok"")=TRUE,""Tiktok"",if("&amp;"REGEXMATCH(C1148,""threads"")=TRUE,""Threads""))))))"),"Tiktok")</f>
        <v>Tiktok</v>
      </c>
      <c r="G1148" s="18" t="s">
        <v>2073</v>
      </c>
      <c r="H1148" s="36"/>
      <c r="I1148" s="36"/>
      <c r="J1148" s="18" t="s">
        <v>188</v>
      </c>
      <c r="K1148" s="18"/>
      <c r="L1148" s="15"/>
    </row>
    <row r="1149">
      <c r="A1149" s="15">
        <v>1148.0</v>
      </c>
      <c r="B1149" s="23">
        <v>45968.0</v>
      </c>
      <c r="C1149" s="22" t="s">
        <v>2079</v>
      </c>
      <c r="D1149" s="18"/>
      <c r="E1149" s="18" t="s">
        <v>197</v>
      </c>
      <c r="F1149" s="18" t="str">
        <f>IFERROR(__xludf.DUMMYFUNCTION("if(REGEXMATCH(C1149,""x.com"")=TRUE,""Twitter"",if(REGEXMATCH(C1149,""facebook"")=TRUE,""Facebook"",if(REGEXMATCH(C1149,""instagram"")=TRUE,""Instagram"",if(REGEXMATCH(C1149,""youtube"")=TRUE,""Youtube"",if(REGEXMATCH(C1149,""tiktok"")=TRUE,""Tiktok"",if("&amp;"REGEXMATCH(C1149,""threads"")=TRUE,""Threads""))))))"),"Tiktok")</f>
        <v>Tiktok</v>
      </c>
      <c r="G1149" s="18" t="s">
        <v>2073</v>
      </c>
      <c r="H1149" s="35"/>
      <c r="I1149" s="35"/>
      <c r="J1149" s="18" t="s">
        <v>188</v>
      </c>
      <c r="K1149" s="18"/>
      <c r="L1149" s="15"/>
    </row>
    <row r="1150">
      <c r="A1150" s="15">
        <v>1149.0</v>
      </c>
      <c r="B1150" s="23">
        <v>45969.0</v>
      </c>
      <c r="C1150" s="22" t="s">
        <v>2080</v>
      </c>
      <c r="D1150" s="18"/>
      <c r="E1150" s="18" t="s">
        <v>197</v>
      </c>
      <c r="F1150" s="18" t="str">
        <f>IFERROR(__xludf.DUMMYFUNCTION("if(REGEXMATCH(C1150,""x.com"")=TRUE,""Twitter"",if(REGEXMATCH(C1150,""facebook"")=TRUE,""Facebook"",if(REGEXMATCH(C1150,""instagram"")=TRUE,""Instagram"",if(REGEXMATCH(C1150,""youtube"")=TRUE,""Youtube"",if(REGEXMATCH(C1150,""tiktok"")=TRUE,""Tiktok"",if("&amp;"REGEXMATCH(C1150,""threads"")=TRUE,""Threads""))))))"),"Facebook")</f>
        <v>Facebook</v>
      </c>
      <c r="G1150" s="18" t="s">
        <v>2081</v>
      </c>
      <c r="H1150" s="18" t="s">
        <v>2006</v>
      </c>
      <c r="I1150" s="18" t="s">
        <v>535</v>
      </c>
      <c r="J1150" s="18" t="s">
        <v>188</v>
      </c>
      <c r="K1150" s="18"/>
      <c r="L1150" s="15"/>
    </row>
    <row r="1151">
      <c r="A1151" s="15">
        <v>1150.0</v>
      </c>
      <c r="B1151" s="23">
        <v>45969.0</v>
      </c>
      <c r="C1151" s="22" t="s">
        <v>2082</v>
      </c>
      <c r="D1151" s="18"/>
      <c r="E1151" s="18" t="s">
        <v>197</v>
      </c>
      <c r="F1151" s="18" t="str">
        <f>IFERROR(__xludf.DUMMYFUNCTION("if(REGEXMATCH(C1151,""x.com"")=TRUE,""Twitter"",if(REGEXMATCH(C1151,""facebook"")=TRUE,""Facebook"",if(REGEXMATCH(C1151,""instagram"")=TRUE,""Instagram"",if(REGEXMATCH(C1151,""youtube"")=TRUE,""Youtube"",if(REGEXMATCH(C1151,""tiktok"")=TRUE,""Tiktok"",if("&amp;"REGEXMATCH(C1151,""threads"")=TRUE,""Threads""))))))"),"Facebook")</f>
        <v>Facebook</v>
      </c>
      <c r="G1151" s="18" t="s">
        <v>2083</v>
      </c>
      <c r="H1151" s="18" t="s">
        <v>2006</v>
      </c>
      <c r="I1151" s="18" t="s">
        <v>535</v>
      </c>
      <c r="J1151" s="18" t="s">
        <v>188</v>
      </c>
      <c r="K1151" s="18"/>
      <c r="L1151" s="15"/>
    </row>
    <row r="1152">
      <c r="A1152" s="15">
        <v>1151.0</v>
      </c>
      <c r="B1152" s="23">
        <v>45969.0</v>
      </c>
      <c r="C1152" s="22" t="s">
        <v>2084</v>
      </c>
      <c r="D1152" s="18"/>
      <c r="E1152" s="18" t="s">
        <v>197</v>
      </c>
      <c r="F1152" s="18" t="str">
        <f>IFERROR(__xludf.DUMMYFUNCTION("if(REGEXMATCH(C1152,""x.com"")=TRUE,""Twitter"",if(REGEXMATCH(C1152,""facebook"")=TRUE,""Facebook"",if(REGEXMATCH(C1152,""instagram"")=TRUE,""Instagram"",if(REGEXMATCH(C1152,""youtube"")=TRUE,""Youtube"",if(REGEXMATCH(C1152,""tiktok"")=TRUE,""Tiktok"",if("&amp;"REGEXMATCH(C1152,""threads"")=TRUE,""Threads""))))))"),"Facebook")</f>
        <v>Facebook</v>
      </c>
      <c r="G1152" s="18" t="s">
        <v>2085</v>
      </c>
      <c r="H1152" s="18" t="s">
        <v>2006</v>
      </c>
      <c r="I1152" s="18" t="s">
        <v>535</v>
      </c>
      <c r="J1152" s="18" t="s">
        <v>188</v>
      </c>
      <c r="K1152" s="18"/>
      <c r="L1152" s="15"/>
    </row>
    <row r="1153">
      <c r="A1153" s="15">
        <v>1152.0</v>
      </c>
      <c r="B1153" s="23">
        <v>45969.0</v>
      </c>
      <c r="C1153" s="22" t="s">
        <v>2086</v>
      </c>
      <c r="D1153" s="18"/>
      <c r="E1153" s="18" t="s">
        <v>197</v>
      </c>
      <c r="F1153" s="18" t="str">
        <f>IFERROR(__xludf.DUMMYFUNCTION("if(REGEXMATCH(C1153,""x.com"")=TRUE,""Twitter"",if(REGEXMATCH(C1153,""facebook"")=TRUE,""Facebook"",if(REGEXMATCH(C1153,""instagram"")=TRUE,""Instagram"",if(REGEXMATCH(C1153,""youtube"")=TRUE,""Youtube"",if(REGEXMATCH(C1153,""tiktok"")=TRUE,""Tiktok"",if("&amp;"REGEXMATCH(C1153,""threads"")=TRUE,""Threads""))))))"),"Facebook")</f>
        <v>Facebook</v>
      </c>
      <c r="G1153" s="18" t="s">
        <v>2087</v>
      </c>
      <c r="H1153" s="18" t="s">
        <v>2006</v>
      </c>
      <c r="I1153" s="18" t="s">
        <v>535</v>
      </c>
      <c r="J1153" s="18" t="s">
        <v>188</v>
      </c>
      <c r="K1153" s="18"/>
      <c r="L1153" s="15"/>
    </row>
    <row r="1154">
      <c r="A1154" s="15">
        <v>1153.0</v>
      </c>
      <c r="B1154" s="23">
        <v>45969.0</v>
      </c>
      <c r="C1154" s="22" t="s">
        <v>2088</v>
      </c>
      <c r="D1154" s="18"/>
      <c r="E1154" s="18" t="s">
        <v>197</v>
      </c>
      <c r="F1154" s="18" t="str">
        <f>IFERROR(__xludf.DUMMYFUNCTION("if(REGEXMATCH(C1154,""x.com"")=TRUE,""Twitter"",if(REGEXMATCH(C1154,""facebook"")=TRUE,""Facebook"",if(REGEXMATCH(C1154,""instagram"")=TRUE,""Instagram"",if(REGEXMATCH(C1154,""youtube"")=TRUE,""Youtube"",if(REGEXMATCH(C1154,""tiktok"")=TRUE,""Tiktok"",if("&amp;"REGEXMATCH(C1154,""threads"")=TRUE,""Threads""))))))"),"Facebook")</f>
        <v>Facebook</v>
      </c>
      <c r="G1154" s="18" t="s">
        <v>2089</v>
      </c>
      <c r="H1154" s="18" t="s">
        <v>2006</v>
      </c>
      <c r="I1154" s="18" t="s">
        <v>535</v>
      </c>
      <c r="J1154" s="18" t="s">
        <v>188</v>
      </c>
      <c r="K1154" s="18"/>
      <c r="L1154" s="15"/>
    </row>
    <row r="1155">
      <c r="A1155" s="15">
        <v>1154.0</v>
      </c>
      <c r="B1155" s="23">
        <v>45969.0</v>
      </c>
      <c r="C1155" s="22" t="s">
        <v>2090</v>
      </c>
      <c r="D1155" s="18"/>
      <c r="E1155" s="18" t="s">
        <v>197</v>
      </c>
      <c r="F1155" s="18" t="str">
        <f>IFERROR(__xludf.DUMMYFUNCTION("if(REGEXMATCH(C1155,""x.com"")=TRUE,""Twitter"",if(REGEXMATCH(C1155,""facebook"")=TRUE,""Facebook"",if(REGEXMATCH(C1155,""instagram"")=TRUE,""Instagram"",if(REGEXMATCH(C1155,""youtube"")=TRUE,""Youtube"",if(REGEXMATCH(C1155,""tiktok"")=TRUE,""Tiktok"",if("&amp;"REGEXMATCH(C1155,""threads"")=TRUE,""Threads""))))))"),"Facebook")</f>
        <v>Facebook</v>
      </c>
      <c r="G1155" s="18" t="s">
        <v>2091</v>
      </c>
      <c r="H1155" s="18" t="s">
        <v>2006</v>
      </c>
      <c r="I1155" s="18" t="s">
        <v>535</v>
      </c>
      <c r="J1155" s="18" t="s">
        <v>188</v>
      </c>
      <c r="K1155" s="18"/>
      <c r="L1155" s="15"/>
    </row>
    <row r="1156">
      <c r="A1156" s="15">
        <v>1155.0</v>
      </c>
      <c r="B1156" s="23">
        <v>45969.0</v>
      </c>
      <c r="C1156" s="22" t="s">
        <v>2092</v>
      </c>
      <c r="D1156" s="18"/>
      <c r="E1156" s="18" t="s">
        <v>197</v>
      </c>
      <c r="F1156" s="18" t="str">
        <f>IFERROR(__xludf.DUMMYFUNCTION("if(REGEXMATCH(C1156,""x.com"")=TRUE,""Twitter"",if(REGEXMATCH(C1156,""facebook"")=TRUE,""Facebook"",if(REGEXMATCH(C1156,""instagram"")=TRUE,""Instagram"",if(REGEXMATCH(C1156,""youtube"")=TRUE,""Youtube"",if(REGEXMATCH(C1156,""tiktok"")=TRUE,""Tiktok"",if("&amp;"REGEXMATCH(C1156,""threads"")=TRUE,""Threads""))))))"),"Facebook")</f>
        <v>Facebook</v>
      </c>
      <c r="G1156" s="18" t="s">
        <v>2093</v>
      </c>
      <c r="H1156" s="18" t="s">
        <v>2006</v>
      </c>
      <c r="I1156" s="18" t="s">
        <v>535</v>
      </c>
      <c r="J1156" s="18" t="s">
        <v>188</v>
      </c>
      <c r="K1156" s="18"/>
      <c r="L1156" s="15"/>
    </row>
    <row r="1157">
      <c r="A1157" s="15">
        <v>1156.0</v>
      </c>
      <c r="B1157" s="23">
        <v>45969.0</v>
      </c>
      <c r="C1157" s="22" t="s">
        <v>2094</v>
      </c>
      <c r="D1157" s="18"/>
      <c r="E1157" s="18" t="s">
        <v>197</v>
      </c>
      <c r="F1157" s="18" t="str">
        <f>IFERROR(__xludf.DUMMYFUNCTION("if(REGEXMATCH(C1157,""x.com"")=TRUE,""Twitter"",if(REGEXMATCH(C1157,""facebook"")=TRUE,""Facebook"",if(REGEXMATCH(C1157,""instagram"")=TRUE,""Instagram"",if(REGEXMATCH(C1157,""youtube"")=TRUE,""Youtube"",if(REGEXMATCH(C1157,""tiktok"")=TRUE,""Tiktok"",if("&amp;"REGEXMATCH(C1157,""threads"")=TRUE,""Threads""))))))"),"Tiktok")</f>
        <v>Tiktok</v>
      </c>
      <c r="G1157" s="18" t="s">
        <v>2095</v>
      </c>
      <c r="H1157" s="18" t="s">
        <v>2006</v>
      </c>
      <c r="I1157" s="18" t="s">
        <v>535</v>
      </c>
      <c r="J1157" s="18" t="s">
        <v>188</v>
      </c>
      <c r="K1157" s="18"/>
      <c r="L1157" s="15"/>
    </row>
    <row r="1158">
      <c r="A1158" s="15">
        <v>1157.0</v>
      </c>
      <c r="B1158" s="23">
        <v>45969.0</v>
      </c>
      <c r="C1158" s="22" t="s">
        <v>2096</v>
      </c>
      <c r="D1158" s="18"/>
      <c r="E1158" s="18" t="s">
        <v>197</v>
      </c>
      <c r="F1158" s="18" t="str">
        <f>IFERROR(__xludf.DUMMYFUNCTION("if(REGEXMATCH(C1158,""x.com"")=TRUE,""Twitter"",if(REGEXMATCH(C1158,""facebook"")=TRUE,""Facebook"",if(REGEXMATCH(C1158,""instagram"")=TRUE,""Instagram"",if(REGEXMATCH(C1158,""youtube"")=TRUE,""Youtube"",if(REGEXMATCH(C1158,""tiktok"")=TRUE,""Tiktok"",if("&amp;"REGEXMATCH(C1158,""threads"")=TRUE,""Threads""))))))"),"Tiktok")</f>
        <v>Tiktok</v>
      </c>
      <c r="G1158" s="18" t="s">
        <v>2095</v>
      </c>
      <c r="H1158" s="18" t="s">
        <v>2006</v>
      </c>
      <c r="I1158" s="18" t="s">
        <v>535</v>
      </c>
      <c r="J1158" s="18" t="s">
        <v>188</v>
      </c>
      <c r="K1158" s="18"/>
      <c r="L1158" s="15"/>
    </row>
    <row r="1159">
      <c r="A1159" s="15">
        <v>1158.0</v>
      </c>
      <c r="B1159" s="23">
        <v>45969.0</v>
      </c>
      <c r="C1159" s="22" t="s">
        <v>2097</v>
      </c>
      <c r="D1159" s="18"/>
      <c r="E1159" s="18" t="s">
        <v>197</v>
      </c>
      <c r="F1159" s="18" t="str">
        <f>IFERROR(__xludf.DUMMYFUNCTION("if(REGEXMATCH(C1159,""x.com"")=TRUE,""Twitter"",if(REGEXMATCH(C1159,""facebook"")=TRUE,""Facebook"",if(REGEXMATCH(C1159,""instagram"")=TRUE,""Instagram"",if(REGEXMATCH(C1159,""youtube"")=TRUE,""Youtube"",if(REGEXMATCH(C1159,""tiktok"")=TRUE,""Tiktok"",if("&amp;"REGEXMATCH(C1159,""threads"")=TRUE,""Threads""))))))"),"Tiktok")</f>
        <v>Tiktok</v>
      </c>
      <c r="G1159" s="18" t="s">
        <v>2095</v>
      </c>
      <c r="H1159" s="18" t="s">
        <v>2006</v>
      </c>
      <c r="I1159" s="18" t="s">
        <v>535</v>
      </c>
      <c r="J1159" s="18" t="s">
        <v>188</v>
      </c>
      <c r="K1159" s="18"/>
      <c r="L1159" s="15"/>
    </row>
    <row r="1160">
      <c r="A1160" s="15">
        <v>1159.0</v>
      </c>
      <c r="B1160" s="23">
        <v>45969.0</v>
      </c>
      <c r="C1160" s="22" t="s">
        <v>2098</v>
      </c>
      <c r="D1160" s="18"/>
      <c r="E1160" s="18" t="s">
        <v>197</v>
      </c>
      <c r="F1160" s="18" t="str">
        <f>IFERROR(__xludf.DUMMYFUNCTION("if(REGEXMATCH(C1160,""x.com"")=TRUE,""Twitter"",if(REGEXMATCH(C1160,""facebook"")=TRUE,""Facebook"",if(REGEXMATCH(C1160,""instagram"")=TRUE,""Instagram"",if(REGEXMATCH(C1160,""youtube"")=TRUE,""Youtube"",if(REGEXMATCH(C1160,""tiktok"")=TRUE,""Tiktok"",if("&amp;"REGEXMATCH(C1160,""threads"")=TRUE,""Threads""))))))"),"Tiktok")</f>
        <v>Tiktok</v>
      </c>
      <c r="G1160" s="18" t="s">
        <v>2095</v>
      </c>
      <c r="H1160" s="18" t="s">
        <v>2006</v>
      </c>
      <c r="I1160" s="18" t="s">
        <v>535</v>
      </c>
      <c r="J1160" s="18" t="s">
        <v>188</v>
      </c>
      <c r="K1160" s="18"/>
      <c r="L1160" s="15"/>
    </row>
    <row r="1161">
      <c r="A1161" s="15">
        <v>1160.0</v>
      </c>
      <c r="B1161" s="23">
        <v>45969.0</v>
      </c>
      <c r="C1161" s="22" t="s">
        <v>2099</v>
      </c>
      <c r="D1161" s="18"/>
      <c r="E1161" s="18" t="s">
        <v>197</v>
      </c>
      <c r="F1161" s="18" t="str">
        <f>IFERROR(__xludf.DUMMYFUNCTION("if(REGEXMATCH(C1161,""x.com"")=TRUE,""Twitter"",if(REGEXMATCH(C1161,""facebook"")=TRUE,""Facebook"",if(REGEXMATCH(C1161,""instagram"")=TRUE,""Instagram"",if(REGEXMATCH(C1161,""youtube"")=TRUE,""Youtube"",if(REGEXMATCH(C1161,""tiktok"")=TRUE,""Tiktok"",if("&amp;"REGEXMATCH(C1161,""threads"")=TRUE,""Threads""))))))"),"Tiktok")</f>
        <v>Tiktok</v>
      </c>
      <c r="G1161" s="18" t="s">
        <v>2095</v>
      </c>
      <c r="H1161" s="18" t="s">
        <v>2006</v>
      </c>
      <c r="I1161" s="18" t="s">
        <v>535</v>
      </c>
      <c r="J1161" s="18" t="s">
        <v>188</v>
      </c>
      <c r="K1161" s="18"/>
      <c r="L1161" s="15"/>
    </row>
    <row r="1162">
      <c r="A1162" s="15">
        <v>1161.0</v>
      </c>
      <c r="B1162" s="23">
        <v>45969.0</v>
      </c>
      <c r="C1162" s="22" t="s">
        <v>2100</v>
      </c>
      <c r="D1162" s="18"/>
      <c r="E1162" s="18" t="s">
        <v>2018</v>
      </c>
      <c r="F1162" s="18" t="str">
        <f>IFERROR(__xludf.DUMMYFUNCTION("if(REGEXMATCH(C1162,""x.com"")=TRUE,""Twitter"",if(REGEXMATCH(C1162,""facebook"")=TRUE,""Facebook"",if(REGEXMATCH(C1162,""instagram"")=TRUE,""Instagram"",if(REGEXMATCH(C1162,""youtube"")=TRUE,""Youtube"",if(REGEXMATCH(C1162,""tiktok"")=TRUE,""Tiktok"",if("&amp;"REGEXMATCH(C1162,""threads"")=TRUE,""Threads""))))))"),"Facebook")</f>
        <v>Facebook</v>
      </c>
      <c r="G1162" s="18" t="s">
        <v>2101</v>
      </c>
      <c r="H1162" s="18" t="s">
        <v>2023</v>
      </c>
      <c r="I1162" s="18"/>
      <c r="J1162" s="18" t="s">
        <v>188</v>
      </c>
      <c r="K1162" s="18"/>
      <c r="L1162" s="15"/>
    </row>
    <row r="1163">
      <c r="A1163" s="15">
        <v>1162.0</v>
      </c>
      <c r="B1163" s="23">
        <v>45969.0</v>
      </c>
      <c r="C1163" s="22" t="s">
        <v>2102</v>
      </c>
      <c r="D1163" s="18"/>
      <c r="E1163" s="18" t="s">
        <v>2018</v>
      </c>
      <c r="F1163" s="18" t="str">
        <f>IFERROR(__xludf.DUMMYFUNCTION("if(REGEXMATCH(C1163,""x.com"")=TRUE,""Twitter"",if(REGEXMATCH(C1163,""facebook"")=TRUE,""Facebook"",if(REGEXMATCH(C1163,""instagram"")=TRUE,""Instagram"",if(REGEXMATCH(C1163,""youtube"")=TRUE,""Youtube"",if(REGEXMATCH(C1163,""tiktok"")=TRUE,""Tiktok"",if("&amp;"REGEXMATCH(C1163,""threads"")=TRUE,""Threads""))))))"),"Facebook")</f>
        <v>Facebook</v>
      </c>
      <c r="G1163" s="18" t="s">
        <v>2103</v>
      </c>
      <c r="H1163" s="18" t="s">
        <v>2020</v>
      </c>
      <c r="I1163" s="18"/>
      <c r="J1163" s="18" t="s">
        <v>188</v>
      </c>
      <c r="K1163" s="18"/>
      <c r="L1163" s="15"/>
    </row>
    <row r="1164">
      <c r="A1164" s="15">
        <v>1163.0</v>
      </c>
      <c r="B1164" s="23">
        <v>45970.0</v>
      </c>
      <c r="C1164" s="22" t="s">
        <v>2104</v>
      </c>
      <c r="D1164" s="18"/>
      <c r="E1164" s="18" t="s">
        <v>197</v>
      </c>
      <c r="F1164" s="18" t="str">
        <f>IFERROR(__xludf.DUMMYFUNCTION("if(REGEXMATCH(C1164,""x.com"")=TRUE,""Twitter"",if(REGEXMATCH(C1164,""facebook"")=TRUE,""Facebook"",if(REGEXMATCH(C1164,""instagram"")=TRUE,""Instagram"",if(REGEXMATCH(C1164,""youtube"")=TRUE,""Youtube"",if(REGEXMATCH(C1164,""tiktok"")=TRUE,""Tiktok"",if("&amp;"REGEXMATCH(C1164,""threads"")=TRUE,""Threads""))))))"),"Facebook")</f>
        <v>Facebook</v>
      </c>
      <c r="G1164" s="18" t="s">
        <v>2105</v>
      </c>
      <c r="H1164" s="34" t="s">
        <v>1782</v>
      </c>
      <c r="I1164" s="34" t="s">
        <v>535</v>
      </c>
      <c r="J1164" s="18" t="s">
        <v>188</v>
      </c>
      <c r="K1164" s="18"/>
      <c r="L1164" s="15"/>
    </row>
    <row r="1165">
      <c r="A1165" s="15">
        <v>1164.0</v>
      </c>
      <c r="B1165" s="23">
        <v>45970.0</v>
      </c>
      <c r="C1165" s="22" t="s">
        <v>2106</v>
      </c>
      <c r="D1165" s="18"/>
      <c r="E1165" s="18" t="s">
        <v>197</v>
      </c>
      <c r="F1165" s="18" t="str">
        <f>IFERROR(__xludf.DUMMYFUNCTION("if(REGEXMATCH(C1165,""x.com"")=TRUE,""Twitter"",if(REGEXMATCH(C1165,""facebook"")=TRUE,""Facebook"",if(REGEXMATCH(C1165,""instagram"")=TRUE,""Instagram"",if(REGEXMATCH(C1165,""youtube"")=TRUE,""Youtube"",if(REGEXMATCH(C1165,""tiktok"")=TRUE,""Tiktok"",if("&amp;"REGEXMATCH(C1165,""threads"")=TRUE,""Threads""))))))"),"Facebook")</f>
        <v>Facebook</v>
      </c>
      <c r="G1165" s="18" t="s">
        <v>2107</v>
      </c>
      <c r="H1165" s="36"/>
      <c r="I1165" s="36"/>
      <c r="J1165" s="18" t="s">
        <v>188</v>
      </c>
      <c r="K1165" s="18"/>
      <c r="L1165" s="15"/>
    </row>
    <row r="1166">
      <c r="A1166" s="15">
        <v>1165.0</v>
      </c>
      <c r="B1166" s="23">
        <v>45970.0</v>
      </c>
      <c r="C1166" s="22" t="s">
        <v>2108</v>
      </c>
      <c r="D1166" s="18"/>
      <c r="E1166" s="18" t="s">
        <v>197</v>
      </c>
      <c r="F1166" s="18" t="str">
        <f>IFERROR(__xludf.DUMMYFUNCTION("if(REGEXMATCH(C1166,""x.com"")=TRUE,""Twitter"",if(REGEXMATCH(C1166,""facebook"")=TRUE,""Facebook"",if(REGEXMATCH(C1166,""instagram"")=TRUE,""Instagram"",if(REGEXMATCH(C1166,""youtube"")=TRUE,""Youtube"",if(REGEXMATCH(C1166,""tiktok"")=TRUE,""Tiktok"",if("&amp;"REGEXMATCH(C1166,""threads"")=TRUE,""Threads""))))))"),"Facebook")</f>
        <v>Facebook</v>
      </c>
      <c r="G1166" s="18" t="s">
        <v>2109</v>
      </c>
      <c r="H1166" s="36"/>
      <c r="I1166" s="36"/>
      <c r="J1166" s="18" t="s">
        <v>188</v>
      </c>
      <c r="K1166" s="18"/>
      <c r="L1166" s="15"/>
    </row>
    <row r="1167">
      <c r="A1167" s="15">
        <v>1166.0</v>
      </c>
      <c r="B1167" s="23">
        <v>45970.0</v>
      </c>
      <c r="C1167" s="22" t="s">
        <v>2110</v>
      </c>
      <c r="D1167" s="18"/>
      <c r="E1167" s="18" t="s">
        <v>197</v>
      </c>
      <c r="F1167" s="18" t="str">
        <f>IFERROR(__xludf.DUMMYFUNCTION("if(REGEXMATCH(C1167,""x.com"")=TRUE,""Twitter"",if(REGEXMATCH(C1167,""facebook"")=TRUE,""Facebook"",if(REGEXMATCH(C1167,""instagram"")=TRUE,""Instagram"",if(REGEXMATCH(C1167,""youtube"")=TRUE,""Youtube"",if(REGEXMATCH(C1167,""tiktok"")=TRUE,""Tiktok"",if("&amp;"REGEXMATCH(C1167,""threads"")=TRUE,""Threads""))))))"),"Facebook")</f>
        <v>Facebook</v>
      </c>
      <c r="G1167" s="18" t="s">
        <v>2111</v>
      </c>
      <c r="H1167" s="36"/>
      <c r="I1167" s="36"/>
      <c r="J1167" s="18" t="s">
        <v>188</v>
      </c>
      <c r="K1167" s="18"/>
      <c r="L1167" s="15"/>
    </row>
    <row r="1168">
      <c r="A1168" s="15">
        <v>1167.0</v>
      </c>
      <c r="B1168" s="23">
        <v>45970.0</v>
      </c>
      <c r="C1168" s="22" t="s">
        <v>2112</v>
      </c>
      <c r="D1168" s="18"/>
      <c r="E1168" s="18" t="s">
        <v>197</v>
      </c>
      <c r="F1168" s="18" t="str">
        <f>IFERROR(__xludf.DUMMYFUNCTION("if(REGEXMATCH(C1168,""x.com"")=TRUE,""Twitter"",if(REGEXMATCH(C1168,""facebook"")=TRUE,""Facebook"",if(REGEXMATCH(C1168,""instagram"")=TRUE,""Instagram"",if(REGEXMATCH(C1168,""youtube"")=TRUE,""Youtube"",if(REGEXMATCH(C1168,""tiktok"")=TRUE,""Tiktok"",if("&amp;"REGEXMATCH(C1168,""threads"")=TRUE,""Threads""))))))"),"Twitter")</f>
        <v>Twitter</v>
      </c>
      <c r="G1168" s="18" t="s">
        <v>2113</v>
      </c>
      <c r="H1168" s="36"/>
      <c r="I1168" s="36"/>
      <c r="J1168" s="18" t="s">
        <v>188</v>
      </c>
      <c r="K1168" s="18"/>
      <c r="L1168" s="15"/>
    </row>
    <row r="1169">
      <c r="A1169" s="15">
        <v>1168.0</v>
      </c>
      <c r="B1169" s="23">
        <v>45970.0</v>
      </c>
      <c r="C1169" s="22" t="s">
        <v>2114</v>
      </c>
      <c r="D1169" s="18"/>
      <c r="E1169" s="18" t="s">
        <v>197</v>
      </c>
      <c r="F1169" s="18" t="str">
        <f>IFERROR(__xludf.DUMMYFUNCTION("if(REGEXMATCH(C1169,""x.com"")=TRUE,""Twitter"",if(REGEXMATCH(C1169,""facebook"")=TRUE,""Facebook"",if(REGEXMATCH(C1169,""instagram"")=TRUE,""Instagram"",if(REGEXMATCH(C1169,""youtube"")=TRUE,""Youtube"",if(REGEXMATCH(C1169,""tiktok"")=TRUE,""Tiktok"",if("&amp;"REGEXMATCH(C1169,""threads"")=TRUE,""Threads""))))))"),"Twitter")</f>
        <v>Twitter</v>
      </c>
      <c r="G1169" s="18" t="s">
        <v>2115</v>
      </c>
      <c r="H1169" s="36"/>
      <c r="I1169" s="36"/>
      <c r="J1169" s="18" t="s">
        <v>188</v>
      </c>
      <c r="K1169" s="18"/>
      <c r="L1169" s="15"/>
    </row>
    <row r="1170">
      <c r="A1170" s="15">
        <v>1169.0</v>
      </c>
      <c r="B1170" s="23">
        <v>45970.0</v>
      </c>
      <c r="C1170" s="22" t="s">
        <v>2116</v>
      </c>
      <c r="D1170" s="18"/>
      <c r="E1170" s="18" t="s">
        <v>197</v>
      </c>
      <c r="F1170" s="18" t="str">
        <f>IFERROR(__xludf.DUMMYFUNCTION("if(REGEXMATCH(C1170,""x.com"")=TRUE,""Twitter"",if(REGEXMATCH(C1170,""facebook"")=TRUE,""Facebook"",if(REGEXMATCH(C1170,""instagram"")=TRUE,""Instagram"",if(REGEXMATCH(C1170,""youtube"")=TRUE,""Youtube"",if(REGEXMATCH(C1170,""tiktok"")=TRUE,""Tiktok"",if("&amp;"REGEXMATCH(C1170,""threads"")=TRUE,""Threads""))))))"),"Twitter")</f>
        <v>Twitter</v>
      </c>
      <c r="G1170" s="18" t="s">
        <v>2117</v>
      </c>
      <c r="H1170" s="36"/>
      <c r="I1170" s="36"/>
      <c r="J1170" s="18" t="s">
        <v>188</v>
      </c>
      <c r="K1170" s="18"/>
      <c r="L1170" s="15"/>
    </row>
    <row r="1171">
      <c r="A1171" s="15">
        <v>1170.0</v>
      </c>
      <c r="B1171" s="23">
        <v>45970.0</v>
      </c>
      <c r="C1171" s="22" t="s">
        <v>2118</v>
      </c>
      <c r="D1171" s="18"/>
      <c r="E1171" s="18" t="s">
        <v>197</v>
      </c>
      <c r="F1171" s="18" t="str">
        <f>IFERROR(__xludf.DUMMYFUNCTION("if(REGEXMATCH(C1171,""x.com"")=TRUE,""Twitter"",if(REGEXMATCH(C1171,""facebook"")=TRUE,""Facebook"",if(REGEXMATCH(C1171,""instagram"")=TRUE,""Instagram"",if(REGEXMATCH(C1171,""youtube"")=TRUE,""Youtube"",if(REGEXMATCH(C1171,""tiktok"")=TRUE,""Tiktok"",if("&amp;"REGEXMATCH(C1171,""threads"")=TRUE,""Threads""))))))"),"Twitter")</f>
        <v>Twitter</v>
      </c>
      <c r="G1171" s="18" t="s">
        <v>2119</v>
      </c>
      <c r="H1171" s="36"/>
      <c r="I1171" s="36"/>
      <c r="J1171" s="18" t="s">
        <v>188</v>
      </c>
      <c r="K1171" s="18"/>
      <c r="L1171" s="15"/>
    </row>
    <row r="1172">
      <c r="A1172" s="15">
        <v>1171.0</v>
      </c>
      <c r="B1172" s="23">
        <v>45970.0</v>
      </c>
      <c r="C1172" s="22" t="s">
        <v>2120</v>
      </c>
      <c r="D1172" s="18"/>
      <c r="E1172" s="18" t="s">
        <v>197</v>
      </c>
      <c r="F1172" s="18" t="str">
        <f>IFERROR(__xludf.DUMMYFUNCTION("if(REGEXMATCH(C1172,""x.com"")=TRUE,""Twitter"",if(REGEXMATCH(C1172,""facebook"")=TRUE,""Facebook"",if(REGEXMATCH(C1172,""instagram"")=TRUE,""Instagram"",if(REGEXMATCH(C1172,""youtube"")=TRUE,""Youtube"",if(REGEXMATCH(C1172,""tiktok"")=TRUE,""Tiktok"",if("&amp;"REGEXMATCH(C1172,""threads"")=TRUE,""Threads""))))))"),"Twitter")</f>
        <v>Twitter</v>
      </c>
      <c r="G1172" s="18" t="s">
        <v>2121</v>
      </c>
      <c r="H1172" s="35"/>
      <c r="I1172" s="35"/>
      <c r="J1172" s="18" t="s">
        <v>188</v>
      </c>
      <c r="K1172" s="18"/>
      <c r="L1172" s="15"/>
    </row>
    <row r="1173">
      <c r="A1173" s="15">
        <v>1172.0</v>
      </c>
      <c r="B1173" s="23">
        <v>45970.0</v>
      </c>
      <c r="C1173" s="22" t="s">
        <v>2122</v>
      </c>
      <c r="D1173" s="18"/>
      <c r="E1173" s="18" t="s">
        <v>197</v>
      </c>
      <c r="F1173" s="18" t="str">
        <f>IFERROR(__xludf.DUMMYFUNCTION("if(REGEXMATCH(C1173,""x.com"")=TRUE,""Twitter"",if(REGEXMATCH(C1173,""facebook"")=TRUE,""Facebook"",if(REGEXMATCH(C1173,""instagram"")=TRUE,""Instagram"",if(REGEXMATCH(C1173,""youtube"")=TRUE,""Youtube"",if(REGEXMATCH(C1173,""tiktok"")=TRUE,""Tiktok"",if("&amp;"REGEXMATCH(C1173,""threads"")=TRUE,""Threads""))))))"),"Twitter")</f>
        <v>Twitter</v>
      </c>
      <c r="G1173" s="18" t="s">
        <v>2123</v>
      </c>
      <c r="H1173" s="18"/>
      <c r="I1173" s="18"/>
      <c r="J1173" s="18" t="s">
        <v>188</v>
      </c>
      <c r="K1173" s="18"/>
      <c r="L1173" s="15"/>
    </row>
    <row r="1174">
      <c r="A1174" s="15">
        <v>1173.0</v>
      </c>
      <c r="B1174" s="23">
        <v>45970.0</v>
      </c>
      <c r="C1174" s="22" t="s">
        <v>2124</v>
      </c>
      <c r="D1174" s="18"/>
      <c r="E1174" s="18"/>
      <c r="F1174" s="18" t="str">
        <f>IFERROR(__xludf.DUMMYFUNCTION("if(REGEXMATCH(C1174,""x.com"")=TRUE,""Twitter"",if(REGEXMATCH(C1174,""facebook"")=TRUE,""Facebook"",if(REGEXMATCH(C1174,""instagram"")=TRUE,""Instagram"",if(REGEXMATCH(C1174,""youtube"")=TRUE,""Youtube"",if(REGEXMATCH(C1174,""tiktok"")=TRUE,""Tiktok"",if("&amp;"REGEXMATCH(C1174,""threads"")=TRUE,""Threads""))))))"),"Twitter")</f>
        <v>Twitter</v>
      </c>
      <c r="G1174" s="18" t="s">
        <v>2125</v>
      </c>
      <c r="H1174" s="18"/>
      <c r="I1174" s="18"/>
      <c r="J1174" s="18" t="s">
        <v>188</v>
      </c>
      <c r="K1174" s="18"/>
      <c r="L1174" s="15"/>
    </row>
    <row r="1175">
      <c r="A1175" s="15">
        <v>1174.0</v>
      </c>
      <c r="B1175" s="23">
        <v>45970.0</v>
      </c>
      <c r="C1175" s="22" t="s">
        <v>2126</v>
      </c>
      <c r="D1175" s="18"/>
      <c r="E1175" s="18" t="s">
        <v>197</v>
      </c>
      <c r="F1175" s="18" t="str">
        <f>IFERROR(__xludf.DUMMYFUNCTION("if(REGEXMATCH(C1175,""x.com"")=TRUE,""Twitter"",if(REGEXMATCH(C1175,""facebook"")=TRUE,""Facebook"",if(REGEXMATCH(C1175,""instagram"")=TRUE,""Instagram"",if(REGEXMATCH(C1175,""youtube"")=TRUE,""Youtube"",if(REGEXMATCH(C1175,""tiktok"")=TRUE,""Tiktok"",if("&amp;"REGEXMATCH(C1175,""threads"")=TRUE,""Threads""))))))"),"Facebook")</f>
        <v>Facebook</v>
      </c>
      <c r="G1175" s="18" t="s">
        <v>2127</v>
      </c>
      <c r="H1175" s="18"/>
      <c r="I1175" s="18"/>
      <c r="J1175" s="18" t="s">
        <v>188</v>
      </c>
      <c r="K1175" s="18"/>
      <c r="L1175" s="15"/>
    </row>
    <row r="1176">
      <c r="A1176" s="15">
        <v>1175.0</v>
      </c>
      <c r="B1176" s="23">
        <v>45970.0</v>
      </c>
      <c r="C1176" s="22" t="s">
        <v>2128</v>
      </c>
      <c r="D1176" s="18"/>
      <c r="E1176" s="18" t="s">
        <v>197</v>
      </c>
      <c r="F1176" s="18" t="str">
        <f>IFERROR(__xludf.DUMMYFUNCTION("if(REGEXMATCH(C1176,""x.com"")=TRUE,""Twitter"",if(REGEXMATCH(C1176,""facebook"")=TRUE,""Facebook"",if(REGEXMATCH(C1176,""instagram"")=TRUE,""Instagram"",if(REGEXMATCH(C1176,""youtube"")=TRUE,""Youtube"",if(REGEXMATCH(C1176,""tiktok"")=TRUE,""Tiktok"",if("&amp;"REGEXMATCH(C1176,""threads"")=TRUE,""Threads""))))))"),"Facebook")</f>
        <v>Facebook</v>
      </c>
      <c r="G1176" s="18" t="s">
        <v>2129</v>
      </c>
      <c r="H1176" s="18"/>
      <c r="I1176" s="18"/>
      <c r="J1176" s="18" t="s">
        <v>188</v>
      </c>
      <c r="K1176" s="18"/>
      <c r="L1176" s="15"/>
    </row>
    <row r="1177">
      <c r="A1177" s="15">
        <v>1176.0</v>
      </c>
      <c r="B1177" s="23">
        <v>45970.0</v>
      </c>
      <c r="C1177" s="22" t="s">
        <v>2130</v>
      </c>
      <c r="D1177" s="18"/>
      <c r="E1177" s="18" t="s">
        <v>2018</v>
      </c>
      <c r="F1177" s="18" t="str">
        <f>IFERROR(__xludf.DUMMYFUNCTION("if(REGEXMATCH(C1177,""x.com"")=TRUE,""Twitter"",if(REGEXMATCH(C1177,""facebook"")=TRUE,""Facebook"",if(REGEXMATCH(C1177,""instagram"")=TRUE,""Instagram"",if(REGEXMATCH(C1177,""youtube"")=TRUE,""Youtube"",if(REGEXMATCH(C1177,""tiktok"")=TRUE,""Tiktok"",if("&amp;"REGEXMATCH(C1177,""threads"")=TRUE,""Threads""))))))"),"Facebook")</f>
        <v>Facebook</v>
      </c>
      <c r="G1177" s="27" t="s">
        <v>2131</v>
      </c>
      <c r="H1177" s="18" t="s">
        <v>2023</v>
      </c>
      <c r="I1177" s="18"/>
      <c r="J1177" s="18" t="s">
        <v>188</v>
      </c>
      <c r="K1177" s="18"/>
      <c r="L1177" s="15"/>
    </row>
    <row r="1178">
      <c r="A1178" s="15">
        <v>1177.0</v>
      </c>
      <c r="B1178" s="23">
        <v>45970.0</v>
      </c>
      <c r="C1178" s="22" t="s">
        <v>2132</v>
      </c>
      <c r="D1178" s="18"/>
      <c r="E1178" s="18" t="s">
        <v>2018</v>
      </c>
      <c r="F1178" s="18" t="str">
        <f>IFERROR(__xludf.DUMMYFUNCTION("if(REGEXMATCH(C1178,""x.com"")=TRUE,""Twitter"",if(REGEXMATCH(C1178,""facebook"")=TRUE,""Facebook"",if(REGEXMATCH(C1178,""instagram"")=TRUE,""Instagram"",if(REGEXMATCH(C1178,""youtube"")=TRUE,""Youtube"",if(REGEXMATCH(C1178,""tiktok"")=TRUE,""Tiktok"",if("&amp;"REGEXMATCH(C1178,""threads"")=TRUE,""Threads""))))))"),"Facebook")</f>
        <v>Facebook</v>
      </c>
      <c r="G1178" s="18" t="s">
        <v>2133</v>
      </c>
      <c r="H1178" s="18" t="s">
        <v>2023</v>
      </c>
      <c r="I1178" s="18"/>
      <c r="J1178" s="18" t="s">
        <v>188</v>
      </c>
      <c r="K1178" s="18"/>
      <c r="L1178" s="15"/>
    </row>
    <row r="1179">
      <c r="A1179" s="15">
        <v>1178.0</v>
      </c>
      <c r="B1179" s="23">
        <v>45971.0</v>
      </c>
      <c r="C1179" s="22" t="s">
        <v>2134</v>
      </c>
      <c r="D1179" s="18"/>
      <c r="E1179" s="18" t="s">
        <v>1178</v>
      </c>
      <c r="F1179" s="18" t="str">
        <f>IFERROR(__xludf.DUMMYFUNCTION("if(REGEXMATCH(C1179,""x.com"")=TRUE,""Twitter"",if(REGEXMATCH(C1179,""facebook"")=TRUE,""Facebook"",if(REGEXMATCH(C1179,""instagram"")=TRUE,""Instagram"",if(REGEXMATCH(C1179,""youtube"")=TRUE,""Youtube"",if(REGEXMATCH(C1179,""tiktok"")=TRUE,""Tiktok"",if("&amp;"REGEXMATCH(C1179,""threads"")=TRUE,""Threads""))))))"),"Facebook")</f>
        <v>Facebook</v>
      </c>
      <c r="G1179" s="18" t="s">
        <v>2135</v>
      </c>
      <c r="H1179" s="18" t="s">
        <v>2136</v>
      </c>
      <c r="I1179" s="18" t="s">
        <v>2137</v>
      </c>
      <c r="J1179" s="18" t="s">
        <v>188</v>
      </c>
      <c r="K1179" s="18"/>
      <c r="L1179" s="15"/>
    </row>
    <row r="1180">
      <c r="A1180" s="15">
        <v>1179.0</v>
      </c>
      <c r="B1180" s="23">
        <v>45971.0</v>
      </c>
      <c r="C1180" s="22" t="s">
        <v>2138</v>
      </c>
      <c r="D1180" s="18"/>
      <c r="E1180" s="18" t="s">
        <v>1178</v>
      </c>
      <c r="F1180" s="18" t="str">
        <f>IFERROR(__xludf.DUMMYFUNCTION("if(REGEXMATCH(C1180,""x.com"")=TRUE,""Twitter"",if(REGEXMATCH(C1180,""facebook"")=TRUE,""Facebook"",if(REGEXMATCH(C1180,""instagram"")=TRUE,""Instagram"",if(REGEXMATCH(C1180,""youtube"")=TRUE,""Youtube"",if(REGEXMATCH(C1180,""tiktok"")=TRUE,""Tiktok"",if("&amp;"REGEXMATCH(C1180,""threads"")=TRUE,""Threads""))))))"),"Facebook")</f>
        <v>Facebook</v>
      </c>
      <c r="G1180" s="18" t="s">
        <v>2135</v>
      </c>
      <c r="H1180" s="18" t="s">
        <v>2136</v>
      </c>
      <c r="I1180" s="18" t="s">
        <v>2137</v>
      </c>
      <c r="J1180" s="18" t="s">
        <v>188</v>
      </c>
      <c r="K1180" s="18"/>
      <c r="L1180" s="15"/>
    </row>
    <row r="1181">
      <c r="A1181" s="15">
        <v>1180.0</v>
      </c>
      <c r="B1181" s="23">
        <v>45971.0</v>
      </c>
      <c r="C1181" s="38" t="s">
        <v>2139</v>
      </c>
      <c r="D1181" s="18"/>
      <c r="E1181" s="18" t="s">
        <v>1178</v>
      </c>
      <c r="F1181" s="18" t="str">
        <f>IFERROR(__xludf.DUMMYFUNCTION("if(REGEXMATCH(C1181,""x.com"")=TRUE,""Twitter"",if(REGEXMATCH(C1181,""facebook"")=TRUE,""Facebook"",if(REGEXMATCH(C1181,""instagram"")=TRUE,""Instagram"",if(REGEXMATCH(C1181,""youtube"")=TRUE,""Youtube"",if(REGEXMATCH(C1181,""tiktok"")=TRUE,""Tiktok"",if("&amp;"REGEXMATCH(C1181,""threads"")=TRUE,""Threads""))))))"),"Twitter")</f>
        <v>Twitter</v>
      </c>
      <c r="G1181" s="18" t="s">
        <v>2135</v>
      </c>
      <c r="H1181" s="18" t="s">
        <v>2136</v>
      </c>
      <c r="I1181" s="18" t="s">
        <v>2137</v>
      </c>
      <c r="J1181" s="18" t="s">
        <v>188</v>
      </c>
      <c r="K1181" s="18"/>
      <c r="L1181" s="15"/>
    </row>
    <row r="1182">
      <c r="A1182" s="15">
        <v>1181.0</v>
      </c>
      <c r="B1182" s="23">
        <v>45971.0</v>
      </c>
      <c r="C1182" s="38" t="s">
        <v>2140</v>
      </c>
      <c r="D1182" s="18"/>
      <c r="E1182" s="18" t="s">
        <v>1178</v>
      </c>
      <c r="F1182" s="18" t="str">
        <f>IFERROR(__xludf.DUMMYFUNCTION("if(REGEXMATCH(C1182,""x.com"")=TRUE,""Twitter"",if(REGEXMATCH(C1182,""facebook"")=TRUE,""Facebook"",if(REGEXMATCH(C1182,""instagram"")=TRUE,""Instagram"",if(REGEXMATCH(C1182,""youtube"")=TRUE,""Youtube"",if(REGEXMATCH(C1182,""tiktok"")=TRUE,""Tiktok"",if("&amp;"REGEXMATCH(C1182,""threads"")=TRUE,""Threads""))))))"),"Twitter")</f>
        <v>Twitter</v>
      </c>
      <c r="G1182" s="18" t="s">
        <v>2135</v>
      </c>
      <c r="H1182" s="18" t="s">
        <v>2136</v>
      </c>
      <c r="I1182" s="18" t="s">
        <v>2137</v>
      </c>
      <c r="J1182" s="18" t="s">
        <v>188</v>
      </c>
      <c r="K1182" s="18"/>
      <c r="L1182" s="15"/>
    </row>
    <row r="1183">
      <c r="A1183" s="15">
        <v>1182.0</v>
      </c>
      <c r="B1183" s="23">
        <v>45971.0</v>
      </c>
      <c r="C1183" s="38" t="s">
        <v>2141</v>
      </c>
      <c r="D1183" s="18"/>
      <c r="E1183" s="18" t="s">
        <v>1178</v>
      </c>
      <c r="F1183" s="18" t="str">
        <f>IFERROR(__xludf.DUMMYFUNCTION("if(REGEXMATCH(C1183,""x.com"")=TRUE,""Twitter"",if(REGEXMATCH(C1183,""facebook"")=TRUE,""Facebook"",if(REGEXMATCH(C1183,""instagram"")=TRUE,""Instagram"",if(REGEXMATCH(C1183,""youtube"")=TRUE,""Youtube"",if(REGEXMATCH(C1183,""tiktok"")=TRUE,""Tiktok"",if("&amp;"REGEXMATCH(C1183,""threads"")=TRUE,""Threads""))))))"),"Facebook")</f>
        <v>Facebook</v>
      </c>
      <c r="G1183" s="18" t="s">
        <v>2135</v>
      </c>
      <c r="H1183" s="18" t="s">
        <v>2136</v>
      </c>
      <c r="I1183" s="18" t="s">
        <v>2137</v>
      </c>
      <c r="J1183" s="18" t="s">
        <v>188</v>
      </c>
      <c r="K1183" s="18"/>
      <c r="L1183" s="15"/>
    </row>
    <row r="1184">
      <c r="A1184" s="15">
        <v>1183.0</v>
      </c>
      <c r="B1184" s="23">
        <v>45971.0</v>
      </c>
      <c r="C1184" s="38" t="s">
        <v>2142</v>
      </c>
      <c r="D1184" s="18"/>
      <c r="E1184" s="18" t="s">
        <v>1178</v>
      </c>
      <c r="F1184" s="18" t="str">
        <f>IFERROR(__xludf.DUMMYFUNCTION("if(REGEXMATCH(C1184,""x.com"")=TRUE,""Twitter"",if(REGEXMATCH(C1184,""facebook"")=TRUE,""Facebook"",if(REGEXMATCH(C1184,""instagram"")=TRUE,""Instagram"",if(REGEXMATCH(C1184,""youtube"")=TRUE,""Youtube"",if(REGEXMATCH(C1184,""tiktok"")=TRUE,""Tiktok"",if("&amp;"REGEXMATCH(C1184,""threads"")=TRUE,""Threads""))))))"),"Facebook")</f>
        <v>Facebook</v>
      </c>
      <c r="G1184" s="18" t="s">
        <v>2135</v>
      </c>
      <c r="H1184" s="18" t="s">
        <v>2136</v>
      </c>
      <c r="I1184" s="18" t="s">
        <v>2137</v>
      </c>
      <c r="J1184" s="18" t="s">
        <v>188</v>
      </c>
      <c r="K1184" s="18"/>
      <c r="L1184" s="15"/>
    </row>
    <row r="1185">
      <c r="A1185" s="15">
        <v>1184.0</v>
      </c>
      <c r="B1185" s="23">
        <v>45971.0</v>
      </c>
      <c r="C1185" s="38" t="s">
        <v>2143</v>
      </c>
      <c r="D1185" s="18"/>
      <c r="E1185" s="18" t="s">
        <v>1178</v>
      </c>
      <c r="F1185" s="18" t="str">
        <f>IFERROR(__xludf.DUMMYFUNCTION("if(REGEXMATCH(C1185,""x.com"")=TRUE,""Twitter"",if(REGEXMATCH(C1185,""facebook"")=TRUE,""Facebook"",if(REGEXMATCH(C1185,""instagram"")=TRUE,""Instagram"",if(REGEXMATCH(C1185,""youtube"")=TRUE,""Youtube"",if(REGEXMATCH(C1185,""tiktok"")=TRUE,""Tiktok"",if("&amp;"REGEXMATCH(C1185,""threads"")=TRUE,""Threads""))))))"),"Twitter")</f>
        <v>Twitter</v>
      </c>
      <c r="G1185" s="18" t="s">
        <v>2135</v>
      </c>
      <c r="H1185" s="18" t="s">
        <v>2136</v>
      </c>
      <c r="I1185" s="18" t="s">
        <v>2137</v>
      </c>
      <c r="J1185" s="18" t="s">
        <v>188</v>
      </c>
      <c r="K1185" s="18"/>
      <c r="L1185" s="15"/>
    </row>
    <row r="1186">
      <c r="A1186" s="15">
        <v>1185.0</v>
      </c>
      <c r="B1186" s="23">
        <v>45971.0</v>
      </c>
      <c r="C1186" s="38" t="s">
        <v>2144</v>
      </c>
      <c r="D1186" s="18"/>
      <c r="E1186" s="18" t="s">
        <v>1178</v>
      </c>
      <c r="F1186" s="18" t="str">
        <f>IFERROR(__xludf.DUMMYFUNCTION("if(REGEXMATCH(C1186,""x.com"")=TRUE,""Twitter"",if(REGEXMATCH(C1186,""facebook"")=TRUE,""Facebook"",if(REGEXMATCH(C1186,""instagram"")=TRUE,""Instagram"",if(REGEXMATCH(C1186,""youtube"")=TRUE,""Youtube"",if(REGEXMATCH(C1186,""tiktok"")=TRUE,""Tiktok"",if("&amp;"REGEXMATCH(C1186,""threads"")=TRUE,""Threads""))))))"),"Twitter")</f>
        <v>Twitter</v>
      </c>
      <c r="G1186" s="18" t="s">
        <v>2135</v>
      </c>
      <c r="H1186" s="18" t="s">
        <v>2136</v>
      </c>
      <c r="I1186" s="18" t="s">
        <v>2137</v>
      </c>
      <c r="J1186" s="18" t="s">
        <v>188</v>
      </c>
      <c r="K1186" s="18"/>
      <c r="L1186" s="15"/>
    </row>
    <row r="1187">
      <c r="A1187" s="15">
        <v>1186.0</v>
      </c>
      <c r="B1187" s="23">
        <v>45971.0</v>
      </c>
      <c r="C1187" s="38" t="s">
        <v>2145</v>
      </c>
      <c r="D1187" s="18"/>
      <c r="E1187" s="18" t="s">
        <v>1178</v>
      </c>
      <c r="F1187" s="18" t="str">
        <f>IFERROR(__xludf.DUMMYFUNCTION("if(REGEXMATCH(C1187,""x.com"")=TRUE,""Twitter"",if(REGEXMATCH(C1187,""facebook"")=TRUE,""Facebook"",if(REGEXMATCH(C1187,""instagram"")=TRUE,""Instagram"",if(REGEXMATCH(C1187,""youtube"")=TRUE,""Youtube"",if(REGEXMATCH(C1187,""tiktok"")=TRUE,""Tiktok"",if("&amp;"REGEXMATCH(C1187,""threads"")=TRUE,""Threads""))))))"),"Twitter")</f>
        <v>Twitter</v>
      </c>
      <c r="G1187" s="18" t="s">
        <v>2135</v>
      </c>
      <c r="H1187" s="18" t="s">
        <v>2136</v>
      </c>
      <c r="I1187" s="18" t="s">
        <v>2137</v>
      </c>
      <c r="J1187" s="18" t="s">
        <v>188</v>
      </c>
      <c r="K1187" s="18"/>
      <c r="L1187" s="15"/>
    </row>
    <row r="1188">
      <c r="A1188" s="15">
        <v>1187.0</v>
      </c>
      <c r="B1188" s="23">
        <v>45971.0</v>
      </c>
      <c r="C1188" s="38" t="s">
        <v>2146</v>
      </c>
      <c r="D1188" s="18"/>
      <c r="E1188" s="18" t="s">
        <v>1178</v>
      </c>
      <c r="F1188" s="18" t="str">
        <f>IFERROR(__xludf.DUMMYFUNCTION("if(REGEXMATCH(C1188,""x.com"")=TRUE,""Twitter"",if(REGEXMATCH(C1188,""facebook"")=TRUE,""Facebook"",if(REGEXMATCH(C1188,""instagram"")=TRUE,""Instagram"",if(REGEXMATCH(C1188,""youtube"")=TRUE,""Youtube"",if(REGEXMATCH(C1188,""tiktok"")=TRUE,""Tiktok"",if("&amp;"REGEXMATCH(C1188,""threads"")=TRUE,""Threads""))))))"),"Twitter")</f>
        <v>Twitter</v>
      </c>
      <c r="G1188" s="18" t="s">
        <v>2135</v>
      </c>
      <c r="H1188" s="18" t="s">
        <v>2136</v>
      </c>
      <c r="I1188" s="18" t="s">
        <v>2137</v>
      </c>
      <c r="J1188" s="18" t="s">
        <v>188</v>
      </c>
      <c r="K1188" s="18"/>
      <c r="L1188" s="15"/>
    </row>
    <row r="1189">
      <c r="A1189" s="15">
        <v>1188.0</v>
      </c>
      <c r="B1189" s="23">
        <v>45971.0</v>
      </c>
      <c r="C1189" s="38" t="s">
        <v>2147</v>
      </c>
      <c r="D1189" s="18"/>
      <c r="E1189" s="18" t="s">
        <v>1178</v>
      </c>
      <c r="F1189" s="18" t="str">
        <f>IFERROR(__xludf.DUMMYFUNCTION("if(REGEXMATCH(C1189,""x.com"")=TRUE,""Twitter"",if(REGEXMATCH(C1189,""facebook"")=TRUE,""Facebook"",if(REGEXMATCH(C1189,""instagram"")=TRUE,""Instagram"",if(REGEXMATCH(C1189,""youtube"")=TRUE,""Youtube"",if(REGEXMATCH(C1189,""tiktok"")=TRUE,""Tiktok"",if("&amp;"REGEXMATCH(C1189,""threads"")=TRUE,""Threads""))))))"),"Twitter")</f>
        <v>Twitter</v>
      </c>
      <c r="G1189" s="18" t="s">
        <v>2135</v>
      </c>
      <c r="H1189" s="18" t="s">
        <v>2136</v>
      </c>
      <c r="I1189" s="18" t="s">
        <v>2137</v>
      </c>
      <c r="J1189" s="18" t="s">
        <v>188</v>
      </c>
      <c r="K1189" s="18"/>
      <c r="L1189" s="15"/>
    </row>
    <row r="1190">
      <c r="A1190" s="15">
        <v>1189.0</v>
      </c>
      <c r="B1190" s="23">
        <v>45971.0</v>
      </c>
      <c r="C1190" s="38" t="s">
        <v>2148</v>
      </c>
      <c r="D1190" s="18"/>
      <c r="E1190" s="18" t="s">
        <v>1178</v>
      </c>
      <c r="F1190" s="18" t="str">
        <f>IFERROR(__xludf.DUMMYFUNCTION("if(REGEXMATCH(C1190,""x.com"")=TRUE,""Twitter"",if(REGEXMATCH(C1190,""facebook"")=TRUE,""Facebook"",if(REGEXMATCH(C1190,""instagram"")=TRUE,""Instagram"",if(REGEXMATCH(C1190,""youtube"")=TRUE,""Youtube"",if(REGEXMATCH(C1190,""tiktok"")=TRUE,""Tiktok"",if("&amp;"REGEXMATCH(C1190,""threads"")=TRUE,""Threads""))))))"),"Twitter")</f>
        <v>Twitter</v>
      </c>
      <c r="G1190" s="18" t="s">
        <v>2135</v>
      </c>
      <c r="H1190" s="18" t="s">
        <v>2136</v>
      </c>
      <c r="I1190" s="18" t="s">
        <v>2137</v>
      </c>
      <c r="J1190" s="18" t="s">
        <v>188</v>
      </c>
      <c r="K1190" s="18"/>
      <c r="L1190" s="15"/>
    </row>
    <row r="1191">
      <c r="A1191" s="15">
        <v>1190.0</v>
      </c>
      <c r="B1191" s="23">
        <v>45971.0</v>
      </c>
      <c r="C1191" s="38" t="s">
        <v>2149</v>
      </c>
      <c r="D1191" s="18"/>
      <c r="E1191" s="18" t="s">
        <v>1178</v>
      </c>
      <c r="F1191" s="18" t="str">
        <f>IFERROR(__xludf.DUMMYFUNCTION("if(REGEXMATCH(C1191,""x.com"")=TRUE,""Twitter"",if(REGEXMATCH(C1191,""facebook"")=TRUE,""Facebook"",if(REGEXMATCH(C1191,""instagram"")=TRUE,""Instagram"",if(REGEXMATCH(C1191,""youtube"")=TRUE,""Youtube"",if(REGEXMATCH(C1191,""tiktok"")=TRUE,""Tiktok"",if("&amp;"REGEXMATCH(C1191,""threads"")=TRUE,""Threads""))))))"),"Twitter")</f>
        <v>Twitter</v>
      </c>
      <c r="G1191" s="18" t="s">
        <v>2135</v>
      </c>
      <c r="H1191" s="18" t="s">
        <v>2136</v>
      </c>
      <c r="I1191" s="18" t="s">
        <v>2137</v>
      </c>
      <c r="J1191" s="18" t="s">
        <v>188</v>
      </c>
      <c r="K1191" s="18"/>
      <c r="L1191" s="15"/>
    </row>
    <row r="1192">
      <c r="A1192" s="15">
        <v>1191.0</v>
      </c>
      <c r="B1192" s="23">
        <v>45971.0</v>
      </c>
      <c r="C1192" s="38" t="s">
        <v>2150</v>
      </c>
      <c r="D1192" s="18"/>
      <c r="E1192" s="18" t="s">
        <v>1178</v>
      </c>
      <c r="F1192" s="18" t="str">
        <f>IFERROR(__xludf.DUMMYFUNCTION("if(REGEXMATCH(C1192,""x.com"")=TRUE,""Twitter"",if(REGEXMATCH(C1192,""facebook"")=TRUE,""Facebook"",if(REGEXMATCH(C1192,""instagram"")=TRUE,""Instagram"",if(REGEXMATCH(C1192,""youtube"")=TRUE,""Youtube"",if(REGEXMATCH(C1192,""tiktok"")=TRUE,""Tiktok"",if("&amp;"REGEXMATCH(C1192,""threads"")=TRUE,""Threads""))))))"),"Twitter")</f>
        <v>Twitter</v>
      </c>
      <c r="G1192" s="18" t="s">
        <v>2135</v>
      </c>
      <c r="H1192" s="18" t="s">
        <v>2136</v>
      </c>
      <c r="I1192" s="18" t="s">
        <v>2137</v>
      </c>
      <c r="J1192" s="18" t="s">
        <v>188</v>
      </c>
      <c r="K1192" s="18"/>
      <c r="L1192" s="15"/>
    </row>
    <row r="1193">
      <c r="A1193" s="15">
        <v>1192.0</v>
      </c>
      <c r="B1193" s="23">
        <v>45971.0</v>
      </c>
      <c r="C1193" s="38" t="s">
        <v>2151</v>
      </c>
      <c r="D1193" s="18"/>
      <c r="E1193" s="18" t="s">
        <v>1178</v>
      </c>
      <c r="F1193" s="18" t="str">
        <f>IFERROR(__xludf.DUMMYFUNCTION("if(REGEXMATCH(C1193,""x.com"")=TRUE,""Twitter"",if(REGEXMATCH(C1193,""facebook"")=TRUE,""Facebook"",if(REGEXMATCH(C1193,""instagram"")=TRUE,""Instagram"",if(REGEXMATCH(C1193,""youtube"")=TRUE,""Youtube"",if(REGEXMATCH(C1193,""tiktok"")=TRUE,""Tiktok"",if("&amp;"REGEXMATCH(C1193,""threads"")=TRUE,""Threads""))))))"),"Twitter")</f>
        <v>Twitter</v>
      </c>
      <c r="G1193" s="18" t="s">
        <v>2135</v>
      </c>
      <c r="H1193" s="18" t="s">
        <v>2136</v>
      </c>
      <c r="I1193" s="18" t="s">
        <v>2137</v>
      </c>
      <c r="J1193" s="18" t="s">
        <v>188</v>
      </c>
      <c r="K1193" s="18"/>
      <c r="L1193" s="15"/>
    </row>
    <row r="1194">
      <c r="A1194" s="15">
        <v>1193.0</v>
      </c>
      <c r="B1194" s="23">
        <v>45971.0</v>
      </c>
      <c r="C1194" s="22" t="s">
        <v>2152</v>
      </c>
      <c r="D1194" s="18"/>
      <c r="E1194" s="18" t="s">
        <v>1178</v>
      </c>
      <c r="F1194" s="18" t="str">
        <f>IFERROR(__xludf.DUMMYFUNCTION("if(REGEXMATCH(C1194,""x.com"")=TRUE,""Twitter"",if(REGEXMATCH(C1194,""facebook"")=TRUE,""Facebook"",if(REGEXMATCH(C1194,""instagram"")=TRUE,""Instagram"",if(REGEXMATCH(C1194,""youtube"")=TRUE,""Youtube"",if(REGEXMATCH(C1194,""tiktok"")=TRUE,""Tiktok"",if("&amp;"REGEXMATCH(C1194,""threads"")=TRUE,""Threads""))))))"),"Instagram")</f>
        <v>Instagram</v>
      </c>
      <c r="G1194" s="18" t="s">
        <v>2135</v>
      </c>
      <c r="H1194" s="18" t="s">
        <v>2136</v>
      </c>
      <c r="I1194" s="18" t="s">
        <v>2137</v>
      </c>
      <c r="J1194" s="18" t="s">
        <v>188</v>
      </c>
      <c r="K1194" s="18"/>
      <c r="L1194" s="15"/>
    </row>
    <row r="1195">
      <c r="A1195" s="15">
        <v>1194.0</v>
      </c>
      <c r="B1195" s="23">
        <v>45971.0</v>
      </c>
      <c r="C1195" s="30" t="s">
        <v>2153</v>
      </c>
      <c r="D1195" s="18"/>
      <c r="E1195" s="18" t="s">
        <v>401</v>
      </c>
      <c r="F1195" s="18" t="str">
        <f>IFERROR(__xludf.DUMMYFUNCTION("if(REGEXMATCH(C1195,""x.com"")=TRUE,""Twitter"",if(REGEXMATCH(C1195,""facebook"")=TRUE,""Facebook"",if(REGEXMATCH(C1195,""instagram"")=TRUE,""Instagram"",if(REGEXMATCH(C1195,""youtube"")=TRUE,""Youtube"",if(REGEXMATCH(C1195,""tiktok"")=TRUE,""Tiktok"",if("&amp;"REGEXMATCH(C1195,""threads"")=TRUE,""Threads""))))))"),"Facebook")</f>
        <v>Facebook</v>
      </c>
      <c r="G1195" s="18" t="s">
        <v>937</v>
      </c>
      <c r="H1195" s="18" t="s">
        <v>1542</v>
      </c>
      <c r="I1195" s="18" t="s">
        <v>939</v>
      </c>
      <c r="J1195" s="18" t="s">
        <v>188</v>
      </c>
      <c r="K1195" s="18"/>
      <c r="L1195" s="15"/>
    </row>
    <row r="1196">
      <c r="A1196" s="15">
        <v>1195.0</v>
      </c>
      <c r="B1196" s="23">
        <v>45971.0</v>
      </c>
      <c r="C1196" s="30" t="s">
        <v>2154</v>
      </c>
      <c r="D1196" s="18"/>
      <c r="E1196" s="18" t="s">
        <v>401</v>
      </c>
      <c r="F1196" s="18" t="str">
        <f>IFERROR(__xludf.DUMMYFUNCTION("if(REGEXMATCH(C1196,""x.com"")=TRUE,""Twitter"",if(REGEXMATCH(C1196,""facebook"")=TRUE,""Facebook"",if(REGEXMATCH(C1196,""instagram"")=TRUE,""Instagram"",if(REGEXMATCH(C1196,""youtube"")=TRUE,""Youtube"",if(REGEXMATCH(C1196,""tiktok"")=TRUE,""Tiktok"",if("&amp;"REGEXMATCH(C1196,""threads"")=TRUE,""Threads""))))))"),"Facebook")</f>
        <v>Facebook</v>
      </c>
      <c r="G1196" s="18" t="s">
        <v>937</v>
      </c>
      <c r="H1196" s="18" t="s">
        <v>1542</v>
      </c>
      <c r="I1196" s="18" t="s">
        <v>939</v>
      </c>
      <c r="J1196" s="18" t="s">
        <v>188</v>
      </c>
      <c r="K1196" s="18"/>
      <c r="L1196" s="15"/>
    </row>
    <row r="1197">
      <c r="A1197" s="15">
        <v>1196.0</v>
      </c>
      <c r="B1197" s="23">
        <v>45971.0</v>
      </c>
      <c r="C1197" s="30" t="s">
        <v>2155</v>
      </c>
      <c r="D1197" s="18"/>
      <c r="E1197" s="18" t="s">
        <v>401</v>
      </c>
      <c r="F1197" s="18" t="str">
        <f>IFERROR(__xludf.DUMMYFUNCTION("if(REGEXMATCH(C1197,""x.com"")=TRUE,""Twitter"",if(REGEXMATCH(C1197,""facebook"")=TRUE,""Facebook"",if(REGEXMATCH(C1197,""instagram"")=TRUE,""Instagram"",if(REGEXMATCH(C1197,""youtube"")=TRUE,""Youtube"",if(REGEXMATCH(C1197,""tiktok"")=TRUE,""Tiktok"",if("&amp;"REGEXMATCH(C1197,""threads"")=TRUE,""Threads""))))))"),"Facebook")</f>
        <v>Facebook</v>
      </c>
      <c r="G1197" s="18" t="s">
        <v>937</v>
      </c>
      <c r="H1197" s="18" t="s">
        <v>1542</v>
      </c>
      <c r="I1197" s="18" t="s">
        <v>939</v>
      </c>
      <c r="J1197" s="18" t="s">
        <v>188</v>
      </c>
      <c r="K1197" s="18"/>
      <c r="L1197" s="15"/>
    </row>
    <row r="1198">
      <c r="A1198" s="15">
        <v>1197.0</v>
      </c>
      <c r="B1198" s="23">
        <v>45971.0</v>
      </c>
      <c r="C1198" s="30" t="s">
        <v>2156</v>
      </c>
      <c r="D1198" s="18"/>
      <c r="E1198" s="18" t="s">
        <v>401</v>
      </c>
      <c r="F1198" s="18" t="str">
        <f>IFERROR(__xludf.DUMMYFUNCTION("if(REGEXMATCH(C1198,""x.com"")=TRUE,""Twitter"",if(REGEXMATCH(C1198,""facebook"")=TRUE,""Facebook"",if(REGEXMATCH(C1198,""instagram"")=TRUE,""Instagram"",if(REGEXMATCH(C1198,""youtube"")=TRUE,""Youtube"",if(REGEXMATCH(C1198,""tiktok"")=TRUE,""Tiktok"",if("&amp;"REGEXMATCH(C1198,""threads"")=TRUE,""Threads""))))))"),"Facebook")</f>
        <v>Facebook</v>
      </c>
      <c r="G1198" s="18" t="s">
        <v>937</v>
      </c>
      <c r="H1198" s="18" t="s">
        <v>1542</v>
      </c>
      <c r="I1198" s="18" t="s">
        <v>939</v>
      </c>
      <c r="J1198" s="18" t="s">
        <v>188</v>
      </c>
      <c r="K1198" s="18"/>
      <c r="L1198" s="15"/>
    </row>
    <row r="1199">
      <c r="A1199" s="15">
        <v>1198.0</v>
      </c>
      <c r="B1199" s="23">
        <v>45971.0</v>
      </c>
      <c r="C1199" s="30" t="s">
        <v>2157</v>
      </c>
      <c r="D1199" s="18"/>
      <c r="E1199" s="18" t="s">
        <v>401</v>
      </c>
      <c r="F1199" s="18" t="str">
        <f>IFERROR(__xludf.DUMMYFUNCTION("if(REGEXMATCH(C1199,""x.com"")=TRUE,""Twitter"",if(REGEXMATCH(C1199,""facebook"")=TRUE,""Facebook"",if(REGEXMATCH(C1199,""instagram"")=TRUE,""Instagram"",if(REGEXMATCH(C1199,""youtube"")=TRUE,""Youtube"",if(REGEXMATCH(C1199,""tiktok"")=TRUE,""Tiktok"",if("&amp;"REGEXMATCH(C1199,""threads"")=TRUE,""Threads""))))))"),"Facebook")</f>
        <v>Facebook</v>
      </c>
      <c r="G1199" s="18" t="s">
        <v>937</v>
      </c>
      <c r="H1199" s="18" t="s">
        <v>1542</v>
      </c>
      <c r="I1199" s="18" t="s">
        <v>939</v>
      </c>
      <c r="J1199" s="18" t="s">
        <v>188</v>
      </c>
      <c r="K1199" s="18"/>
      <c r="L1199" s="15"/>
    </row>
    <row r="1200">
      <c r="A1200" s="15">
        <v>1199.0</v>
      </c>
      <c r="B1200" s="23">
        <v>45971.0</v>
      </c>
      <c r="C1200" s="30" t="s">
        <v>2158</v>
      </c>
      <c r="D1200" s="18"/>
      <c r="E1200" s="18" t="s">
        <v>401</v>
      </c>
      <c r="F1200" s="18" t="str">
        <f>IFERROR(__xludf.DUMMYFUNCTION("if(REGEXMATCH(C1200,""x.com"")=TRUE,""Twitter"",if(REGEXMATCH(C1200,""facebook"")=TRUE,""Facebook"",if(REGEXMATCH(C1200,""instagram"")=TRUE,""Instagram"",if(REGEXMATCH(C1200,""youtube"")=TRUE,""Youtube"",if(REGEXMATCH(C1200,""tiktok"")=TRUE,""Tiktok"",if("&amp;"REGEXMATCH(C1200,""threads"")=TRUE,""Threads""))))))"),"Facebook")</f>
        <v>Facebook</v>
      </c>
      <c r="G1200" s="18" t="s">
        <v>937</v>
      </c>
      <c r="H1200" s="18" t="s">
        <v>1542</v>
      </c>
      <c r="I1200" s="18" t="s">
        <v>939</v>
      </c>
      <c r="J1200" s="18" t="s">
        <v>188</v>
      </c>
      <c r="K1200" s="18"/>
      <c r="L1200" s="15"/>
    </row>
    <row r="1201">
      <c r="A1201" s="15">
        <v>1200.0</v>
      </c>
      <c r="B1201" s="23">
        <v>45971.0</v>
      </c>
      <c r="C1201" s="30" t="s">
        <v>2159</v>
      </c>
      <c r="D1201" s="18"/>
      <c r="E1201" s="18" t="s">
        <v>401</v>
      </c>
      <c r="F1201" s="18" t="str">
        <f>IFERROR(__xludf.DUMMYFUNCTION("if(REGEXMATCH(C1201,""x.com"")=TRUE,""Twitter"",if(REGEXMATCH(C1201,""facebook"")=TRUE,""Facebook"",if(REGEXMATCH(C1201,""instagram"")=TRUE,""Instagram"",if(REGEXMATCH(C1201,""youtube"")=TRUE,""Youtube"",if(REGEXMATCH(C1201,""tiktok"")=TRUE,""Tiktok"",if("&amp;"REGEXMATCH(C1201,""threads"")=TRUE,""Threads""))))))"),"Facebook")</f>
        <v>Facebook</v>
      </c>
      <c r="G1201" s="18" t="s">
        <v>937</v>
      </c>
      <c r="H1201" s="18" t="s">
        <v>1542</v>
      </c>
      <c r="I1201" s="18" t="s">
        <v>939</v>
      </c>
      <c r="J1201" s="18" t="s">
        <v>188</v>
      </c>
      <c r="K1201" s="18"/>
      <c r="L1201" s="15"/>
    </row>
    <row r="1202">
      <c r="A1202" s="15">
        <v>1201.0</v>
      </c>
      <c r="B1202" s="23">
        <v>45971.0</v>
      </c>
      <c r="C1202" s="30" t="s">
        <v>2160</v>
      </c>
      <c r="D1202" s="18"/>
      <c r="E1202" s="18" t="s">
        <v>401</v>
      </c>
      <c r="F1202" s="18" t="str">
        <f>IFERROR(__xludf.DUMMYFUNCTION("if(REGEXMATCH(C1202,""x.com"")=TRUE,""Twitter"",if(REGEXMATCH(C1202,""facebook"")=TRUE,""Facebook"",if(REGEXMATCH(C1202,""instagram"")=TRUE,""Instagram"",if(REGEXMATCH(C1202,""youtube"")=TRUE,""Youtube"",if(REGEXMATCH(C1202,""tiktok"")=TRUE,""Tiktok"",if("&amp;"REGEXMATCH(C1202,""threads"")=TRUE,""Threads""))))))"),"Facebook")</f>
        <v>Facebook</v>
      </c>
      <c r="G1202" s="18" t="s">
        <v>937</v>
      </c>
      <c r="H1202" s="18" t="s">
        <v>1542</v>
      </c>
      <c r="I1202" s="18" t="s">
        <v>939</v>
      </c>
      <c r="J1202" s="18" t="s">
        <v>188</v>
      </c>
      <c r="K1202" s="18"/>
      <c r="L1202" s="15"/>
    </row>
    <row r="1203">
      <c r="A1203" s="15">
        <v>1202.0</v>
      </c>
      <c r="B1203" s="23">
        <v>45971.0</v>
      </c>
      <c r="C1203" s="27" t="s">
        <v>2161</v>
      </c>
      <c r="D1203" s="18"/>
      <c r="E1203" s="18" t="s">
        <v>2018</v>
      </c>
      <c r="F1203" s="18" t="str">
        <f>IFERROR(__xludf.DUMMYFUNCTION("if(REGEXMATCH(C1203,""x.com"")=TRUE,""Twitter"",if(REGEXMATCH(C1203,""facebook"")=TRUE,""Facebook"",if(REGEXMATCH(C1203,""instagram"")=TRUE,""Instagram"",if(REGEXMATCH(C1203,""youtube"")=TRUE,""Youtube"",if(REGEXMATCH(C1203,""tiktok"")=TRUE,""Tiktok"",if("&amp;"REGEXMATCH(C1203,""threads"")=TRUE,""Threads""))))))"),"Facebook")</f>
        <v>Facebook</v>
      </c>
      <c r="G1203" s="18" t="s">
        <v>2162</v>
      </c>
      <c r="H1203" s="18" t="s">
        <v>2023</v>
      </c>
      <c r="I1203" s="18"/>
      <c r="J1203" s="18" t="s">
        <v>188</v>
      </c>
      <c r="K1203" s="18"/>
      <c r="L1203" s="15"/>
    </row>
    <row r="1204">
      <c r="A1204" s="15">
        <v>1203.0</v>
      </c>
      <c r="B1204" s="23">
        <v>45971.0</v>
      </c>
      <c r="C1204" s="27" t="s">
        <v>2163</v>
      </c>
      <c r="D1204" s="18"/>
      <c r="E1204" s="18" t="s">
        <v>2018</v>
      </c>
      <c r="F1204" s="18" t="str">
        <f>IFERROR(__xludf.DUMMYFUNCTION("if(REGEXMATCH(C1204,""x.com"")=TRUE,""Twitter"",if(REGEXMATCH(C1204,""facebook"")=TRUE,""Facebook"",if(REGEXMATCH(C1204,""instagram"")=TRUE,""Instagram"",if(REGEXMATCH(C1204,""youtube"")=TRUE,""Youtube"",if(REGEXMATCH(C1204,""tiktok"")=TRUE,""Tiktok"",if("&amp;"REGEXMATCH(C1204,""threads"")=TRUE,""Threads""))))))"),"Facebook")</f>
        <v>Facebook</v>
      </c>
      <c r="G1204" s="18" t="s">
        <v>2164</v>
      </c>
      <c r="H1204" s="18" t="s">
        <v>2023</v>
      </c>
      <c r="I1204" s="18"/>
      <c r="J1204" s="18" t="s">
        <v>188</v>
      </c>
      <c r="K1204" s="18"/>
      <c r="L1204" s="15"/>
    </row>
    <row r="1205">
      <c r="A1205" s="15">
        <v>1204.0</v>
      </c>
      <c r="B1205" s="23">
        <v>45972.0</v>
      </c>
      <c r="C1205" s="22" t="s">
        <v>2165</v>
      </c>
      <c r="D1205" s="18"/>
      <c r="E1205" s="18" t="s">
        <v>197</v>
      </c>
      <c r="F1205" s="18" t="str">
        <f>IFERROR(__xludf.DUMMYFUNCTION("if(REGEXMATCH(C1205,""x.com"")=TRUE,""Twitter"",if(REGEXMATCH(C1205,""facebook"")=TRUE,""Facebook"",if(REGEXMATCH(C1205,""instagram"")=TRUE,""Instagram"",if(REGEXMATCH(C1205,""youtube"")=TRUE,""Youtube"",if(REGEXMATCH(C1205,""tiktok"")=TRUE,""Tiktok"",if("&amp;"REGEXMATCH(C1205,""threads"")=TRUE,""Threads""))))))"),"Tiktok")</f>
        <v>Tiktok</v>
      </c>
      <c r="G1205" s="18" t="s">
        <v>2166</v>
      </c>
      <c r="H1205" s="18" t="s">
        <v>2057</v>
      </c>
      <c r="I1205" s="18" t="s">
        <v>535</v>
      </c>
      <c r="J1205" s="18" t="s">
        <v>188</v>
      </c>
      <c r="K1205" s="18" t="s">
        <v>1611</v>
      </c>
      <c r="L1205" s="15"/>
    </row>
    <row r="1206">
      <c r="A1206" s="15">
        <v>1205.0</v>
      </c>
      <c r="B1206" s="23">
        <v>45972.0</v>
      </c>
      <c r="C1206" s="22" t="s">
        <v>2167</v>
      </c>
      <c r="D1206" s="18"/>
      <c r="E1206" s="18" t="s">
        <v>197</v>
      </c>
      <c r="F1206" s="18" t="str">
        <f>IFERROR(__xludf.DUMMYFUNCTION("if(REGEXMATCH(C1206,""x.com"")=TRUE,""Twitter"",if(REGEXMATCH(C1206,""facebook"")=TRUE,""Facebook"",if(REGEXMATCH(C1206,""instagram"")=TRUE,""Instagram"",if(REGEXMATCH(C1206,""youtube"")=TRUE,""Youtube"",if(REGEXMATCH(C1206,""tiktok"")=TRUE,""Tiktok"",if("&amp;"REGEXMATCH(C1206,""threads"")=TRUE,""Threads""))))))"),"Tiktok")</f>
        <v>Tiktok</v>
      </c>
      <c r="G1206" s="18" t="s">
        <v>2166</v>
      </c>
      <c r="H1206" s="18" t="s">
        <v>2057</v>
      </c>
      <c r="I1206" s="18" t="s">
        <v>535</v>
      </c>
      <c r="J1206" s="18" t="s">
        <v>188</v>
      </c>
      <c r="K1206" s="18" t="s">
        <v>1611</v>
      </c>
      <c r="L1206" s="15"/>
    </row>
    <row r="1207">
      <c r="A1207" s="15">
        <v>1206.0</v>
      </c>
      <c r="B1207" s="23">
        <v>45972.0</v>
      </c>
      <c r="C1207" s="22" t="s">
        <v>2168</v>
      </c>
      <c r="D1207" s="18"/>
      <c r="E1207" s="18" t="s">
        <v>197</v>
      </c>
      <c r="F1207" s="18" t="str">
        <f>IFERROR(__xludf.DUMMYFUNCTION("if(REGEXMATCH(C1207,""x.com"")=TRUE,""Twitter"",if(REGEXMATCH(C1207,""facebook"")=TRUE,""Facebook"",if(REGEXMATCH(C1207,""instagram"")=TRUE,""Instagram"",if(REGEXMATCH(C1207,""youtube"")=TRUE,""Youtube"",if(REGEXMATCH(C1207,""tiktok"")=TRUE,""Tiktok"",if("&amp;"REGEXMATCH(C1207,""threads"")=TRUE,""Threads""))))))"),"Tiktok")</f>
        <v>Tiktok</v>
      </c>
      <c r="G1207" s="18" t="s">
        <v>2166</v>
      </c>
      <c r="H1207" s="18" t="s">
        <v>2057</v>
      </c>
      <c r="I1207" s="18" t="s">
        <v>535</v>
      </c>
      <c r="J1207" s="18" t="s">
        <v>188</v>
      </c>
      <c r="K1207" s="18" t="s">
        <v>1611</v>
      </c>
      <c r="L1207" s="15"/>
    </row>
    <row r="1208">
      <c r="A1208" s="15">
        <v>1207.0</v>
      </c>
      <c r="B1208" s="23">
        <v>45972.0</v>
      </c>
      <c r="C1208" s="22" t="s">
        <v>2169</v>
      </c>
      <c r="D1208" s="18"/>
      <c r="E1208" s="18" t="s">
        <v>197</v>
      </c>
      <c r="F1208" s="18" t="str">
        <f>IFERROR(__xludf.DUMMYFUNCTION("if(REGEXMATCH(C1208,""x.com"")=TRUE,""Twitter"",if(REGEXMATCH(C1208,""facebook"")=TRUE,""Facebook"",if(REGEXMATCH(C1208,""instagram"")=TRUE,""Instagram"",if(REGEXMATCH(C1208,""youtube"")=TRUE,""Youtube"",if(REGEXMATCH(C1208,""tiktok"")=TRUE,""Tiktok"",if("&amp;"REGEXMATCH(C1208,""threads"")=TRUE,""Threads""))))))"),"Tiktok")</f>
        <v>Tiktok</v>
      </c>
      <c r="G1208" s="18" t="s">
        <v>2166</v>
      </c>
      <c r="H1208" s="18" t="s">
        <v>2057</v>
      </c>
      <c r="I1208" s="18" t="s">
        <v>535</v>
      </c>
      <c r="J1208" s="18" t="s">
        <v>188</v>
      </c>
      <c r="K1208" s="18" t="s">
        <v>1611</v>
      </c>
      <c r="L1208" s="15"/>
    </row>
    <row r="1209">
      <c r="A1209" s="15">
        <v>1208.0</v>
      </c>
      <c r="B1209" s="23">
        <v>45972.0</v>
      </c>
      <c r="C1209" s="22" t="s">
        <v>2170</v>
      </c>
      <c r="D1209" s="18"/>
      <c r="E1209" s="18" t="s">
        <v>197</v>
      </c>
      <c r="F1209" s="18" t="str">
        <f>IFERROR(__xludf.DUMMYFUNCTION("if(REGEXMATCH(C1209,""x.com"")=TRUE,""Twitter"",if(REGEXMATCH(C1209,""facebook"")=TRUE,""Facebook"",if(REGEXMATCH(C1209,""instagram"")=TRUE,""Instagram"",if(REGEXMATCH(C1209,""youtube"")=TRUE,""Youtube"",if(REGEXMATCH(C1209,""tiktok"")=TRUE,""Tiktok"",if("&amp;"REGEXMATCH(C1209,""threads"")=TRUE,""Threads""))))))"),"Tiktok")</f>
        <v>Tiktok</v>
      </c>
      <c r="G1209" s="18" t="s">
        <v>2166</v>
      </c>
      <c r="H1209" s="18" t="s">
        <v>2057</v>
      </c>
      <c r="I1209" s="18" t="s">
        <v>535</v>
      </c>
      <c r="J1209" s="18" t="s">
        <v>188</v>
      </c>
      <c r="K1209" s="18" t="s">
        <v>1611</v>
      </c>
      <c r="L1209" s="15"/>
    </row>
    <row r="1210">
      <c r="A1210" s="15">
        <v>1209.0</v>
      </c>
      <c r="B1210" s="23">
        <v>45972.0</v>
      </c>
      <c r="C1210" s="22" t="s">
        <v>2171</v>
      </c>
      <c r="D1210" s="18"/>
      <c r="E1210" s="18" t="s">
        <v>197</v>
      </c>
      <c r="F1210" s="18" t="str">
        <f>IFERROR(__xludf.DUMMYFUNCTION("if(REGEXMATCH(C1210,""x.com"")=TRUE,""Twitter"",if(REGEXMATCH(C1210,""facebook"")=TRUE,""Facebook"",if(REGEXMATCH(C1210,""instagram"")=TRUE,""Instagram"",if(REGEXMATCH(C1210,""youtube"")=TRUE,""Youtube"",if(REGEXMATCH(C1210,""tiktok"")=TRUE,""Tiktok"",if("&amp;"REGEXMATCH(C1210,""threads"")=TRUE,""Threads""))))))"),"Facebook")</f>
        <v>Facebook</v>
      </c>
      <c r="G1210" s="18" t="s">
        <v>2172</v>
      </c>
      <c r="H1210" s="18" t="s">
        <v>2057</v>
      </c>
      <c r="I1210" s="18" t="s">
        <v>535</v>
      </c>
      <c r="J1210" s="18" t="s">
        <v>188</v>
      </c>
      <c r="K1210" s="18" t="s">
        <v>1611</v>
      </c>
      <c r="L1210" s="15"/>
    </row>
    <row r="1211">
      <c r="A1211" s="15">
        <v>1210.0</v>
      </c>
      <c r="B1211" s="23">
        <v>45972.0</v>
      </c>
      <c r="C1211" s="22" t="s">
        <v>2173</v>
      </c>
      <c r="D1211" s="18"/>
      <c r="E1211" s="18" t="s">
        <v>197</v>
      </c>
      <c r="F1211" s="18" t="str">
        <f>IFERROR(__xludf.DUMMYFUNCTION("if(REGEXMATCH(C1211,""x.com"")=TRUE,""Twitter"",if(REGEXMATCH(C1211,""facebook"")=TRUE,""Facebook"",if(REGEXMATCH(C1211,""instagram"")=TRUE,""Instagram"",if(REGEXMATCH(C1211,""youtube"")=TRUE,""Youtube"",if(REGEXMATCH(C1211,""tiktok"")=TRUE,""Tiktok"",if("&amp;"REGEXMATCH(C1211,""threads"")=TRUE,""Threads""))))))"),"Facebook")</f>
        <v>Facebook</v>
      </c>
      <c r="G1211" s="18" t="s">
        <v>2172</v>
      </c>
      <c r="H1211" s="18" t="s">
        <v>2057</v>
      </c>
      <c r="I1211" s="18" t="s">
        <v>535</v>
      </c>
      <c r="J1211" s="18" t="s">
        <v>188</v>
      </c>
      <c r="K1211" s="18" t="s">
        <v>1611</v>
      </c>
      <c r="L1211" s="15"/>
    </row>
    <row r="1212">
      <c r="A1212" s="15">
        <v>1211.0</v>
      </c>
      <c r="B1212" s="23">
        <v>45972.0</v>
      </c>
      <c r="C1212" s="22" t="s">
        <v>2174</v>
      </c>
      <c r="D1212" s="18"/>
      <c r="E1212" s="18" t="s">
        <v>197</v>
      </c>
      <c r="F1212" s="18" t="str">
        <f>IFERROR(__xludf.DUMMYFUNCTION("if(REGEXMATCH(C1212,""x.com"")=TRUE,""Twitter"",if(REGEXMATCH(C1212,""facebook"")=TRUE,""Facebook"",if(REGEXMATCH(C1212,""instagram"")=TRUE,""Instagram"",if(REGEXMATCH(C1212,""youtube"")=TRUE,""Youtube"",if(REGEXMATCH(C1212,""tiktok"")=TRUE,""Tiktok"",if("&amp;"REGEXMATCH(C1212,""threads"")=TRUE,""Threads""))))))"),"Facebook")</f>
        <v>Facebook</v>
      </c>
      <c r="G1212" s="18" t="s">
        <v>2172</v>
      </c>
      <c r="H1212" s="18" t="s">
        <v>2057</v>
      </c>
      <c r="I1212" s="18" t="s">
        <v>535</v>
      </c>
      <c r="J1212" s="18" t="s">
        <v>188</v>
      </c>
      <c r="K1212" s="18" t="s">
        <v>1611</v>
      </c>
      <c r="L1212" s="15"/>
    </row>
    <row r="1213">
      <c r="A1213" s="15">
        <v>1212.0</v>
      </c>
      <c r="B1213" s="23">
        <v>45972.0</v>
      </c>
      <c r="C1213" s="22" t="s">
        <v>2175</v>
      </c>
      <c r="D1213" s="18"/>
      <c r="E1213" s="18" t="s">
        <v>197</v>
      </c>
      <c r="F1213" s="18" t="str">
        <f>IFERROR(__xludf.DUMMYFUNCTION("if(REGEXMATCH(C1213,""x.com"")=TRUE,""Twitter"",if(REGEXMATCH(C1213,""facebook"")=TRUE,""Facebook"",if(REGEXMATCH(C1213,""instagram"")=TRUE,""Instagram"",if(REGEXMATCH(C1213,""youtube"")=TRUE,""Youtube"",if(REGEXMATCH(C1213,""tiktok"")=TRUE,""Tiktok"",if("&amp;"REGEXMATCH(C1213,""threads"")=TRUE,""Threads""))))))"),"Facebook")</f>
        <v>Facebook</v>
      </c>
      <c r="G1213" s="18" t="s">
        <v>2172</v>
      </c>
      <c r="H1213" s="18" t="s">
        <v>2057</v>
      </c>
      <c r="I1213" s="18" t="s">
        <v>535</v>
      </c>
      <c r="J1213" s="18" t="s">
        <v>188</v>
      </c>
      <c r="K1213" s="18"/>
      <c r="L1213" s="15"/>
    </row>
    <row r="1214">
      <c r="A1214" s="15">
        <v>1213.0</v>
      </c>
      <c r="B1214" s="23">
        <v>45972.0</v>
      </c>
      <c r="C1214" s="22" t="s">
        <v>2176</v>
      </c>
      <c r="D1214" s="18"/>
      <c r="E1214" s="18" t="s">
        <v>197</v>
      </c>
      <c r="F1214" s="18" t="str">
        <f>IFERROR(__xludf.DUMMYFUNCTION("if(REGEXMATCH(C1214,""x.com"")=TRUE,""Twitter"",if(REGEXMATCH(C1214,""facebook"")=TRUE,""Facebook"",if(REGEXMATCH(C1214,""instagram"")=TRUE,""Instagram"",if(REGEXMATCH(C1214,""youtube"")=TRUE,""Youtube"",if(REGEXMATCH(C1214,""tiktok"")=TRUE,""Tiktok"",if("&amp;"REGEXMATCH(C1214,""threads"")=TRUE,""Threads""))))))"),"Facebook")</f>
        <v>Facebook</v>
      </c>
      <c r="G1214" s="18" t="s">
        <v>2172</v>
      </c>
      <c r="H1214" s="18" t="s">
        <v>2057</v>
      </c>
      <c r="I1214" s="18" t="s">
        <v>535</v>
      </c>
      <c r="J1214" s="18" t="s">
        <v>188</v>
      </c>
      <c r="K1214" s="18"/>
      <c r="L1214" s="15"/>
    </row>
    <row r="1215">
      <c r="A1215" s="15">
        <v>1214.0</v>
      </c>
      <c r="B1215" s="23">
        <v>45972.0</v>
      </c>
      <c r="C1215" s="22" t="s">
        <v>2177</v>
      </c>
      <c r="D1215" s="18"/>
      <c r="E1215" s="18" t="s">
        <v>197</v>
      </c>
      <c r="F1215" s="18" t="str">
        <f>IFERROR(__xludf.DUMMYFUNCTION("if(REGEXMATCH(C1215,""x.com"")=TRUE,""Twitter"",if(REGEXMATCH(C1215,""facebook"")=TRUE,""Facebook"",if(REGEXMATCH(C1215,""instagram"")=TRUE,""Instagram"",if(REGEXMATCH(C1215,""youtube"")=TRUE,""Youtube"",if(REGEXMATCH(C1215,""tiktok"")=TRUE,""Tiktok"",if("&amp;"REGEXMATCH(C1215,""threads"")=TRUE,""Threads""))))))"),"Facebook")</f>
        <v>Facebook</v>
      </c>
      <c r="G1215" s="18" t="s">
        <v>2172</v>
      </c>
      <c r="H1215" s="18" t="s">
        <v>2057</v>
      </c>
      <c r="I1215" s="18" t="s">
        <v>535</v>
      </c>
      <c r="J1215" s="18" t="s">
        <v>188</v>
      </c>
      <c r="K1215" s="18"/>
      <c r="L1215" s="15"/>
    </row>
    <row r="1216">
      <c r="A1216" s="15">
        <v>1215.0</v>
      </c>
      <c r="B1216" s="23">
        <v>45972.0</v>
      </c>
      <c r="C1216" s="27" t="s">
        <v>2178</v>
      </c>
      <c r="D1216" s="18"/>
      <c r="E1216" s="18" t="s">
        <v>2018</v>
      </c>
      <c r="F1216" s="18" t="str">
        <f>IFERROR(__xludf.DUMMYFUNCTION("if(REGEXMATCH(C1216,""x.com"")=TRUE,""Twitter"",if(REGEXMATCH(C1216,""facebook"")=TRUE,""Facebook"",if(REGEXMATCH(C1216,""instagram"")=TRUE,""Instagram"",if(REGEXMATCH(C1216,""youtube"")=TRUE,""Youtube"",if(REGEXMATCH(C1216,""tiktok"")=TRUE,""Tiktok"",if("&amp;"REGEXMATCH(C1216,""threads"")=TRUE,""Threads""))))))"),"Facebook")</f>
        <v>Facebook</v>
      </c>
      <c r="G1216" s="27" t="s">
        <v>2179</v>
      </c>
      <c r="H1216" s="18" t="s">
        <v>2023</v>
      </c>
      <c r="I1216" s="18"/>
      <c r="J1216" s="18" t="s">
        <v>188</v>
      </c>
      <c r="K1216" s="18"/>
      <c r="L1216" s="15"/>
    </row>
    <row r="1217">
      <c r="A1217" s="15">
        <v>1216.0</v>
      </c>
      <c r="B1217" s="23">
        <v>45972.0</v>
      </c>
      <c r="C1217" s="27" t="s">
        <v>2180</v>
      </c>
      <c r="D1217" s="18"/>
      <c r="E1217" s="18" t="s">
        <v>2018</v>
      </c>
      <c r="F1217" s="18" t="str">
        <f>IFERROR(__xludf.DUMMYFUNCTION("if(REGEXMATCH(C1217,""x.com"")=TRUE,""Twitter"",if(REGEXMATCH(C1217,""facebook"")=TRUE,""Facebook"",if(REGEXMATCH(C1217,""instagram"")=TRUE,""Instagram"",if(REGEXMATCH(C1217,""youtube"")=TRUE,""Youtube"",if(REGEXMATCH(C1217,""tiktok"")=TRUE,""Tiktok"",if("&amp;"REGEXMATCH(C1217,""threads"")=TRUE,""Threads""))))))"),"Facebook")</f>
        <v>Facebook</v>
      </c>
      <c r="G1217" s="18" t="s">
        <v>2181</v>
      </c>
      <c r="H1217" s="18" t="s">
        <v>2023</v>
      </c>
      <c r="I1217" s="18"/>
      <c r="J1217" s="18" t="s">
        <v>188</v>
      </c>
      <c r="K1217" s="18"/>
      <c r="L1217" s="15"/>
    </row>
    <row r="1218">
      <c r="A1218" s="15">
        <v>1217.0</v>
      </c>
      <c r="B1218" s="23">
        <v>45973.0</v>
      </c>
      <c r="C1218" s="22" t="s">
        <v>2182</v>
      </c>
      <c r="D1218" s="18"/>
      <c r="E1218" s="18" t="s">
        <v>197</v>
      </c>
      <c r="F1218" s="18" t="str">
        <f>IFERROR(__xludf.DUMMYFUNCTION("if(REGEXMATCH(C1218,""x.com"")=TRUE,""Twitter"",if(REGEXMATCH(C1218,""facebook"")=TRUE,""Facebook"",if(REGEXMATCH(C1218,""instagram"")=TRUE,""Instagram"",if(REGEXMATCH(C1218,""youtube"")=TRUE,""Youtube"",if(REGEXMATCH(C1218,""tiktok"")=TRUE,""Tiktok"",if("&amp;"REGEXMATCH(C1218,""threads"")=TRUE,""Threads""))))))"),"Tiktok")</f>
        <v>Tiktok</v>
      </c>
      <c r="G1218" s="18" t="s">
        <v>2183</v>
      </c>
      <c r="H1218" s="34" t="s">
        <v>2006</v>
      </c>
      <c r="I1218" s="34" t="s">
        <v>535</v>
      </c>
      <c r="J1218" s="18" t="s">
        <v>188</v>
      </c>
      <c r="K1218" s="18"/>
      <c r="L1218" s="15"/>
    </row>
    <row r="1219">
      <c r="A1219" s="15">
        <v>1218.0</v>
      </c>
      <c r="B1219" s="23">
        <v>45973.0</v>
      </c>
      <c r="C1219" s="22" t="s">
        <v>2184</v>
      </c>
      <c r="D1219" s="18"/>
      <c r="E1219" s="18" t="s">
        <v>197</v>
      </c>
      <c r="F1219" s="18" t="str">
        <f>IFERROR(__xludf.DUMMYFUNCTION("if(REGEXMATCH(C1219,""x.com"")=TRUE,""Twitter"",if(REGEXMATCH(C1219,""facebook"")=TRUE,""Facebook"",if(REGEXMATCH(C1219,""instagram"")=TRUE,""Instagram"",if(REGEXMATCH(C1219,""youtube"")=TRUE,""Youtube"",if(REGEXMATCH(C1219,""tiktok"")=TRUE,""Tiktok"",if("&amp;"REGEXMATCH(C1219,""threads"")=TRUE,""Threads""))))))"),"Tiktok")</f>
        <v>Tiktok</v>
      </c>
      <c r="G1219" s="18" t="s">
        <v>2183</v>
      </c>
      <c r="H1219" s="36"/>
      <c r="I1219" s="36"/>
      <c r="J1219" s="18" t="s">
        <v>188</v>
      </c>
      <c r="K1219" s="18"/>
      <c r="L1219" s="15"/>
    </row>
    <row r="1220">
      <c r="A1220" s="15">
        <v>1219.0</v>
      </c>
      <c r="B1220" s="23">
        <v>45973.0</v>
      </c>
      <c r="C1220" s="22" t="s">
        <v>2185</v>
      </c>
      <c r="D1220" s="18"/>
      <c r="E1220" s="18" t="s">
        <v>197</v>
      </c>
      <c r="F1220" s="18" t="str">
        <f>IFERROR(__xludf.DUMMYFUNCTION("if(REGEXMATCH(C1220,""x.com"")=TRUE,""Twitter"",if(REGEXMATCH(C1220,""facebook"")=TRUE,""Facebook"",if(REGEXMATCH(C1220,""instagram"")=TRUE,""Instagram"",if(REGEXMATCH(C1220,""youtube"")=TRUE,""Youtube"",if(REGEXMATCH(C1220,""tiktok"")=TRUE,""Tiktok"",if("&amp;"REGEXMATCH(C1220,""threads"")=TRUE,""Threads""))))))"),"Tiktok")</f>
        <v>Tiktok</v>
      </c>
      <c r="G1220" s="18" t="s">
        <v>2183</v>
      </c>
      <c r="H1220" s="36"/>
      <c r="I1220" s="36"/>
      <c r="J1220" s="18" t="s">
        <v>188</v>
      </c>
      <c r="K1220" s="18"/>
      <c r="L1220" s="15"/>
    </row>
    <row r="1221">
      <c r="A1221" s="15">
        <v>1220.0</v>
      </c>
      <c r="B1221" s="23">
        <v>45973.0</v>
      </c>
      <c r="C1221" s="22" t="s">
        <v>2186</v>
      </c>
      <c r="D1221" s="18"/>
      <c r="E1221" s="18" t="s">
        <v>197</v>
      </c>
      <c r="F1221" s="18" t="str">
        <f>IFERROR(__xludf.DUMMYFUNCTION("if(REGEXMATCH(C1221,""x.com"")=TRUE,""Twitter"",if(REGEXMATCH(C1221,""facebook"")=TRUE,""Facebook"",if(REGEXMATCH(C1221,""instagram"")=TRUE,""Instagram"",if(REGEXMATCH(C1221,""youtube"")=TRUE,""Youtube"",if(REGEXMATCH(C1221,""tiktok"")=TRUE,""Tiktok"",if("&amp;"REGEXMATCH(C1221,""threads"")=TRUE,""Threads""))))))"),"Tiktok")</f>
        <v>Tiktok</v>
      </c>
      <c r="G1221" s="18" t="s">
        <v>2183</v>
      </c>
      <c r="H1221" s="36"/>
      <c r="I1221" s="36"/>
      <c r="J1221" s="18" t="s">
        <v>188</v>
      </c>
      <c r="K1221" s="18"/>
      <c r="L1221" s="15"/>
    </row>
    <row r="1222">
      <c r="A1222" s="15">
        <v>1221.0</v>
      </c>
      <c r="B1222" s="23">
        <v>45973.0</v>
      </c>
      <c r="C1222" s="22" t="s">
        <v>2187</v>
      </c>
      <c r="D1222" s="18"/>
      <c r="E1222" s="18" t="s">
        <v>197</v>
      </c>
      <c r="F1222" s="18" t="str">
        <f>IFERROR(__xludf.DUMMYFUNCTION("if(REGEXMATCH(C1222,""x.com"")=TRUE,""Twitter"",if(REGEXMATCH(C1222,""facebook"")=TRUE,""Facebook"",if(REGEXMATCH(C1222,""instagram"")=TRUE,""Instagram"",if(REGEXMATCH(C1222,""youtube"")=TRUE,""Youtube"",if(REGEXMATCH(C1222,""tiktok"")=TRUE,""Tiktok"",if("&amp;"REGEXMATCH(C1222,""threads"")=TRUE,""Threads""))))))"),"Tiktok")</f>
        <v>Tiktok</v>
      </c>
      <c r="G1222" s="18" t="s">
        <v>2183</v>
      </c>
      <c r="H1222" s="36"/>
      <c r="I1222" s="36"/>
      <c r="J1222" s="18" t="s">
        <v>188</v>
      </c>
      <c r="K1222" s="18"/>
      <c r="L1222" s="15"/>
    </row>
    <row r="1223">
      <c r="A1223" s="15">
        <v>1222.0</v>
      </c>
      <c r="B1223" s="23">
        <v>45973.0</v>
      </c>
      <c r="C1223" s="22" t="s">
        <v>2188</v>
      </c>
      <c r="D1223" s="18"/>
      <c r="E1223" s="18" t="s">
        <v>197</v>
      </c>
      <c r="F1223" s="18" t="str">
        <f>IFERROR(__xludf.DUMMYFUNCTION("if(REGEXMATCH(C1223,""x.com"")=TRUE,""Twitter"",if(REGEXMATCH(C1223,""facebook"")=TRUE,""Facebook"",if(REGEXMATCH(C1223,""instagram"")=TRUE,""Instagram"",if(REGEXMATCH(C1223,""youtube"")=TRUE,""Youtube"",if(REGEXMATCH(C1223,""tiktok"")=TRUE,""Tiktok"",if("&amp;"REGEXMATCH(C1223,""threads"")=TRUE,""Threads""))))))"),"Facebook")</f>
        <v>Facebook</v>
      </c>
      <c r="G1223" s="18" t="s">
        <v>2189</v>
      </c>
      <c r="H1223" s="36"/>
      <c r="I1223" s="36"/>
      <c r="J1223" s="18" t="s">
        <v>188</v>
      </c>
      <c r="K1223" s="18"/>
      <c r="L1223" s="15"/>
    </row>
    <row r="1224">
      <c r="A1224" s="15">
        <v>1223.0</v>
      </c>
      <c r="B1224" s="23">
        <v>45973.0</v>
      </c>
      <c r="C1224" s="22" t="s">
        <v>2190</v>
      </c>
      <c r="D1224" s="18"/>
      <c r="E1224" s="18" t="s">
        <v>197</v>
      </c>
      <c r="F1224" s="18" t="str">
        <f>IFERROR(__xludf.DUMMYFUNCTION("if(REGEXMATCH(C1224,""x.com"")=TRUE,""Twitter"",if(REGEXMATCH(C1224,""facebook"")=TRUE,""Facebook"",if(REGEXMATCH(C1224,""instagram"")=TRUE,""Instagram"",if(REGEXMATCH(C1224,""youtube"")=TRUE,""Youtube"",if(REGEXMATCH(C1224,""tiktok"")=TRUE,""Tiktok"",if("&amp;"REGEXMATCH(C1224,""threads"")=TRUE,""Threads""))))))"),"Facebook")</f>
        <v>Facebook</v>
      </c>
      <c r="G1224" s="18" t="s">
        <v>2189</v>
      </c>
      <c r="H1224" s="36"/>
      <c r="I1224" s="36"/>
      <c r="J1224" s="18" t="s">
        <v>188</v>
      </c>
      <c r="K1224" s="18"/>
      <c r="L1224" s="15"/>
    </row>
    <row r="1225">
      <c r="A1225" s="15">
        <v>1224.0</v>
      </c>
      <c r="B1225" s="23">
        <v>45973.0</v>
      </c>
      <c r="C1225" s="22" t="s">
        <v>2191</v>
      </c>
      <c r="D1225" s="18"/>
      <c r="E1225" s="18" t="s">
        <v>197</v>
      </c>
      <c r="F1225" s="18" t="str">
        <f>IFERROR(__xludf.DUMMYFUNCTION("if(REGEXMATCH(C1225,""x.com"")=TRUE,""Twitter"",if(REGEXMATCH(C1225,""facebook"")=TRUE,""Facebook"",if(REGEXMATCH(C1225,""instagram"")=TRUE,""Instagram"",if(REGEXMATCH(C1225,""youtube"")=TRUE,""Youtube"",if(REGEXMATCH(C1225,""tiktok"")=TRUE,""Tiktok"",if("&amp;"REGEXMATCH(C1225,""threads"")=TRUE,""Threads""))))))"),"Facebook")</f>
        <v>Facebook</v>
      </c>
      <c r="G1225" s="18" t="s">
        <v>2192</v>
      </c>
      <c r="H1225" s="36"/>
      <c r="I1225" s="36"/>
      <c r="J1225" s="18" t="s">
        <v>188</v>
      </c>
      <c r="K1225" s="18"/>
      <c r="L1225" s="15"/>
    </row>
    <row r="1226">
      <c r="A1226" s="15">
        <v>1225.0</v>
      </c>
      <c r="B1226" s="23">
        <v>45973.0</v>
      </c>
      <c r="C1226" s="22" t="s">
        <v>2193</v>
      </c>
      <c r="D1226" s="18"/>
      <c r="E1226" s="18" t="s">
        <v>197</v>
      </c>
      <c r="F1226" s="18" t="str">
        <f>IFERROR(__xludf.DUMMYFUNCTION("if(REGEXMATCH(C1226,""x.com"")=TRUE,""Twitter"",if(REGEXMATCH(C1226,""facebook"")=TRUE,""Facebook"",if(REGEXMATCH(C1226,""instagram"")=TRUE,""Instagram"",if(REGEXMATCH(C1226,""youtube"")=TRUE,""Youtube"",if(REGEXMATCH(C1226,""tiktok"")=TRUE,""Tiktok"",if("&amp;"REGEXMATCH(C1226,""threads"")=TRUE,""Threads""))))))"),"Facebook")</f>
        <v>Facebook</v>
      </c>
      <c r="G1226" s="18" t="s">
        <v>2194</v>
      </c>
      <c r="H1226" s="36"/>
      <c r="I1226" s="36"/>
      <c r="J1226" s="18" t="s">
        <v>188</v>
      </c>
      <c r="K1226" s="18"/>
      <c r="L1226" s="15"/>
    </row>
    <row r="1227">
      <c r="A1227" s="15">
        <v>1226.0</v>
      </c>
      <c r="B1227" s="23">
        <v>45973.0</v>
      </c>
      <c r="C1227" s="22" t="s">
        <v>2195</v>
      </c>
      <c r="D1227" s="18"/>
      <c r="E1227" s="18" t="s">
        <v>197</v>
      </c>
      <c r="F1227" s="18" t="str">
        <f>IFERROR(__xludf.DUMMYFUNCTION("if(REGEXMATCH(C1227,""x.com"")=TRUE,""Twitter"",if(REGEXMATCH(C1227,""facebook"")=TRUE,""Facebook"",if(REGEXMATCH(C1227,""instagram"")=TRUE,""Instagram"",if(REGEXMATCH(C1227,""youtube"")=TRUE,""Youtube"",if(REGEXMATCH(C1227,""tiktok"")=TRUE,""Tiktok"",if("&amp;"REGEXMATCH(C1227,""threads"")=TRUE,""Threads""))))))"),"Facebook")</f>
        <v>Facebook</v>
      </c>
      <c r="G1227" s="18" t="s">
        <v>2196</v>
      </c>
      <c r="H1227" s="35"/>
      <c r="I1227" s="35"/>
      <c r="J1227" s="18" t="s">
        <v>188</v>
      </c>
      <c r="K1227" s="18"/>
      <c r="L1227" s="15"/>
    </row>
    <row r="1228">
      <c r="A1228" s="15">
        <v>1227.0</v>
      </c>
      <c r="B1228" s="23">
        <v>45973.0</v>
      </c>
      <c r="C1228" s="38" t="s">
        <v>2197</v>
      </c>
      <c r="D1228" s="18"/>
      <c r="E1228" s="18" t="s">
        <v>1178</v>
      </c>
      <c r="F1228" s="18" t="str">
        <f>IFERROR(__xludf.DUMMYFUNCTION("if(REGEXMATCH(C1228,""x.com"")=TRUE,""Twitter"",if(REGEXMATCH(C1228,""facebook"")=TRUE,""Facebook"",if(REGEXMATCH(C1228,""instagram"")=TRUE,""Instagram"",if(REGEXMATCH(C1228,""youtube"")=TRUE,""Youtube"",if(REGEXMATCH(C1228,""tiktok"")=TRUE,""Tiktok"",if("&amp;"REGEXMATCH(C1228,""threads"")=TRUE,""Threads""))))))"),"Facebook")</f>
        <v>Facebook</v>
      </c>
      <c r="G1228" s="18" t="s">
        <v>2135</v>
      </c>
      <c r="H1228" s="18" t="s">
        <v>2136</v>
      </c>
      <c r="I1228" s="18" t="s">
        <v>2137</v>
      </c>
      <c r="J1228" s="18" t="s">
        <v>188</v>
      </c>
      <c r="K1228" s="18"/>
      <c r="L1228" s="15"/>
    </row>
    <row r="1229">
      <c r="A1229" s="15">
        <v>1228.0</v>
      </c>
      <c r="B1229" s="23">
        <v>45973.0</v>
      </c>
      <c r="C1229" s="38" t="s">
        <v>2198</v>
      </c>
      <c r="D1229" s="18"/>
      <c r="E1229" s="18" t="s">
        <v>1178</v>
      </c>
      <c r="F1229" s="18" t="str">
        <f>IFERROR(__xludf.DUMMYFUNCTION("if(REGEXMATCH(C1229,""x.com"")=TRUE,""Twitter"",if(REGEXMATCH(C1229,""facebook"")=TRUE,""Facebook"",if(REGEXMATCH(C1229,""instagram"")=TRUE,""Instagram"",if(REGEXMATCH(C1229,""youtube"")=TRUE,""Youtube"",if(REGEXMATCH(C1229,""tiktok"")=TRUE,""Tiktok"",if("&amp;"REGEXMATCH(C1229,""threads"")=TRUE,""Threads""))))))"),"Facebook")</f>
        <v>Facebook</v>
      </c>
      <c r="G1229" s="18" t="s">
        <v>2135</v>
      </c>
      <c r="H1229" s="18" t="s">
        <v>2136</v>
      </c>
      <c r="I1229" s="18" t="s">
        <v>2137</v>
      </c>
      <c r="J1229" s="18" t="s">
        <v>188</v>
      </c>
      <c r="K1229" s="18"/>
      <c r="L1229" s="15"/>
    </row>
    <row r="1230">
      <c r="A1230" s="15">
        <v>1229.0</v>
      </c>
      <c r="B1230" s="23">
        <v>45973.0</v>
      </c>
      <c r="C1230" s="38" t="s">
        <v>2199</v>
      </c>
      <c r="D1230" s="18"/>
      <c r="E1230" s="18" t="s">
        <v>1178</v>
      </c>
      <c r="F1230" s="18" t="str">
        <f>IFERROR(__xludf.DUMMYFUNCTION("if(REGEXMATCH(C1230,""x.com"")=TRUE,""Twitter"",if(REGEXMATCH(C1230,""facebook"")=TRUE,""Facebook"",if(REGEXMATCH(C1230,""instagram"")=TRUE,""Instagram"",if(REGEXMATCH(C1230,""youtube"")=TRUE,""Youtube"",if(REGEXMATCH(C1230,""tiktok"")=TRUE,""Tiktok"",if("&amp;"REGEXMATCH(C1230,""threads"")=TRUE,""Threads""))))))"),"Facebook")</f>
        <v>Facebook</v>
      </c>
      <c r="G1230" s="18" t="s">
        <v>2135</v>
      </c>
      <c r="H1230" s="18" t="s">
        <v>2136</v>
      </c>
      <c r="I1230" s="18" t="s">
        <v>2137</v>
      </c>
      <c r="J1230" s="18" t="s">
        <v>188</v>
      </c>
      <c r="K1230" s="18"/>
      <c r="L1230" s="15"/>
    </row>
    <row r="1231">
      <c r="A1231" s="15">
        <v>1230.0</v>
      </c>
      <c r="B1231" s="23">
        <v>45973.0</v>
      </c>
      <c r="C1231" s="38" t="s">
        <v>2200</v>
      </c>
      <c r="D1231" s="18"/>
      <c r="E1231" s="18" t="s">
        <v>401</v>
      </c>
      <c r="F1231" s="18" t="str">
        <f>IFERROR(__xludf.DUMMYFUNCTION("if(REGEXMATCH(C1231,""x.com"")=TRUE,""Twitter"",if(REGEXMATCH(C1231,""facebook"")=TRUE,""Facebook"",if(REGEXMATCH(C1231,""instagram"")=TRUE,""Instagram"",if(REGEXMATCH(C1231,""youtube"")=TRUE,""Youtube"",if(REGEXMATCH(C1231,""tiktok"")=TRUE,""Tiktok"",if("&amp;"REGEXMATCH(C1231,""threads"")=TRUE,""Threads""))))))"),"Facebook")</f>
        <v>Facebook</v>
      </c>
      <c r="G1231" s="18" t="s">
        <v>937</v>
      </c>
      <c r="H1231" s="18" t="s">
        <v>1542</v>
      </c>
      <c r="I1231" s="18" t="s">
        <v>939</v>
      </c>
      <c r="J1231" s="18" t="s">
        <v>188</v>
      </c>
      <c r="K1231" s="18"/>
      <c r="L1231" s="15"/>
    </row>
    <row r="1232">
      <c r="A1232" s="15">
        <v>1231.0</v>
      </c>
      <c r="B1232" s="23">
        <v>45973.0</v>
      </c>
      <c r="C1232" s="38" t="s">
        <v>2201</v>
      </c>
      <c r="D1232" s="18"/>
      <c r="E1232" s="18" t="s">
        <v>1178</v>
      </c>
      <c r="F1232" s="18" t="str">
        <f>IFERROR(__xludf.DUMMYFUNCTION("if(REGEXMATCH(C1232,""x.com"")=TRUE,""Twitter"",if(REGEXMATCH(C1232,""facebook"")=TRUE,""Facebook"",if(REGEXMATCH(C1232,""instagram"")=TRUE,""Instagram"",if(REGEXMATCH(C1232,""youtube"")=TRUE,""Youtube"",if(REGEXMATCH(C1232,""tiktok"")=TRUE,""Tiktok"",if("&amp;"REGEXMATCH(C1232,""threads"")=TRUE,""Threads""))))))"),"Tiktok")</f>
        <v>Tiktok</v>
      </c>
      <c r="G1232" s="18" t="s">
        <v>2135</v>
      </c>
      <c r="H1232" s="18" t="s">
        <v>2136</v>
      </c>
      <c r="I1232" s="18" t="s">
        <v>2137</v>
      </c>
      <c r="J1232" s="18" t="s">
        <v>188</v>
      </c>
      <c r="K1232" s="18"/>
      <c r="L1232" s="15"/>
    </row>
    <row r="1233">
      <c r="A1233" s="15">
        <v>1232.0</v>
      </c>
      <c r="B1233" s="23">
        <v>45973.0</v>
      </c>
      <c r="C1233" s="38" t="s">
        <v>2202</v>
      </c>
      <c r="D1233" s="18"/>
      <c r="E1233" s="18" t="s">
        <v>1178</v>
      </c>
      <c r="F1233" s="18" t="str">
        <f>IFERROR(__xludf.DUMMYFUNCTION("if(REGEXMATCH(C1233,""x.com"")=TRUE,""Twitter"",if(REGEXMATCH(C1233,""facebook"")=TRUE,""Facebook"",if(REGEXMATCH(C1233,""instagram"")=TRUE,""Instagram"",if(REGEXMATCH(C1233,""youtube"")=TRUE,""Youtube"",if(REGEXMATCH(C1233,""tiktok"")=TRUE,""Tiktok"",if("&amp;"REGEXMATCH(C1233,""threads"")=TRUE,""Threads""))))))"),"Tiktok")</f>
        <v>Tiktok</v>
      </c>
      <c r="G1233" s="18" t="s">
        <v>2135</v>
      </c>
      <c r="H1233" s="18" t="s">
        <v>2136</v>
      </c>
      <c r="I1233" s="18" t="s">
        <v>2137</v>
      </c>
      <c r="J1233" s="18" t="s">
        <v>188</v>
      </c>
      <c r="K1233" s="18"/>
      <c r="L1233" s="15"/>
    </row>
    <row r="1234">
      <c r="A1234" s="15">
        <v>1233.0</v>
      </c>
      <c r="B1234" s="23">
        <v>45973.0</v>
      </c>
      <c r="C1234" s="38" t="s">
        <v>2203</v>
      </c>
      <c r="D1234" s="18"/>
      <c r="E1234" s="18" t="s">
        <v>1178</v>
      </c>
      <c r="F1234" s="18" t="str">
        <f>IFERROR(__xludf.DUMMYFUNCTION("if(REGEXMATCH(C1234,""x.com"")=TRUE,""Twitter"",if(REGEXMATCH(C1234,""facebook"")=TRUE,""Facebook"",if(REGEXMATCH(C1234,""instagram"")=TRUE,""Instagram"",if(REGEXMATCH(C1234,""youtube"")=TRUE,""Youtube"",if(REGEXMATCH(C1234,""tiktok"")=TRUE,""Tiktok"",if("&amp;"REGEXMATCH(C1234,""threads"")=TRUE,""Threads""))))))"),"Tiktok")</f>
        <v>Tiktok</v>
      </c>
      <c r="G1234" s="18" t="s">
        <v>2135</v>
      </c>
      <c r="H1234" s="18" t="s">
        <v>2136</v>
      </c>
      <c r="I1234" s="18" t="s">
        <v>2137</v>
      </c>
      <c r="J1234" s="18" t="s">
        <v>188</v>
      </c>
      <c r="K1234" s="18"/>
      <c r="L1234" s="15"/>
    </row>
    <row r="1235">
      <c r="A1235" s="15">
        <v>1234.0</v>
      </c>
      <c r="B1235" s="23">
        <v>45973.0</v>
      </c>
      <c r="C1235" s="38" t="s">
        <v>2144</v>
      </c>
      <c r="D1235" s="18"/>
      <c r="E1235" s="18" t="s">
        <v>1178</v>
      </c>
      <c r="F1235" s="18" t="str">
        <f>IFERROR(__xludf.DUMMYFUNCTION("if(REGEXMATCH(C1235,""x.com"")=TRUE,""Twitter"",if(REGEXMATCH(C1235,""facebook"")=TRUE,""Facebook"",if(REGEXMATCH(C1235,""instagram"")=TRUE,""Instagram"",if(REGEXMATCH(C1235,""youtube"")=TRUE,""Youtube"",if(REGEXMATCH(C1235,""tiktok"")=TRUE,""Tiktok"",if("&amp;"REGEXMATCH(C1235,""threads"")=TRUE,""Threads""))))))"),"Twitter")</f>
        <v>Twitter</v>
      </c>
      <c r="G1235" s="18" t="s">
        <v>2135</v>
      </c>
      <c r="H1235" s="18" t="s">
        <v>2136</v>
      </c>
      <c r="I1235" s="18" t="s">
        <v>2137</v>
      </c>
      <c r="J1235" s="18" t="s">
        <v>188</v>
      </c>
      <c r="K1235" s="18"/>
      <c r="L1235" s="15"/>
    </row>
    <row r="1236">
      <c r="A1236" s="15">
        <v>1235.0</v>
      </c>
      <c r="B1236" s="23">
        <v>45973.0</v>
      </c>
      <c r="C1236" s="38" t="s">
        <v>2204</v>
      </c>
      <c r="D1236" s="18"/>
      <c r="E1236" s="18" t="s">
        <v>1178</v>
      </c>
      <c r="F1236" s="18" t="str">
        <f>IFERROR(__xludf.DUMMYFUNCTION("if(REGEXMATCH(C1236,""x.com"")=TRUE,""Twitter"",if(REGEXMATCH(C1236,""facebook"")=TRUE,""Facebook"",if(REGEXMATCH(C1236,""instagram"")=TRUE,""Instagram"",if(REGEXMATCH(C1236,""youtube"")=TRUE,""Youtube"",if(REGEXMATCH(C1236,""tiktok"")=TRUE,""Tiktok"",if("&amp;"REGEXMATCH(C1236,""threads"")=TRUE,""Threads""))))))"),"Twitter")</f>
        <v>Twitter</v>
      </c>
      <c r="G1236" s="18" t="s">
        <v>2135</v>
      </c>
      <c r="H1236" s="18" t="s">
        <v>2136</v>
      </c>
      <c r="I1236" s="18" t="s">
        <v>2137</v>
      </c>
      <c r="J1236" s="18" t="s">
        <v>188</v>
      </c>
      <c r="K1236" s="18"/>
      <c r="L1236" s="15"/>
    </row>
    <row r="1237">
      <c r="A1237" s="15">
        <v>1236.0</v>
      </c>
      <c r="B1237" s="23">
        <v>45973.0</v>
      </c>
      <c r="C1237" s="22" t="s">
        <v>2205</v>
      </c>
      <c r="D1237" s="18"/>
      <c r="E1237" s="18" t="s">
        <v>1178</v>
      </c>
      <c r="F1237" s="18" t="str">
        <f>IFERROR(__xludf.DUMMYFUNCTION("if(REGEXMATCH(C1237,""x.com"")=TRUE,""Twitter"",if(REGEXMATCH(C1237,""facebook"")=TRUE,""Facebook"",if(REGEXMATCH(C1237,""instagram"")=TRUE,""Instagram"",if(REGEXMATCH(C1237,""youtube"")=TRUE,""Youtube"",if(REGEXMATCH(C1237,""tiktok"")=TRUE,""Tiktok"",if("&amp;"REGEXMATCH(C1237,""threads"")=TRUE,""Threads""))))))"),"Twitter")</f>
        <v>Twitter</v>
      </c>
      <c r="G1237" s="18" t="s">
        <v>2135</v>
      </c>
      <c r="H1237" s="18" t="s">
        <v>2136</v>
      </c>
      <c r="I1237" s="18" t="s">
        <v>2137</v>
      </c>
      <c r="J1237" s="18" t="s">
        <v>188</v>
      </c>
      <c r="K1237" s="18"/>
      <c r="L1237" s="15"/>
    </row>
    <row r="1238">
      <c r="A1238" s="15">
        <v>1237.0</v>
      </c>
      <c r="B1238" s="23">
        <v>45973.0</v>
      </c>
      <c r="C1238" s="38" t="s">
        <v>2206</v>
      </c>
      <c r="D1238" s="18"/>
      <c r="E1238" s="18" t="s">
        <v>1178</v>
      </c>
      <c r="F1238" s="18" t="str">
        <f>IFERROR(__xludf.DUMMYFUNCTION("if(REGEXMATCH(C1238,""x.com"")=TRUE,""Twitter"",if(REGEXMATCH(C1238,""facebook"")=TRUE,""Facebook"",if(REGEXMATCH(C1238,""instagram"")=TRUE,""Instagram"",if(REGEXMATCH(C1238,""youtube"")=TRUE,""Youtube"",if(REGEXMATCH(C1238,""tiktok"")=TRUE,""Tiktok"",if("&amp;"REGEXMATCH(C1238,""threads"")=TRUE,""Threads""))))))"),"Facebook")</f>
        <v>Facebook</v>
      </c>
      <c r="G1238" s="18" t="s">
        <v>2135</v>
      </c>
      <c r="H1238" s="18" t="s">
        <v>2136</v>
      </c>
      <c r="I1238" s="18" t="s">
        <v>2137</v>
      </c>
      <c r="J1238" s="18" t="s">
        <v>188</v>
      </c>
      <c r="K1238" s="18"/>
      <c r="L1238" s="15"/>
    </row>
    <row r="1239">
      <c r="A1239" s="15">
        <v>1238.0</v>
      </c>
      <c r="B1239" s="23">
        <v>45973.0</v>
      </c>
      <c r="C1239" s="38" t="s">
        <v>2207</v>
      </c>
      <c r="D1239" s="18"/>
      <c r="E1239" s="18" t="s">
        <v>1178</v>
      </c>
      <c r="F1239" s="18" t="str">
        <f>IFERROR(__xludf.DUMMYFUNCTION("if(REGEXMATCH(C1239,""x.com"")=TRUE,""Twitter"",if(REGEXMATCH(C1239,""facebook"")=TRUE,""Facebook"",if(REGEXMATCH(C1239,""instagram"")=TRUE,""Instagram"",if(REGEXMATCH(C1239,""youtube"")=TRUE,""Youtube"",if(REGEXMATCH(C1239,""tiktok"")=TRUE,""Tiktok"",if("&amp;"REGEXMATCH(C1239,""threads"")=TRUE,""Threads""))))))"),"Twitter")</f>
        <v>Twitter</v>
      </c>
      <c r="G1239" s="18" t="s">
        <v>2135</v>
      </c>
      <c r="H1239" s="18" t="s">
        <v>2136</v>
      </c>
      <c r="I1239" s="18" t="s">
        <v>2137</v>
      </c>
      <c r="J1239" s="18" t="s">
        <v>188</v>
      </c>
      <c r="K1239" s="18"/>
      <c r="L1239" s="15"/>
    </row>
    <row r="1240">
      <c r="A1240" s="15">
        <v>1239.0</v>
      </c>
      <c r="B1240" s="23">
        <v>45973.0</v>
      </c>
      <c r="C1240" s="38" t="s">
        <v>2208</v>
      </c>
      <c r="D1240" s="18"/>
      <c r="E1240" s="18" t="s">
        <v>401</v>
      </c>
      <c r="F1240" s="18" t="str">
        <f>IFERROR(__xludf.DUMMYFUNCTION("if(REGEXMATCH(C1240,""x.com"")=TRUE,""Twitter"",if(REGEXMATCH(C1240,""facebook"")=TRUE,""Facebook"",if(REGEXMATCH(C1240,""instagram"")=TRUE,""Instagram"",if(REGEXMATCH(C1240,""youtube"")=TRUE,""Youtube"",if(REGEXMATCH(C1240,""tiktok"")=TRUE,""Tiktok"",if("&amp;"REGEXMATCH(C1240,""threads"")=TRUE,""Threads""))))))"),"Facebook")</f>
        <v>Facebook</v>
      </c>
      <c r="G1240" s="18" t="s">
        <v>937</v>
      </c>
      <c r="H1240" s="18" t="s">
        <v>1542</v>
      </c>
      <c r="I1240" s="18" t="s">
        <v>939</v>
      </c>
      <c r="J1240" s="18" t="s">
        <v>188</v>
      </c>
      <c r="K1240" s="18"/>
      <c r="L1240" s="15"/>
    </row>
    <row r="1241">
      <c r="A1241" s="15">
        <v>1240.0</v>
      </c>
      <c r="B1241" s="23">
        <v>45973.0</v>
      </c>
      <c r="C1241" s="38" t="s">
        <v>2209</v>
      </c>
      <c r="D1241" s="18"/>
      <c r="E1241" s="18" t="s">
        <v>401</v>
      </c>
      <c r="F1241" s="18" t="str">
        <f>IFERROR(__xludf.DUMMYFUNCTION("if(REGEXMATCH(C1241,""x.com"")=TRUE,""Twitter"",if(REGEXMATCH(C1241,""facebook"")=TRUE,""Facebook"",if(REGEXMATCH(C1241,""instagram"")=TRUE,""Instagram"",if(REGEXMATCH(C1241,""youtube"")=TRUE,""Youtube"",if(REGEXMATCH(C1241,""tiktok"")=TRUE,""Tiktok"",if("&amp;"REGEXMATCH(C1241,""threads"")=TRUE,""Threads""))))))"),"Facebook")</f>
        <v>Facebook</v>
      </c>
      <c r="G1241" s="18" t="s">
        <v>937</v>
      </c>
      <c r="H1241" s="18" t="s">
        <v>1542</v>
      </c>
      <c r="I1241" s="18" t="s">
        <v>939</v>
      </c>
      <c r="J1241" s="18" t="s">
        <v>188</v>
      </c>
      <c r="K1241" s="18"/>
      <c r="L1241" s="15"/>
    </row>
    <row r="1242">
      <c r="A1242" s="15">
        <v>1241.0</v>
      </c>
      <c r="B1242" s="23">
        <v>45973.0</v>
      </c>
      <c r="C1242" s="38" t="s">
        <v>2210</v>
      </c>
      <c r="D1242" s="18"/>
      <c r="E1242" s="18" t="s">
        <v>401</v>
      </c>
      <c r="F1242" s="18" t="str">
        <f>IFERROR(__xludf.DUMMYFUNCTION("if(REGEXMATCH(C1242,""x.com"")=TRUE,""Twitter"",if(REGEXMATCH(C1242,""facebook"")=TRUE,""Facebook"",if(REGEXMATCH(C1242,""instagram"")=TRUE,""Instagram"",if(REGEXMATCH(C1242,""youtube"")=TRUE,""Youtube"",if(REGEXMATCH(C1242,""tiktok"")=TRUE,""Tiktok"",if("&amp;"REGEXMATCH(C1242,""threads"")=TRUE,""Threads""))))))"),"Facebook")</f>
        <v>Facebook</v>
      </c>
      <c r="G1242" s="18" t="s">
        <v>937</v>
      </c>
      <c r="H1242" s="18" t="s">
        <v>1542</v>
      </c>
      <c r="I1242" s="18" t="s">
        <v>939</v>
      </c>
      <c r="J1242" s="18" t="s">
        <v>188</v>
      </c>
      <c r="K1242" s="18"/>
      <c r="L1242" s="15"/>
    </row>
    <row r="1243">
      <c r="A1243" s="15">
        <v>1242.0</v>
      </c>
      <c r="B1243" s="23">
        <v>45973.0</v>
      </c>
      <c r="C1243" s="38" t="s">
        <v>2211</v>
      </c>
      <c r="D1243" s="18"/>
      <c r="E1243" s="18" t="s">
        <v>401</v>
      </c>
      <c r="F1243" s="18" t="str">
        <f>IFERROR(__xludf.DUMMYFUNCTION("if(REGEXMATCH(C1243,""x.com"")=TRUE,""Twitter"",if(REGEXMATCH(C1243,""facebook"")=TRUE,""Facebook"",if(REGEXMATCH(C1243,""instagram"")=TRUE,""Instagram"",if(REGEXMATCH(C1243,""youtube"")=TRUE,""Youtube"",if(REGEXMATCH(C1243,""tiktok"")=TRUE,""Tiktok"",if("&amp;"REGEXMATCH(C1243,""threads"")=TRUE,""Threads""))))))"),"Facebook")</f>
        <v>Facebook</v>
      </c>
      <c r="G1243" s="18" t="s">
        <v>937</v>
      </c>
      <c r="H1243" s="18" t="s">
        <v>1542</v>
      </c>
      <c r="I1243" s="18" t="s">
        <v>939</v>
      </c>
      <c r="J1243" s="18" t="s">
        <v>188</v>
      </c>
      <c r="K1243" s="18"/>
      <c r="L1243" s="15"/>
    </row>
    <row r="1244">
      <c r="A1244" s="15">
        <v>1243.0</v>
      </c>
      <c r="B1244" s="23">
        <v>45973.0</v>
      </c>
      <c r="C1244" s="38" t="s">
        <v>2212</v>
      </c>
      <c r="D1244" s="18"/>
      <c r="E1244" s="18" t="s">
        <v>401</v>
      </c>
      <c r="F1244" s="18" t="str">
        <f>IFERROR(__xludf.DUMMYFUNCTION("if(REGEXMATCH(C1244,""x.com"")=TRUE,""Twitter"",if(REGEXMATCH(C1244,""facebook"")=TRUE,""Facebook"",if(REGEXMATCH(C1244,""instagram"")=TRUE,""Instagram"",if(REGEXMATCH(C1244,""youtube"")=TRUE,""Youtube"",if(REGEXMATCH(C1244,""tiktok"")=TRUE,""Tiktok"",if("&amp;"REGEXMATCH(C1244,""threads"")=TRUE,""Threads""))))))"),"Facebook")</f>
        <v>Facebook</v>
      </c>
      <c r="G1244" s="18" t="s">
        <v>937</v>
      </c>
      <c r="H1244" s="18" t="s">
        <v>1542</v>
      </c>
      <c r="I1244" s="18" t="s">
        <v>939</v>
      </c>
      <c r="J1244" s="18" t="s">
        <v>188</v>
      </c>
      <c r="K1244" s="18"/>
      <c r="L1244" s="15"/>
    </row>
    <row r="1245">
      <c r="A1245" s="15">
        <v>1244.0</v>
      </c>
      <c r="B1245" s="23">
        <v>45973.0</v>
      </c>
      <c r="C1245" s="38" t="s">
        <v>2213</v>
      </c>
      <c r="D1245" s="18"/>
      <c r="E1245" s="18" t="s">
        <v>401</v>
      </c>
      <c r="F1245" s="18" t="str">
        <f>IFERROR(__xludf.DUMMYFUNCTION("if(REGEXMATCH(C1245,""x.com"")=TRUE,""Twitter"",if(REGEXMATCH(C1245,""facebook"")=TRUE,""Facebook"",if(REGEXMATCH(C1245,""instagram"")=TRUE,""Instagram"",if(REGEXMATCH(C1245,""youtube"")=TRUE,""Youtube"",if(REGEXMATCH(C1245,""tiktok"")=TRUE,""Tiktok"",if("&amp;"REGEXMATCH(C1245,""threads"")=TRUE,""Threads""))))))"),"Facebook")</f>
        <v>Facebook</v>
      </c>
      <c r="G1245" s="18" t="s">
        <v>937</v>
      </c>
      <c r="H1245" s="18" t="s">
        <v>1542</v>
      </c>
      <c r="I1245" s="18" t="s">
        <v>939</v>
      </c>
      <c r="J1245" s="18" t="s">
        <v>188</v>
      </c>
      <c r="K1245" s="18"/>
      <c r="L1245" s="15"/>
    </row>
    <row r="1246">
      <c r="A1246" s="15">
        <v>1245.0</v>
      </c>
      <c r="B1246" s="23">
        <v>45973.0</v>
      </c>
      <c r="C1246" s="30" t="s">
        <v>2214</v>
      </c>
      <c r="D1246" s="18"/>
      <c r="E1246" s="18" t="s">
        <v>401</v>
      </c>
      <c r="F1246" s="18" t="str">
        <f>IFERROR(__xludf.DUMMYFUNCTION("if(REGEXMATCH(C1246,""x.com"")=TRUE,""Twitter"",if(REGEXMATCH(C1246,""facebook"")=TRUE,""Facebook"",if(REGEXMATCH(C1246,""instagram"")=TRUE,""Instagram"",if(REGEXMATCH(C1246,""youtube"")=TRUE,""Youtube"",if(REGEXMATCH(C1246,""tiktok"")=TRUE,""Tiktok"",if("&amp;"REGEXMATCH(C1246,""threads"")=TRUE,""Threads""))))))"),"Facebook")</f>
        <v>Facebook</v>
      </c>
      <c r="G1246" s="18" t="s">
        <v>937</v>
      </c>
      <c r="H1246" s="18" t="s">
        <v>1542</v>
      </c>
      <c r="I1246" s="18" t="s">
        <v>939</v>
      </c>
      <c r="J1246" s="18" t="s">
        <v>188</v>
      </c>
      <c r="K1246" s="18"/>
      <c r="L1246" s="15"/>
    </row>
    <row r="1247">
      <c r="A1247" s="15">
        <v>1246.0</v>
      </c>
      <c r="B1247" s="23">
        <v>45973.0</v>
      </c>
      <c r="C1247" s="30" t="s">
        <v>2215</v>
      </c>
      <c r="D1247" s="18"/>
      <c r="E1247" s="18" t="s">
        <v>401</v>
      </c>
      <c r="F1247" s="18" t="str">
        <f>IFERROR(__xludf.DUMMYFUNCTION("if(REGEXMATCH(C1247,""x.com"")=TRUE,""Twitter"",if(REGEXMATCH(C1247,""facebook"")=TRUE,""Facebook"",if(REGEXMATCH(C1247,""instagram"")=TRUE,""Instagram"",if(REGEXMATCH(C1247,""youtube"")=TRUE,""Youtube"",if(REGEXMATCH(C1247,""tiktok"")=TRUE,""Tiktok"",if("&amp;"REGEXMATCH(C1247,""threads"")=TRUE,""Threads""))))))"),"Facebook")</f>
        <v>Facebook</v>
      </c>
      <c r="G1247" s="18" t="s">
        <v>937</v>
      </c>
      <c r="H1247" s="18" t="s">
        <v>1542</v>
      </c>
      <c r="I1247" s="18" t="s">
        <v>939</v>
      </c>
      <c r="J1247" s="18" t="s">
        <v>188</v>
      </c>
      <c r="K1247" s="18"/>
      <c r="L1247" s="15"/>
    </row>
    <row r="1248">
      <c r="A1248" s="15">
        <v>1247.0</v>
      </c>
      <c r="B1248" s="23">
        <v>45973.0</v>
      </c>
      <c r="C1248" s="30" t="s">
        <v>2216</v>
      </c>
      <c r="D1248" s="18"/>
      <c r="E1248" s="18" t="s">
        <v>401</v>
      </c>
      <c r="F1248" s="18" t="str">
        <f>IFERROR(__xludf.DUMMYFUNCTION("if(REGEXMATCH(C1248,""x.com"")=TRUE,""Twitter"",if(REGEXMATCH(C1248,""facebook"")=TRUE,""Facebook"",if(REGEXMATCH(C1248,""instagram"")=TRUE,""Instagram"",if(REGEXMATCH(C1248,""youtube"")=TRUE,""Youtube"",if(REGEXMATCH(C1248,""tiktok"")=TRUE,""Tiktok"",if("&amp;"REGEXMATCH(C1248,""threads"")=TRUE,""Threads""))))))"),"Facebook")</f>
        <v>Facebook</v>
      </c>
      <c r="G1248" s="18" t="s">
        <v>937</v>
      </c>
      <c r="H1248" s="18" t="s">
        <v>1542</v>
      </c>
      <c r="I1248" s="18" t="s">
        <v>939</v>
      </c>
      <c r="J1248" s="18" t="s">
        <v>188</v>
      </c>
      <c r="K1248" s="18"/>
      <c r="L1248" s="15"/>
    </row>
    <row r="1249">
      <c r="A1249" s="15">
        <v>1248.0</v>
      </c>
      <c r="B1249" s="23">
        <v>45973.0</v>
      </c>
      <c r="C1249" s="30" t="s">
        <v>2217</v>
      </c>
      <c r="D1249" s="18"/>
      <c r="E1249" s="18" t="s">
        <v>401</v>
      </c>
      <c r="F1249" s="18" t="str">
        <f>IFERROR(__xludf.DUMMYFUNCTION("if(REGEXMATCH(C1249,""x.com"")=TRUE,""Twitter"",if(REGEXMATCH(C1249,""facebook"")=TRUE,""Facebook"",if(REGEXMATCH(C1249,""instagram"")=TRUE,""Instagram"",if(REGEXMATCH(C1249,""youtube"")=TRUE,""Youtube"",if(REGEXMATCH(C1249,""tiktok"")=TRUE,""Tiktok"",if("&amp;"REGEXMATCH(C1249,""threads"")=TRUE,""Threads""))))))"),"Facebook")</f>
        <v>Facebook</v>
      </c>
      <c r="G1249" s="18" t="s">
        <v>937</v>
      </c>
      <c r="H1249" s="18" t="s">
        <v>1542</v>
      </c>
      <c r="I1249" s="18" t="s">
        <v>939</v>
      </c>
      <c r="J1249" s="18" t="s">
        <v>188</v>
      </c>
      <c r="K1249" s="18"/>
      <c r="L1249" s="15"/>
    </row>
    <row r="1250">
      <c r="A1250" s="15">
        <v>1249.0</v>
      </c>
      <c r="B1250" s="23">
        <v>45973.0</v>
      </c>
      <c r="C1250" s="30" t="s">
        <v>2218</v>
      </c>
      <c r="D1250" s="18"/>
      <c r="E1250" s="18" t="s">
        <v>401</v>
      </c>
      <c r="F1250" s="18" t="str">
        <f>IFERROR(__xludf.DUMMYFUNCTION("if(REGEXMATCH(C1250,""x.com"")=TRUE,""Twitter"",if(REGEXMATCH(C1250,""facebook"")=TRUE,""Facebook"",if(REGEXMATCH(C1250,""instagram"")=TRUE,""Instagram"",if(REGEXMATCH(C1250,""youtube"")=TRUE,""Youtube"",if(REGEXMATCH(C1250,""tiktok"")=TRUE,""Tiktok"",if("&amp;"REGEXMATCH(C1250,""threads"")=TRUE,""Threads""))))))"),"Facebook")</f>
        <v>Facebook</v>
      </c>
      <c r="G1250" s="18" t="s">
        <v>937</v>
      </c>
      <c r="H1250" s="18" t="s">
        <v>1542</v>
      </c>
      <c r="I1250" s="18" t="s">
        <v>939</v>
      </c>
      <c r="J1250" s="18" t="s">
        <v>188</v>
      </c>
      <c r="K1250" s="18"/>
      <c r="L1250" s="15"/>
    </row>
    <row r="1251">
      <c r="A1251" s="15">
        <v>1250.0</v>
      </c>
      <c r="B1251" s="23">
        <v>45973.0</v>
      </c>
      <c r="C1251" s="30" t="s">
        <v>2219</v>
      </c>
      <c r="D1251" s="18"/>
      <c r="E1251" s="18" t="s">
        <v>401</v>
      </c>
      <c r="F1251" s="18" t="str">
        <f>IFERROR(__xludf.DUMMYFUNCTION("if(REGEXMATCH(C1251,""x.com"")=TRUE,""Twitter"",if(REGEXMATCH(C1251,""facebook"")=TRUE,""Facebook"",if(REGEXMATCH(C1251,""instagram"")=TRUE,""Instagram"",if(REGEXMATCH(C1251,""youtube"")=TRUE,""Youtube"",if(REGEXMATCH(C1251,""tiktok"")=TRUE,""Tiktok"",if("&amp;"REGEXMATCH(C1251,""threads"")=TRUE,""Threads""))))))"),"Facebook")</f>
        <v>Facebook</v>
      </c>
      <c r="G1251" s="18" t="s">
        <v>937</v>
      </c>
      <c r="H1251" s="18" t="s">
        <v>1542</v>
      </c>
      <c r="I1251" s="18" t="s">
        <v>939</v>
      </c>
      <c r="J1251" s="18" t="s">
        <v>188</v>
      </c>
      <c r="K1251" s="18"/>
      <c r="L1251" s="15"/>
    </row>
    <row r="1252">
      <c r="A1252" s="15">
        <v>1251.0</v>
      </c>
      <c r="B1252" s="23">
        <v>45973.0</v>
      </c>
      <c r="C1252" s="30" t="s">
        <v>2220</v>
      </c>
      <c r="D1252" s="18"/>
      <c r="E1252" s="18" t="s">
        <v>401</v>
      </c>
      <c r="F1252" s="18" t="str">
        <f>IFERROR(__xludf.DUMMYFUNCTION("if(REGEXMATCH(C1252,""x.com"")=TRUE,""Twitter"",if(REGEXMATCH(C1252,""facebook"")=TRUE,""Facebook"",if(REGEXMATCH(C1252,""instagram"")=TRUE,""Instagram"",if(REGEXMATCH(C1252,""youtube"")=TRUE,""Youtube"",if(REGEXMATCH(C1252,""tiktok"")=TRUE,""Tiktok"",if("&amp;"REGEXMATCH(C1252,""threads"")=TRUE,""Threads""))))))"),"Facebook")</f>
        <v>Facebook</v>
      </c>
      <c r="G1252" s="18" t="s">
        <v>937</v>
      </c>
      <c r="H1252" s="18" t="s">
        <v>1542</v>
      </c>
      <c r="I1252" s="18" t="s">
        <v>939</v>
      </c>
      <c r="J1252" s="18" t="s">
        <v>188</v>
      </c>
      <c r="K1252" s="18"/>
      <c r="L1252" s="15"/>
    </row>
    <row r="1253">
      <c r="A1253" s="15">
        <v>1252.0</v>
      </c>
      <c r="B1253" s="23">
        <v>45973.0</v>
      </c>
      <c r="C1253" s="30" t="s">
        <v>2221</v>
      </c>
      <c r="D1253" s="18"/>
      <c r="E1253" s="18" t="s">
        <v>401</v>
      </c>
      <c r="F1253" s="18" t="str">
        <f>IFERROR(__xludf.DUMMYFUNCTION("if(REGEXMATCH(C1253,""x.com"")=TRUE,""Twitter"",if(REGEXMATCH(C1253,""facebook"")=TRUE,""Facebook"",if(REGEXMATCH(C1253,""instagram"")=TRUE,""Instagram"",if(REGEXMATCH(C1253,""youtube"")=TRUE,""Youtube"",if(REGEXMATCH(C1253,""tiktok"")=TRUE,""Tiktok"",if("&amp;"REGEXMATCH(C1253,""threads"")=TRUE,""Threads""))))))"),"Facebook")</f>
        <v>Facebook</v>
      </c>
      <c r="G1253" s="18" t="s">
        <v>937</v>
      </c>
      <c r="H1253" s="18" t="s">
        <v>1542</v>
      </c>
      <c r="I1253" s="18" t="s">
        <v>939</v>
      </c>
      <c r="J1253" s="18" t="s">
        <v>188</v>
      </c>
      <c r="K1253" s="18"/>
      <c r="L1253" s="15"/>
    </row>
    <row r="1254">
      <c r="A1254" s="15">
        <v>1253.0</v>
      </c>
      <c r="B1254" s="23">
        <v>45973.0</v>
      </c>
      <c r="C1254" s="30" t="s">
        <v>2222</v>
      </c>
      <c r="D1254" s="18"/>
      <c r="E1254" s="18" t="s">
        <v>401</v>
      </c>
      <c r="F1254" s="18" t="str">
        <f>IFERROR(__xludf.DUMMYFUNCTION("if(REGEXMATCH(C1254,""x.com"")=TRUE,""Twitter"",if(REGEXMATCH(C1254,""facebook"")=TRUE,""Facebook"",if(REGEXMATCH(C1254,""instagram"")=TRUE,""Instagram"",if(REGEXMATCH(C1254,""youtube"")=TRUE,""Youtube"",if(REGEXMATCH(C1254,""tiktok"")=TRUE,""Tiktok"",if("&amp;"REGEXMATCH(C1254,""threads"")=TRUE,""Threads""))))))"),"Facebook")</f>
        <v>Facebook</v>
      </c>
      <c r="G1254" s="18" t="s">
        <v>937</v>
      </c>
      <c r="H1254" s="18" t="s">
        <v>1542</v>
      </c>
      <c r="I1254" s="18" t="s">
        <v>939</v>
      </c>
      <c r="J1254" s="18" t="s">
        <v>188</v>
      </c>
      <c r="K1254" s="18"/>
      <c r="L1254" s="15"/>
    </row>
    <row r="1255">
      <c r="A1255" s="15">
        <v>1254.0</v>
      </c>
      <c r="B1255" s="23">
        <v>45973.0</v>
      </c>
      <c r="C1255" s="30" t="s">
        <v>2223</v>
      </c>
      <c r="D1255" s="18"/>
      <c r="E1255" s="18" t="s">
        <v>401</v>
      </c>
      <c r="F1255" s="18" t="str">
        <f>IFERROR(__xludf.DUMMYFUNCTION("if(REGEXMATCH(C1255,""x.com"")=TRUE,""Twitter"",if(REGEXMATCH(C1255,""facebook"")=TRUE,""Facebook"",if(REGEXMATCH(C1255,""instagram"")=TRUE,""Instagram"",if(REGEXMATCH(C1255,""youtube"")=TRUE,""Youtube"",if(REGEXMATCH(C1255,""tiktok"")=TRUE,""Tiktok"",if("&amp;"REGEXMATCH(C1255,""threads"")=TRUE,""Threads""))))))"),"Facebook")</f>
        <v>Facebook</v>
      </c>
      <c r="G1255" s="18" t="s">
        <v>937</v>
      </c>
      <c r="H1255" s="18" t="s">
        <v>1542</v>
      </c>
      <c r="I1255" s="18" t="s">
        <v>939</v>
      </c>
      <c r="J1255" s="18" t="s">
        <v>188</v>
      </c>
      <c r="K1255" s="18"/>
      <c r="L1255" s="15"/>
    </row>
    <row r="1256">
      <c r="A1256" s="15">
        <v>1255.0</v>
      </c>
      <c r="B1256" s="23">
        <v>45973.0</v>
      </c>
      <c r="C1256" s="30" t="s">
        <v>2224</v>
      </c>
      <c r="D1256" s="18"/>
      <c r="E1256" s="18" t="s">
        <v>401</v>
      </c>
      <c r="F1256" s="18" t="str">
        <f>IFERROR(__xludf.DUMMYFUNCTION("if(REGEXMATCH(C1256,""x.com"")=TRUE,""Twitter"",if(REGEXMATCH(C1256,""facebook"")=TRUE,""Facebook"",if(REGEXMATCH(C1256,""instagram"")=TRUE,""Instagram"",if(REGEXMATCH(C1256,""youtube"")=TRUE,""Youtube"",if(REGEXMATCH(C1256,""tiktok"")=TRUE,""Tiktok"",if("&amp;"REGEXMATCH(C1256,""threads"")=TRUE,""Threads""))))))"),"Facebook")</f>
        <v>Facebook</v>
      </c>
      <c r="G1256" s="18" t="s">
        <v>937</v>
      </c>
      <c r="H1256" s="18" t="s">
        <v>1542</v>
      </c>
      <c r="I1256" s="18" t="s">
        <v>939</v>
      </c>
      <c r="J1256" s="18" t="s">
        <v>188</v>
      </c>
      <c r="K1256" s="18"/>
      <c r="L1256" s="15"/>
    </row>
    <row r="1257">
      <c r="A1257" s="15">
        <v>1256.0</v>
      </c>
      <c r="B1257" s="23">
        <v>45973.0</v>
      </c>
      <c r="C1257" s="30" t="s">
        <v>2225</v>
      </c>
      <c r="D1257" s="18"/>
      <c r="E1257" s="18" t="s">
        <v>401</v>
      </c>
      <c r="F1257" s="18" t="str">
        <f>IFERROR(__xludf.DUMMYFUNCTION("if(REGEXMATCH(C1257,""x.com"")=TRUE,""Twitter"",if(REGEXMATCH(C1257,""facebook"")=TRUE,""Facebook"",if(REGEXMATCH(C1257,""instagram"")=TRUE,""Instagram"",if(REGEXMATCH(C1257,""youtube"")=TRUE,""Youtube"",if(REGEXMATCH(C1257,""tiktok"")=TRUE,""Tiktok"",if("&amp;"REGEXMATCH(C1257,""threads"")=TRUE,""Threads""))))))"),"Facebook")</f>
        <v>Facebook</v>
      </c>
      <c r="G1257" s="18" t="s">
        <v>937</v>
      </c>
      <c r="H1257" s="18" t="s">
        <v>1542</v>
      </c>
      <c r="I1257" s="18" t="s">
        <v>939</v>
      </c>
      <c r="J1257" s="18" t="s">
        <v>188</v>
      </c>
      <c r="K1257" s="18"/>
      <c r="L1257" s="15"/>
    </row>
    <row r="1258">
      <c r="A1258" s="15">
        <v>1257.0</v>
      </c>
      <c r="B1258" s="23">
        <v>45973.0</v>
      </c>
      <c r="C1258" s="30" t="s">
        <v>2223</v>
      </c>
      <c r="D1258" s="18"/>
      <c r="E1258" s="18" t="s">
        <v>401</v>
      </c>
      <c r="F1258" s="18" t="str">
        <f>IFERROR(__xludf.DUMMYFUNCTION("if(REGEXMATCH(C1258,""x.com"")=TRUE,""Twitter"",if(REGEXMATCH(C1258,""facebook"")=TRUE,""Facebook"",if(REGEXMATCH(C1258,""instagram"")=TRUE,""Instagram"",if(REGEXMATCH(C1258,""youtube"")=TRUE,""Youtube"",if(REGEXMATCH(C1258,""tiktok"")=TRUE,""Tiktok"",if("&amp;"REGEXMATCH(C1258,""threads"")=TRUE,""Threads""))))))"),"Facebook")</f>
        <v>Facebook</v>
      </c>
      <c r="G1258" s="18" t="s">
        <v>937</v>
      </c>
      <c r="H1258" s="18" t="s">
        <v>1542</v>
      </c>
      <c r="I1258" s="18" t="s">
        <v>939</v>
      </c>
      <c r="J1258" s="18" t="s">
        <v>188</v>
      </c>
      <c r="K1258" s="18"/>
      <c r="L1258" s="15"/>
    </row>
    <row r="1259">
      <c r="A1259" s="15">
        <v>1258.0</v>
      </c>
      <c r="B1259" s="23">
        <v>45973.0</v>
      </c>
      <c r="C1259" s="22" t="s">
        <v>2226</v>
      </c>
      <c r="D1259" s="18"/>
      <c r="E1259" s="18" t="s">
        <v>2018</v>
      </c>
      <c r="F1259" s="18" t="str">
        <f>IFERROR(__xludf.DUMMYFUNCTION("if(REGEXMATCH(C1259,""x.com"")=TRUE,""Twitter"",if(REGEXMATCH(C1259,""facebook"")=TRUE,""Facebook"",if(REGEXMATCH(C1259,""instagram"")=TRUE,""Instagram"",if(REGEXMATCH(C1259,""youtube"")=TRUE,""Youtube"",if(REGEXMATCH(C1259,""tiktok"")=TRUE,""Tiktok"",if("&amp;"REGEXMATCH(C1259,""threads"")=TRUE,""Threads""))))))"),"Facebook")</f>
        <v>Facebook</v>
      </c>
      <c r="G1259" s="18" t="s">
        <v>2227</v>
      </c>
      <c r="H1259" s="18" t="s">
        <v>2228</v>
      </c>
      <c r="I1259" s="18"/>
      <c r="J1259" s="18" t="s">
        <v>188</v>
      </c>
      <c r="K1259" s="18"/>
      <c r="L1259" s="15"/>
    </row>
    <row r="1260">
      <c r="A1260" s="15">
        <v>1259.0</v>
      </c>
      <c r="B1260" s="23">
        <v>45973.0</v>
      </c>
      <c r="C1260" s="22" t="s">
        <v>2229</v>
      </c>
      <c r="D1260" s="18"/>
      <c r="E1260" s="18" t="s">
        <v>2018</v>
      </c>
      <c r="F1260" s="18" t="str">
        <f>IFERROR(__xludf.DUMMYFUNCTION("if(REGEXMATCH(C1260,""x.com"")=TRUE,""Twitter"",if(REGEXMATCH(C1260,""facebook"")=TRUE,""Facebook"",if(REGEXMATCH(C1260,""instagram"")=TRUE,""Instagram"",if(REGEXMATCH(C1260,""youtube"")=TRUE,""Youtube"",if(REGEXMATCH(C1260,""tiktok"")=TRUE,""Tiktok"",if("&amp;"REGEXMATCH(C1260,""threads"")=TRUE,""Threads""))))))"),"Facebook")</f>
        <v>Facebook</v>
      </c>
      <c r="G1260" s="18" t="s">
        <v>2227</v>
      </c>
      <c r="H1260" s="18" t="s">
        <v>2228</v>
      </c>
      <c r="I1260" s="18"/>
      <c r="J1260" s="18" t="s">
        <v>188</v>
      </c>
      <c r="K1260" s="18"/>
      <c r="L1260" s="15"/>
    </row>
    <row r="1261">
      <c r="A1261" s="15">
        <v>1260.0</v>
      </c>
      <c r="B1261" s="23">
        <v>45973.0</v>
      </c>
      <c r="C1261" s="22" t="s">
        <v>2230</v>
      </c>
      <c r="D1261" s="18"/>
      <c r="E1261" s="18" t="s">
        <v>2018</v>
      </c>
      <c r="F1261" s="18" t="str">
        <f>IFERROR(__xludf.DUMMYFUNCTION("if(REGEXMATCH(C1261,""x.com"")=TRUE,""Twitter"",if(REGEXMATCH(C1261,""facebook"")=TRUE,""Facebook"",if(REGEXMATCH(C1261,""instagram"")=TRUE,""Instagram"",if(REGEXMATCH(C1261,""youtube"")=TRUE,""Youtube"",if(REGEXMATCH(C1261,""tiktok"")=TRUE,""Tiktok"",if("&amp;"REGEXMATCH(C1261,""threads"")=TRUE,""Threads""))))))"),"Facebook")</f>
        <v>Facebook</v>
      </c>
      <c r="G1261" s="18" t="s">
        <v>2227</v>
      </c>
      <c r="H1261" s="18" t="s">
        <v>2228</v>
      </c>
      <c r="I1261" s="18"/>
      <c r="J1261" s="18" t="s">
        <v>188</v>
      </c>
      <c r="K1261" s="18"/>
      <c r="L1261" s="15"/>
    </row>
    <row r="1262">
      <c r="A1262" s="15">
        <v>1261.0</v>
      </c>
      <c r="B1262" s="23">
        <v>45973.0</v>
      </c>
      <c r="C1262" s="22" t="s">
        <v>2231</v>
      </c>
      <c r="D1262" s="18"/>
      <c r="E1262" s="18" t="s">
        <v>2018</v>
      </c>
      <c r="F1262" s="18" t="str">
        <f>IFERROR(__xludf.DUMMYFUNCTION("if(REGEXMATCH(C1262,""x.com"")=TRUE,""Twitter"",if(REGEXMATCH(C1262,""facebook"")=TRUE,""Facebook"",if(REGEXMATCH(C1262,""instagram"")=TRUE,""Instagram"",if(REGEXMATCH(C1262,""youtube"")=TRUE,""Youtube"",if(REGEXMATCH(C1262,""tiktok"")=TRUE,""Tiktok"",if("&amp;"REGEXMATCH(C1262,""threads"")=TRUE,""Threads""))))))"),"Facebook")</f>
        <v>Facebook</v>
      </c>
      <c r="G1262" s="18" t="s">
        <v>2227</v>
      </c>
      <c r="H1262" s="18" t="s">
        <v>2228</v>
      </c>
      <c r="I1262" s="18"/>
      <c r="J1262" s="18" t="s">
        <v>188</v>
      </c>
      <c r="K1262" s="18"/>
      <c r="L1262" s="15"/>
    </row>
    <row r="1263">
      <c r="A1263" s="15">
        <v>1262.0</v>
      </c>
      <c r="B1263" s="21">
        <v>45974.0</v>
      </c>
      <c r="C1263" s="22" t="s">
        <v>2232</v>
      </c>
      <c r="D1263" s="18"/>
      <c r="E1263" s="18" t="s">
        <v>1146</v>
      </c>
      <c r="F1263" s="18" t="str">
        <f>IFERROR(__xludf.DUMMYFUNCTION("if(REGEXMATCH(C1263,""x.com"")=TRUE,""Twitter"",if(REGEXMATCH(C1263,""facebook"")=TRUE,""Facebook"",if(REGEXMATCH(C1263,""instagram"")=TRUE,""Instagram"",if(REGEXMATCH(C1263,""youtube"")=TRUE,""Youtube"",if(REGEXMATCH(C1263,""tiktok"")=TRUE,""Tiktok"",if("&amp;"REGEXMATCH(C1263,""threads"")=TRUE,""Threads""))))))"),"Twitter")</f>
        <v>Twitter</v>
      </c>
      <c r="G1263" s="18" t="s">
        <v>2233</v>
      </c>
      <c r="H1263" s="34" t="s">
        <v>1782</v>
      </c>
      <c r="I1263" s="34" t="s">
        <v>535</v>
      </c>
      <c r="J1263" s="18" t="s">
        <v>188</v>
      </c>
      <c r="K1263" s="18" t="s">
        <v>1611</v>
      </c>
      <c r="L1263" s="15"/>
    </row>
    <row r="1264">
      <c r="A1264" s="15">
        <v>1263.0</v>
      </c>
      <c r="B1264" s="21">
        <v>45974.0</v>
      </c>
      <c r="C1264" s="22" t="s">
        <v>2234</v>
      </c>
      <c r="D1264" s="18"/>
      <c r="E1264" s="18" t="s">
        <v>197</v>
      </c>
      <c r="F1264" s="18" t="str">
        <f>IFERROR(__xludf.DUMMYFUNCTION("if(REGEXMATCH(C1264,""x.com"")=TRUE,""Twitter"",if(REGEXMATCH(C1264,""facebook"")=TRUE,""Facebook"",if(REGEXMATCH(C1264,""instagram"")=TRUE,""Instagram"",if(REGEXMATCH(C1264,""youtube"")=TRUE,""Youtube"",if(REGEXMATCH(C1264,""tiktok"")=TRUE,""Tiktok"",if("&amp;"REGEXMATCH(C1264,""threads"")=TRUE,""Threads""))))))"),"Twitter")</f>
        <v>Twitter</v>
      </c>
      <c r="G1264" s="18" t="s">
        <v>2235</v>
      </c>
      <c r="H1264" s="36"/>
      <c r="I1264" s="36"/>
      <c r="J1264" s="18" t="s">
        <v>188</v>
      </c>
      <c r="K1264" s="18" t="s">
        <v>1611</v>
      </c>
      <c r="L1264" s="15"/>
    </row>
    <row r="1265">
      <c r="A1265" s="15">
        <v>1264.0</v>
      </c>
      <c r="B1265" s="21">
        <v>45974.0</v>
      </c>
      <c r="C1265" s="22" t="s">
        <v>2236</v>
      </c>
      <c r="D1265" s="18"/>
      <c r="E1265" s="18" t="s">
        <v>197</v>
      </c>
      <c r="F1265" s="18" t="str">
        <f>IFERROR(__xludf.DUMMYFUNCTION("if(REGEXMATCH(C1265,""x.com"")=TRUE,""Twitter"",if(REGEXMATCH(C1265,""facebook"")=TRUE,""Facebook"",if(REGEXMATCH(C1265,""instagram"")=TRUE,""Instagram"",if(REGEXMATCH(C1265,""youtube"")=TRUE,""Youtube"",if(REGEXMATCH(C1265,""tiktok"")=TRUE,""Tiktok"",if("&amp;"REGEXMATCH(C1265,""threads"")=TRUE,""Threads""))))))"),"Twitter")</f>
        <v>Twitter</v>
      </c>
      <c r="G1265" s="18" t="s">
        <v>2237</v>
      </c>
      <c r="H1265" s="36"/>
      <c r="I1265" s="36"/>
      <c r="J1265" s="18" t="s">
        <v>188</v>
      </c>
      <c r="K1265" s="18" t="s">
        <v>1611</v>
      </c>
      <c r="L1265" s="15"/>
    </row>
    <row r="1266">
      <c r="A1266" s="15">
        <v>1265.0</v>
      </c>
      <c r="B1266" s="21">
        <v>45974.0</v>
      </c>
      <c r="C1266" s="22" t="s">
        <v>2238</v>
      </c>
      <c r="D1266" s="18"/>
      <c r="E1266" s="18" t="s">
        <v>197</v>
      </c>
      <c r="F1266" s="18" t="str">
        <f>IFERROR(__xludf.DUMMYFUNCTION("if(REGEXMATCH(C1266,""x.com"")=TRUE,""Twitter"",if(REGEXMATCH(C1266,""facebook"")=TRUE,""Facebook"",if(REGEXMATCH(C1266,""instagram"")=TRUE,""Instagram"",if(REGEXMATCH(C1266,""youtube"")=TRUE,""Youtube"",if(REGEXMATCH(C1266,""tiktok"")=TRUE,""Tiktok"",if("&amp;"REGEXMATCH(C1266,""threads"")=TRUE,""Threads""))))))"),"Twitter")</f>
        <v>Twitter</v>
      </c>
      <c r="G1266" s="18" t="s">
        <v>2239</v>
      </c>
      <c r="H1266" s="36"/>
      <c r="I1266" s="36"/>
      <c r="J1266" s="18" t="s">
        <v>188</v>
      </c>
      <c r="K1266" s="18" t="s">
        <v>1611</v>
      </c>
      <c r="L1266" s="15"/>
    </row>
    <row r="1267">
      <c r="A1267" s="15">
        <v>1266.0</v>
      </c>
      <c r="B1267" s="21">
        <v>45974.0</v>
      </c>
      <c r="C1267" s="22" t="s">
        <v>2240</v>
      </c>
      <c r="D1267" s="18"/>
      <c r="E1267" s="18" t="s">
        <v>197</v>
      </c>
      <c r="F1267" s="18" t="str">
        <f>IFERROR(__xludf.DUMMYFUNCTION("if(REGEXMATCH(C1267,""x.com"")=TRUE,""Twitter"",if(REGEXMATCH(C1267,""facebook"")=TRUE,""Facebook"",if(REGEXMATCH(C1267,""instagram"")=TRUE,""Instagram"",if(REGEXMATCH(C1267,""youtube"")=TRUE,""Youtube"",if(REGEXMATCH(C1267,""tiktok"")=TRUE,""Tiktok"",if("&amp;"REGEXMATCH(C1267,""threads"")=TRUE,""Threads""))))))"),"Twitter")</f>
        <v>Twitter</v>
      </c>
      <c r="G1267" s="18" t="s">
        <v>2241</v>
      </c>
      <c r="H1267" s="36"/>
      <c r="I1267" s="36"/>
      <c r="J1267" s="18" t="s">
        <v>188</v>
      </c>
      <c r="K1267" s="18" t="s">
        <v>1611</v>
      </c>
      <c r="L1267" s="15"/>
    </row>
    <row r="1268">
      <c r="A1268" s="15">
        <v>1267.0</v>
      </c>
      <c r="B1268" s="21">
        <v>45974.0</v>
      </c>
      <c r="C1268" s="22" t="s">
        <v>2242</v>
      </c>
      <c r="D1268" s="18"/>
      <c r="E1268" s="18" t="s">
        <v>197</v>
      </c>
      <c r="F1268" s="18" t="str">
        <f>IFERROR(__xludf.DUMMYFUNCTION("if(REGEXMATCH(C1268,""x.com"")=TRUE,""Twitter"",if(REGEXMATCH(C1268,""facebook"")=TRUE,""Facebook"",if(REGEXMATCH(C1268,""instagram"")=TRUE,""Instagram"",if(REGEXMATCH(C1268,""youtube"")=TRUE,""Youtube"",if(REGEXMATCH(C1268,""tiktok"")=TRUE,""Tiktok"",if("&amp;"REGEXMATCH(C1268,""threads"")=TRUE,""Threads""))))))"),"Twitter")</f>
        <v>Twitter</v>
      </c>
      <c r="G1268" s="18" t="s">
        <v>2243</v>
      </c>
      <c r="H1268" s="36"/>
      <c r="I1268" s="36"/>
      <c r="J1268" s="18" t="s">
        <v>188</v>
      </c>
      <c r="K1268" s="18" t="s">
        <v>1611</v>
      </c>
      <c r="L1268" s="15"/>
    </row>
    <row r="1269">
      <c r="A1269" s="15">
        <v>1268.0</v>
      </c>
      <c r="B1269" s="21">
        <v>45974.0</v>
      </c>
      <c r="C1269" s="22" t="s">
        <v>2244</v>
      </c>
      <c r="D1269" s="18"/>
      <c r="E1269" s="18" t="s">
        <v>197</v>
      </c>
      <c r="F1269" s="18" t="str">
        <f>IFERROR(__xludf.DUMMYFUNCTION("if(REGEXMATCH(C1269,""x.com"")=TRUE,""Twitter"",if(REGEXMATCH(C1269,""facebook"")=TRUE,""Facebook"",if(REGEXMATCH(C1269,""instagram"")=TRUE,""Instagram"",if(REGEXMATCH(C1269,""youtube"")=TRUE,""Youtube"",if(REGEXMATCH(C1269,""tiktok"")=TRUE,""Tiktok"",if("&amp;"REGEXMATCH(C1269,""threads"")=TRUE,""Threads""))))))"),"Facebook")</f>
        <v>Facebook</v>
      </c>
      <c r="G1269" s="18" t="s">
        <v>2245</v>
      </c>
      <c r="H1269" s="36"/>
      <c r="I1269" s="36"/>
      <c r="J1269" s="18" t="s">
        <v>188</v>
      </c>
      <c r="K1269" s="18" t="s">
        <v>1611</v>
      </c>
      <c r="L1269" s="15"/>
    </row>
    <row r="1270">
      <c r="A1270" s="15">
        <v>1269.0</v>
      </c>
      <c r="B1270" s="21">
        <v>45974.0</v>
      </c>
      <c r="C1270" s="22" t="s">
        <v>2246</v>
      </c>
      <c r="D1270" s="18"/>
      <c r="E1270" s="18" t="s">
        <v>197</v>
      </c>
      <c r="F1270" s="18" t="str">
        <f>IFERROR(__xludf.DUMMYFUNCTION("if(REGEXMATCH(C1270,""x.com"")=TRUE,""Twitter"",if(REGEXMATCH(C1270,""facebook"")=TRUE,""Facebook"",if(REGEXMATCH(C1270,""instagram"")=TRUE,""Instagram"",if(REGEXMATCH(C1270,""youtube"")=TRUE,""Youtube"",if(REGEXMATCH(C1270,""tiktok"")=TRUE,""Tiktok"",if("&amp;"REGEXMATCH(C1270,""threads"")=TRUE,""Threads""))))))"),"Facebook")</f>
        <v>Facebook</v>
      </c>
      <c r="G1270" s="18" t="s">
        <v>2247</v>
      </c>
      <c r="H1270" s="36"/>
      <c r="I1270" s="36"/>
      <c r="J1270" s="18" t="s">
        <v>188</v>
      </c>
      <c r="K1270" s="18" t="s">
        <v>1611</v>
      </c>
      <c r="L1270" s="15"/>
    </row>
    <row r="1271">
      <c r="A1271" s="15">
        <v>1270.0</v>
      </c>
      <c r="B1271" s="21">
        <v>45974.0</v>
      </c>
      <c r="C1271" s="22" t="s">
        <v>2248</v>
      </c>
      <c r="D1271" s="18"/>
      <c r="E1271" s="18" t="s">
        <v>197</v>
      </c>
      <c r="F1271" s="18" t="str">
        <f>IFERROR(__xludf.DUMMYFUNCTION("if(REGEXMATCH(C1271,""x.com"")=TRUE,""Twitter"",if(REGEXMATCH(C1271,""facebook"")=TRUE,""Facebook"",if(REGEXMATCH(C1271,""instagram"")=TRUE,""Instagram"",if(REGEXMATCH(C1271,""youtube"")=TRUE,""Youtube"",if(REGEXMATCH(C1271,""tiktok"")=TRUE,""Tiktok"",if("&amp;"REGEXMATCH(C1271,""threads"")=TRUE,""Threads""))))))"),"Facebook")</f>
        <v>Facebook</v>
      </c>
      <c r="G1271" s="18" t="s">
        <v>2249</v>
      </c>
      <c r="H1271" s="36"/>
      <c r="I1271" s="36"/>
      <c r="J1271" s="18" t="s">
        <v>188</v>
      </c>
      <c r="K1271" s="18"/>
      <c r="L1271" s="15"/>
    </row>
    <row r="1272">
      <c r="A1272" s="15">
        <v>1271.0</v>
      </c>
      <c r="B1272" s="21">
        <v>45974.0</v>
      </c>
      <c r="C1272" s="22" t="s">
        <v>2250</v>
      </c>
      <c r="D1272" s="18"/>
      <c r="E1272" s="18" t="s">
        <v>1146</v>
      </c>
      <c r="F1272" s="18" t="str">
        <f>IFERROR(__xludf.DUMMYFUNCTION("if(REGEXMATCH(C1272,""x.com"")=TRUE,""Twitter"",if(REGEXMATCH(C1272,""facebook"")=TRUE,""Facebook"",if(REGEXMATCH(C1272,""instagram"")=TRUE,""Instagram"",if(REGEXMATCH(C1272,""youtube"")=TRUE,""Youtube"",if(REGEXMATCH(C1272,""tiktok"")=TRUE,""Tiktok"",if("&amp;"REGEXMATCH(C1272,""threads"")=TRUE,""Threads""))))))"),"Facebook")</f>
        <v>Facebook</v>
      </c>
      <c r="G1272" s="18" t="s">
        <v>2251</v>
      </c>
      <c r="H1272" s="36"/>
      <c r="I1272" s="36"/>
      <c r="J1272" s="18" t="s">
        <v>188</v>
      </c>
      <c r="K1272" s="18"/>
      <c r="L1272" s="15"/>
    </row>
    <row r="1273">
      <c r="A1273" s="15">
        <v>1272.0</v>
      </c>
      <c r="B1273" s="21">
        <v>45974.0</v>
      </c>
      <c r="C1273" s="22" t="s">
        <v>2252</v>
      </c>
      <c r="D1273" s="18"/>
      <c r="E1273" s="18" t="s">
        <v>1146</v>
      </c>
      <c r="F1273" s="18" t="str">
        <f>IFERROR(__xludf.DUMMYFUNCTION("if(REGEXMATCH(C1273,""x.com"")=TRUE,""Twitter"",if(REGEXMATCH(C1273,""facebook"")=TRUE,""Facebook"",if(REGEXMATCH(C1273,""instagram"")=TRUE,""Instagram"",if(REGEXMATCH(C1273,""youtube"")=TRUE,""Youtube"",if(REGEXMATCH(C1273,""tiktok"")=TRUE,""Tiktok"",if("&amp;"REGEXMATCH(C1273,""threads"")=TRUE,""Threads""))))))"),"Facebook")</f>
        <v>Facebook</v>
      </c>
      <c r="G1273" s="18" t="s">
        <v>2253</v>
      </c>
      <c r="H1273" s="36"/>
      <c r="I1273" s="36"/>
      <c r="J1273" s="18" t="s">
        <v>188</v>
      </c>
      <c r="K1273" s="18"/>
      <c r="L1273" s="15"/>
    </row>
    <row r="1274">
      <c r="A1274" s="15">
        <v>1273.0</v>
      </c>
      <c r="B1274" s="21">
        <v>45974.0</v>
      </c>
      <c r="C1274" s="22" t="s">
        <v>2254</v>
      </c>
      <c r="D1274" s="18"/>
      <c r="E1274" s="18" t="s">
        <v>1146</v>
      </c>
      <c r="F1274" s="18" t="str">
        <f>IFERROR(__xludf.DUMMYFUNCTION("if(REGEXMATCH(C1274,""x.com"")=TRUE,""Twitter"",if(REGEXMATCH(C1274,""facebook"")=TRUE,""Facebook"",if(REGEXMATCH(C1274,""instagram"")=TRUE,""Instagram"",if(REGEXMATCH(C1274,""youtube"")=TRUE,""Youtube"",if(REGEXMATCH(C1274,""tiktok"")=TRUE,""Tiktok"",if("&amp;"REGEXMATCH(C1274,""threads"")=TRUE,""Threads""))))))"),"Facebook")</f>
        <v>Facebook</v>
      </c>
      <c r="G1274" s="18" t="s">
        <v>2255</v>
      </c>
      <c r="H1274" s="36"/>
      <c r="I1274" s="36"/>
      <c r="J1274" s="18" t="s">
        <v>188</v>
      </c>
      <c r="K1274" s="18"/>
      <c r="L1274" s="15"/>
    </row>
    <row r="1275">
      <c r="A1275" s="15">
        <v>1274.0</v>
      </c>
      <c r="B1275" s="21">
        <v>45974.0</v>
      </c>
      <c r="C1275" s="22" t="s">
        <v>2256</v>
      </c>
      <c r="D1275" s="18"/>
      <c r="E1275" s="18" t="s">
        <v>197</v>
      </c>
      <c r="F1275" s="18" t="str">
        <f>IFERROR(__xludf.DUMMYFUNCTION("if(REGEXMATCH(C1275,""x.com"")=TRUE,""Twitter"",if(REGEXMATCH(C1275,""facebook"")=TRUE,""Facebook"",if(REGEXMATCH(C1275,""instagram"")=TRUE,""Instagram"",if(REGEXMATCH(C1275,""youtube"")=TRUE,""Youtube"",if(REGEXMATCH(C1275,""tiktok"")=TRUE,""Tiktok"",if("&amp;"REGEXMATCH(C1275,""threads"")=TRUE,""Threads""))))))"),"Facebook")</f>
        <v>Facebook</v>
      </c>
      <c r="G1275" s="18" t="s">
        <v>2257</v>
      </c>
      <c r="H1275" s="36"/>
      <c r="I1275" s="36"/>
      <c r="J1275" s="18" t="s">
        <v>188</v>
      </c>
      <c r="K1275" s="18"/>
      <c r="L1275" s="15"/>
    </row>
    <row r="1276">
      <c r="A1276" s="15">
        <v>1275.0</v>
      </c>
      <c r="B1276" s="21">
        <v>45974.0</v>
      </c>
      <c r="C1276" s="22" t="s">
        <v>2258</v>
      </c>
      <c r="D1276" s="18"/>
      <c r="E1276" s="18" t="s">
        <v>197</v>
      </c>
      <c r="F1276" s="18" t="str">
        <f>IFERROR(__xludf.DUMMYFUNCTION("if(REGEXMATCH(C1276,""x.com"")=TRUE,""Twitter"",if(REGEXMATCH(C1276,""facebook"")=TRUE,""Facebook"",if(REGEXMATCH(C1276,""instagram"")=TRUE,""Instagram"",if(REGEXMATCH(C1276,""youtube"")=TRUE,""Youtube"",if(REGEXMATCH(C1276,""tiktok"")=TRUE,""Tiktok"",if("&amp;"REGEXMATCH(C1276,""threads"")=TRUE,""Threads""))))))"),"Facebook")</f>
        <v>Facebook</v>
      </c>
      <c r="G1276" s="18" t="s">
        <v>2259</v>
      </c>
      <c r="H1276" s="35"/>
      <c r="I1276" s="35"/>
      <c r="J1276" s="18" t="s">
        <v>188</v>
      </c>
      <c r="K1276" s="18"/>
      <c r="L1276" s="15"/>
    </row>
    <row r="1277">
      <c r="A1277" s="15">
        <v>1276.0</v>
      </c>
      <c r="B1277" s="21">
        <v>45974.0</v>
      </c>
      <c r="C1277" s="22" t="s">
        <v>2260</v>
      </c>
      <c r="D1277" s="18"/>
      <c r="E1277" s="18" t="s">
        <v>226</v>
      </c>
      <c r="F1277" s="18" t="str">
        <f>IFERROR(__xludf.DUMMYFUNCTION("if(REGEXMATCH(C1277,""x.com"")=TRUE,""Twitter"",if(REGEXMATCH(C1277,""facebook"")=TRUE,""Facebook"",if(REGEXMATCH(C1277,""instagram"")=TRUE,""Instagram"",if(REGEXMATCH(C1277,""youtube"")=TRUE,""Youtube"",if(REGEXMATCH(C1277,""tiktok"")=TRUE,""Tiktok"",if("&amp;"REGEXMATCH(C1277,""threads"")=TRUE,""Threads""))))))"),"Facebook")</f>
        <v>Facebook</v>
      </c>
      <c r="G1277" s="18" t="s">
        <v>2261</v>
      </c>
      <c r="H1277" s="18" t="s">
        <v>1465</v>
      </c>
      <c r="I1277" s="18" t="s">
        <v>2262</v>
      </c>
      <c r="J1277" s="18" t="s">
        <v>188</v>
      </c>
      <c r="K1277" s="18"/>
      <c r="L1277" s="15"/>
    </row>
    <row r="1278">
      <c r="A1278" s="15">
        <v>1277.0</v>
      </c>
      <c r="B1278" s="21">
        <v>45974.0</v>
      </c>
      <c r="C1278" s="27" t="s">
        <v>2263</v>
      </c>
      <c r="D1278" s="18"/>
      <c r="E1278" s="18" t="s">
        <v>226</v>
      </c>
      <c r="F1278" s="18" t="str">
        <f>IFERROR(__xludf.DUMMYFUNCTION("if(REGEXMATCH(C1278,""x.com"")=TRUE,""Twitter"",if(REGEXMATCH(C1278,""facebook"")=TRUE,""Facebook"",if(REGEXMATCH(C1278,""instagram"")=TRUE,""Instagram"",if(REGEXMATCH(C1278,""youtube"")=TRUE,""Youtube"",if(REGEXMATCH(C1278,""tiktok"")=TRUE,""Tiktok"",if("&amp;"REGEXMATCH(C1278,""threads"")=TRUE,""Threads""))))))"),"Facebook")</f>
        <v>Facebook</v>
      </c>
      <c r="G1278" s="18" t="s">
        <v>2261</v>
      </c>
      <c r="H1278" s="18" t="s">
        <v>1465</v>
      </c>
      <c r="I1278" s="18" t="s">
        <v>2262</v>
      </c>
      <c r="J1278" s="18" t="s">
        <v>188</v>
      </c>
      <c r="K1278" s="18"/>
      <c r="L1278" s="15"/>
    </row>
    <row r="1279">
      <c r="A1279" s="15">
        <v>1278.0</v>
      </c>
      <c r="B1279" s="21">
        <v>45974.0</v>
      </c>
      <c r="C1279" s="22" t="s">
        <v>2264</v>
      </c>
      <c r="D1279" s="18"/>
      <c r="E1279" s="18" t="s">
        <v>226</v>
      </c>
      <c r="F1279" s="18" t="str">
        <f>IFERROR(__xludf.DUMMYFUNCTION("if(REGEXMATCH(C1279,""x.com"")=TRUE,""Twitter"",if(REGEXMATCH(C1279,""facebook"")=TRUE,""Facebook"",if(REGEXMATCH(C1279,""instagram"")=TRUE,""Instagram"",if(REGEXMATCH(C1279,""youtube"")=TRUE,""Youtube"",if(REGEXMATCH(C1279,""tiktok"")=TRUE,""Tiktok"",if("&amp;"REGEXMATCH(C1279,""threads"")=TRUE,""Threads""))))))"),"Facebook")</f>
        <v>Facebook</v>
      </c>
      <c r="G1279" s="18" t="s">
        <v>2265</v>
      </c>
      <c r="H1279" s="18" t="s">
        <v>1465</v>
      </c>
      <c r="I1279" s="18" t="s">
        <v>2262</v>
      </c>
      <c r="J1279" s="18" t="s">
        <v>188</v>
      </c>
      <c r="K1279" s="18"/>
      <c r="L1279" s="15"/>
    </row>
    <row r="1280">
      <c r="A1280" s="15">
        <v>1279.0</v>
      </c>
      <c r="B1280" s="21">
        <v>45974.0</v>
      </c>
      <c r="C1280" s="22" t="s">
        <v>2266</v>
      </c>
      <c r="D1280" s="18"/>
      <c r="E1280" s="18" t="s">
        <v>226</v>
      </c>
      <c r="F1280" s="18" t="str">
        <f>IFERROR(__xludf.DUMMYFUNCTION("if(REGEXMATCH(C1280,""x.com"")=TRUE,""Twitter"",if(REGEXMATCH(C1280,""facebook"")=TRUE,""Facebook"",if(REGEXMATCH(C1280,""instagram"")=TRUE,""Instagram"",if(REGEXMATCH(C1280,""youtube"")=TRUE,""Youtube"",if(REGEXMATCH(C1280,""tiktok"")=TRUE,""Tiktok"",if("&amp;"REGEXMATCH(C1280,""threads"")=TRUE,""Threads""))))))"),"Facebook")</f>
        <v>Facebook</v>
      </c>
      <c r="G1280" s="18" t="s">
        <v>2261</v>
      </c>
      <c r="H1280" s="18" t="s">
        <v>1465</v>
      </c>
      <c r="I1280" s="18" t="s">
        <v>2262</v>
      </c>
      <c r="J1280" s="18" t="s">
        <v>188</v>
      </c>
      <c r="K1280" s="18"/>
      <c r="L1280" s="15"/>
    </row>
    <row r="1281">
      <c r="A1281" s="15">
        <v>1280.0</v>
      </c>
      <c r="B1281" s="21">
        <v>45974.0</v>
      </c>
      <c r="C1281" s="27" t="s">
        <v>2267</v>
      </c>
      <c r="D1281" s="18"/>
      <c r="E1281" s="18" t="s">
        <v>226</v>
      </c>
      <c r="F1281" s="18" t="str">
        <f>IFERROR(__xludf.DUMMYFUNCTION("if(REGEXMATCH(C1281,""x.com"")=TRUE,""Twitter"",if(REGEXMATCH(C1281,""facebook"")=TRUE,""Facebook"",if(REGEXMATCH(C1281,""instagram"")=TRUE,""Instagram"",if(REGEXMATCH(C1281,""youtube"")=TRUE,""Youtube"",if(REGEXMATCH(C1281,""tiktok"")=TRUE,""Tiktok"",if("&amp;"REGEXMATCH(C1281,""threads"")=TRUE,""Threads""))))))"),"Facebook")</f>
        <v>Facebook</v>
      </c>
      <c r="G1281" s="18" t="s">
        <v>2268</v>
      </c>
      <c r="H1281" s="18" t="s">
        <v>1465</v>
      </c>
      <c r="I1281" s="18" t="s">
        <v>2262</v>
      </c>
      <c r="J1281" s="18" t="s">
        <v>188</v>
      </c>
      <c r="K1281" s="18"/>
      <c r="L1281" s="15"/>
    </row>
    <row r="1282">
      <c r="A1282" s="15">
        <v>1281.0</v>
      </c>
      <c r="B1282" s="21">
        <v>45974.0</v>
      </c>
      <c r="C1282" s="28" t="s">
        <v>2269</v>
      </c>
      <c r="D1282" s="18"/>
      <c r="E1282" s="18" t="s">
        <v>226</v>
      </c>
      <c r="F1282" s="18" t="str">
        <f>IFERROR(__xludf.DUMMYFUNCTION("if(REGEXMATCH(C1282,""x.com"")=TRUE,""Twitter"",if(REGEXMATCH(C1282,""facebook"")=TRUE,""Facebook"",if(REGEXMATCH(C1282,""instagram"")=TRUE,""Instagram"",if(REGEXMATCH(C1282,""youtube"")=TRUE,""Youtube"",if(REGEXMATCH(C1282,""tiktok"")=TRUE,""Tiktok"",if("&amp;"REGEXMATCH(C1282,""threads"")=TRUE,""Threads""))))))"),"Facebook")</f>
        <v>Facebook</v>
      </c>
      <c r="G1282" s="18" t="s">
        <v>2261</v>
      </c>
      <c r="H1282" s="18" t="s">
        <v>1465</v>
      </c>
      <c r="I1282" s="18" t="s">
        <v>2262</v>
      </c>
      <c r="J1282" s="18" t="s">
        <v>188</v>
      </c>
      <c r="K1282" s="18"/>
      <c r="L1282" s="15"/>
    </row>
    <row r="1283">
      <c r="A1283" s="15">
        <v>1282.0</v>
      </c>
      <c r="B1283" s="21">
        <v>45974.0</v>
      </c>
      <c r="C1283" s="22" t="s">
        <v>2270</v>
      </c>
      <c r="D1283" s="18"/>
      <c r="E1283" s="18" t="s">
        <v>226</v>
      </c>
      <c r="F1283" s="18" t="str">
        <f>IFERROR(__xludf.DUMMYFUNCTION("if(REGEXMATCH(C1283,""x.com"")=TRUE,""Twitter"",if(REGEXMATCH(C1283,""facebook"")=TRUE,""Facebook"",if(REGEXMATCH(C1283,""instagram"")=TRUE,""Instagram"",if(REGEXMATCH(C1283,""youtube"")=TRUE,""Youtube"",if(REGEXMATCH(C1283,""tiktok"")=TRUE,""Tiktok"",if("&amp;"REGEXMATCH(C1283,""threads"")=TRUE,""Threads""))))))"),"Facebook")</f>
        <v>Facebook</v>
      </c>
      <c r="G1283" s="18" t="s">
        <v>2261</v>
      </c>
      <c r="H1283" s="18" t="s">
        <v>1465</v>
      </c>
      <c r="I1283" s="18" t="s">
        <v>2262</v>
      </c>
      <c r="J1283" s="18" t="s">
        <v>188</v>
      </c>
      <c r="K1283" s="18"/>
      <c r="L1283" s="15"/>
    </row>
    <row r="1284">
      <c r="A1284" s="15">
        <v>1283.0</v>
      </c>
      <c r="B1284" s="21">
        <v>45974.0</v>
      </c>
      <c r="C1284" s="22" t="s">
        <v>2271</v>
      </c>
      <c r="D1284" s="18"/>
      <c r="E1284" s="18" t="s">
        <v>226</v>
      </c>
      <c r="F1284" s="18" t="str">
        <f>IFERROR(__xludf.DUMMYFUNCTION("if(REGEXMATCH(C1284,""x.com"")=TRUE,""Twitter"",if(REGEXMATCH(C1284,""facebook"")=TRUE,""Facebook"",if(REGEXMATCH(C1284,""instagram"")=TRUE,""Instagram"",if(REGEXMATCH(C1284,""youtube"")=TRUE,""Youtube"",if(REGEXMATCH(C1284,""tiktok"")=TRUE,""Tiktok"",if("&amp;"REGEXMATCH(C1284,""threads"")=TRUE,""Threads""))))))"),"Facebook")</f>
        <v>Facebook</v>
      </c>
      <c r="G1284" s="18" t="s">
        <v>2261</v>
      </c>
      <c r="H1284" s="18" t="s">
        <v>1465</v>
      </c>
      <c r="I1284" s="18" t="s">
        <v>2262</v>
      </c>
      <c r="J1284" s="18" t="s">
        <v>188</v>
      </c>
      <c r="K1284" s="18"/>
      <c r="L1284" s="15"/>
    </row>
    <row r="1285">
      <c r="A1285" s="15">
        <v>1284.0</v>
      </c>
      <c r="B1285" s="21">
        <v>45974.0</v>
      </c>
      <c r="C1285" s="22" t="s">
        <v>2272</v>
      </c>
      <c r="D1285" s="18"/>
      <c r="E1285" s="18" t="s">
        <v>226</v>
      </c>
      <c r="F1285" s="18" t="str">
        <f>IFERROR(__xludf.DUMMYFUNCTION("if(REGEXMATCH(C1285,""x.com"")=TRUE,""Twitter"",if(REGEXMATCH(C1285,""facebook"")=TRUE,""Facebook"",if(REGEXMATCH(C1285,""instagram"")=TRUE,""Instagram"",if(REGEXMATCH(C1285,""youtube"")=TRUE,""Youtube"",if(REGEXMATCH(C1285,""tiktok"")=TRUE,""Tiktok"",if("&amp;"REGEXMATCH(C1285,""threads"")=TRUE,""Threads""))))))"),"Facebook")</f>
        <v>Facebook</v>
      </c>
      <c r="G1285" s="18" t="s">
        <v>2261</v>
      </c>
      <c r="H1285" s="18" t="s">
        <v>1465</v>
      </c>
      <c r="I1285" s="18" t="s">
        <v>2262</v>
      </c>
      <c r="J1285" s="18" t="s">
        <v>188</v>
      </c>
      <c r="K1285" s="18"/>
      <c r="L1285" s="15"/>
    </row>
    <row r="1286">
      <c r="A1286" s="15">
        <v>1285.0</v>
      </c>
      <c r="B1286" s="21">
        <v>45974.0</v>
      </c>
      <c r="C1286" s="22" t="s">
        <v>2273</v>
      </c>
      <c r="D1286" s="18"/>
      <c r="E1286" s="18" t="s">
        <v>226</v>
      </c>
      <c r="F1286" s="18" t="str">
        <f>IFERROR(__xludf.DUMMYFUNCTION("if(REGEXMATCH(C1286,""x.com"")=TRUE,""Twitter"",if(REGEXMATCH(C1286,""facebook"")=TRUE,""Facebook"",if(REGEXMATCH(C1286,""instagram"")=TRUE,""Instagram"",if(REGEXMATCH(C1286,""youtube"")=TRUE,""Youtube"",if(REGEXMATCH(C1286,""tiktok"")=TRUE,""Tiktok"",if("&amp;"REGEXMATCH(C1286,""threads"")=TRUE,""Threads""))))))"),"Facebook")</f>
        <v>Facebook</v>
      </c>
      <c r="G1286" s="18" t="s">
        <v>2261</v>
      </c>
      <c r="H1286" s="18" t="s">
        <v>1465</v>
      </c>
      <c r="I1286" s="18" t="s">
        <v>2262</v>
      </c>
      <c r="J1286" s="18" t="s">
        <v>188</v>
      </c>
      <c r="K1286" s="18"/>
      <c r="L1286" s="15"/>
    </row>
    <row r="1287">
      <c r="A1287" s="15">
        <v>1286.0</v>
      </c>
      <c r="B1287" s="21">
        <v>45975.0</v>
      </c>
      <c r="C1287" s="22" t="s">
        <v>2274</v>
      </c>
      <c r="D1287" s="18"/>
      <c r="E1287" s="18" t="s">
        <v>2018</v>
      </c>
      <c r="F1287" s="18" t="str">
        <f>IFERROR(__xludf.DUMMYFUNCTION("if(REGEXMATCH(C1287,""x.com"")=TRUE,""Twitter"",if(REGEXMATCH(C1287,""facebook"")=TRUE,""Facebook"",if(REGEXMATCH(C1287,""instagram"")=TRUE,""Instagram"",if(REGEXMATCH(C1287,""youtube"")=TRUE,""Youtube"",if(REGEXMATCH(C1287,""tiktok"")=TRUE,""Tiktok"",if("&amp;"REGEXMATCH(C1287,""threads"")=TRUE,""Threads""))))))"),"Facebook")</f>
        <v>Facebook</v>
      </c>
      <c r="G1287" s="18" t="s">
        <v>2275</v>
      </c>
      <c r="H1287" s="18" t="s">
        <v>2023</v>
      </c>
      <c r="I1287" s="18"/>
      <c r="J1287" s="18" t="s">
        <v>188</v>
      </c>
      <c r="K1287" s="18"/>
      <c r="L1287" s="15"/>
    </row>
    <row r="1288">
      <c r="A1288" s="15">
        <v>1287.0</v>
      </c>
      <c r="B1288" s="21">
        <v>45975.0</v>
      </c>
      <c r="C1288" s="22" t="s">
        <v>2276</v>
      </c>
      <c r="D1288" s="18"/>
      <c r="E1288" s="18" t="s">
        <v>2018</v>
      </c>
      <c r="F1288" s="18" t="str">
        <f>IFERROR(__xludf.DUMMYFUNCTION("if(REGEXMATCH(C1288,""x.com"")=TRUE,""Twitter"",if(REGEXMATCH(C1288,""facebook"")=TRUE,""Facebook"",if(REGEXMATCH(C1288,""instagram"")=TRUE,""Instagram"",if(REGEXMATCH(C1288,""youtube"")=TRUE,""Youtube"",if(REGEXMATCH(C1288,""tiktok"")=TRUE,""Tiktok"",if("&amp;"REGEXMATCH(C1288,""threads"")=TRUE,""Threads""))))))"),"Facebook")</f>
        <v>Facebook</v>
      </c>
      <c r="G1288" s="18" t="s">
        <v>2275</v>
      </c>
      <c r="H1288" s="18" t="s">
        <v>2023</v>
      </c>
      <c r="I1288" s="18"/>
      <c r="J1288" s="18" t="s">
        <v>188</v>
      </c>
      <c r="K1288" s="18"/>
      <c r="L1288" s="15"/>
    </row>
    <row r="1289">
      <c r="A1289" s="15">
        <v>1288.0</v>
      </c>
      <c r="B1289" s="21">
        <v>45975.0</v>
      </c>
      <c r="C1289" s="22" t="s">
        <v>2277</v>
      </c>
      <c r="D1289" s="18"/>
      <c r="E1289" s="18" t="s">
        <v>197</v>
      </c>
      <c r="F1289" s="18" t="str">
        <f>IFERROR(__xludf.DUMMYFUNCTION("if(REGEXMATCH(C1289,""x.com"")=TRUE,""Twitter"",if(REGEXMATCH(C1289,""facebook"")=TRUE,""Facebook"",if(REGEXMATCH(C1289,""instagram"")=TRUE,""Instagram"",if(REGEXMATCH(C1289,""youtube"")=TRUE,""Youtube"",if(REGEXMATCH(C1289,""tiktok"")=TRUE,""Tiktok"",if("&amp;"REGEXMATCH(C1289,""threads"")=TRUE,""Threads""))))))"),"Facebook")</f>
        <v>Facebook</v>
      </c>
      <c r="G1289" s="18" t="s">
        <v>2278</v>
      </c>
      <c r="H1289" s="34" t="s">
        <v>1782</v>
      </c>
      <c r="I1289" s="34" t="s">
        <v>535</v>
      </c>
      <c r="J1289" s="18" t="s">
        <v>188</v>
      </c>
      <c r="K1289" s="18" t="s">
        <v>1611</v>
      </c>
      <c r="L1289" s="15"/>
    </row>
    <row r="1290">
      <c r="A1290" s="15">
        <v>1289.0</v>
      </c>
      <c r="B1290" s="21">
        <v>45975.0</v>
      </c>
      <c r="C1290" s="22" t="s">
        <v>2279</v>
      </c>
      <c r="D1290" s="18"/>
      <c r="E1290" s="18" t="s">
        <v>197</v>
      </c>
      <c r="F1290" s="18" t="str">
        <f>IFERROR(__xludf.DUMMYFUNCTION("if(REGEXMATCH(C1290,""x.com"")=TRUE,""Twitter"",if(REGEXMATCH(C1290,""facebook"")=TRUE,""Facebook"",if(REGEXMATCH(C1290,""instagram"")=TRUE,""Instagram"",if(REGEXMATCH(C1290,""youtube"")=TRUE,""Youtube"",if(REGEXMATCH(C1290,""tiktok"")=TRUE,""Tiktok"",if("&amp;"REGEXMATCH(C1290,""threads"")=TRUE,""Threads""))))))"),"Facebook")</f>
        <v>Facebook</v>
      </c>
      <c r="G1290" s="18" t="s">
        <v>2278</v>
      </c>
      <c r="H1290" s="36"/>
      <c r="I1290" s="36"/>
      <c r="J1290" s="18" t="s">
        <v>188</v>
      </c>
      <c r="K1290" s="18" t="s">
        <v>1611</v>
      </c>
      <c r="L1290" s="15"/>
    </row>
    <row r="1291">
      <c r="A1291" s="15">
        <v>1290.0</v>
      </c>
      <c r="B1291" s="21">
        <v>45975.0</v>
      </c>
      <c r="C1291" s="22" t="s">
        <v>2280</v>
      </c>
      <c r="D1291" s="18"/>
      <c r="E1291" s="18" t="s">
        <v>197</v>
      </c>
      <c r="F1291" s="18" t="str">
        <f>IFERROR(__xludf.DUMMYFUNCTION("if(REGEXMATCH(C1291,""x.com"")=TRUE,""Twitter"",if(REGEXMATCH(C1291,""facebook"")=TRUE,""Facebook"",if(REGEXMATCH(C1291,""instagram"")=TRUE,""Instagram"",if(REGEXMATCH(C1291,""youtube"")=TRUE,""Youtube"",if(REGEXMATCH(C1291,""tiktok"")=TRUE,""Tiktok"",if("&amp;"REGEXMATCH(C1291,""threads"")=TRUE,""Threads""))))))"),"Twitter")</f>
        <v>Twitter</v>
      </c>
      <c r="G1291" s="18" t="s">
        <v>2281</v>
      </c>
      <c r="H1291" s="36"/>
      <c r="I1291" s="36"/>
      <c r="J1291" s="18" t="s">
        <v>188</v>
      </c>
      <c r="K1291" s="18" t="s">
        <v>1611</v>
      </c>
      <c r="L1291" s="15"/>
    </row>
    <row r="1292">
      <c r="A1292" s="15">
        <v>1291.0</v>
      </c>
      <c r="B1292" s="21">
        <v>45975.0</v>
      </c>
      <c r="C1292" s="22" t="s">
        <v>2282</v>
      </c>
      <c r="D1292" s="18"/>
      <c r="E1292" s="18" t="s">
        <v>197</v>
      </c>
      <c r="F1292" s="18" t="str">
        <f>IFERROR(__xludf.DUMMYFUNCTION("if(REGEXMATCH(C1292,""x.com"")=TRUE,""Twitter"",if(REGEXMATCH(C1292,""facebook"")=TRUE,""Facebook"",if(REGEXMATCH(C1292,""instagram"")=TRUE,""Instagram"",if(REGEXMATCH(C1292,""youtube"")=TRUE,""Youtube"",if(REGEXMATCH(C1292,""tiktok"")=TRUE,""Tiktok"",if("&amp;"REGEXMATCH(C1292,""threads"")=TRUE,""Threads""))))))"),"Twitter")</f>
        <v>Twitter</v>
      </c>
      <c r="G1292" s="18" t="s">
        <v>2283</v>
      </c>
      <c r="H1292" s="36"/>
      <c r="I1292" s="36"/>
      <c r="J1292" s="18" t="s">
        <v>188</v>
      </c>
      <c r="K1292" s="18" t="s">
        <v>1611</v>
      </c>
      <c r="L1292" s="15"/>
    </row>
    <row r="1293">
      <c r="A1293" s="15">
        <v>1292.0</v>
      </c>
      <c r="B1293" s="21">
        <v>45975.0</v>
      </c>
      <c r="C1293" s="22" t="s">
        <v>2284</v>
      </c>
      <c r="D1293" s="18"/>
      <c r="E1293" s="18" t="s">
        <v>197</v>
      </c>
      <c r="F1293" s="18" t="str">
        <f>IFERROR(__xludf.DUMMYFUNCTION("if(REGEXMATCH(C1293,""x.com"")=TRUE,""Twitter"",if(REGEXMATCH(C1293,""facebook"")=TRUE,""Facebook"",if(REGEXMATCH(C1293,""instagram"")=TRUE,""Instagram"",if(REGEXMATCH(C1293,""youtube"")=TRUE,""Youtube"",if(REGEXMATCH(C1293,""tiktok"")=TRUE,""Tiktok"",if("&amp;"REGEXMATCH(C1293,""threads"")=TRUE,""Threads""))))))"),"Twitter")</f>
        <v>Twitter</v>
      </c>
      <c r="G1293" s="18" t="s">
        <v>2241</v>
      </c>
      <c r="H1293" s="36"/>
      <c r="I1293" s="36"/>
      <c r="J1293" s="18" t="s">
        <v>188</v>
      </c>
      <c r="K1293" s="18" t="s">
        <v>1611</v>
      </c>
      <c r="L1293" s="15"/>
    </row>
    <row r="1294">
      <c r="A1294" s="15">
        <v>1293.0</v>
      </c>
      <c r="B1294" s="21">
        <v>45975.0</v>
      </c>
      <c r="C1294" s="22" t="s">
        <v>2285</v>
      </c>
      <c r="D1294" s="18"/>
      <c r="E1294" s="18" t="s">
        <v>197</v>
      </c>
      <c r="F1294" s="18" t="str">
        <f>IFERROR(__xludf.DUMMYFUNCTION("if(REGEXMATCH(C1294,""x.com"")=TRUE,""Twitter"",if(REGEXMATCH(C1294,""facebook"")=TRUE,""Facebook"",if(REGEXMATCH(C1294,""instagram"")=TRUE,""Instagram"",if(REGEXMATCH(C1294,""youtube"")=TRUE,""Youtube"",if(REGEXMATCH(C1294,""tiktok"")=TRUE,""Tiktok"",if("&amp;"REGEXMATCH(C1294,""threads"")=TRUE,""Threads""))))))"),"Twitter")</f>
        <v>Twitter</v>
      </c>
      <c r="G1294" s="18" t="s">
        <v>2286</v>
      </c>
      <c r="H1294" s="36"/>
      <c r="I1294" s="36"/>
      <c r="J1294" s="18" t="s">
        <v>188</v>
      </c>
      <c r="K1294" s="18" t="s">
        <v>1611</v>
      </c>
      <c r="L1294" s="15"/>
    </row>
    <row r="1295">
      <c r="A1295" s="15">
        <v>1294.0</v>
      </c>
      <c r="B1295" s="21">
        <v>45975.0</v>
      </c>
      <c r="C1295" s="22" t="s">
        <v>2287</v>
      </c>
      <c r="D1295" s="18"/>
      <c r="E1295" s="18" t="s">
        <v>197</v>
      </c>
      <c r="F1295" s="18" t="str">
        <f>IFERROR(__xludf.DUMMYFUNCTION("if(REGEXMATCH(C1295,""x.com"")=TRUE,""Twitter"",if(REGEXMATCH(C1295,""facebook"")=TRUE,""Facebook"",if(REGEXMATCH(C1295,""instagram"")=TRUE,""Instagram"",if(REGEXMATCH(C1295,""youtube"")=TRUE,""Youtube"",if(REGEXMATCH(C1295,""tiktok"")=TRUE,""Tiktok"",if("&amp;"REGEXMATCH(C1295,""threads"")=TRUE,""Threads""))))))"),"Twitter")</f>
        <v>Twitter</v>
      </c>
      <c r="G1295" s="18" t="s">
        <v>2288</v>
      </c>
      <c r="H1295" s="36"/>
      <c r="I1295" s="36"/>
      <c r="J1295" s="18" t="s">
        <v>188</v>
      </c>
      <c r="K1295" s="18" t="s">
        <v>1611</v>
      </c>
      <c r="L1295" s="15"/>
    </row>
    <row r="1296">
      <c r="A1296" s="15">
        <v>1295.0</v>
      </c>
      <c r="B1296" s="21">
        <v>45975.0</v>
      </c>
      <c r="C1296" s="22" t="s">
        <v>2289</v>
      </c>
      <c r="D1296" s="18"/>
      <c r="E1296" s="18" t="s">
        <v>197</v>
      </c>
      <c r="F1296" s="18" t="str">
        <f>IFERROR(__xludf.DUMMYFUNCTION("if(REGEXMATCH(C1296,""x.com"")=TRUE,""Twitter"",if(REGEXMATCH(C1296,""facebook"")=TRUE,""Facebook"",if(REGEXMATCH(C1296,""instagram"")=TRUE,""Instagram"",if(REGEXMATCH(C1296,""youtube"")=TRUE,""Youtube"",if(REGEXMATCH(C1296,""tiktok"")=TRUE,""Tiktok"",if("&amp;"REGEXMATCH(C1296,""threads"")=TRUE,""Threads""))))))"),"Twitter")</f>
        <v>Twitter</v>
      </c>
      <c r="G1296" s="18" t="s">
        <v>2290</v>
      </c>
      <c r="H1296" s="36"/>
      <c r="I1296" s="36"/>
      <c r="J1296" s="18" t="s">
        <v>188</v>
      </c>
      <c r="K1296" s="18" t="s">
        <v>1611</v>
      </c>
      <c r="L1296" s="15"/>
    </row>
    <row r="1297">
      <c r="A1297" s="15">
        <v>1296.0</v>
      </c>
      <c r="B1297" s="21">
        <v>45975.0</v>
      </c>
      <c r="C1297" s="22" t="s">
        <v>2291</v>
      </c>
      <c r="D1297" s="18"/>
      <c r="E1297" s="18" t="s">
        <v>197</v>
      </c>
      <c r="F1297" s="18" t="str">
        <f>IFERROR(__xludf.DUMMYFUNCTION("if(REGEXMATCH(C1297,""x.com"")=TRUE,""Twitter"",if(REGEXMATCH(C1297,""facebook"")=TRUE,""Facebook"",if(REGEXMATCH(C1297,""instagram"")=TRUE,""Instagram"",if(REGEXMATCH(C1297,""youtube"")=TRUE,""Youtube"",if(REGEXMATCH(C1297,""tiktok"")=TRUE,""Tiktok"",if("&amp;"REGEXMATCH(C1297,""threads"")=TRUE,""Threads""))))))"),"Facebook")</f>
        <v>Facebook</v>
      </c>
      <c r="G1297" s="18" t="s">
        <v>2292</v>
      </c>
      <c r="H1297" s="36"/>
      <c r="I1297" s="36"/>
      <c r="J1297" s="18" t="s">
        <v>188</v>
      </c>
      <c r="K1297" s="18"/>
      <c r="L1297" s="15"/>
    </row>
    <row r="1298">
      <c r="A1298" s="15">
        <v>1297.0</v>
      </c>
      <c r="B1298" s="21">
        <v>45975.0</v>
      </c>
      <c r="C1298" s="22" t="s">
        <v>2293</v>
      </c>
      <c r="D1298" s="18"/>
      <c r="E1298" s="18" t="s">
        <v>1146</v>
      </c>
      <c r="F1298" s="18" t="str">
        <f>IFERROR(__xludf.DUMMYFUNCTION("if(REGEXMATCH(C1298,""x.com"")=TRUE,""Twitter"",if(REGEXMATCH(C1298,""facebook"")=TRUE,""Facebook"",if(REGEXMATCH(C1298,""instagram"")=TRUE,""Instagram"",if(REGEXMATCH(C1298,""youtube"")=TRUE,""Youtube"",if(REGEXMATCH(C1298,""tiktok"")=TRUE,""Tiktok"",if("&amp;"REGEXMATCH(C1298,""threads"")=TRUE,""Threads""))))))"),"Facebook")</f>
        <v>Facebook</v>
      </c>
      <c r="G1298" s="18" t="s">
        <v>2294</v>
      </c>
      <c r="H1298" s="36"/>
      <c r="I1298" s="36"/>
      <c r="J1298" s="18" t="s">
        <v>188</v>
      </c>
      <c r="K1298" s="18"/>
      <c r="L1298" s="15"/>
    </row>
    <row r="1299">
      <c r="A1299" s="15">
        <v>1298.0</v>
      </c>
      <c r="B1299" s="21">
        <v>45975.0</v>
      </c>
      <c r="C1299" s="22" t="s">
        <v>2295</v>
      </c>
      <c r="D1299" s="18"/>
      <c r="E1299" s="18" t="s">
        <v>1146</v>
      </c>
      <c r="F1299" s="18" t="str">
        <f>IFERROR(__xludf.DUMMYFUNCTION("if(REGEXMATCH(C1299,""x.com"")=TRUE,""Twitter"",if(REGEXMATCH(C1299,""facebook"")=TRUE,""Facebook"",if(REGEXMATCH(C1299,""instagram"")=TRUE,""Instagram"",if(REGEXMATCH(C1299,""youtube"")=TRUE,""Youtube"",if(REGEXMATCH(C1299,""tiktok"")=TRUE,""Tiktok"",if("&amp;"REGEXMATCH(C1299,""threads"")=TRUE,""Threads""))))))"),"Facebook")</f>
        <v>Facebook</v>
      </c>
      <c r="G1299" s="18" t="s">
        <v>2296</v>
      </c>
      <c r="H1299" s="36"/>
      <c r="I1299" s="36"/>
      <c r="J1299" s="18" t="s">
        <v>188</v>
      </c>
      <c r="K1299" s="18"/>
      <c r="L1299" s="15"/>
    </row>
    <row r="1300">
      <c r="A1300" s="15">
        <v>1299.0</v>
      </c>
      <c r="B1300" s="21">
        <v>45975.0</v>
      </c>
      <c r="C1300" s="22" t="s">
        <v>2297</v>
      </c>
      <c r="D1300" s="18"/>
      <c r="E1300" s="18" t="s">
        <v>1146</v>
      </c>
      <c r="F1300" s="18" t="str">
        <f>IFERROR(__xludf.DUMMYFUNCTION("if(REGEXMATCH(C1300,""x.com"")=TRUE,""Twitter"",if(REGEXMATCH(C1300,""facebook"")=TRUE,""Facebook"",if(REGEXMATCH(C1300,""instagram"")=TRUE,""Instagram"",if(REGEXMATCH(C1300,""youtube"")=TRUE,""Youtube"",if(REGEXMATCH(C1300,""tiktok"")=TRUE,""Tiktok"",if("&amp;"REGEXMATCH(C1300,""threads"")=TRUE,""Threads""))))))"),"Facebook")</f>
        <v>Facebook</v>
      </c>
      <c r="G1300" s="18" t="s">
        <v>2298</v>
      </c>
      <c r="H1300" s="36"/>
      <c r="I1300" s="36"/>
      <c r="J1300" s="18" t="s">
        <v>188</v>
      </c>
      <c r="K1300" s="18"/>
      <c r="L1300" s="15"/>
    </row>
    <row r="1301">
      <c r="A1301" s="15">
        <v>1300.0</v>
      </c>
      <c r="B1301" s="21">
        <v>45975.0</v>
      </c>
      <c r="C1301" s="22" t="s">
        <v>2299</v>
      </c>
      <c r="D1301" s="18"/>
      <c r="E1301" s="18" t="s">
        <v>1146</v>
      </c>
      <c r="F1301" s="18" t="str">
        <f>IFERROR(__xludf.DUMMYFUNCTION("if(REGEXMATCH(C1301,""x.com"")=TRUE,""Twitter"",if(REGEXMATCH(C1301,""facebook"")=TRUE,""Facebook"",if(REGEXMATCH(C1301,""instagram"")=TRUE,""Instagram"",if(REGEXMATCH(C1301,""youtube"")=TRUE,""Youtube"",if(REGEXMATCH(C1301,""tiktok"")=TRUE,""Tiktok"",if("&amp;"REGEXMATCH(C1301,""threads"")=TRUE,""Threads""))))))"),"Facebook")</f>
        <v>Facebook</v>
      </c>
      <c r="G1301" s="18" t="s">
        <v>2300</v>
      </c>
      <c r="H1301" s="36"/>
      <c r="I1301" s="36"/>
      <c r="J1301" s="18" t="s">
        <v>188</v>
      </c>
      <c r="K1301" s="18"/>
      <c r="L1301" s="15"/>
    </row>
    <row r="1302">
      <c r="A1302" s="15">
        <v>1301.0</v>
      </c>
      <c r="B1302" s="21">
        <v>45975.0</v>
      </c>
      <c r="C1302" s="22" t="s">
        <v>2301</v>
      </c>
      <c r="D1302" s="18"/>
      <c r="E1302" s="18" t="s">
        <v>197</v>
      </c>
      <c r="F1302" s="18" t="str">
        <f>IFERROR(__xludf.DUMMYFUNCTION("if(REGEXMATCH(C1302,""x.com"")=TRUE,""Twitter"",if(REGEXMATCH(C1302,""facebook"")=TRUE,""Facebook"",if(REGEXMATCH(C1302,""instagram"")=TRUE,""Instagram"",if(REGEXMATCH(C1302,""youtube"")=TRUE,""Youtube"",if(REGEXMATCH(C1302,""tiktok"")=TRUE,""Tiktok"",if("&amp;"REGEXMATCH(C1302,""threads"")=TRUE,""Threads""))))))"),"Twitter")</f>
        <v>Twitter</v>
      </c>
      <c r="G1302" s="18" t="s">
        <v>2302</v>
      </c>
      <c r="H1302" s="35"/>
      <c r="I1302" s="35"/>
      <c r="J1302" s="18" t="s">
        <v>188</v>
      </c>
      <c r="K1302" s="18"/>
      <c r="L1302" s="15"/>
    </row>
    <row r="1303">
      <c r="A1303" s="15">
        <v>1302.0</v>
      </c>
      <c r="B1303" s="21">
        <v>45976.0</v>
      </c>
      <c r="C1303" s="22" t="s">
        <v>2303</v>
      </c>
      <c r="D1303" s="18"/>
      <c r="E1303" s="18" t="s">
        <v>197</v>
      </c>
      <c r="F1303" s="18" t="str">
        <f>IFERROR(__xludf.DUMMYFUNCTION("if(REGEXMATCH(C1303,""x.com"")=TRUE,""Twitter"",if(REGEXMATCH(C1303,""facebook"")=TRUE,""Facebook"",if(REGEXMATCH(C1303,""instagram"")=TRUE,""Instagram"",if(REGEXMATCH(C1303,""youtube"")=TRUE,""Youtube"",if(REGEXMATCH(C1303,""tiktok"")=TRUE,""Tiktok"",if("&amp;"REGEXMATCH(C1303,""threads"")=TRUE,""Threads""))))))"),"Tiktok")</f>
        <v>Tiktok</v>
      </c>
      <c r="G1303" s="18" t="s">
        <v>2304</v>
      </c>
      <c r="H1303" s="18" t="s">
        <v>2006</v>
      </c>
      <c r="I1303" s="18" t="s">
        <v>535</v>
      </c>
      <c r="J1303" s="18" t="s">
        <v>188</v>
      </c>
      <c r="K1303" s="18" t="s">
        <v>1611</v>
      </c>
      <c r="L1303" s="15"/>
    </row>
    <row r="1304">
      <c r="A1304" s="15">
        <v>1303.0</v>
      </c>
      <c r="B1304" s="21">
        <v>45976.0</v>
      </c>
      <c r="C1304" s="22" t="s">
        <v>2305</v>
      </c>
      <c r="D1304" s="18"/>
      <c r="E1304" s="18" t="s">
        <v>197</v>
      </c>
      <c r="F1304" s="18" t="str">
        <f>IFERROR(__xludf.DUMMYFUNCTION("if(REGEXMATCH(C1304,""x.com"")=TRUE,""Twitter"",if(REGEXMATCH(C1304,""facebook"")=TRUE,""Facebook"",if(REGEXMATCH(C1304,""instagram"")=TRUE,""Instagram"",if(REGEXMATCH(C1304,""youtube"")=TRUE,""Youtube"",if(REGEXMATCH(C1304,""tiktok"")=TRUE,""Tiktok"",if("&amp;"REGEXMATCH(C1304,""threads"")=TRUE,""Threads""))))))"),"Tiktok")</f>
        <v>Tiktok</v>
      </c>
      <c r="G1304" s="18" t="s">
        <v>2306</v>
      </c>
      <c r="H1304" s="18" t="s">
        <v>2006</v>
      </c>
      <c r="I1304" s="18" t="s">
        <v>535</v>
      </c>
      <c r="J1304" s="18" t="s">
        <v>188</v>
      </c>
      <c r="K1304" s="18"/>
      <c r="L1304" s="15"/>
    </row>
    <row r="1305">
      <c r="A1305" s="15">
        <v>1304.0</v>
      </c>
      <c r="B1305" s="21">
        <v>45976.0</v>
      </c>
      <c r="C1305" s="22" t="s">
        <v>2307</v>
      </c>
      <c r="D1305" s="18"/>
      <c r="E1305" s="18" t="s">
        <v>197</v>
      </c>
      <c r="F1305" s="18" t="str">
        <f>IFERROR(__xludf.DUMMYFUNCTION("if(REGEXMATCH(C1305,""x.com"")=TRUE,""Twitter"",if(REGEXMATCH(C1305,""facebook"")=TRUE,""Facebook"",if(REGEXMATCH(C1305,""instagram"")=TRUE,""Instagram"",if(REGEXMATCH(C1305,""youtube"")=TRUE,""Youtube"",if(REGEXMATCH(C1305,""tiktok"")=TRUE,""Tiktok"",if("&amp;"REGEXMATCH(C1305,""threads"")=TRUE,""Threads""))))))"),"Tiktok")</f>
        <v>Tiktok</v>
      </c>
      <c r="G1305" s="18" t="s">
        <v>2308</v>
      </c>
      <c r="H1305" s="18" t="s">
        <v>2006</v>
      </c>
      <c r="I1305" s="18" t="s">
        <v>535</v>
      </c>
      <c r="J1305" s="18" t="s">
        <v>188</v>
      </c>
      <c r="K1305" s="18"/>
      <c r="L1305" s="15"/>
    </row>
    <row r="1306">
      <c r="A1306" s="15">
        <v>1305.0</v>
      </c>
      <c r="B1306" s="21">
        <v>45976.0</v>
      </c>
      <c r="C1306" s="22" t="s">
        <v>2309</v>
      </c>
      <c r="D1306" s="18"/>
      <c r="E1306" s="18" t="s">
        <v>197</v>
      </c>
      <c r="F1306" s="18" t="str">
        <f>IFERROR(__xludf.DUMMYFUNCTION("if(REGEXMATCH(C1306,""x.com"")=TRUE,""Twitter"",if(REGEXMATCH(C1306,""facebook"")=TRUE,""Facebook"",if(REGEXMATCH(C1306,""instagram"")=TRUE,""Instagram"",if(REGEXMATCH(C1306,""youtube"")=TRUE,""Youtube"",if(REGEXMATCH(C1306,""tiktok"")=TRUE,""Tiktok"",if("&amp;"REGEXMATCH(C1306,""threads"")=TRUE,""Threads""))))))"),"Tiktok")</f>
        <v>Tiktok</v>
      </c>
      <c r="G1306" s="18" t="s">
        <v>2310</v>
      </c>
      <c r="H1306" s="18" t="s">
        <v>2006</v>
      </c>
      <c r="I1306" s="18" t="s">
        <v>535</v>
      </c>
      <c r="J1306" s="18" t="s">
        <v>188</v>
      </c>
      <c r="K1306" s="18"/>
      <c r="L1306" s="15"/>
    </row>
    <row r="1307">
      <c r="A1307" s="15">
        <v>1306.0</v>
      </c>
      <c r="B1307" s="21">
        <v>45976.0</v>
      </c>
      <c r="C1307" s="22" t="s">
        <v>2311</v>
      </c>
      <c r="D1307" s="18"/>
      <c r="E1307" s="18" t="s">
        <v>197</v>
      </c>
      <c r="F1307" s="18" t="str">
        <f>IFERROR(__xludf.DUMMYFUNCTION("if(REGEXMATCH(C1307,""x.com"")=TRUE,""Twitter"",if(REGEXMATCH(C1307,""facebook"")=TRUE,""Facebook"",if(REGEXMATCH(C1307,""instagram"")=TRUE,""Instagram"",if(REGEXMATCH(C1307,""youtube"")=TRUE,""Youtube"",if(REGEXMATCH(C1307,""tiktok"")=TRUE,""Tiktok"",if("&amp;"REGEXMATCH(C1307,""threads"")=TRUE,""Threads""))))))"),"Tiktok")</f>
        <v>Tiktok</v>
      </c>
      <c r="G1307" s="18" t="s">
        <v>2312</v>
      </c>
      <c r="H1307" s="18" t="s">
        <v>2006</v>
      </c>
      <c r="I1307" s="18" t="s">
        <v>535</v>
      </c>
      <c r="J1307" s="18" t="s">
        <v>188</v>
      </c>
      <c r="K1307" s="18"/>
      <c r="L1307" s="15"/>
    </row>
    <row r="1308">
      <c r="A1308" s="15">
        <v>1307.0</v>
      </c>
      <c r="B1308" s="21">
        <v>45976.0</v>
      </c>
      <c r="C1308" s="22" t="s">
        <v>2313</v>
      </c>
      <c r="D1308" s="18"/>
      <c r="E1308" s="18" t="s">
        <v>197</v>
      </c>
      <c r="F1308" s="18" t="str">
        <f>IFERROR(__xludf.DUMMYFUNCTION("if(REGEXMATCH(C1308,""x.com"")=TRUE,""Twitter"",if(REGEXMATCH(C1308,""facebook"")=TRUE,""Facebook"",if(REGEXMATCH(C1308,""instagram"")=TRUE,""Instagram"",if(REGEXMATCH(C1308,""youtube"")=TRUE,""Youtube"",if(REGEXMATCH(C1308,""tiktok"")=TRUE,""Tiktok"",if("&amp;"REGEXMATCH(C1308,""threads"")=TRUE,""Threads""))))))"),"Tiktok")</f>
        <v>Tiktok</v>
      </c>
      <c r="G1308" s="18" t="s">
        <v>2312</v>
      </c>
      <c r="H1308" s="18" t="s">
        <v>2006</v>
      </c>
      <c r="I1308" s="18" t="s">
        <v>535</v>
      </c>
      <c r="J1308" s="18" t="s">
        <v>188</v>
      </c>
      <c r="K1308" s="18"/>
      <c r="L1308" s="15"/>
    </row>
    <row r="1309">
      <c r="A1309" s="15">
        <v>1308.0</v>
      </c>
      <c r="B1309" s="21">
        <v>45976.0</v>
      </c>
      <c r="C1309" s="22" t="s">
        <v>2314</v>
      </c>
      <c r="D1309" s="18"/>
      <c r="E1309" s="18" t="s">
        <v>197</v>
      </c>
      <c r="F1309" s="18" t="str">
        <f>IFERROR(__xludf.DUMMYFUNCTION("if(REGEXMATCH(C1309,""x.com"")=TRUE,""Twitter"",if(REGEXMATCH(C1309,""facebook"")=TRUE,""Facebook"",if(REGEXMATCH(C1309,""instagram"")=TRUE,""Instagram"",if(REGEXMATCH(C1309,""youtube"")=TRUE,""Youtube"",if(REGEXMATCH(C1309,""tiktok"")=TRUE,""Tiktok"",if("&amp;"REGEXMATCH(C1309,""threads"")=TRUE,""Threads""))))))"),"Tiktok")</f>
        <v>Tiktok</v>
      </c>
      <c r="G1309" s="18" t="s">
        <v>2312</v>
      </c>
      <c r="H1309" s="18" t="s">
        <v>2006</v>
      </c>
      <c r="I1309" s="18" t="s">
        <v>535</v>
      </c>
      <c r="J1309" s="18" t="s">
        <v>188</v>
      </c>
      <c r="K1309" s="18"/>
      <c r="L1309" s="15"/>
    </row>
    <row r="1310">
      <c r="A1310" s="15">
        <v>1309.0</v>
      </c>
      <c r="B1310" s="21">
        <v>45976.0</v>
      </c>
      <c r="C1310" s="22" t="s">
        <v>2315</v>
      </c>
      <c r="D1310" s="18"/>
      <c r="E1310" s="18" t="s">
        <v>197</v>
      </c>
      <c r="F1310" s="18" t="str">
        <f>IFERROR(__xludf.DUMMYFUNCTION("if(REGEXMATCH(C1310,""x.com"")=TRUE,""Twitter"",if(REGEXMATCH(C1310,""facebook"")=TRUE,""Facebook"",if(REGEXMATCH(C1310,""instagram"")=TRUE,""Instagram"",if(REGEXMATCH(C1310,""youtube"")=TRUE,""Youtube"",if(REGEXMATCH(C1310,""tiktok"")=TRUE,""Tiktok"",if("&amp;"REGEXMATCH(C1310,""threads"")=TRUE,""Threads""))))))"),"Tiktok")</f>
        <v>Tiktok</v>
      </c>
      <c r="G1310" s="18" t="s">
        <v>2312</v>
      </c>
      <c r="H1310" s="18" t="s">
        <v>2006</v>
      </c>
      <c r="I1310" s="18" t="s">
        <v>535</v>
      </c>
      <c r="J1310" s="18" t="s">
        <v>188</v>
      </c>
      <c r="K1310" s="18"/>
      <c r="L1310" s="15"/>
    </row>
    <row r="1311">
      <c r="A1311" s="15">
        <v>1310.0</v>
      </c>
      <c r="B1311" s="21">
        <v>45976.0</v>
      </c>
      <c r="C1311" s="22" t="s">
        <v>2316</v>
      </c>
      <c r="D1311" s="18"/>
      <c r="E1311" s="18" t="s">
        <v>197</v>
      </c>
      <c r="F1311" s="18" t="str">
        <f>IFERROR(__xludf.DUMMYFUNCTION("if(REGEXMATCH(C1311,""x.com"")=TRUE,""Twitter"",if(REGEXMATCH(C1311,""facebook"")=TRUE,""Facebook"",if(REGEXMATCH(C1311,""instagram"")=TRUE,""Instagram"",if(REGEXMATCH(C1311,""youtube"")=TRUE,""Youtube"",if(REGEXMATCH(C1311,""tiktok"")=TRUE,""Tiktok"",if("&amp;"REGEXMATCH(C1311,""threads"")=TRUE,""Threads""))))))"),"Tiktok")</f>
        <v>Tiktok</v>
      </c>
      <c r="G1311" s="18" t="s">
        <v>2312</v>
      </c>
      <c r="H1311" s="18" t="s">
        <v>2006</v>
      </c>
      <c r="I1311" s="18" t="s">
        <v>535</v>
      </c>
      <c r="J1311" s="18" t="s">
        <v>188</v>
      </c>
      <c r="K1311" s="18"/>
      <c r="L1311" s="15"/>
    </row>
    <row r="1312">
      <c r="A1312" s="15">
        <v>1311.0</v>
      </c>
      <c r="B1312" s="39">
        <v>45977.0</v>
      </c>
      <c r="C1312" s="40" t="s">
        <v>2317</v>
      </c>
      <c r="D1312" s="41"/>
      <c r="E1312" s="41" t="s">
        <v>197</v>
      </c>
      <c r="F1312" s="18" t="str">
        <f>IFERROR(__xludf.DUMMYFUNCTION("if(REGEXMATCH(C1312,""x.com"")=TRUE,""Twitter"",if(REGEXMATCH(C1312,""facebook"")=TRUE,""Facebook"",if(REGEXMATCH(C1312,""instagram"")=TRUE,""Instagram"",if(REGEXMATCH(C1312,""youtube"")=TRUE,""Youtube"",if(REGEXMATCH(C1312,""tiktok"")=TRUE,""Tiktok"",if("&amp;"REGEXMATCH(C1312,""threads"")=TRUE,""Threads""))))))"),"Facebook")</f>
        <v>Facebook</v>
      </c>
      <c r="G1312" s="41" t="s">
        <v>2318</v>
      </c>
      <c r="H1312" s="41" t="s">
        <v>2006</v>
      </c>
      <c r="I1312" s="41" t="s">
        <v>535</v>
      </c>
      <c r="J1312" s="41" t="s">
        <v>188</v>
      </c>
      <c r="K1312" s="41" t="s">
        <v>1611</v>
      </c>
      <c r="L1312" s="15"/>
    </row>
    <row r="1313">
      <c r="A1313" s="15">
        <v>1312.0</v>
      </c>
      <c r="B1313" s="39">
        <v>45977.0</v>
      </c>
      <c r="C1313" s="40" t="s">
        <v>2319</v>
      </c>
      <c r="D1313" s="41"/>
      <c r="E1313" s="41" t="s">
        <v>197</v>
      </c>
      <c r="F1313" s="18" t="str">
        <f>IFERROR(__xludf.DUMMYFUNCTION("if(REGEXMATCH(C1313,""x.com"")=TRUE,""Twitter"",if(REGEXMATCH(C1313,""facebook"")=TRUE,""Facebook"",if(REGEXMATCH(C1313,""instagram"")=TRUE,""Instagram"",if(REGEXMATCH(C1313,""youtube"")=TRUE,""Youtube"",if(REGEXMATCH(C1313,""tiktok"")=TRUE,""Tiktok"",if("&amp;"REGEXMATCH(C1313,""threads"")=TRUE,""Threads""))))))"),"Facebook")</f>
        <v>Facebook</v>
      </c>
      <c r="G1313" s="41" t="s">
        <v>2320</v>
      </c>
      <c r="H1313" s="41" t="s">
        <v>2006</v>
      </c>
      <c r="I1313" s="41" t="s">
        <v>535</v>
      </c>
      <c r="J1313" s="41" t="s">
        <v>188</v>
      </c>
      <c r="K1313" s="41" t="s">
        <v>1611</v>
      </c>
      <c r="L1313" s="42"/>
    </row>
    <row r="1314">
      <c r="A1314" s="15">
        <v>1313.0</v>
      </c>
      <c r="B1314" s="39">
        <v>45977.0</v>
      </c>
      <c r="C1314" s="40" t="s">
        <v>2321</v>
      </c>
      <c r="D1314" s="41"/>
      <c r="E1314" s="41" t="s">
        <v>197</v>
      </c>
      <c r="F1314" s="18" t="str">
        <f>IFERROR(__xludf.DUMMYFUNCTION("if(REGEXMATCH(C1314,""x.com"")=TRUE,""Twitter"",if(REGEXMATCH(C1314,""facebook"")=TRUE,""Facebook"",if(REGEXMATCH(C1314,""instagram"")=TRUE,""Instagram"",if(REGEXMATCH(C1314,""youtube"")=TRUE,""Youtube"",if(REGEXMATCH(C1314,""tiktok"")=TRUE,""Tiktok"",if("&amp;"REGEXMATCH(C1314,""threads"")=TRUE,""Threads""))))))"),"Facebook")</f>
        <v>Facebook</v>
      </c>
      <c r="G1314" s="41" t="s">
        <v>2322</v>
      </c>
      <c r="H1314" s="41" t="s">
        <v>2006</v>
      </c>
      <c r="I1314" s="41" t="s">
        <v>535</v>
      </c>
      <c r="J1314" s="41" t="s">
        <v>188</v>
      </c>
      <c r="K1314" s="41" t="s">
        <v>1611</v>
      </c>
      <c r="L1314" s="42"/>
    </row>
    <row r="1315">
      <c r="A1315" s="15">
        <v>1314.0</v>
      </c>
      <c r="B1315" s="39">
        <v>45977.0</v>
      </c>
      <c r="C1315" s="40" t="s">
        <v>2323</v>
      </c>
      <c r="D1315" s="41"/>
      <c r="E1315" s="41" t="s">
        <v>197</v>
      </c>
      <c r="F1315" s="18" t="str">
        <f>IFERROR(__xludf.DUMMYFUNCTION("if(REGEXMATCH(C1315,""x.com"")=TRUE,""Twitter"",if(REGEXMATCH(C1315,""facebook"")=TRUE,""Facebook"",if(REGEXMATCH(C1315,""instagram"")=TRUE,""Instagram"",if(REGEXMATCH(C1315,""youtube"")=TRUE,""Youtube"",if(REGEXMATCH(C1315,""tiktok"")=TRUE,""Tiktok"",if("&amp;"REGEXMATCH(C1315,""threads"")=TRUE,""Threads""))))))"),"Facebook")</f>
        <v>Facebook</v>
      </c>
      <c r="G1315" s="41" t="s">
        <v>2324</v>
      </c>
      <c r="H1315" s="41" t="s">
        <v>2006</v>
      </c>
      <c r="I1315" s="41" t="s">
        <v>535</v>
      </c>
      <c r="J1315" s="41" t="s">
        <v>188</v>
      </c>
      <c r="K1315" s="41" t="s">
        <v>1611</v>
      </c>
      <c r="L1315" s="42"/>
    </row>
    <row r="1316">
      <c r="A1316" s="15">
        <v>1315.0</v>
      </c>
      <c r="B1316" s="39">
        <v>45977.0</v>
      </c>
      <c r="C1316" s="40" t="s">
        <v>2325</v>
      </c>
      <c r="D1316" s="41"/>
      <c r="E1316" s="41" t="s">
        <v>197</v>
      </c>
      <c r="F1316" s="18" t="str">
        <f>IFERROR(__xludf.DUMMYFUNCTION("if(REGEXMATCH(C1316,""x.com"")=TRUE,""Twitter"",if(REGEXMATCH(C1316,""facebook"")=TRUE,""Facebook"",if(REGEXMATCH(C1316,""instagram"")=TRUE,""Instagram"",if(REGEXMATCH(C1316,""youtube"")=TRUE,""Youtube"",if(REGEXMATCH(C1316,""tiktok"")=TRUE,""Tiktok"",if("&amp;"REGEXMATCH(C1316,""threads"")=TRUE,""Threads""))))))"),"Facebook")</f>
        <v>Facebook</v>
      </c>
      <c r="G1316" s="41" t="s">
        <v>2089</v>
      </c>
      <c r="H1316" s="41" t="s">
        <v>2006</v>
      </c>
      <c r="I1316" s="41" t="s">
        <v>535</v>
      </c>
      <c r="J1316" s="41" t="s">
        <v>188</v>
      </c>
      <c r="K1316" s="41" t="s">
        <v>1611</v>
      </c>
      <c r="L1316" s="42"/>
    </row>
    <row r="1317">
      <c r="A1317" s="15">
        <v>1316.0</v>
      </c>
      <c r="B1317" s="39">
        <v>45977.0</v>
      </c>
      <c r="C1317" s="40" t="s">
        <v>2326</v>
      </c>
      <c r="D1317" s="41"/>
      <c r="E1317" s="41" t="s">
        <v>197</v>
      </c>
      <c r="F1317" s="18" t="str">
        <f>IFERROR(__xludf.DUMMYFUNCTION("if(REGEXMATCH(C1317,""x.com"")=TRUE,""Twitter"",if(REGEXMATCH(C1317,""facebook"")=TRUE,""Facebook"",if(REGEXMATCH(C1317,""instagram"")=TRUE,""Instagram"",if(REGEXMATCH(C1317,""youtube"")=TRUE,""Youtube"",if(REGEXMATCH(C1317,""tiktok"")=TRUE,""Tiktok"",if("&amp;"REGEXMATCH(C1317,""threads"")=TRUE,""Threads""))))))"),"Tiktok")</f>
        <v>Tiktok</v>
      </c>
      <c r="G1317" s="41" t="s">
        <v>2327</v>
      </c>
      <c r="H1317" s="41" t="s">
        <v>2006</v>
      </c>
      <c r="I1317" s="41" t="s">
        <v>535</v>
      </c>
      <c r="J1317" s="41" t="s">
        <v>422</v>
      </c>
      <c r="K1317" s="41" t="s">
        <v>1611</v>
      </c>
      <c r="L1317" s="42"/>
    </row>
    <row r="1318">
      <c r="A1318" s="15">
        <v>1317.0</v>
      </c>
      <c r="B1318" s="39">
        <v>45977.0</v>
      </c>
      <c r="C1318" s="40" t="s">
        <v>2328</v>
      </c>
      <c r="D1318" s="41"/>
      <c r="E1318" s="41" t="s">
        <v>197</v>
      </c>
      <c r="F1318" s="18" t="str">
        <f>IFERROR(__xludf.DUMMYFUNCTION("if(REGEXMATCH(C1318,""x.com"")=TRUE,""Twitter"",if(REGEXMATCH(C1318,""facebook"")=TRUE,""Facebook"",if(REGEXMATCH(C1318,""instagram"")=TRUE,""Instagram"",if(REGEXMATCH(C1318,""youtube"")=TRUE,""Youtube"",if(REGEXMATCH(C1318,""tiktok"")=TRUE,""Tiktok"",if("&amp;"REGEXMATCH(C1318,""threads"")=TRUE,""Threads""))))))"),"Tiktok")</f>
        <v>Tiktok</v>
      </c>
      <c r="G1318" s="41" t="s">
        <v>2327</v>
      </c>
      <c r="H1318" s="41" t="s">
        <v>2006</v>
      </c>
      <c r="I1318" s="41" t="s">
        <v>535</v>
      </c>
      <c r="J1318" s="41" t="s">
        <v>422</v>
      </c>
      <c r="K1318" s="41" t="s">
        <v>1611</v>
      </c>
      <c r="L1318" s="42"/>
    </row>
    <row r="1319">
      <c r="A1319" s="15">
        <v>1318.0</v>
      </c>
      <c r="B1319" s="39">
        <v>45977.0</v>
      </c>
      <c r="C1319" s="40" t="s">
        <v>2329</v>
      </c>
      <c r="D1319" s="41"/>
      <c r="E1319" s="41" t="s">
        <v>197</v>
      </c>
      <c r="F1319" s="18" t="str">
        <f>IFERROR(__xludf.DUMMYFUNCTION("if(REGEXMATCH(C1319,""x.com"")=TRUE,""Twitter"",if(REGEXMATCH(C1319,""facebook"")=TRUE,""Facebook"",if(REGEXMATCH(C1319,""instagram"")=TRUE,""Instagram"",if(REGEXMATCH(C1319,""youtube"")=TRUE,""Youtube"",if(REGEXMATCH(C1319,""tiktok"")=TRUE,""Tiktok"",if("&amp;"REGEXMATCH(C1319,""threads"")=TRUE,""Threads""))))))"),"Tiktok")</f>
        <v>Tiktok</v>
      </c>
      <c r="G1319" s="41" t="s">
        <v>2327</v>
      </c>
      <c r="H1319" s="41" t="s">
        <v>2006</v>
      </c>
      <c r="I1319" s="41" t="s">
        <v>535</v>
      </c>
      <c r="J1319" s="41" t="s">
        <v>422</v>
      </c>
      <c r="K1319" s="41" t="s">
        <v>1611</v>
      </c>
      <c r="L1319" s="42"/>
    </row>
    <row r="1320">
      <c r="A1320" s="15">
        <v>1319.0</v>
      </c>
      <c r="B1320" s="39">
        <v>45977.0</v>
      </c>
      <c r="C1320" s="40" t="s">
        <v>2330</v>
      </c>
      <c r="D1320" s="41"/>
      <c r="E1320" s="41" t="s">
        <v>197</v>
      </c>
      <c r="F1320" s="18" t="str">
        <f>IFERROR(__xludf.DUMMYFUNCTION("if(REGEXMATCH(C1320,""x.com"")=TRUE,""Twitter"",if(REGEXMATCH(C1320,""facebook"")=TRUE,""Facebook"",if(REGEXMATCH(C1320,""instagram"")=TRUE,""Instagram"",if(REGEXMATCH(C1320,""youtube"")=TRUE,""Youtube"",if(REGEXMATCH(C1320,""tiktok"")=TRUE,""Tiktok"",if("&amp;"REGEXMATCH(C1320,""threads"")=TRUE,""Threads""))))))"),"Tiktok")</f>
        <v>Tiktok</v>
      </c>
      <c r="G1320" s="41" t="s">
        <v>2327</v>
      </c>
      <c r="H1320" s="41" t="s">
        <v>2006</v>
      </c>
      <c r="I1320" s="41" t="s">
        <v>535</v>
      </c>
      <c r="J1320" s="41" t="s">
        <v>422</v>
      </c>
      <c r="K1320" s="41"/>
      <c r="L1320" s="42"/>
    </row>
    <row r="1321">
      <c r="A1321" s="15">
        <v>1320.0</v>
      </c>
      <c r="B1321" s="39">
        <v>45977.0</v>
      </c>
      <c r="C1321" s="40" t="s">
        <v>2331</v>
      </c>
      <c r="D1321" s="41"/>
      <c r="E1321" s="41" t="s">
        <v>197</v>
      </c>
      <c r="F1321" s="18" t="str">
        <f>IFERROR(__xludf.DUMMYFUNCTION("if(REGEXMATCH(C1321,""x.com"")=TRUE,""Twitter"",if(REGEXMATCH(C1321,""facebook"")=TRUE,""Facebook"",if(REGEXMATCH(C1321,""instagram"")=TRUE,""Instagram"",if(REGEXMATCH(C1321,""youtube"")=TRUE,""Youtube"",if(REGEXMATCH(C1321,""tiktok"")=TRUE,""Tiktok"",if("&amp;"REGEXMATCH(C1321,""threads"")=TRUE,""Threads""))))))"),"Tiktok")</f>
        <v>Tiktok</v>
      </c>
      <c r="G1321" s="41" t="s">
        <v>2327</v>
      </c>
      <c r="H1321" s="41" t="s">
        <v>2006</v>
      </c>
      <c r="I1321" s="41" t="s">
        <v>535</v>
      </c>
      <c r="J1321" s="41" t="s">
        <v>422</v>
      </c>
      <c r="K1321" s="41"/>
      <c r="L1321" s="42"/>
    </row>
    <row r="1322">
      <c r="A1322" s="15">
        <v>1321.0</v>
      </c>
      <c r="B1322" s="39">
        <v>45978.0</v>
      </c>
      <c r="C1322" s="40" t="s">
        <v>2332</v>
      </c>
      <c r="D1322" s="41"/>
      <c r="E1322" s="41" t="s">
        <v>197</v>
      </c>
      <c r="F1322" s="42"/>
      <c r="G1322" s="42"/>
      <c r="H1322" s="41" t="s">
        <v>2333</v>
      </c>
      <c r="I1322" s="43" t="s">
        <v>1782</v>
      </c>
      <c r="J1322" s="41" t="s">
        <v>188</v>
      </c>
      <c r="K1322" s="41" t="s">
        <v>1611</v>
      </c>
      <c r="L1322" s="42"/>
    </row>
    <row r="1323">
      <c r="A1323" s="15">
        <v>1322.0</v>
      </c>
      <c r="B1323" s="39">
        <v>45978.0</v>
      </c>
      <c r="C1323" s="40" t="s">
        <v>2334</v>
      </c>
      <c r="D1323" s="41"/>
      <c r="E1323" s="41" t="s">
        <v>197</v>
      </c>
      <c r="F1323" s="42"/>
      <c r="G1323" s="42"/>
      <c r="H1323" s="41" t="s">
        <v>2335</v>
      </c>
      <c r="I1323" s="36"/>
      <c r="J1323" s="41" t="s">
        <v>188</v>
      </c>
      <c r="K1323" s="41" t="s">
        <v>1611</v>
      </c>
      <c r="L1323" s="42"/>
    </row>
    <row r="1324">
      <c r="A1324" s="15">
        <v>1323.0</v>
      </c>
      <c r="B1324" s="39">
        <v>45978.0</v>
      </c>
      <c r="C1324" s="44" t="s">
        <v>2336</v>
      </c>
      <c r="D1324" s="41"/>
      <c r="E1324" s="41" t="s">
        <v>197</v>
      </c>
      <c r="F1324" s="42"/>
      <c r="G1324" s="42"/>
      <c r="H1324" s="41" t="s">
        <v>2337</v>
      </c>
      <c r="I1324" s="36"/>
      <c r="J1324" s="41" t="s">
        <v>188</v>
      </c>
      <c r="K1324" s="41" t="s">
        <v>1611</v>
      </c>
      <c r="L1324" s="42"/>
    </row>
    <row r="1325">
      <c r="A1325" s="15">
        <v>1324.0</v>
      </c>
      <c r="B1325" s="39">
        <v>45978.0</v>
      </c>
      <c r="C1325" s="40" t="s">
        <v>2338</v>
      </c>
      <c r="D1325" s="41"/>
      <c r="E1325" s="41" t="s">
        <v>197</v>
      </c>
      <c r="F1325" s="42"/>
      <c r="G1325" s="42"/>
      <c r="H1325" s="41" t="s">
        <v>2339</v>
      </c>
      <c r="I1325" s="36"/>
      <c r="J1325" s="41" t="s">
        <v>188</v>
      </c>
      <c r="K1325" s="41" t="s">
        <v>1611</v>
      </c>
      <c r="L1325" s="42"/>
    </row>
    <row r="1326">
      <c r="A1326" s="15">
        <v>1325.0</v>
      </c>
      <c r="B1326" s="39">
        <v>45978.0</v>
      </c>
      <c r="C1326" s="40" t="s">
        <v>2340</v>
      </c>
      <c r="D1326" s="41"/>
      <c r="E1326" s="41" t="s">
        <v>197</v>
      </c>
      <c r="F1326" s="42"/>
      <c r="G1326" s="42"/>
      <c r="H1326" s="41" t="s">
        <v>2341</v>
      </c>
      <c r="I1326" s="36"/>
      <c r="J1326" s="41" t="s">
        <v>188</v>
      </c>
      <c r="K1326" s="41" t="s">
        <v>1611</v>
      </c>
      <c r="L1326" s="42"/>
    </row>
    <row r="1327">
      <c r="A1327" s="15">
        <v>1326.0</v>
      </c>
      <c r="B1327" s="39">
        <v>45978.0</v>
      </c>
      <c r="C1327" s="40" t="s">
        <v>2342</v>
      </c>
      <c r="D1327" s="41"/>
      <c r="E1327" s="41" t="s">
        <v>197</v>
      </c>
      <c r="F1327" s="42"/>
      <c r="G1327" s="42"/>
      <c r="H1327" s="41" t="s">
        <v>2343</v>
      </c>
      <c r="I1327" s="36"/>
      <c r="J1327" s="41" t="s">
        <v>188</v>
      </c>
      <c r="K1327" s="41" t="s">
        <v>1611</v>
      </c>
      <c r="L1327" s="42"/>
    </row>
    <row r="1328">
      <c r="A1328" s="15">
        <v>1327.0</v>
      </c>
      <c r="B1328" s="39">
        <v>45978.0</v>
      </c>
      <c r="C1328" s="40" t="s">
        <v>2344</v>
      </c>
      <c r="D1328" s="41"/>
      <c r="E1328" s="41" t="s">
        <v>197</v>
      </c>
      <c r="F1328" s="42"/>
      <c r="G1328" s="42"/>
      <c r="H1328" s="41" t="s">
        <v>2345</v>
      </c>
      <c r="I1328" s="36"/>
      <c r="J1328" s="41" t="s">
        <v>188</v>
      </c>
      <c r="K1328" s="41" t="s">
        <v>1611</v>
      </c>
      <c r="L1328" s="42"/>
    </row>
    <row r="1329">
      <c r="A1329" s="15">
        <v>1328.0</v>
      </c>
      <c r="B1329" s="39">
        <v>45978.0</v>
      </c>
      <c r="C1329" s="40" t="s">
        <v>2346</v>
      </c>
      <c r="D1329" s="41"/>
      <c r="E1329" s="41" t="s">
        <v>197</v>
      </c>
      <c r="F1329" s="42"/>
      <c r="G1329" s="42"/>
      <c r="H1329" s="41" t="s">
        <v>2347</v>
      </c>
      <c r="I1329" s="36"/>
      <c r="J1329" s="41" t="s">
        <v>188</v>
      </c>
      <c r="K1329" s="41" t="s">
        <v>1611</v>
      </c>
      <c r="L1329" s="42"/>
    </row>
    <row r="1330">
      <c r="A1330" s="15">
        <v>1329.0</v>
      </c>
      <c r="B1330" s="39">
        <v>45978.0</v>
      </c>
      <c r="C1330" s="40" t="s">
        <v>2348</v>
      </c>
      <c r="D1330" s="41"/>
      <c r="E1330" s="41" t="s">
        <v>1146</v>
      </c>
      <c r="F1330" s="42"/>
      <c r="G1330" s="41" t="s">
        <v>2349</v>
      </c>
      <c r="H1330" s="42"/>
      <c r="I1330" s="36"/>
      <c r="J1330" s="41" t="s">
        <v>188</v>
      </c>
      <c r="K1330" s="41"/>
      <c r="L1330" s="42"/>
    </row>
    <row r="1331">
      <c r="A1331" s="15">
        <v>1330.0</v>
      </c>
      <c r="B1331" s="39">
        <v>45978.0</v>
      </c>
      <c r="C1331" s="40" t="s">
        <v>2350</v>
      </c>
      <c r="D1331" s="41"/>
      <c r="E1331" s="41" t="s">
        <v>1146</v>
      </c>
      <c r="F1331" s="42"/>
      <c r="G1331" s="42"/>
      <c r="H1331" s="41" t="s">
        <v>2351</v>
      </c>
      <c r="I1331" s="36"/>
      <c r="J1331" s="41" t="s">
        <v>188</v>
      </c>
      <c r="K1331" s="41"/>
      <c r="L1331" s="42"/>
    </row>
    <row r="1332">
      <c r="A1332" s="15">
        <v>1331.0</v>
      </c>
      <c r="B1332" s="39">
        <v>45978.0</v>
      </c>
      <c r="C1332" s="40" t="s">
        <v>2352</v>
      </c>
      <c r="D1332" s="41"/>
      <c r="E1332" s="41" t="s">
        <v>2353</v>
      </c>
      <c r="F1332" s="42"/>
      <c r="G1332" s="42"/>
      <c r="H1332" s="41" t="s">
        <v>2354</v>
      </c>
      <c r="I1332" s="36"/>
      <c r="J1332" s="41" t="s">
        <v>188</v>
      </c>
      <c r="K1332" s="41"/>
      <c r="L1332" s="42"/>
    </row>
    <row r="1333">
      <c r="A1333" s="15">
        <v>1332.0</v>
      </c>
      <c r="B1333" s="39">
        <v>45978.0</v>
      </c>
      <c r="C1333" s="40" t="s">
        <v>2355</v>
      </c>
      <c r="D1333" s="41"/>
      <c r="E1333" s="41" t="s">
        <v>197</v>
      </c>
      <c r="F1333" s="42"/>
      <c r="G1333" s="42"/>
      <c r="H1333" s="41" t="s">
        <v>2356</v>
      </c>
      <c r="I1333" s="36"/>
      <c r="J1333" s="41" t="s">
        <v>188</v>
      </c>
      <c r="K1333" s="41"/>
      <c r="L1333" s="42"/>
    </row>
    <row r="1334">
      <c r="A1334" s="15">
        <v>1333.0</v>
      </c>
      <c r="B1334" s="39">
        <v>45978.0</v>
      </c>
      <c r="C1334" s="40" t="s">
        <v>2357</v>
      </c>
      <c r="D1334" s="41"/>
      <c r="E1334" s="41"/>
      <c r="F1334" s="42"/>
      <c r="G1334" s="42"/>
      <c r="H1334" s="41" t="s">
        <v>2356</v>
      </c>
      <c r="I1334" s="35"/>
      <c r="J1334" s="41" t="s">
        <v>188</v>
      </c>
      <c r="K1334" s="41"/>
      <c r="L1334" s="42"/>
    </row>
    <row r="1335">
      <c r="A1335" s="15">
        <v>1334.0</v>
      </c>
      <c r="B1335" s="45">
        <v>45979.0</v>
      </c>
      <c r="C1335" s="40" t="s">
        <v>2358</v>
      </c>
      <c r="D1335" s="41"/>
      <c r="E1335" s="41" t="s">
        <v>197</v>
      </c>
      <c r="F1335" s="42"/>
      <c r="G1335" s="42"/>
      <c r="H1335" s="41" t="s">
        <v>2359</v>
      </c>
      <c r="I1335" s="43" t="s">
        <v>1782</v>
      </c>
      <c r="J1335" s="41" t="s">
        <v>188</v>
      </c>
      <c r="K1335" s="41"/>
      <c r="L1335" s="42"/>
    </row>
    <row r="1336">
      <c r="A1336" s="15">
        <v>1335.0</v>
      </c>
      <c r="B1336" s="45">
        <v>45979.0</v>
      </c>
      <c r="C1336" s="46" t="s">
        <v>2360</v>
      </c>
      <c r="D1336" s="41"/>
      <c r="E1336" s="41" t="s">
        <v>197</v>
      </c>
      <c r="F1336" s="42"/>
      <c r="G1336" s="42"/>
      <c r="H1336" s="41" t="s">
        <v>2361</v>
      </c>
      <c r="I1336" s="36"/>
      <c r="J1336" s="41" t="s">
        <v>188</v>
      </c>
      <c r="K1336" s="41"/>
      <c r="L1336" s="42"/>
    </row>
    <row r="1337">
      <c r="A1337" s="15">
        <v>1336.0</v>
      </c>
      <c r="B1337" s="45">
        <v>45979.0</v>
      </c>
      <c r="C1337" s="40" t="s">
        <v>2362</v>
      </c>
      <c r="D1337" s="41"/>
      <c r="E1337" s="41" t="s">
        <v>197</v>
      </c>
      <c r="F1337" s="42"/>
      <c r="G1337" s="42"/>
      <c r="H1337" s="41" t="s">
        <v>2363</v>
      </c>
      <c r="I1337" s="36"/>
      <c r="J1337" s="41" t="s">
        <v>188</v>
      </c>
      <c r="K1337" s="41"/>
      <c r="L1337" s="42"/>
    </row>
    <row r="1338">
      <c r="A1338" s="15">
        <v>1337.0</v>
      </c>
      <c r="B1338" s="45">
        <v>45979.0</v>
      </c>
      <c r="C1338" s="40" t="s">
        <v>2364</v>
      </c>
      <c r="D1338" s="41"/>
      <c r="E1338" s="41" t="s">
        <v>197</v>
      </c>
      <c r="F1338" s="42"/>
      <c r="G1338" s="42"/>
      <c r="H1338" s="41" t="s">
        <v>2365</v>
      </c>
      <c r="I1338" s="36"/>
      <c r="J1338" s="41" t="s">
        <v>188</v>
      </c>
      <c r="K1338" s="41"/>
      <c r="L1338" s="42"/>
    </row>
    <row r="1339">
      <c r="A1339" s="15">
        <v>1338.0</v>
      </c>
      <c r="B1339" s="45">
        <v>45979.0</v>
      </c>
      <c r="C1339" s="40" t="s">
        <v>2366</v>
      </c>
      <c r="D1339" s="41"/>
      <c r="E1339" s="41" t="s">
        <v>197</v>
      </c>
      <c r="F1339" s="42"/>
      <c r="G1339" s="42"/>
      <c r="H1339" s="41" t="s">
        <v>2367</v>
      </c>
      <c r="I1339" s="36"/>
      <c r="J1339" s="41" t="s">
        <v>188</v>
      </c>
      <c r="K1339" s="41"/>
      <c r="L1339" s="42"/>
    </row>
    <row r="1340">
      <c r="A1340" s="15">
        <v>1339.0</v>
      </c>
      <c r="B1340" s="45">
        <v>45979.0</v>
      </c>
      <c r="C1340" s="40" t="s">
        <v>2368</v>
      </c>
      <c r="D1340" s="41"/>
      <c r="E1340" s="41" t="s">
        <v>197</v>
      </c>
      <c r="F1340" s="42"/>
      <c r="G1340" s="42"/>
      <c r="H1340" s="41" t="s">
        <v>2369</v>
      </c>
      <c r="I1340" s="36"/>
      <c r="J1340" s="41" t="s">
        <v>188</v>
      </c>
      <c r="K1340" s="41"/>
      <c r="L1340" s="42"/>
    </row>
    <row r="1341">
      <c r="A1341" s="15">
        <v>1340.0</v>
      </c>
      <c r="B1341" s="45">
        <v>45979.0</v>
      </c>
      <c r="C1341" s="40" t="s">
        <v>2370</v>
      </c>
      <c r="D1341" s="41"/>
      <c r="E1341" s="41" t="s">
        <v>197</v>
      </c>
      <c r="F1341" s="42"/>
      <c r="G1341" s="42"/>
      <c r="H1341" s="41" t="s">
        <v>2371</v>
      </c>
      <c r="I1341" s="36"/>
      <c r="J1341" s="41" t="s">
        <v>188</v>
      </c>
      <c r="K1341" s="41"/>
      <c r="L1341" s="42"/>
    </row>
    <row r="1342">
      <c r="A1342" s="15">
        <v>1341.0</v>
      </c>
      <c r="B1342" s="45">
        <v>45979.0</v>
      </c>
      <c r="C1342" s="40" t="s">
        <v>2372</v>
      </c>
      <c r="D1342" s="41"/>
      <c r="E1342" s="41" t="s">
        <v>197</v>
      </c>
      <c r="F1342" s="42"/>
      <c r="G1342" s="42"/>
      <c r="H1342" s="41" t="s">
        <v>2373</v>
      </c>
      <c r="I1342" s="36"/>
      <c r="J1342" s="41" t="s">
        <v>188</v>
      </c>
      <c r="K1342" s="41"/>
      <c r="L1342" s="42"/>
    </row>
    <row r="1343">
      <c r="A1343" s="15">
        <v>1342.0</v>
      </c>
      <c r="B1343" s="45">
        <v>45979.0</v>
      </c>
      <c r="C1343" s="40" t="s">
        <v>2374</v>
      </c>
      <c r="D1343" s="41"/>
      <c r="E1343" s="41" t="s">
        <v>1146</v>
      </c>
      <c r="F1343" s="42"/>
      <c r="G1343" s="42"/>
      <c r="H1343" s="41" t="s">
        <v>2375</v>
      </c>
      <c r="I1343" s="35"/>
      <c r="J1343" s="41" t="s">
        <v>188</v>
      </c>
      <c r="K1343" s="41"/>
      <c r="L1343" s="42"/>
    </row>
    <row r="1344">
      <c r="A1344" s="15">
        <v>1343.0</v>
      </c>
      <c r="B1344" s="45">
        <v>45979.0</v>
      </c>
      <c r="C1344" s="40" t="s">
        <v>2376</v>
      </c>
      <c r="D1344" s="41"/>
      <c r="E1344" s="41" t="s">
        <v>1178</v>
      </c>
      <c r="F1344" s="42"/>
      <c r="G1344" s="41" t="s">
        <v>2135</v>
      </c>
      <c r="H1344" s="41" t="s">
        <v>2136</v>
      </c>
      <c r="I1344" s="41" t="s">
        <v>2137</v>
      </c>
      <c r="J1344" s="41" t="s">
        <v>188</v>
      </c>
      <c r="K1344" s="41"/>
      <c r="L1344" s="42"/>
    </row>
    <row r="1345">
      <c r="A1345" s="15">
        <v>1344.0</v>
      </c>
      <c r="B1345" s="45">
        <v>45979.0</v>
      </c>
      <c r="C1345" s="40" t="s">
        <v>2377</v>
      </c>
      <c r="D1345" s="41"/>
      <c r="E1345" s="41" t="s">
        <v>1178</v>
      </c>
      <c r="F1345" s="42"/>
      <c r="G1345" s="41" t="s">
        <v>2135</v>
      </c>
      <c r="H1345" s="41" t="s">
        <v>2136</v>
      </c>
      <c r="I1345" s="41" t="s">
        <v>2137</v>
      </c>
      <c r="J1345" s="41" t="s">
        <v>188</v>
      </c>
      <c r="K1345" s="41"/>
      <c r="L1345" s="42"/>
    </row>
    <row r="1346">
      <c r="A1346" s="15">
        <v>1345.0</v>
      </c>
      <c r="B1346" s="45">
        <v>45979.0</v>
      </c>
      <c r="C1346" s="40" t="s">
        <v>2378</v>
      </c>
      <c r="D1346" s="41"/>
      <c r="E1346" s="41" t="s">
        <v>1178</v>
      </c>
      <c r="F1346" s="42"/>
      <c r="G1346" s="41" t="s">
        <v>2135</v>
      </c>
      <c r="H1346" s="41" t="s">
        <v>2136</v>
      </c>
      <c r="I1346" s="41" t="s">
        <v>2137</v>
      </c>
      <c r="J1346" s="41" t="s">
        <v>188</v>
      </c>
      <c r="K1346" s="41"/>
      <c r="L1346" s="42"/>
    </row>
    <row r="1347">
      <c r="A1347" s="15">
        <v>1346.0</v>
      </c>
      <c r="B1347" s="45">
        <v>45979.0</v>
      </c>
      <c r="C1347" s="46" t="s">
        <v>2379</v>
      </c>
      <c r="D1347" s="41"/>
      <c r="E1347" s="41" t="s">
        <v>401</v>
      </c>
      <c r="F1347" s="42"/>
      <c r="G1347" s="41" t="s">
        <v>937</v>
      </c>
      <c r="H1347" s="41" t="s">
        <v>1542</v>
      </c>
      <c r="I1347" s="41" t="s">
        <v>939</v>
      </c>
      <c r="J1347" s="41" t="s">
        <v>188</v>
      </c>
      <c r="K1347" s="41"/>
      <c r="L1347" s="42"/>
    </row>
    <row r="1348">
      <c r="A1348" s="15">
        <v>1347.0</v>
      </c>
      <c r="B1348" s="45">
        <v>45979.0</v>
      </c>
      <c r="C1348" s="46" t="s">
        <v>2380</v>
      </c>
      <c r="D1348" s="41"/>
      <c r="E1348" s="41" t="s">
        <v>401</v>
      </c>
      <c r="F1348" s="42"/>
      <c r="G1348" s="41" t="s">
        <v>937</v>
      </c>
      <c r="H1348" s="41" t="s">
        <v>1542</v>
      </c>
      <c r="I1348" s="41" t="s">
        <v>939</v>
      </c>
      <c r="J1348" s="41" t="s">
        <v>188</v>
      </c>
      <c r="K1348" s="41"/>
      <c r="L1348" s="42"/>
    </row>
    <row r="1349">
      <c r="A1349" s="15">
        <v>1348.0</v>
      </c>
      <c r="B1349" s="45">
        <v>45980.0</v>
      </c>
      <c r="C1349" s="40" t="s">
        <v>2381</v>
      </c>
      <c r="D1349" s="41"/>
      <c r="E1349" s="41" t="s">
        <v>2018</v>
      </c>
      <c r="F1349" s="42"/>
      <c r="G1349" s="41" t="s">
        <v>2382</v>
      </c>
      <c r="H1349" s="41" t="s">
        <v>2383</v>
      </c>
      <c r="I1349" s="41"/>
      <c r="J1349" s="41" t="s">
        <v>188</v>
      </c>
      <c r="K1349" s="41"/>
      <c r="L1349" s="42"/>
    </row>
    <row r="1350">
      <c r="A1350" s="15">
        <v>1349.0</v>
      </c>
      <c r="B1350" s="45">
        <v>45980.0</v>
      </c>
      <c r="C1350" s="40" t="s">
        <v>2384</v>
      </c>
      <c r="D1350" s="41"/>
      <c r="E1350" s="41" t="s">
        <v>2018</v>
      </c>
      <c r="F1350" s="42"/>
      <c r="G1350" s="41" t="s">
        <v>2382</v>
      </c>
      <c r="H1350" s="41" t="s">
        <v>2383</v>
      </c>
      <c r="I1350" s="18"/>
      <c r="J1350" s="41" t="s">
        <v>188</v>
      </c>
      <c r="K1350" s="41"/>
      <c r="L1350" s="42"/>
    </row>
    <row r="1351">
      <c r="A1351" s="15">
        <v>1350.0</v>
      </c>
      <c r="B1351" s="45">
        <v>45980.0</v>
      </c>
      <c r="C1351" s="40" t="s">
        <v>2385</v>
      </c>
      <c r="D1351" s="41"/>
      <c r="E1351" s="41" t="s">
        <v>2018</v>
      </c>
      <c r="F1351" s="42"/>
      <c r="G1351" s="41" t="s">
        <v>2382</v>
      </c>
      <c r="H1351" s="41" t="s">
        <v>2383</v>
      </c>
      <c r="I1351" s="18"/>
      <c r="J1351" s="41" t="s">
        <v>188</v>
      </c>
      <c r="K1351" s="41"/>
      <c r="L1351" s="42"/>
    </row>
    <row r="1352">
      <c r="A1352" s="15">
        <v>1351.0</v>
      </c>
      <c r="B1352" s="45">
        <v>45980.0</v>
      </c>
      <c r="C1352" s="40" t="s">
        <v>2386</v>
      </c>
      <c r="D1352" s="41"/>
      <c r="E1352" s="41" t="s">
        <v>2018</v>
      </c>
      <c r="F1352" s="42"/>
      <c r="G1352" s="18" t="s">
        <v>2387</v>
      </c>
      <c r="H1352" s="41" t="s">
        <v>2383</v>
      </c>
      <c r="I1352" s="18"/>
      <c r="J1352" s="41" t="s">
        <v>188</v>
      </c>
      <c r="K1352" s="41"/>
      <c r="L1352" s="42"/>
    </row>
    <row r="1353">
      <c r="A1353" s="15">
        <v>1352.0</v>
      </c>
      <c r="B1353" s="45">
        <v>45980.0</v>
      </c>
      <c r="C1353" s="40" t="s">
        <v>2388</v>
      </c>
      <c r="D1353" s="41"/>
      <c r="E1353" s="41" t="s">
        <v>2018</v>
      </c>
      <c r="F1353" s="42"/>
      <c r="G1353" s="18" t="s">
        <v>2387</v>
      </c>
      <c r="H1353" s="41" t="s">
        <v>2383</v>
      </c>
      <c r="I1353" s="18"/>
      <c r="J1353" s="41" t="s">
        <v>188</v>
      </c>
      <c r="K1353" s="41"/>
      <c r="L1353" s="42"/>
    </row>
    <row r="1354">
      <c r="A1354" s="15">
        <v>1353.0</v>
      </c>
      <c r="B1354" s="45">
        <v>45980.0</v>
      </c>
      <c r="C1354" s="40" t="s">
        <v>2389</v>
      </c>
      <c r="D1354" s="41"/>
      <c r="E1354" s="41" t="s">
        <v>2018</v>
      </c>
      <c r="F1354" s="42"/>
      <c r="G1354" s="18" t="s">
        <v>2390</v>
      </c>
      <c r="H1354" s="41" t="s">
        <v>2383</v>
      </c>
      <c r="I1354" s="18"/>
      <c r="J1354" s="41" t="s">
        <v>188</v>
      </c>
      <c r="K1354" s="41"/>
      <c r="L1354" s="42"/>
    </row>
    <row r="1355">
      <c r="A1355" s="15">
        <v>1354.0</v>
      </c>
      <c r="B1355" s="45">
        <v>45980.0</v>
      </c>
      <c r="C1355" s="40" t="s">
        <v>2391</v>
      </c>
      <c r="D1355" s="41"/>
      <c r="E1355" s="41" t="s">
        <v>401</v>
      </c>
      <c r="F1355" s="42"/>
      <c r="G1355" s="41" t="s">
        <v>937</v>
      </c>
      <c r="H1355" s="41" t="s">
        <v>1542</v>
      </c>
      <c r="I1355" s="41" t="s">
        <v>939</v>
      </c>
      <c r="J1355" s="41" t="s">
        <v>188</v>
      </c>
      <c r="K1355" s="41" t="str">
        <f>IFERROR(__xludf.DUMMYFUNCTION("if(REGEXMATCH(C1355,""twitter"")=TRUE,""Twitter"",if(REGEXMATCH(C1355,""facebook"")=TRUE,""Facebook"",if(REGEXMATCH(C1355,""instagram"")=TRUE,""Instagram"",if(REGEXMATCH(C1355,""youtube"")=TRUE,""Youtube"",if(REGEXMATCH(C1355,""tiktok"")=TRUE,""Tiktok"",i"&amp;"f(REGEXMATCH(C1355,""threads"")=TRUE,""Threads"""")))))))))))""))))))"),"Facebook")</f>
        <v>Facebook</v>
      </c>
      <c r="L1355" s="42"/>
    </row>
    <row r="1356">
      <c r="A1356" s="15">
        <v>1355.0</v>
      </c>
      <c r="B1356" s="45">
        <v>45980.0</v>
      </c>
      <c r="C1356" s="40" t="s">
        <v>2392</v>
      </c>
      <c r="D1356" s="41"/>
      <c r="E1356" s="41" t="s">
        <v>401</v>
      </c>
      <c r="F1356" s="42"/>
      <c r="G1356" s="41" t="s">
        <v>937</v>
      </c>
      <c r="H1356" s="41" t="s">
        <v>1542</v>
      </c>
      <c r="I1356" s="41" t="s">
        <v>939</v>
      </c>
      <c r="J1356" s="41" t="s">
        <v>188</v>
      </c>
      <c r="K1356" s="41" t="str">
        <f>IFERROR(__xludf.DUMMYFUNCTION("if(REGEXMATCH(C1356,""twitter"")=TRUE,""Twitter"",if(REGEXMATCH(C1356,""facebook"")=TRUE,""Facebook"",if(REGEXMATCH(C1356,""instagram"")=TRUE,""Instagram"",if(REGEXMATCH(C1356,""youtube"")=TRUE,""Youtube"",if(REGEXMATCH(C1356,""tiktok"")=TRUE,""Tiktok"",i"&amp;"f(REGEXMATCH(C1356,""threads"")=TRUE,""Threads"""")))))))))))""))))))"),"Twitter")</f>
        <v>Twitter</v>
      </c>
      <c r="L1356" s="42"/>
    </row>
    <row r="1357">
      <c r="A1357" s="15">
        <v>1356.0</v>
      </c>
      <c r="B1357" s="45">
        <v>45980.0</v>
      </c>
      <c r="C1357" s="40" t="s">
        <v>2393</v>
      </c>
      <c r="D1357" s="41"/>
      <c r="E1357" s="41" t="s">
        <v>401</v>
      </c>
      <c r="F1357" s="42"/>
      <c r="G1357" s="41" t="s">
        <v>937</v>
      </c>
      <c r="H1357" s="41" t="s">
        <v>1542</v>
      </c>
      <c r="I1357" s="41" t="s">
        <v>939</v>
      </c>
      <c r="J1357" s="41" t="s">
        <v>188</v>
      </c>
      <c r="K1357" s="41" t="str">
        <f>IFERROR(__xludf.DUMMYFUNCTION("if(REGEXMATCH(C1357,""twitter"")=TRUE,""Twitter"",if(REGEXMATCH(C1357,""facebook"")=TRUE,""Facebook"",if(REGEXMATCH(C1357,""instagram"")=TRUE,""Instagram"",if(REGEXMATCH(C1357,""youtube"")=TRUE,""Youtube"",if(REGEXMATCH(C1357,""tiktok"")=TRUE,""Tiktok"",i"&amp;"f(REGEXMATCH(C1357,""threads"")=TRUE,""Threads"""")))))))))))""))))))"),"Twitter")</f>
        <v>Twitter</v>
      </c>
      <c r="L1357" s="42"/>
    </row>
    <row r="1358">
      <c r="A1358" s="15">
        <v>1357.0</v>
      </c>
      <c r="B1358" s="45">
        <v>45980.0</v>
      </c>
      <c r="C1358" s="40" t="s">
        <v>2394</v>
      </c>
      <c r="D1358" s="41"/>
      <c r="E1358" s="41" t="s">
        <v>197</v>
      </c>
      <c r="F1358" s="42"/>
      <c r="G1358" s="41" t="s">
        <v>2395</v>
      </c>
      <c r="H1358" s="41" t="s">
        <v>2006</v>
      </c>
      <c r="I1358" s="41" t="s">
        <v>2396</v>
      </c>
      <c r="J1358" s="41" t="s">
        <v>188</v>
      </c>
      <c r="K1358" s="41"/>
      <c r="L1358" s="42"/>
    </row>
    <row r="1359">
      <c r="A1359" s="15">
        <v>1358.0</v>
      </c>
      <c r="B1359" s="45">
        <v>45980.0</v>
      </c>
      <c r="C1359" s="40" t="s">
        <v>2397</v>
      </c>
      <c r="D1359" s="41"/>
      <c r="E1359" s="41" t="s">
        <v>197</v>
      </c>
      <c r="F1359" s="42"/>
      <c r="G1359" s="41" t="s">
        <v>2398</v>
      </c>
      <c r="H1359" s="41" t="s">
        <v>2006</v>
      </c>
      <c r="I1359" s="41" t="s">
        <v>2396</v>
      </c>
      <c r="J1359" s="41" t="s">
        <v>188</v>
      </c>
      <c r="K1359" s="41"/>
      <c r="L1359" s="42"/>
    </row>
    <row r="1360">
      <c r="A1360" s="15">
        <v>1359.0</v>
      </c>
      <c r="B1360" s="45">
        <v>45980.0</v>
      </c>
      <c r="C1360" s="40" t="s">
        <v>2399</v>
      </c>
      <c r="D1360" s="41"/>
      <c r="E1360" s="41" t="s">
        <v>197</v>
      </c>
      <c r="F1360" s="42"/>
      <c r="G1360" s="41" t="s">
        <v>2400</v>
      </c>
      <c r="H1360" s="41" t="s">
        <v>2006</v>
      </c>
      <c r="I1360" s="41" t="s">
        <v>2396</v>
      </c>
      <c r="J1360" s="41" t="s">
        <v>188</v>
      </c>
      <c r="K1360" s="41"/>
      <c r="L1360" s="42"/>
    </row>
    <row r="1361">
      <c r="A1361" s="15">
        <v>1360.0</v>
      </c>
      <c r="B1361" s="45">
        <v>45980.0</v>
      </c>
      <c r="C1361" s="40" t="s">
        <v>2401</v>
      </c>
      <c r="D1361" s="41"/>
      <c r="E1361" s="41" t="s">
        <v>197</v>
      </c>
      <c r="F1361" s="42"/>
      <c r="G1361" s="41" t="s">
        <v>2402</v>
      </c>
      <c r="H1361" s="41" t="s">
        <v>2006</v>
      </c>
      <c r="I1361" s="41" t="s">
        <v>2396</v>
      </c>
      <c r="J1361" s="41" t="s">
        <v>188</v>
      </c>
      <c r="K1361" s="41"/>
      <c r="L1361" s="42"/>
    </row>
    <row r="1362">
      <c r="A1362" s="15">
        <v>1361.0</v>
      </c>
      <c r="B1362" s="45">
        <v>45980.0</v>
      </c>
      <c r="C1362" s="40" t="s">
        <v>2403</v>
      </c>
      <c r="D1362" s="41"/>
      <c r="E1362" s="41" t="s">
        <v>197</v>
      </c>
      <c r="F1362" s="42"/>
      <c r="G1362" s="41" t="s">
        <v>2404</v>
      </c>
      <c r="H1362" s="41" t="s">
        <v>2006</v>
      </c>
      <c r="I1362" s="41" t="s">
        <v>2396</v>
      </c>
      <c r="J1362" s="41" t="s">
        <v>188</v>
      </c>
      <c r="K1362" s="41"/>
      <c r="L1362" s="42"/>
    </row>
    <row r="1363">
      <c r="A1363" s="15">
        <v>1362.0</v>
      </c>
      <c r="B1363" s="45">
        <v>45980.0</v>
      </c>
      <c r="C1363" s="40" t="s">
        <v>2405</v>
      </c>
      <c r="D1363" s="41"/>
      <c r="E1363" s="41" t="s">
        <v>197</v>
      </c>
      <c r="F1363" s="42"/>
      <c r="G1363" s="41" t="s">
        <v>2406</v>
      </c>
      <c r="H1363" s="41" t="s">
        <v>2006</v>
      </c>
      <c r="I1363" s="41" t="s">
        <v>2396</v>
      </c>
      <c r="J1363" s="41" t="s">
        <v>188</v>
      </c>
      <c r="K1363" s="41"/>
      <c r="L1363" s="42"/>
    </row>
    <row r="1364">
      <c r="A1364" s="15">
        <v>1363.0</v>
      </c>
      <c r="B1364" s="45">
        <v>45980.0</v>
      </c>
      <c r="C1364" s="40" t="s">
        <v>2407</v>
      </c>
      <c r="D1364" s="41"/>
      <c r="E1364" s="41" t="s">
        <v>197</v>
      </c>
      <c r="F1364" s="42"/>
      <c r="G1364" s="41" t="s">
        <v>2408</v>
      </c>
      <c r="H1364" s="41" t="s">
        <v>2006</v>
      </c>
      <c r="I1364" s="41" t="s">
        <v>2396</v>
      </c>
      <c r="J1364" s="41" t="s">
        <v>188</v>
      </c>
      <c r="K1364" s="41"/>
      <c r="L1364" s="42"/>
    </row>
    <row r="1365">
      <c r="A1365" s="15">
        <v>1364.0</v>
      </c>
      <c r="B1365" s="45">
        <v>45980.0</v>
      </c>
      <c r="C1365" s="40" t="s">
        <v>2409</v>
      </c>
      <c r="D1365" s="41"/>
      <c r="E1365" s="41" t="s">
        <v>197</v>
      </c>
      <c r="F1365" s="42"/>
      <c r="G1365" s="41" t="s">
        <v>2408</v>
      </c>
      <c r="H1365" s="41" t="s">
        <v>2006</v>
      </c>
      <c r="I1365" s="41" t="s">
        <v>2396</v>
      </c>
      <c r="J1365" s="41" t="s">
        <v>188</v>
      </c>
      <c r="K1365" s="41"/>
      <c r="L1365" s="42"/>
    </row>
    <row r="1366">
      <c r="A1366" s="15">
        <v>1365.0</v>
      </c>
      <c r="B1366" s="45">
        <v>45980.0</v>
      </c>
      <c r="C1366" s="40" t="s">
        <v>2410</v>
      </c>
      <c r="D1366" s="41"/>
      <c r="E1366" s="41" t="s">
        <v>197</v>
      </c>
      <c r="F1366" s="42"/>
      <c r="G1366" s="41" t="s">
        <v>2408</v>
      </c>
      <c r="H1366" s="41" t="s">
        <v>2006</v>
      </c>
      <c r="I1366" s="41" t="s">
        <v>2396</v>
      </c>
      <c r="J1366" s="41" t="s">
        <v>188</v>
      </c>
      <c r="K1366" s="41"/>
      <c r="L1366" s="42"/>
    </row>
    <row r="1367">
      <c r="A1367" s="15">
        <v>1366.0</v>
      </c>
      <c r="B1367" s="45">
        <v>45980.0</v>
      </c>
      <c r="C1367" s="40" t="s">
        <v>2411</v>
      </c>
      <c r="D1367" s="41"/>
      <c r="E1367" s="41" t="s">
        <v>197</v>
      </c>
      <c r="F1367" s="42"/>
      <c r="G1367" s="41" t="s">
        <v>2408</v>
      </c>
      <c r="H1367" s="41" t="s">
        <v>2006</v>
      </c>
      <c r="I1367" s="41" t="s">
        <v>2396</v>
      </c>
      <c r="J1367" s="41" t="s">
        <v>188</v>
      </c>
      <c r="K1367" s="41"/>
      <c r="L1367" s="42"/>
    </row>
    <row r="1368">
      <c r="A1368" s="15">
        <v>1367.0</v>
      </c>
      <c r="B1368" s="45">
        <v>45980.0</v>
      </c>
      <c r="C1368" s="40" t="s">
        <v>2412</v>
      </c>
      <c r="D1368" s="41"/>
      <c r="E1368" s="41" t="s">
        <v>197</v>
      </c>
      <c r="F1368" s="42"/>
      <c r="G1368" s="41" t="s">
        <v>2408</v>
      </c>
      <c r="H1368" s="41" t="s">
        <v>2006</v>
      </c>
      <c r="I1368" s="41" t="s">
        <v>2396</v>
      </c>
      <c r="J1368" s="41" t="s">
        <v>188</v>
      </c>
      <c r="K1368" s="41"/>
      <c r="L1368" s="42"/>
    </row>
    <row r="1369">
      <c r="A1369" s="15">
        <v>1368.0</v>
      </c>
      <c r="B1369" s="39">
        <v>45981.0</v>
      </c>
      <c r="C1369" s="40" t="s">
        <v>2413</v>
      </c>
      <c r="D1369" s="41"/>
      <c r="E1369" s="41" t="s">
        <v>2018</v>
      </c>
      <c r="F1369" s="42"/>
      <c r="G1369" s="41" t="s">
        <v>2414</v>
      </c>
      <c r="H1369" s="41" t="s">
        <v>2023</v>
      </c>
      <c r="I1369" s="41"/>
      <c r="J1369" s="41" t="s">
        <v>188</v>
      </c>
      <c r="K1369" s="41"/>
      <c r="L1369" s="42"/>
    </row>
    <row r="1370">
      <c r="A1370" s="15">
        <v>1369.0</v>
      </c>
      <c r="B1370" s="39">
        <v>45981.0</v>
      </c>
      <c r="C1370" s="40" t="s">
        <v>2415</v>
      </c>
      <c r="D1370" s="41"/>
      <c r="E1370" s="41" t="s">
        <v>2018</v>
      </c>
      <c r="F1370" s="42"/>
      <c r="G1370" s="41" t="s">
        <v>2416</v>
      </c>
      <c r="H1370" s="41" t="s">
        <v>2023</v>
      </c>
      <c r="I1370" s="18"/>
      <c r="J1370" s="41" t="s">
        <v>188</v>
      </c>
      <c r="K1370" s="41"/>
      <c r="L1370" s="42"/>
    </row>
    <row r="1371">
      <c r="A1371" s="15">
        <v>1370.0</v>
      </c>
      <c r="B1371" s="39">
        <v>45981.0</v>
      </c>
      <c r="C1371" s="40" t="s">
        <v>2417</v>
      </c>
      <c r="D1371" s="41"/>
      <c r="E1371" s="41" t="s">
        <v>2018</v>
      </c>
      <c r="F1371" s="42"/>
      <c r="G1371" s="41" t="s">
        <v>2418</v>
      </c>
      <c r="H1371" s="41" t="s">
        <v>2023</v>
      </c>
      <c r="I1371" s="18"/>
      <c r="J1371" s="41" t="s">
        <v>188</v>
      </c>
      <c r="K1371" s="41"/>
      <c r="L1371" s="42"/>
    </row>
    <row r="1372">
      <c r="A1372" s="15">
        <v>1371.0</v>
      </c>
      <c r="B1372" s="39">
        <v>45981.0</v>
      </c>
      <c r="C1372" s="40" t="s">
        <v>2419</v>
      </c>
      <c r="D1372" s="41"/>
      <c r="E1372" s="41" t="s">
        <v>401</v>
      </c>
      <c r="F1372" s="42"/>
      <c r="G1372" s="41" t="s">
        <v>937</v>
      </c>
      <c r="H1372" s="41" t="s">
        <v>1542</v>
      </c>
      <c r="I1372" s="41" t="s">
        <v>939</v>
      </c>
      <c r="J1372" s="41" t="s">
        <v>188</v>
      </c>
      <c r="K1372" s="41" t="str">
        <f>IFERROR(__xludf.DUMMYFUNCTION("if(REGEXMATCH(C1372,""twitter"")=TRUE,""Twitter"",if(REGEXMATCH(C1372,""facebook"")=TRUE,""Facebook"",if(REGEXMATCH(C1372,""instagram"")=TRUE,""Instagram"",if(REGEXMATCH(C1372,""youtube"")=TRUE,""Youtube"",if(REGEXMATCH(C1372,""tiktok"")=TRUE,""Tiktok"",i"&amp;"f(REGEXMATCH(C1372,""threads"")=TRUE,""Threads"""")))))))))))""))))))"),"Facebook")</f>
        <v>Facebook</v>
      </c>
      <c r="L1372" s="42"/>
    </row>
    <row r="1373">
      <c r="A1373" s="15">
        <v>1372.0</v>
      </c>
      <c r="B1373" s="39">
        <v>45981.0</v>
      </c>
      <c r="C1373" s="47" t="s">
        <v>2420</v>
      </c>
      <c r="D1373" s="41"/>
      <c r="E1373" s="41" t="s">
        <v>401</v>
      </c>
      <c r="F1373" s="42"/>
      <c r="G1373" s="41" t="s">
        <v>937</v>
      </c>
      <c r="H1373" s="41" t="s">
        <v>1542</v>
      </c>
      <c r="I1373" s="41" t="s">
        <v>939</v>
      </c>
      <c r="J1373" s="41" t="s">
        <v>188</v>
      </c>
      <c r="K1373" s="41" t="str">
        <f>IFERROR(__xludf.DUMMYFUNCTION("if(REGEXMATCH(C1373,""twitter"")=TRUE,""Twitter"",if(REGEXMATCH(C1373,""facebook"")=TRUE,""Facebook"",if(REGEXMATCH(C1373,""instagram"")=TRUE,""Instagram"",if(REGEXMATCH(C1373,""youtube"")=TRUE,""Youtube"",if(REGEXMATCH(C1373,""tiktok"")=TRUE,""Tiktok"",i"&amp;"f(REGEXMATCH(C1373,""threads"")=TRUE,""Threads"""")))))))))))""))))))"),"Facebook")</f>
        <v>Facebook</v>
      </c>
      <c r="L1373" s="42"/>
    </row>
    <row r="1374">
      <c r="A1374" s="15">
        <v>1373.0</v>
      </c>
      <c r="B1374" s="39">
        <v>45981.0</v>
      </c>
      <c r="C1374" s="48" t="s">
        <v>2421</v>
      </c>
      <c r="D1374" s="41"/>
      <c r="E1374" s="41" t="s">
        <v>401</v>
      </c>
      <c r="F1374" s="42"/>
      <c r="G1374" s="41" t="s">
        <v>937</v>
      </c>
      <c r="H1374" s="41" t="s">
        <v>1542</v>
      </c>
      <c r="I1374" s="41" t="s">
        <v>939</v>
      </c>
      <c r="J1374" s="41" t="s">
        <v>188</v>
      </c>
      <c r="K1374" s="41" t="str">
        <f>IFERROR(__xludf.DUMMYFUNCTION("if(REGEXMATCH(C1374,""twitter"")=TRUE,""Twitter"",if(REGEXMATCH(C1374,""facebook"")=TRUE,""Facebook"",if(REGEXMATCH(C1374,""instagram"")=TRUE,""Instagram"",if(REGEXMATCH(C1374,""youtube"")=TRUE,""Youtube"",if(REGEXMATCH(C1374,""tiktok"")=TRUE,""Tiktok"",i"&amp;"f(REGEXMATCH(C1374,""threads"")=TRUE,""Threads"""")))))))))))""))))))"),"Facebook")</f>
        <v>Facebook</v>
      </c>
      <c r="L1374" s="42"/>
    </row>
    <row r="1375">
      <c r="A1375" s="15">
        <v>1374.0</v>
      </c>
      <c r="B1375" s="39">
        <v>45981.0</v>
      </c>
      <c r="C1375" s="40" t="s">
        <v>2422</v>
      </c>
      <c r="D1375" s="41"/>
      <c r="E1375" s="41" t="s">
        <v>401</v>
      </c>
      <c r="F1375" s="42"/>
      <c r="G1375" s="41" t="s">
        <v>937</v>
      </c>
      <c r="H1375" s="41" t="s">
        <v>1542</v>
      </c>
      <c r="I1375" s="41" t="s">
        <v>939</v>
      </c>
      <c r="J1375" s="41" t="s">
        <v>188</v>
      </c>
      <c r="K1375" s="41" t="str">
        <f>IFERROR(__xludf.DUMMYFUNCTION("if(REGEXMATCH(C1375,""twitter"")=TRUE,""Twitter"",if(REGEXMATCH(C1375,""facebook"")=TRUE,""Facebook"",if(REGEXMATCH(C1375,""instagram"")=TRUE,""Instagram"",if(REGEXMATCH(C1375,""youtube"")=TRUE,""Youtube"",if(REGEXMATCH(C1375,""tiktok"")=TRUE,""Tiktok"",i"&amp;"f(REGEXMATCH(C1375,""threads"")=TRUE,""Threads"""")))))))))))""))))))"),"Facebook")</f>
        <v>Facebook</v>
      </c>
      <c r="L1375" s="42"/>
    </row>
    <row r="1376">
      <c r="A1376" s="15">
        <v>1375.0</v>
      </c>
      <c r="B1376" s="39">
        <v>45981.0</v>
      </c>
      <c r="C1376" s="47" t="s">
        <v>2423</v>
      </c>
      <c r="D1376" s="41"/>
      <c r="E1376" s="41" t="s">
        <v>401</v>
      </c>
      <c r="F1376" s="42"/>
      <c r="G1376" s="41" t="s">
        <v>937</v>
      </c>
      <c r="H1376" s="41" t="s">
        <v>1542</v>
      </c>
      <c r="I1376" s="41" t="s">
        <v>939</v>
      </c>
      <c r="J1376" s="41" t="s">
        <v>188</v>
      </c>
      <c r="K1376" s="41" t="str">
        <f>IFERROR(__xludf.DUMMYFUNCTION("if(REGEXMATCH(C1376,""twitter"")=TRUE,""Twitter"",if(REGEXMATCH(C1376,""facebook"")=TRUE,""Facebook"",if(REGEXMATCH(C1376,""instagram"")=TRUE,""Instagram"",if(REGEXMATCH(C1376,""youtube"")=TRUE,""Youtube"",if(REGEXMATCH(C1376,""tiktok"")=TRUE,""Tiktok"",i"&amp;"f(REGEXMATCH(C1376,""threads"")=TRUE,""Threads"""")))))))))))""))))))"),"Facebook")</f>
        <v>Facebook</v>
      </c>
      <c r="L1376" s="42"/>
    </row>
    <row r="1377">
      <c r="A1377" s="15">
        <v>1376.0</v>
      </c>
      <c r="B1377" s="39">
        <v>45981.0</v>
      </c>
      <c r="C1377" s="44" t="s">
        <v>2424</v>
      </c>
      <c r="D1377" s="41"/>
      <c r="E1377" s="41" t="s">
        <v>401</v>
      </c>
      <c r="F1377" s="42"/>
      <c r="G1377" s="41" t="s">
        <v>937</v>
      </c>
      <c r="H1377" s="41" t="s">
        <v>1542</v>
      </c>
      <c r="I1377" s="41" t="s">
        <v>939</v>
      </c>
      <c r="J1377" s="41" t="s">
        <v>188</v>
      </c>
      <c r="K1377" s="41" t="str">
        <f>IFERROR(__xludf.DUMMYFUNCTION("if(REGEXMATCH(C1377,""twitter"")=TRUE,""Twitter"",if(REGEXMATCH(C1377,""facebook"")=TRUE,""Facebook"",if(REGEXMATCH(C1377,""instagram"")=TRUE,""Instagram"",if(REGEXMATCH(C1377,""youtube"")=TRUE,""Youtube"",if(REGEXMATCH(C1377,""tiktok"")=TRUE,""Tiktok"",i"&amp;"f(REGEXMATCH(C1377,""threads"")=TRUE,""Threads"""")))))))))))""))))))"),"Facebook")</f>
        <v>Facebook</v>
      </c>
      <c r="L1377" s="42"/>
    </row>
    <row r="1378">
      <c r="A1378" s="15">
        <v>1377.0</v>
      </c>
      <c r="B1378" s="39">
        <v>45981.0</v>
      </c>
      <c r="C1378" s="40" t="s">
        <v>2425</v>
      </c>
      <c r="D1378" s="41"/>
      <c r="E1378" s="41" t="s">
        <v>401</v>
      </c>
      <c r="F1378" s="42"/>
      <c r="G1378" s="41" t="s">
        <v>937</v>
      </c>
      <c r="H1378" s="41" t="s">
        <v>1542</v>
      </c>
      <c r="I1378" s="41" t="s">
        <v>939</v>
      </c>
      <c r="J1378" s="41" t="s">
        <v>188</v>
      </c>
      <c r="K1378" s="41" t="str">
        <f>IFERROR(__xludf.DUMMYFUNCTION("if(REGEXMATCH(C1378,""twitter"")=TRUE,""Twitter"",if(REGEXMATCH(C1378,""facebook"")=TRUE,""Facebook"",if(REGEXMATCH(C1378,""instagram"")=TRUE,""Instagram"",if(REGEXMATCH(C1378,""youtube"")=TRUE,""Youtube"",if(REGEXMATCH(C1378,""tiktok"")=TRUE,""Tiktok"",i"&amp;"f(REGEXMATCH(C1378,""threads"")=TRUE,""Threads"""")))))))))))""))))))"),"Facebook")</f>
        <v>Facebook</v>
      </c>
      <c r="L1378" s="42"/>
    </row>
    <row r="1379">
      <c r="A1379" s="15">
        <v>1378.0</v>
      </c>
      <c r="B1379" s="39">
        <v>45981.0</v>
      </c>
      <c r="C1379" s="44" t="s">
        <v>2426</v>
      </c>
      <c r="D1379" s="41"/>
      <c r="E1379" s="41" t="s">
        <v>401</v>
      </c>
      <c r="F1379" s="42"/>
      <c r="G1379" s="41" t="s">
        <v>937</v>
      </c>
      <c r="H1379" s="41" t="s">
        <v>1542</v>
      </c>
      <c r="I1379" s="41" t="s">
        <v>939</v>
      </c>
      <c r="J1379" s="41" t="s">
        <v>188</v>
      </c>
      <c r="K1379" s="41" t="str">
        <f>IFERROR(__xludf.DUMMYFUNCTION("if(REGEXMATCH(C1379,""twitter"")=TRUE,""Twitter"",if(REGEXMATCH(C1379,""facebook"")=TRUE,""Facebook"",if(REGEXMATCH(C1379,""instagram"")=TRUE,""Instagram"",if(REGEXMATCH(C1379,""youtube"")=TRUE,""Youtube"",if(REGEXMATCH(C1379,""tiktok"")=TRUE,""Tiktok"",i"&amp;"f(REGEXMATCH(C1379,""threads"")=TRUE,""Threads"""")))))))))))""))))))"),"Facebook")</f>
        <v>Facebook</v>
      </c>
      <c r="L1379" s="42"/>
    </row>
    <row r="1380">
      <c r="A1380" s="15">
        <v>1379.0</v>
      </c>
      <c r="B1380" s="39">
        <v>45981.0</v>
      </c>
      <c r="C1380" s="40" t="s">
        <v>2427</v>
      </c>
      <c r="D1380" s="41"/>
      <c r="E1380" s="41" t="s">
        <v>401</v>
      </c>
      <c r="F1380" s="42"/>
      <c r="G1380" s="41" t="s">
        <v>937</v>
      </c>
      <c r="H1380" s="41" t="s">
        <v>1542</v>
      </c>
      <c r="I1380" s="41" t="s">
        <v>939</v>
      </c>
      <c r="J1380" s="41" t="s">
        <v>188</v>
      </c>
      <c r="K1380" s="41" t="str">
        <f>IFERROR(__xludf.DUMMYFUNCTION("if(REGEXMATCH(C1380,""twitter"")=TRUE,""Twitter"",if(REGEXMATCH(C1380,""facebook"")=TRUE,""Facebook"",if(REGEXMATCH(C1380,""instagram"")=TRUE,""Instagram"",if(REGEXMATCH(C1380,""youtube"")=TRUE,""Youtube"",if(REGEXMATCH(C1380,""tiktok"")=TRUE,""Tiktok"",i"&amp;"f(REGEXMATCH(C1380,""threads"")=TRUE,""Threads"""")))))))))))""))))))"),"Facebook")</f>
        <v>Facebook</v>
      </c>
      <c r="L1380" s="42"/>
    </row>
    <row r="1381">
      <c r="A1381" s="15">
        <v>1380.0</v>
      </c>
      <c r="B1381" s="39">
        <v>45981.0</v>
      </c>
      <c r="C1381" s="49" t="s">
        <v>2428</v>
      </c>
      <c r="D1381" s="41"/>
      <c r="E1381" s="41" t="s">
        <v>401</v>
      </c>
      <c r="F1381" s="42"/>
      <c r="G1381" s="41" t="s">
        <v>937</v>
      </c>
      <c r="H1381" s="41" t="s">
        <v>1542</v>
      </c>
      <c r="I1381" s="41" t="s">
        <v>939</v>
      </c>
      <c r="J1381" s="41" t="s">
        <v>188</v>
      </c>
      <c r="K1381" s="41" t="str">
        <f>IFERROR(__xludf.DUMMYFUNCTION("if(REGEXMATCH(C1381,""twitter"")=TRUE,""Twitter"",if(REGEXMATCH(C1381,""facebook"")=TRUE,""Facebook"",if(REGEXMATCH(C1381,""instagram"")=TRUE,""Instagram"",if(REGEXMATCH(C1381,""youtube"")=TRUE,""Youtube"",if(REGEXMATCH(C1381,""tiktok"")=TRUE,""Tiktok"",i"&amp;"f(REGEXMATCH(C1381,""threads"")=TRUE,""Threads"""")))))))))))""))))))"),"Facebook")</f>
        <v>Facebook</v>
      </c>
      <c r="L1381" s="42"/>
    </row>
    <row r="1382">
      <c r="A1382" s="15">
        <v>1381.0</v>
      </c>
      <c r="B1382" s="39">
        <v>45981.0</v>
      </c>
      <c r="C1382" s="48" t="s">
        <v>2429</v>
      </c>
      <c r="D1382" s="41"/>
      <c r="E1382" s="41" t="s">
        <v>401</v>
      </c>
      <c r="F1382" s="42"/>
      <c r="G1382" s="41" t="s">
        <v>937</v>
      </c>
      <c r="H1382" s="41" t="s">
        <v>1542</v>
      </c>
      <c r="I1382" s="41" t="s">
        <v>939</v>
      </c>
      <c r="J1382" s="41" t="s">
        <v>188</v>
      </c>
      <c r="K1382" s="41" t="str">
        <f>IFERROR(__xludf.DUMMYFUNCTION("if(REGEXMATCH(C1382,""twitter"")=TRUE,""Twitter"",if(REGEXMATCH(C1382,""facebook"")=TRUE,""Facebook"",if(REGEXMATCH(C1382,""instagram"")=TRUE,""Instagram"",if(REGEXMATCH(C1382,""youtube"")=TRUE,""Youtube"",if(REGEXMATCH(C1382,""tiktok"")=TRUE,""Tiktok"",i"&amp;"f(REGEXMATCH(C1382,""threads"")=TRUE,""Threads"""")))))))))))""))))))"),"Facebook")</f>
        <v>Facebook</v>
      </c>
      <c r="L1382" s="42"/>
    </row>
    <row r="1383">
      <c r="A1383" s="15">
        <v>1382.0</v>
      </c>
      <c r="B1383" s="39">
        <v>45981.0</v>
      </c>
      <c r="C1383" s="40" t="s">
        <v>2430</v>
      </c>
      <c r="D1383" s="41"/>
      <c r="E1383" s="41" t="s">
        <v>197</v>
      </c>
      <c r="F1383" s="42"/>
      <c r="G1383" s="41" t="s">
        <v>2431</v>
      </c>
      <c r="H1383" s="41" t="s">
        <v>2006</v>
      </c>
      <c r="I1383" s="41" t="s">
        <v>535</v>
      </c>
      <c r="J1383" s="41" t="s">
        <v>188</v>
      </c>
      <c r="K1383" s="41"/>
      <c r="L1383" s="42"/>
    </row>
    <row r="1384">
      <c r="A1384" s="15">
        <v>1383.0</v>
      </c>
      <c r="B1384" s="39">
        <v>45981.0</v>
      </c>
      <c r="C1384" s="40" t="s">
        <v>2432</v>
      </c>
      <c r="D1384" s="41"/>
      <c r="E1384" s="41" t="s">
        <v>197</v>
      </c>
      <c r="F1384" s="42"/>
      <c r="G1384" s="41" t="s">
        <v>2433</v>
      </c>
      <c r="H1384" s="41" t="s">
        <v>2006</v>
      </c>
      <c r="I1384" s="41" t="s">
        <v>535</v>
      </c>
      <c r="J1384" s="41" t="s">
        <v>188</v>
      </c>
      <c r="K1384" s="41"/>
      <c r="L1384" s="42"/>
    </row>
    <row r="1385">
      <c r="A1385" s="15">
        <v>1384.0</v>
      </c>
      <c r="B1385" s="39">
        <v>45981.0</v>
      </c>
      <c r="C1385" s="40" t="s">
        <v>2434</v>
      </c>
      <c r="D1385" s="41"/>
      <c r="E1385" s="41" t="s">
        <v>197</v>
      </c>
      <c r="F1385" s="42"/>
      <c r="G1385" s="41" t="s">
        <v>2435</v>
      </c>
      <c r="H1385" s="41" t="s">
        <v>2006</v>
      </c>
      <c r="I1385" s="41" t="s">
        <v>535</v>
      </c>
      <c r="J1385" s="41" t="s">
        <v>188</v>
      </c>
      <c r="K1385" s="41"/>
      <c r="L1385" s="42"/>
    </row>
    <row r="1386">
      <c r="A1386" s="15">
        <v>1385.0</v>
      </c>
      <c r="B1386" s="39">
        <v>45981.0</v>
      </c>
      <c r="C1386" s="40" t="s">
        <v>2436</v>
      </c>
      <c r="D1386" s="41"/>
      <c r="E1386" s="41" t="s">
        <v>197</v>
      </c>
      <c r="F1386" s="42"/>
      <c r="G1386" s="41" t="s">
        <v>2437</v>
      </c>
      <c r="H1386" s="41" t="s">
        <v>2006</v>
      </c>
      <c r="I1386" s="41" t="s">
        <v>535</v>
      </c>
      <c r="J1386" s="41" t="s">
        <v>188</v>
      </c>
      <c r="K1386" s="41"/>
      <c r="L1386" s="42"/>
    </row>
    <row r="1387">
      <c r="A1387" s="15">
        <v>1386.0</v>
      </c>
      <c r="B1387" s="39">
        <v>45982.0</v>
      </c>
      <c r="C1387" s="40" t="s">
        <v>2438</v>
      </c>
      <c r="D1387" s="41"/>
      <c r="E1387" s="41" t="s">
        <v>197</v>
      </c>
      <c r="F1387" s="42"/>
      <c r="G1387" s="41" t="s">
        <v>2439</v>
      </c>
      <c r="H1387" s="43" t="s">
        <v>1782</v>
      </c>
      <c r="I1387" s="43" t="s">
        <v>535</v>
      </c>
      <c r="J1387" s="41" t="s">
        <v>188</v>
      </c>
      <c r="K1387" s="41" t="s">
        <v>1611</v>
      </c>
      <c r="L1387" s="42"/>
    </row>
    <row r="1388">
      <c r="A1388" s="15">
        <v>1387.0</v>
      </c>
      <c r="B1388" s="39">
        <v>45982.0</v>
      </c>
      <c r="C1388" s="40" t="s">
        <v>2440</v>
      </c>
      <c r="D1388" s="41"/>
      <c r="E1388" s="41" t="s">
        <v>197</v>
      </c>
      <c r="F1388" s="42"/>
      <c r="G1388" s="41" t="s">
        <v>2441</v>
      </c>
      <c r="H1388" s="36"/>
      <c r="I1388" s="36"/>
      <c r="J1388" s="41" t="s">
        <v>188</v>
      </c>
      <c r="K1388" s="41" t="s">
        <v>1611</v>
      </c>
      <c r="L1388" s="42"/>
    </row>
    <row r="1389">
      <c r="A1389" s="15">
        <v>1388.0</v>
      </c>
      <c r="B1389" s="39">
        <v>45982.0</v>
      </c>
      <c r="C1389" s="40" t="s">
        <v>2442</v>
      </c>
      <c r="D1389" s="41"/>
      <c r="E1389" s="41" t="s">
        <v>197</v>
      </c>
      <c r="F1389" s="42"/>
      <c r="G1389" s="41" t="s">
        <v>2443</v>
      </c>
      <c r="H1389" s="36"/>
      <c r="I1389" s="36"/>
      <c r="J1389" s="41" t="s">
        <v>188</v>
      </c>
      <c r="K1389" s="41" t="s">
        <v>1611</v>
      </c>
      <c r="L1389" s="42"/>
    </row>
    <row r="1390">
      <c r="A1390" s="15">
        <v>1389.0</v>
      </c>
      <c r="B1390" s="39">
        <v>45982.0</v>
      </c>
      <c r="C1390" s="40" t="s">
        <v>2444</v>
      </c>
      <c r="D1390" s="41"/>
      <c r="E1390" s="41" t="s">
        <v>197</v>
      </c>
      <c r="F1390" s="42"/>
      <c r="G1390" s="41" t="s">
        <v>2445</v>
      </c>
      <c r="H1390" s="36"/>
      <c r="I1390" s="36"/>
      <c r="J1390" s="41" t="s">
        <v>188</v>
      </c>
      <c r="K1390" s="41" t="s">
        <v>1611</v>
      </c>
      <c r="L1390" s="42"/>
    </row>
    <row r="1391">
      <c r="A1391" s="15">
        <v>1390.0</v>
      </c>
      <c r="B1391" s="39">
        <v>45982.0</v>
      </c>
      <c r="C1391" s="40" t="s">
        <v>2446</v>
      </c>
      <c r="D1391" s="41"/>
      <c r="E1391" s="41" t="s">
        <v>197</v>
      </c>
      <c r="F1391" s="42"/>
      <c r="G1391" s="41" t="s">
        <v>2241</v>
      </c>
      <c r="H1391" s="36"/>
      <c r="I1391" s="36"/>
      <c r="J1391" s="41" t="s">
        <v>188</v>
      </c>
      <c r="K1391" s="41" t="s">
        <v>1611</v>
      </c>
      <c r="L1391" s="42"/>
    </row>
    <row r="1392">
      <c r="A1392" s="15">
        <v>1391.0</v>
      </c>
      <c r="B1392" s="39">
        <v>45982.0</v>
      </c>
      <c r="C1392" s="40" t="s">
        <v>2447</v>
      </c>
      <c r="D1392" s="41"/>
      <c r="E1392" s="41" t="s">
        <v>1146</v>
      </c>
      <c r="F1392" s="42"/>
      <c r="G1392" s="41" t="s">
        <v>2448</v>
      </c>
      <c r="H1392" s="36"/>
      <c r="I1392" s="36"/>
      <c r="J1392" s="41" t="s">
        <v>188</v>
      </c>
      <c r="K1392" s="41" t="s">
        <v>1611</v>
      </c>
      <c r="L1392" s="42"/>
    </row>
    <row r="1393">
      <c r="A1393" s="15">
        <v>1392.0</v>
      </c>
      <c r="B1393" s="39">
        <v>45982.0</v>
      </c>
      <c r="C1393" s="40" t="s">
        <v>2449</v>
      </c>
      <c r="D1393" s="41"/>
      <c r="E1393" s="41" t="s">
        <v>557</v>
      </c>
      <c r="F1393" s="42"/>
      <c r="G1393" s="41" t="s">
        <v>2450</v>
      </c>
      <c r="H1393" s="36"/>
      <c r="I1393" s="36"/>
      <c r="J1393" s="41" t="s">
        <v>188</v>
      </c>
      <c r="K1393" s="41" t="s">
        <v>1611</v>
      </c>
      <c r="L1393" s="42"/>
    </row>
    <row r="1394">
      <c r="A1394" s="15">
        <v>1393.0</v>
      </c>
      <c r="B1394" s="39">
        <v>45982.0</v>
      </c>
      <c r="C1394" s="40" t="s">
        <v>2451</v>
      </c>
      <c r="D1394" s="41"/>
      <c r="E1394" s="41" t="s">
        <v>557</v>
      </c>
      <c r="F1394" s="42"/>
      <c r="G1394" s="41" t="s">
        <v>2452</v>
      </c>
      <c r="H1394" s="36"/>
      <c r="I1394" s="36"/>
      <c r="J1394" s="41" t="s">
        <v>188</v>
      </c>
      <c r="K1394" s="41" t="s">
        <v>1611</v>
      </c>
      <c r="L1394" s="42"/>
    </row>
    <row r="1395">
      <c r="A1395" s="15">
        <v>1394.0</v>
      </c>
      <c r="B1395" s="39">
        <v>45982.0</v>
      </c>
      <c r="C1395" s="40" t="s">
        <v>2453</v>
      </c>
      <c r="D1395" s="41"/>
      <c r="E1395" s="41" t="s">
        <v>557</v>
      </c>
      <c r="F1395" s="42"/>
      <c r="G1395" s="41" t="s">
        <v>2454</v>
      </c>
      <c r="H1395" s="35"/>
      <c r="I1395" s="36"/>
      <c r="J1395" s="41" t="s">
        <v>188</v>
      </c>
      <c r="K1395" s="41"/>
      <c r="L1395" s="42"/>
    </row>
    <row r="1396">
      <c r="A1396" s="15">
        <v>1395.0</v>
      </c>
      <c r="B1396" s="39">
        <v>45982.0</v>
      </c>
      <c r="C1396" s="40" t="s">
        <v>2455</v>
      </c>
      <c r="D1396" s="41"/>
      <c r="E1396" s="41" t="s">
        <v>372</v>
      </c>
      <c r="F1396" s="42"/>
      <c r="G1396" s="41" t="s">
        <v>2456</v>
      </c>
      <c r="H1396" s="41"/>
      <c r="I1396" s="36"/>
      <c r="J1396" s="41" t="s">
        <v>188</v>
      </c>
      <c r="K1396" s="41"/>
      <c r="L1396" s="42"/>
    </row>
    <row r="1397">
      <c r="A1397" s="15">
        <v>1396.0</v>
      </c>
      <c r="B1397" s="39">
        <v>45982.0</v>
      </c>
      <c r="C1397" s="40" t="s">
        <v>2457</v>
      </c>
      <c r="D1397" s="41"/>
      <c r="E1397" s="41" t="s">
        <v>197</v>
      </c>
      <c r="F1397" s="42"/>
      <c r="G1397" s="41" t="s">
        <v>2458</v>
      </c>
      <c r="H1397" s="41"/>
      <c r="I1397" s="36"/>
      <c r="J1397" s="41" t="s">
        <v>188</v>
      </c>
      <c r="K1397" s="41"/>
      <c r="L1397" s="42"/>
    </row>
    <row r="1398">
      <c r="A1398" s="15">
        <v>1397.0</v>
      </c>
      <c r="B1398" s="39">
        <v>45982.0</v>
      </c>
      <c r="C1398" s="40" t="s">
        <v>2459</v>
      </c>
      <c r="D1398" s="41"/>
      <c r="E1398" s="41" t="s">
        <v>197</v>
      </c>
      <c r="F1398" s="42"/>
      <c r="G1398" s="41" t="s">
        <v>2460</v>
      </c>
      <c r="H1398" s="41"/>
      <c r="I1398" s="36"/>
      <c r="J1398" s="41" t="s">
        <v>188</v>
      </c>
      <c r="K1398" s="41"/>
      <c r="L1398" s="42"/>
    </row>
    <row r="1399">
      <c r="A1399" s="15">
        <v>1398.0</v>
      </c>
      <c r="B1399" s="39">
        <v>45982.0</v>
      </c>
      <c r="C1399" s="40" t="s">
        <v>2461</v>
      </c>
      <c r="D1399" s="41"/>
      <c r="E1399" s="41" t="s">
        <v>197</v>
      </c>
      <c r="F1399" s="42"/>
      <c r="G1399" s="41" t="s">
        <v>2462</v>
      </c>
      <c r="H1399" s="41"/>
      <c r="I1399" s="35"/>
      <c r="J1399" s="41" t="s">
        <v>188</v>
      </c>
      <c r="K1399" s="41"/>
      <c r="L1399" s="42"/>
    </row>
    <row r="1400">
      <c r="A1400" s="15">
        <v>1399.0</v>
      </c>
      <c r="B1400" s="39">
        <v>45984.0</v>
      </c>
      <c r="C1400" s="40" t="s">
        <v>2463</v>
      </c>
      <c r="D1400" s="41"/>
      <c r="E1400" s="41" t="s">
        <v>197</v>
      </c>
      <c r="F1400" s="18" t="str">
        <f>IFERROR(__xludf.DUMMYFUNCTION("if(REGEXMATCH(C1400,""x.com"")=TRUE,""Twitter"",if(REGEXMATCH(C1400,""facebook"")=TRUE,""Facebook"",if(REGEXMATCH(C1400,""instagram"")=TRUE,""Instagram"",if(REGEXMATCH(C1400,""youtube"")=TRUE,""Youtube"",if(REGEXMATCH(C1400,""tiktok"")=TRUE,""Tiktok"",if("&amp;"REGEXMATCH(C1400,""threads"")=TRUE,""Threads""))))))"),"Twitter")</f>
        <v>Twitter</v>
      </c>
      <c r="G1400" s="41" t="s">
        <v>2464</v>
      </c>
      <c r="H1400" s="43" t="s">
        <v>2057</v>
      </c>
      <c r="I1400" s="43" t="s">
        <v>535</v>
      </c>
      <c r="J1400" s="41" t="s">
        <v>188</v>
      </c>
      <c r="K1400" s="41" t="s">
        <v>1611</v>
      </c>
      <c r="L1400" s="42"/>
    </row>
    <row r="1401">
      <c r="A1401" s="15">
        <v>1400.0</v>
      </c>
      <c r="B1401" s="39">
        <v>45984.0</v>
      </c>
      <c r="C1401" s="40" t="s">
        <v>2465</v>
      </c>
      <c r="D1401" s="41"/>
      <c r="E1401" s="41" t="s">
        <v>197</v>
      </c>
      <c r="F1401" s="18" t="str">
        <f>IFERROR(__xludf.DUMMYFUNCTION("if(REGEXMATCH(C1401,""x.com"")=TRUE,""Twitter"",if(REGEXMATCH(C1401,""facebook"")=TRUE,""Facebook"",if(REGEXMATCH(C1401,""instagram"")=TRUE,""Instagram"",if(REGEXMATCH(C1401,""youtube"")=TRUE,""Youtube"",if(REGEXMATCH(C1401,""tiktok"")=TRUE,""Tiktok"",if("&amp;"REGEXMATCH(C1401,""threads"")=TRUE,""Threads""))))))"),"Tiktok")</f>
        <v>Tiktok</v>
      </c>
      <c r="G1401" s="41" t="s">
        <v>2466</v>
      </c>
      <c r="H1401" s="36"/>
      <c r="I1401" s="36"/>
      <c r="J1401" s="41" t="s">
        <v>188</v>
      </c>
      <c r="K1401" s="41" t="s">
        <v>1611</v>
      </c>
      <c r="L1401" s="42"/>
    </row>
    <row r="1402">
      <c r="A1402" s="15">
        <v>1401.0</v>
      </c>
      <c r="B1402" s="39">
        <v>45984.0</v>
      </c>
      <c r="C1402" s="40" t="s">
        <v>2467</v>
      </c>
      <c r="D1402" s="41"/>
      <c r="E1402" s="41" t="s">
        <v>2468</v>
      </c>
      <c r="F1402" s="18" t="str">
        <f>IFERROR(__xludf.DUMMYFUNCTION("if(REGEXMATCH(C1402,""x.com"")=TRUE,""Twitter"",if(REGEXMATCH(C1402,""facebook"")=TRUE,""Facebook"",if(REGEXMATCH(C1402,""instagram"")=TRUE,""Instagram"",if(REGEXMATCH(C1402,""youtube"")=TRUE,""Youtube"",if(REGEXMATCH(C1402,""tiktok"")=TRUE,""Tiktok"",if("&amp;"REGEXMATCH(C1402,""threads"")=TRUE,""Threads""))))))"),"Facebook")</f>
        <v>Facebook</v>
      </c>
      <c r="G1402" s="41" t="s">
        <v>2469</v>
      </c>
      <c r="H1402" s="36"/>
      <c r="I1402" s="36"/>
      <c r="J1402" s="41" t="s">
        <v>188</v>
      </c>
      <c r="K1402" s="41" t="s">
        <v>1611</v>
      </c>
      <c r="L1402" s="42"/>
    </row>
    <row r="1403">
      <c r="A1403" s="15">
        <v>1402.0</v>
      </c>
      <c r="B1403" s="39">
        <v>45984.0</v>
      </c>
      <c r="C1403" s="44" t="s">
        <v>2470</v>
      </c>
      <c r="D1403" s="41"/>
      <c r="E1403" s="41" t="s">
        <v>197</v>
      </c>
      <c r="F1403" s="18" t="str">
        <f>IFERROR(__xludf.DUMMYFUNCTION("if(REGEXMATCH(C1403,""x.com"")=TRUE,""Twitter"",if(REGEXMATCH(C1403,""facebook"")=TRUE,""Facebook"",if(REGEXMATCH(C1403,""instagram"")=TRUE,""Instagram"",if(REGEXMATCH(C1403,""youtube"")=TRUE,""Youtube"",if(REGEXMATCH(C1403,""tiktok"")=TRUE,""Tiktok"",if("&amp;"REGEXMATCH(C1403,""threads"")=TRUE,""Threads""))))))"),"Facebook")</f>
        <v>Facebook</v>
      </c>
      <c r="G1403" s="41" t="s">
        <v>2471</v>
      </c>
      <c r="H1403" s="36"/>
      <c r="I1403" s="36"/>
      <c r="J1403" s="41" t="s">
        <v>188</v>
      </c>
      <c r="K1403" s="41" t="s">
        <v>1611</v>
      </c>
      <c r="L1403" s="42"/>
    </row>
    <row r="1404">
      <c r="A1404" s="15">
        <v>1403.0</v>
      </c>
      <c r="B1404" s="39">
        <v>45984.0</v>
      </c>
      <c r="C1404" s="40" t="s">
        <v>2472</v>
      </c>
      <c r="D1404" s="41"/>
      <c r="E1404" s="41" t="s">
        <v>197</v>
      </c>
      <c r="F1404" s="18" t="str">
        <f>IFERROR(__xludf.DUMMYFUNCTION("if(REGEXMATCH(C1404,""x.com"")=TRUE,""Twitter"",if(REGEXMATCH(C1404,""facebook"")=TRUE,""Facebook"",if(REGEXMATCH(C1404,""instagram"")=TRUE,""Instagram"",if(REGEXMATCH(C1404,""youtube"")=TRUE,""Youtube"",if(REGEXMATCH(C1404,""tiktok"")=TRUE,""Tiktok"",if("&amp;"REGEXMATCH(C1404,""threads"")=TRUE,""Threads""))))))"),"Twitter")</f>
        <v>Twitter</v>
      </c>
      <c r="G1404" s="41" t="s">
        <v>2473</v>
      </c>
      <c r="H1404" s="36"/>
      <c r="I1404" s="36"/>
      <c r="J1404" s="41" t="s">
        <v>188</v>
      </c>
      <c r="K1404" s="41" t="s">
        <v>1611</v>
      </c>
      <c r="L1404" s="42"/>
    </row>
    <row r="1405">
      <c r="A1405" s="15">
        <v>1404.0</v>
      </c>
      <c r="B1405" s="39">
        <v>45984.0</v>
      </c>
      <c r="C1405" s="40" t="s">
        <v>2474</v>
      </c>
      <c r="D1405" s="41"/>
      <c r="E1405" s="41" t="s">
        <v>197</v>
      </c>
      <c r="F1405" s="18" t="str">
        <f>IFERROR(__xludf.DUMMYFUNCTION("if(REGEXMATCH(C1405,""x.com"")=TRUE,""Twitter"",if(REGEXMATCH(C1405,""facebook"")=TRUE,""Facebook"",if(REGEXMATCH(C1405,""instagram"")=TRUE,""Instagram"",if(REGEXMATCH(C1405,""youtube"")=TRUE,""Youtube"",if(REGEXMATCH(C1405,""tiktok"")=TRUE,""Tiktok"",if("&amp;"REGEXMATCH(C1405,""threads"")=TRUE,""Threads""))))))"),"Facebook")</f>
        <v>Facebook</v>
      </c>
      <c r="G1405" s="41" t="s">
        <v>2475</v>
      </c>
      <c r="H1405" s="36"/>
      <c r="I1405" s="36"/>
      <c r="J1405" s="41" t="s">
        <v>188</v>
      </c>
      <c r="K1405" s="41" t="s">
        <v>1611</v>
      </c>
      <c r="L1405" s="42"/>
    </row>
    <row r="1406">
      <c r="A1406" s="15">
        <v>1405.0</v>
      </c>
      <c r="B1406" s="39">
        <v>45984.0</v>
      </c>
      <c r="C1406" s="40" t="s">
        <v>2476</v>
      </c>
      <c r="D1406" s="41"/>
      <c r="E1406" s="41" t="s">
        <v>2477</v>
      </c>
      <c r="F1406" s="18" t="str">
        <f>IFERROR(__xludf.DUMMYFUNCTION("if(REGEXMATCH(C1406,""x.com"")=TRUE,""Twitter"",if(REGEXMATCH(C1406,""facebook"")=TRUE,""Facebook"",if(REGEXMATCH(C1406,""instagram"")=TRUE,""Instagram"",if(REGEXMATCH(C1406,""youtube"")=TRUE,""Youtube"",if(REGEXMATCH(C1406,""tiktok"")=TRUE,""Tiktok"",if("&amp;"REGEXMATCH(C1406,""threads"")=TRUE,""Threads""))))))"),"Twitter")</f>
        <v>Twitter</v>
      </c>
      <c r="G1406" s="41" t="s">
        <v>2478</v>
      </c>
      <c r="H1406" s="36"/>
      <c r="I1406" s="36"/>
      <c r="J1406" s="41" t="s">
        <v>188</v>
      </c>
      <c r="K1406" s="41" t="s">
        <v>1611</v>
      </c>
      <c r="L1406" s="42"/>
    </row>
    <row r="1407">
      <c r="A1407" s="15">
        <v>1406.0</v>
      </c>
      <c r="B1407" s="39">
        <v>45984.0</v>
      </c>
      <c r="C1407" s="40" t="s">
        <v>2479</v>
      </c>
      <c r="D1407" s="41"/>
      <c r="E1407" s="41" t="s">
        <v>2480</v>
      </c>
      <c r="F1407" s="18" t="b">
        <f>IFERROR(__xludf.DUMMYFUNCTION("if(REGEXMATCH(C1407,""x.com"")=TRUE,""Twitter"",if(REGEXMATCH(C1407,""facebook"")=TRUE,""Facebook"",if(REGEXMATCH(C1407,""instagram"")=TRUE,""Instagram"",if(REGEXMATCH(C1407,""youtube"")=TRUE,""Youtube"",if(REGEXMATCH(C1407,""tiktok"")=TRUE,""Tiktok"",if("&amp;"REGEXMATCH(C1407,""threads"")=TRUE,""Threads""))))))"),FALSE)</f>
        <v>0</v>
      </c>
      <c r="G1407" s="41" t="s">
        <v>2481</v>
      </c>
      <c r="H1407" s="36"/>
      <c r="I1407" s="36"/>
      <c r="J1407" s="41" t="s">
        <v>188</v>
      </c>
      <c r="K1407" s="41" t="s">
        <v>1611</v>
      </c>
      <c r="L1407" s="42"/>
    </row>
    <row r="1408">
      <c r="A1408" s="15">
        <v>1407.0</v>
      </c>
      <c r="B1408" s="39">
        <v>45984.0</v>
      </c>
      <c r="C1408" s="40" t="s">
        <v>2482</v>
      </c>
      <c r="D1408" s="41"/>
      <c r="E1408" s="41" t="s">
        <v>197</v>
      </c>
      <c r="F1408" s="18" t="str">
        <f>IFERROR(__xludf.DUMMYFUNCTION("if(REGEXMATCH(C1408,""x.com"")=TRUE,""Twitter"",if(REGEXMATCH(C1408,""facebook"")=TRUE,""Facebook"",if(REGEXMATCH(C1408,""instagram"")=TRUE,""Instagram"",if(REGEXMATCH(C1408,""youtube"")=TRUE,""Youtube"",if(REGEXMATCH(C1408,""tiktok"")=TRUE,""Tiktok"",if("&amp;"REGEXMATCH(C1408,""threads"")=TRUE,""Threads""))))))"),"Tiktok")</f>
        <v>Tiktok</v>
      </c>
      <c r="G1408" s="41" t="s">
        <v>2483</v>
      </c>
      <c r="H1408" s="36"/>
      <c r="I1408" s="36"/>
      <c r="J1408" s="41" t="s">
        <v>188</v>
      </c>
      <c r="K1408" s="41"/>
      <c r="L1408" s="42"/>
    </row>
    <row r="1409">
      <c r="A1409" s="15">
        <v>1408.0</v>
      </c>
      <c r="B1409" s="39">
        <v>45984.0</v>
      </c>
      <c r="C1409" s="40" t="s">
        <v>2484</v>
      </c>
      <c r="D1409" s="41"/>
      <c r="E1409" s="41" t="s">
        <v>197</v>
      </c>
      <c r="F1409" s="18" t="str">
        <f>IFERROR(__xludf.DUMMYFUNCTION("if(REGEXMATCH(C1409,""x.com"")=TRUE,""Twitter"",if(REGEXMATCH(C1409,""facebook"")=TRUE,""Facebook"",if(REGEXMATCH(C1409,""instagram"")=TRUE,""Instagram"",if(REGEXMATCH(C1409,""youtube"")=TRUE,""Youtube"",if(REGEXMATCH(C1409,""tiktok"")=TRUE,""Tiktok"",if("&amp;"REGEXMATCH(C1409,""threads"")=TRUE,""Threads""))))))"),"Tiktok")</f>
        <v>Tiktok</v>
      </c>
      <c r="G1409" s="41" t="s">
        <v>2483</v>
      </c>
      <c r="H1409" s="36"/>
      <c r="I1409" s="36"/>
      <c r="J1409" s="41" t="s">
        <v>188</v>
      </c>
      <c r="K1409" s="41"/>
      <c r="L1409" s="42"/>
    </row>
    <row r="1410">
      <c r="A1410" s="15">
        <v>1409.0</v>
      </c>
      <c r="B1410" s="39">
        <v>45984.0</v>
      </c>
      <c r="C1410" s="40" t="s">
        <v>2485</v>
      </c>
      <c r="D1410" s="41"/>
      <c r="E1410" s="41" t="s">
        <v>197</v>
      </c>
      <c r="F1410" s="18" t="str">
        <f>IFERROR(__xludf.DUMMYFUNCTION("if(REGEXMATCH(C1410,""x.com"")=TRUE,""Twitter"",if(REGEXMATCH(C1410,""facebook"")=TRUE,""Facebook"",if(REGEXMATCH(C1410,""instagram"")=TRUE,""Instagram"",if(REGEXMATCH(C1410,""youtube"")=TRUE,""Youtube"",if(REGEXMATCH(C1410,""tiktok"")=TRUE,""Tiktok"",if("&amp;"REGEXMATCH(C1410,""threads"")=TRUE,""Threads""))))))"),"Tiktok")</f>
        <v>Tiktok</v>
      </c>
      <c r="G1410" s="41" t="s">
        <v>2483</v>
      </c>
      <c r="H1410" s="36"/>
      <c r="I1410" s="36"/>
      <c r="J1410" s="41" t="s">
        <v>188</v>
      </c>
      <c r="K1410" s="41"/>
      <c r="L1410" s="42"/>
    </row>
    <row r="1411">
      <c r="A1411" s="15">
        <v>1410.0</v>
      </c>
      <c r="B1411" s="39">
        <v>45984.0</v>
      </c>
      <c r="C1411" s="40" t="s">
        <v>2486</v>
      </c>
      <c r="D1411" s="41"/>
      <c r="E1411" s="41" t="s">
        <v>197</v>
      </c>
      <c r="F1411" s="18" t="str">
        <f>IFERROR(__xludf.DUMMYFUNCTION("if(REGEXMATCH(C1411,""x.com"")=TRUE,""Twitter"",if(REGEXMATCH(C1411,""facebook"")=TRUE,""Facebook"",if(REGEXMATCH(C1411,""instagram"")=TRUE,""Instagram"",if(REGEXMATCH(C1411,""youtube"")=TRUE,""Youtube"",if(REGEXMATCH(C1411,""tiktok"")=TRUE,""Tiktok"",if("&amp;"REGEXMATCH(C1411,""threads"")=TRUE,""Threads""))))))"),"Tiktok")</f>
        <v>Tiktok</v>
      </c>
      <c r="G1411" s="41" t="s">
        <v>2483</v>
      </c>
      <c r="H1411" s="36"/>
      <c r="I1411" s="36"/>
      <c r="J1411" s="41" t="s">
        <v>188</v>
      </c>
      <c r="K1411" s="41"/>
      <c r="L1411" s="42"/>
    </row>
    <row r="1412">
      <c r="A1412" s="15">
        <v>1411.0</v>
      </c>
      <c r="B1412" s="39">
        <v>45984.0</v>
      </c>
      <c r="C1412" s="40" t="s">
        <v>2487</v>
      </c>
      <c r="D1412" s="41"/>
      <c r="E1412" s="41" t="s">
        <v>197</v>
      </c>
      <c r="F1412" s="18" t="str">
        <f>IFERROR(__xludf.DUMMYFUNCTION("if(REGEXMATCH(C1412,""x.com"")=TRUE,""Twitter"",if(REGEXMATCH(C1412,""facebook"")=TRUE,""Facebook"",if(REGEXMATCH(C1412,""instagram"")=TRUE,""Instagram"",if(REGEXMATCH(C1412,""youtube"")=TRUE,""Youtube"",if(REGEXMATCH(C1412,""tiktok"")=TRUE,""Tiktok"",if("&amp;"REGEXMATCH(C1412,""threads"")=TRUE,""Threads""))))))"),"Tiktok")</f>
        <v>Tiktok</v>
      </c>
      <c r="G1412" s="41" t="s">
        <v>2483</v>
      </c>
      <c r="H1412" s="35"/>
      <c r="I1412" s="35"/>
      <c r="J1412" s="41" t="s">
        <v>188</v>
      </c>
      <c r="K1412" s="41"/>
      <c r="L1412" s="42"/>
    </row>
    <row r="1413">
      <c r="A1413" s="15">
        <v>1412.0</v>
      </c>
      <c r="B1413" s="39">
        <v>45931.0</v>
      </c>
      <c r="C1413" s="50" t="s">
        <v>2488</v>
      </c>
      <c r="D1413" s="41"/>
      <c r="E1413" s="41" t="s">
        <v>202</v>
      </c>
      <c r="F1413" s="18" t="s">
        <v>686</v>
      </c>
      <c r="G1413" s="41" t="s">
        <v>2489</v>
      </c>
      <c r="H1413" s="41" t="s">
        <v>1782</v>
      </c>
      <c r="I1413" s="51" t="s">
        <v>535</v>
      </c>
      <c r="J1413" s="41" t="s">
        <v>188</v>
      </c>
      <c r="K1413" s="41"/>
      <c r="L1413" s="42"/>
    </row>
    <row r="1414">
      <c r="A1414" s="15">
        <v>1413.0</v>
      </c>
      <c r="B1414" s="39">
        <v>45931.0</v>
      </c>
      <c r="C1414" s="50" t="s">
        <v>2490</v>
      </c>
      <c r="D1414" s="41"/>
      <c r="E1414" s="41" t="s">
        <v>184</v>
      </c>
      <c r="F1414" s="18" t="s">
        <v>686</v>
      </c>
      <c r="G1414" s="41" t="s">
        <v>2491</v>
      </c>
      <c r="H1414" s="41"/>
      <c r="I1414" s="41"/>
      <c r="J1414" s="41" t="s">
        <v>188</v>
      </c>
      <c r="K1414" s="41"/>
      <c r="L1414" s="42"/>
    </row>
    <row r="1415">
      <c r="A1415" s="15">
        <v>1414.0</v>
      </c>
      <c r="B1415" s="39">
        <v>45931.0</v>
      </c>
      <c r="C1415" s="50" t="s">
        <v>2492</v>
      </c>
      <c r="D1415" s="41"/>
      <c r="E1415" s="41" t="s">
        <v>184</v>
      </c>
      <c r="F1415" s="18" t="s">
        <v>405</v>
      </c>
      <c r="G1415" s="41" t="s">
        <v>2493</v>
      </c>
      <c r="H1415" s="41"/>
      <c r="I1415" s="41"/>
      <c r="J1415" s="41" t="s">
        <v>188</v>
      </c>
      <c r="K1415" s="41"/>
      <c r="L1415" s="42"/>
    </row>
    <row r="1416">
      <c r="A1416" s="15">
        <v>1415.0</v>
      </c>
      <c r="B1416" s="39">
        <v>45931.0</v>
      </c>
      <c r="C1416" s="50" t="s">
        <v>2494</v>
      </c>
      <c r="D1416" s="41"/>
      <c r="E1416" s="41" t="s">
        <v>202</v>
      </c>
      <c r="F1416" s="18" t="s">
        <v>405</v>
      </c>
      <c r="G1416" s="41" t="s">
        <v>2495</v>
      </c>
      <c r="H1416" s="41"/>
      <c r="I1416" s="41"/>
      <c r="J1416" s="41" t="s">
        <v>188</v>
      </c>
      <c r="K1416" s="41"/>
      <c r="L1416" s="42"/>
    </row>
    <row r="1417">
      <c r="A1417" s="15">
        <v>1416.0</v>
      </c>
      <c r="B1417" s="39">
        <v>45931.0</v>
      </c>
      <c r="C1417" s="50" t="s">
        <v>2496</v>
      </c>
      <c r="D1417" s="41"/>
      <c r="E1417" s="41" t="s">
        <v>202</v>
      </c>
      <c r="F1417" s="18" t="s">
        <v>405</v>
      </c>
      <c r="G1417" s="41" t="s">
        <v>2497</v>
      </c>
      <c r="H1417" s="41"/>
      <c r="I1417" s="41"/>
      <c r="J1417" s="41" t="s">
        <v>422</v>
      </c>
      <c r="K1417" s="41"/>
      <c r="L1417" s="42"/>
    </row>
    <row r="1418">
      <c r="A1418" s="15">
        <v>1417.0</v>
      </c>
      <c r="B1418" s="39">
        <v>45931.0</v>
      </c>
      <c r="C1418" s="50" t="s">
        <v>2498</v>
      </c>
      <c r="D1418" s="41"/>
      <c r="E1418" s="41" t="s">
        <v>202</v>
      </c>
      <c r="F1418" s="18" t="s">
        <v>405</v>
      </c>
      <c r="G1418" s="41" t="s">
        <v>2499</v>
      </c>
      <c r="H1418" s="41"/>
      <c r="I1418" s="41"/>
      <c r="J1418" s="41" t="s">
        <v>188</v>
      </c>
      <c r="K1418" s="41"/>
      <c r="L1418" s="42"/>
    </row>
    <row r="1419">
      <c r="A1419" s="15">
        <v>1418.0</v>
      </c>
      <c r="B1419" s="39">
        <v>45931.0</v>
      </c>
      <c r="C1419" s="50" t="s">
        <v>2500</v>
      </c>
      <c r="D1419" s="41"/>
      <c r="E1419" s="41" t="s">
        <v>184</v>
      </c>
      <c r="F1419" s="18" t="s">
        <v>686</v>
      </c>
      <c r="G1419" s="41" t="s">
        <v>2501</v>
      </c>
      <c r="H1419" s="41"/>
      <c r="I1419" s="41"/>
      <c r="J1419" s="41" t="s">
        <v>188</v>
      </c>
      <c r="K1419" s="41"/>
      <c r="L1419" s="42"/>
    </row>
    <row r="1420">
      <c r="A1420" s="15">
        <v>1419.0</v>
      </c>
      <c r="B1420" s="39">
        <v>45931.0</v>
      </c>
      <c r="C1420" s="50" t="s">
        <v>2502</v>
      </c>
      <c r="D1420" s="41"/>
      <c r="E1420" s="41" t="s">
        <v>184</v>
      </c>
      <c r="F1420" s="18" t="s">
        <v>686</v>
      </c>
      <c r="G1420" s="41" t="s">
        <v>2503</v>
      </c>
      <c r="H1420" s="41"/>
      <c r="I1420" s="41"/>
      <c r="J1420" s="41" t="s">
        <v>188</v>
      </c>
      <c r="K1420" s="41"/>
      <c r="L1420" s="42"/>
    </row>
    <row r="1421">
      <c r="A1421" s="15">
        <v>1420.0</v>
      </c>
      <c r="B1421" s="39">
        <v>45931.0</v>
      </c>
      <c r="C1421" s="50" t="s">
        <v>2504</v>
      </c>
      <c r="D1421" s="41"/>
      <c r="E1421" s="41" t="s">
        <v>401</v>
      </c>
      <c r="F1421" s="18" t="s">
        <v>686</v>
      </c>
      <c r="G1421" s="41" t="s">
        <v>2503</v>
      </c>
      <c r="H1421" s="41"/>
      <c r="I1421" s="41"/>
      <c r="J1421" s="41" t="s">
        <v>188</v>
      </c>
      <c r="K1421" s="41"/>
      <c r="L1421" s="42"/>
    </row>
    <row r="1422">
      <c r="A1422" s="15">
        <v>1421.0</v>
      </c>
      <c r="B1422" s="39">
        <v>45931.0</v>
      </c>
      <c r="C1422" s="40" t="s">
        <v>2505</v>
      </c>
      <c r="D1422" s="41"/>
      <c r="E1422" s="41" t="s">
        <v>184</v>
      </c>
      <c r="F1422" s="18" t="s">
        <v>405</v>
      </c>
      <c r="G1422" s="41" t="s">
        <v>2506</v>
      </c>
      <c r="H1422" s="41"/>
      <c r="I1422" s="41"/>
      <c r="J1422" s="41" t="s">
        <v>188</v>
      </c>
      <c r="K1422" s="41"/>
      <c r="L1422" s="42"/>
    </row>
    <row r="1423">
      <c r="A1423" s="15">
        <v>1422.0</v>
      </c>
      <c r="B1423" s="39">
        <v>45931.0</v>
      </c>
      <c r="C1423" s="40" t="s">
        <v>2507</v>
      </c>
      <c r="D1423" s="41"/>
      <c r="E1423" s="41" t="s">
        <v>184</v>
      </c>
      <c r="F1423" s="18" t="s">
        <v>405</v>
      </c>
      <c r="G1423" s="41" t="s">
        <v>2506</v>
      </c>
      <c r="H1423" s="41"/>
      <c r="I1423" s="41"/>
      <c r="J1423" s="41" t="s">
        <v>188</v>
      </c>
      <c r="K1423" s="41"/>
      <c r="L1423" s="42"/>
    </row>
    <row r="1424">
      <c r="A1424" s="15">
        <v>1423.0</v>
      </c>
      <c r="B1424" s="39">
        <v>45931.0</v>
      </c>
      <c r="C1424" s="40" t="s">
        <v>2508</v>
      </c>
      <c r="D1424" s="41"/>
      <c r="E1424" s="41" t="s">
        <v>184</v>
      </c>
      <c r="F1424" s="18" t="s">
        <v>405</v>
      </c>
      <c r="G1424" s="41" t="s">
        <v>2509</v>
      </c>
      <c r="H1424" s="41"/>
      <c r="I1424" s="41"/>
      <c r="J1424" s="41" t="s">
        <v>188</v>
      </c>
      <c r="K1424" s="41"/>
      <c r="L1424" s="42"/>
    </row>
    <row r="1425">
      <c r="A1425" s="15">
        <v>1424.0</v>
      </c>
      <c r="B1425" s="39">
        <v>45931.0</v>
      </c>
      <c r="C1425" s="40" t="s">
        <v>2510</v>
      </c>
      <c r="D1425" s="41"/>
      <c r="E1425" s="41" t="s">
        <v>184</v>
      </c>
      <c r="F1425" s="18" t="s">
        <v>622</v>
      </c>
      <c r="G1425" s="41" t="s">
        <v>2511</v>
      </c>
      <c r="H1425" s="41"/>
      <c r="I1425" s="41"/>
      <c r="J1425" s="41" t="s">
        <v>188</v>
      </c>
      <c r="K1425" s="41"/>
      <c r="L1425" s="42"/>
    </row>
    <row r="1426">
      <c r="A1426" s="15">
        <v>1425.0</v>
      </c>
      <c r="B1426" s="39">
        <v>45931.0</v>
      </c>
      <c r="C1426" s="40" t="s">
        <v>2512</v>
      </c>
      <c r="D1426" s="41"/>
      <c r="E1426" s="41" t="s">
        <v>184</v>
      </c>
      <c r="F1426" s="18" t="s">
        <v>622</v>
      </c>
      <c r="G1426" s="41" t="s">
        <v>2513</v>
      </c>
      <c r="H1426" s="41"/>
      <c r="I1426" s="41"/>
      <c r="J1426" s="41" t="s">
        <v>188</v>
      </c>
      <c r="K1426" s="41"/>
      <c r="L1426" s="42"/>
    </row>
    <row r="1427">
      <c r="A1427" s="15">
        <v>1426.0</v>
      </c>
      <c r="B1427" s="39">
        <v>45931.0</v>
      </c>
      <c r="C1427" s="40" t="s">
        <v>2514</v>
      </c>
      <c r="D1427" s="41"/>
      <c r="E1427" s="41" t="s">
        <v>184</v>
      </c>
      <c r="F1427" s="18" t="s">
        <v>622</v>
      </c>
      <c r="G1427" s="41" t="s">
        <v>2515</v>
      </c>
      <c r="H1427" s="41"/>
      <c r="I1427" s="41"/>
      <c r="J1427" s="41" t="s">
        <v>188</v>
      </c>
      <c r="K1427" s="41"/>
      <c r="L1427" s="42"/>
    </row>
    <row r="1428">
      <c r="A1428" s="15">
        <v>1427.0</v>
      </c>
      <c r="B1428" s="39">
        <v>45931.0</v>
      </c>
      <c r="C1428" s="40" t="s">
        <v>2516</v>
      </c>
      <c r="D1428" s="41"/>
      <c r="E1428" s="41" t="s">
        <v>184</v>
      </c>
      <c r="F1428" s="18" t="s">
        <v>686</v>
      </c>
      <c r="G1428" s="41" t="s">
        <v>2517</v>
      </c>
      <c r="H1428" s="41"/>
      <c r="I1428" s="41"/>
      <c r="J1428" s="41" t="s">
        <v>188</v>
      </c>
      <c r="K1428" s="41"/>
      <c r="L1428" s="42"/>
    </row>
    <row r="1429">
      <c r="A1429" s="15">
        <v>1428.0</v>
      </c>
      <c r="B1429" s="39">
        <v>45931.0</v>
      </c>
      <c r="C1429" s="40" t="s">
        <v>2518</v>
      </c>
      <c r="D1429" s="41"/>
      <c r="E1429" s="41" t="s">
        <v>184</v>
      </c>
      <c r="F1429" s="18" t="s">
        <v>686</v>
      </c>
      <c r="G1429" s="41" t="s">
        <v>2519</v>
      </c>
      <c r="H1429" s="41"/>
      <c r="I1429" s="41"/>
      <c r="J1429" s="41" t="s">
        <v>188</v>
      </c>
      <c r="K1429" s="41"/>
      <c r="L1429" s="42"/>
    </row>
    <row r="1430">
      <c r="A1430" s="15">
        <v>1429.0</v>
      </c>
      <c r="B1430" s="39">
        <v>45931.0</v>
      </c>
      <c r="C1430" s="40" t="s">
        <v>2520</v>
      </c>
      <c r="D1430" s="41"/>
      <c r="E1430" s="41" t="s">
        <v>184</v>
      </c>
      <c r="F1430" s="18" t="s">
        <v>686</v>
      </c>
      <c r="G1430" s="41" t="s">
        <v>2521</v>
      </c>
      <c r="H1430" s="41"/>
      <c r="I1430" s="41"/>
      <c r="J1430" s="41" t="s">
        <v>188</v>
      </c>
      <c r="K1430" s="41"/>
      <c r="L1430" s="42"/>
    </row>
    <row r="1431">
      <c r="A1431" s="15">
        <v>1430.0</v>
      </c>
      <c r="B1431" s="39">
        <v>45931.0</v>
      </c>
      <c r="C1431" s="40" t="s">
        <v>2522</v>
      </c>
      <c r="D1431" s="41"/>
      <c r="E1431" s="41" t="s">
        <v>184</v>
      </c>
      <c r="F1431" s="18" t="s">
        <v>686</v>
      </c>
      <c r="G1431" s="41" t="s">
        <v>1860</v>
      </c>
      <c r="H1431" s="41"/>
      <c r="I1431" s="41"/>
      <c r="J1431" s="41" t="s">
        <v>188</v>
      </c>
      <c r="K1431" s="41"/>
      <c r="L1431" s="42"/>
    </row>
    <row r="1432">
      <c r="A1432" s="15">
        <v>1431.0</v>
      </c>
      <c r="B1432" s="39">
        <v>45931.0</v>
      </c>
      <c r="C1432" s="40" t="s">
        <v>2523</v>
      </c>
      <c r="D1432" s="41"/>
      <c r="E1432" s="41" t="s">
        <v>184</v>
      </c>
      <c r="F1432" s="18" t="s">
        <v>686</v>
      </c>
      <c r="G1432" s="41" t="s">
        <v>2517</v>
      </c>
      <c r="H1432" s="41"/>
      <c r="I1432" s="41"/>
      <c r="J1432" s="41" t="s">
        <v>188</v>
      </c>
      <c r="K1432" s="41"/>
      <c r="L1432" s="42"/>
    </row>
    <row r="1433">
      <c r="A1433" s="15">
        <v>1432.0</v>
      </c>
      <c r="B1433" s="39">
        <v>45931.0</v>
      </c>
      <c r="C1433" s="40" t="s">
        <v>2524</v>
      </c>
      <c r="D1433" s="41"/>
      <c r="E1433" s="41" t="s">
        <v>184</v>
      </c>
      <c r="F1433" s="18" t="s">
        <v>686</v>
      </c>
      <c r="G1433" s="41" t="s">
        <v>2517</v>
      </c>
      <c r="H1433" s="41"/>
      <c r="I1433" s="41"/>
      <c r="J1433" s="41" t="s">
        <v>188</v>
      </c>
      <c r="K1433" s="41"/>
      <c r="L1433" s="42"/>
    </row>
    <row r="1434">
      <c r="A1434" s="15">
        <v>1433.0</v>
      </c>
      <c r="B1434" s="39">
        <v>45931.0</v>
      </c>
      <c r="C1434" s="40" t="s">
        <v>2525</v>
      </c>
      <c r="D1434" s="41"/>
      <c r="E1434" s="41" t="s">
        <v>2526</v>
      </c>
      <c r="F1434" s="18" t="s">
        <v>622</v>
      </c>
      <c r="G1434" s="41" t="s">
        <v>2527</v>
      </c>
      <c r="H1434" s="41" t="s">
        <v>1343</v>
      </c>
      <c r="I1434" s="41" t="s">
        <v>939</v>
      </c>
      <c r="J1434" s="41" t="s">
        <v>188</v>
      </c>
      <c r="K1434" s="41"/>
      <c r="L1434" s="42"/>
    </row>
    <row r="1435">
      <c r="A1435" s="15">
        <v>1434.0</v>
      </c>
      <c r="B1435" s="39">
        <v>45931.0</v>
      </c>
      <c r="C1435" s="40" t="s">
        <v>2528</v>
      </c>
      <c r="D1435" s="41"/>
      <c r="E1435" s="41" t="s">
        <v>2526</v>
      </c>
      <c r="F1435" s="18" t="s">
        <v>622</v>
      </c>
      <c r="G1435" s="41" t="s">
        <v>2529</v>
      </c>
      <c r="H1435" s="41" t="s">
        <v>1343</v>
      </c>
      <c r="I1435" s="41" t="s">
        <v>1181</v>
      </c>
      <c r="J1435" s="41" t="s">
        <v>188</v>
      </c>
      <c r="K1435" s="41"/>
      <c r="L1435" s="42"/>
    </row>
    <row r="1436">
      <c r="A1436" s="15">
        <v>1435.0</v>
      </c>
      <c r="B1436" s="39">
        <v>45931.0</v>
      </c>
      <c r="C1436" s="40" t="s">
        <v>2530</v>
      </c>
      <c r="D1436" s="41"/>
      <c r="E1436" s="41" t="s">
        <v>2526</v>
      </c>
      <c r="F1436" s="18" t="s">
        <v>622</v>
      </c>
      <c r="G1436" s="41" t="s">
        <v>2529</v>
      </c>
      <c r="H1436" s="41" t="s">
        <v>1343</v>
      </c>
      <c r="I1436" s="41" t="s">
        <v>1181</v>
      </c>
      <c r="J1436" s="41" t="s">
        <v>188</v>
      </c>
      <c r="K1436" s="41"/>
      <c r="L1436" s="42"/>
    </row>
    <row r="1437">
      <c r="A1437" s="15">
        <v>1436.0</v>
      </c>
      <c r="B1437" s="39">
        <v>45931.0</v>
      </c>
      <c r="C1437" s="40" t="s">
        <v>2531</v>
      </c>
      <c r="D1437" s="41"/>
      <c r="E1437" s="41" t="s">
        <v>2526</v>
      </c>
      <c r="F1437" s="18" t="s">
        <v>622</v>
      </c>
      <c r="G1437" s="41" t="s">
        <v>2529</v>
      </c>
      <c r="H1437" s="41" t="s">
        <v>1343</v>
      </c>
      <c r="I1437" s="41" t="s">
        <v>1181</v>
      </c>
      <c r="J1437" s="41" t="s">
        <v>188</v>
      </c>
      <c r="K1437" s="41"/>
      <c r="L1437" s="42"/>
    </row>
    <row r="1438">
      <c r="A1438" s="15">
        <v>1437.0</v>
      </c>
      <c r="B1438" s="39">
        <v>45931.0</v>
      </c>
      <c r="C1438" s="40" t="s">
        <v>2532</v>
      </c>
      <c r="D1438" s="41"/>
      <c r="E1438" s="52" t="s">
        <v>184</v>
      </c>
      <c r="F1438" s="18" t="s">
        <v>622</v>
      </c>
      <c r="G1438" s="41" t="s">
        <v>2533</v>
      </c>
      <c r="H1438" s="41" t="s">
        <v>410</v>
      </c>
      <c r="I1438" s="41"/>
      <c r="J1438" s="41" t="s">
        <v>188</v>
      </c>
      <c r="K1438" s="41" t="s">
        <v>1611</v>
      </c>
      <c r="L1438" s="42"/>
    </row>
    <row r="1439">
      <c r="A1439" s="15">
        <v>1438.0</v>
      </c>
      <c r="B1439" s="39">
        <v>45932.0</v>
      </c>
      <c r="C1439" s="40" t="s">
        <v>2534</v>
      </c>
      <c r="D1439" s="41"/>
      <c r="E1439" s="41" t="s">
        <v>197</v>
      </c>
      <c r="F1439" s="18" t="s">
        <v>405</v>
      </c>
      <c r="G1439" s="41" t="s">
        <v>2535</v>
      </c>
      <c r="H1439" s="41"/>
      <c r="I1439" s="41"/>
      <c r="J1439" s="41" t="s">
        <v>188</v>
      </c>
      <c r="K1439" s="41" t="s">
        <v>1611</v>
      </c>
      <c r="L1439" s="42"/>
    </row>
    <row r="1440">
      <c r="A1440" s="15">
        <v>1439.0</v>
      </c>
      <c r="B1440" s="39">
        <v>45932.0</v>
      </c>
      <c r="C1440" s="40" t="s">
        <v>2536</v>
      </c>
      <c r="D1440" s="41"/>
      <c r="E1440" s="41" t="s">
        <v>197</v>
      </c>
      <c r="F1440" s="18" t="s">
        <v>405</v>
      </c>
      <c r="G1440" s="41" t="s">
        <v>2537</v>
      </c>
      <c r="H1440" s="41"/>
      <c r="I1440" s="41"/>
      <c r="J1440" s="41" t="s">
        <v>188</v>
      </c>
      <c r="K1440" s="41" t="s">
        <v>1611</v>
      </c>
      <c r="L1440" s="42"/>
    </row>
    <row r="1441">
      <c r="A1441" s="15">
        <v>1440.0</v>
      </c>
      <c r="B1441" s="39">
        <v>45932.0</v>
      </c>
      <c r="C1441" s="40" t="s">
        <v>2538</v>
      </c>
      <c r="D1441" s="41"/>
      <c r="E1441" s="41" t="s">
        <v>197</v>
      </c>
      <c r="F1441" s="18" t="s">
        <v>405</v>
      </c>
      <c r="G1441" s="41" t="s">
        <v>2539</v>
      </c>
      <c r="H1441" s="41"/>
      <c r="I1441" s="41"/>
      <c r="J1441" s="41" t="s">
        <v>188</v>
      </c>
      <c r="K1441" s="41" t="s">
        <v>1611</v>
      </c>
      <c r="L1441" s="42"/>
    </row>
    <row r="1442">
      <c r="A1442" s="15">
        <v>1441.0</v>
      </c>
      <c r="B1442" s="39">
        <v>45932.0</v>
      </c>
      <c r="C1442" s="40" t="s">
        <v>2540</v>
      </c>
      <c r="D1442" s="41"/>
      <c r="E1442" s="41" t="s">
        <v>197</v>
      </c>
      <c r="F1442" s="18" t="s">
        <v>405</v>
      </c>
      <c r="G1442" s="41" t="s">
        <v>2541</v>
      </c>
      <c r="H1442" s="41"/>
      <c r="I1442" s="41"/>
      <c r="J1442" s="41" t="s">
        <v>188</v>
      </c>
      <c r="K1442" s="41" t="s">
        <v>1611</v>
      </c>
      <c r="L1442" s="42"/>
    </row>
    <row r="1443">
      <c r="A1443" s="15">
        <v>1442.0</v>
      </c>
      <c r="B1443" s="39">
        <v>45932.0</v>
      </c>
      <c r="C1443" s="40" t="s">
        <v>2542</v>
      </c>
      <c r="D1443" s="41"/>
      <c r="E1443" s="41" t="s">
        <v>197</v>
      </c>
      <c r="F1443" s="18" t="s">
        <v>686</v>
      </c>
      <c r="G1443" s="41" t="s">
        <v>2543</v>
      </c>
      <c r="H1443" s="41"/>
      <c r="I1443" s="41"/>
      <c r="J1443" s="41" t="s">
        <v>188</v>
      </c>
      <c r="K1443" s="41" t="s">
        <v>1611</v>
      </c>
      <c r="L1443" s="42"/>
    </row>
    <row r="1444">
      <c r="A1444" s="15">
        <v>1443.0</v>
      </c>
      <c r="B1444" s="39">
        <v>45932.0</v>
      </c>
      <c r="C1444" s="40" t="s">
        <v>2544</v>
      </c>
      <c r="D1444" s="41"/>
      <c r="E1444" s="41" t="s">
        <v>197</v>
      </c>
      <c r="F1444" s="18" t="s">
        <v>686</v>
      </c>
      <c r="G1444" s="41" t="s">
        <v>2545</v>
      </c>
      <c r="H1444" s="41"/>
      <c r="I1444" s="41"/>
      <c r="J1444" s="41" t="s">
        <v>188</v>
      </c>
      <c r="K1444" s="41" t="s">
        <v>1611</v>
      </c>
      <c r="L1444" s="42"/>
    </row>
    <row r="1445">
      <c r="A1445" s="15">
        <v>1444.0</v>
      </c>
      <c r="B1445" s="39">
        <v>45932.0</v>
      </c>
      <c r="C1445" s="40" t="s">
        <v>2546</v>
      </c>
      <c r="D1445" s="41"/>
      <c r="E1445" s="41" t="s">
        <v>197</v>
      </c>
      <c r="F1445" s="18" t="s">
        <v>686</v>
      </c>
      <c r="G1445" s="41" t="s">
        <v>2547</v>
      </c>
      <c r="H1445" s="41"/>
      <c r="I1445" s="41"/>
      <c r="J1445" s="41" t="s">
        <v>188</v>
      </c>
      <c r="K1445" s="41" t="s">
        <v>1611</v>
      </c>
      <c r="L1445" s="42"/>
    </row>
    <row r="1446">
      <c r="A1446" s="15">
        <v>1445.0</v>
      </c>
      <c r="B1446" s="39">
        <v>45932.0</v>
      </c>
      <c r="C1446" s="40" t="s">
        <v>2548</v>
      </c>
      <c r="D1446" s="41"/>
      <c r="E1446" s="41" t="s">
        <v>197</v>
      </c>
      <c r="F1446" s="18" t="s">
        <v>686</v>
      </c>
      <c r="G1446" s="41" t="s">
        <v>2549</v>
      </c>
      <c r="H1446" s="41"/>
      <c r="I1446" s="41"/>
      <c r="J1446" s="41" t="s">
        <v>188</v>
      </c>
      <c r="K1446" s="41" t="s">
        <v>1611</v>
      </c>
      <c r="L1446" s="42"/>
    </row>
    <row r="1447">
      <c r="A1447" s="15">
        <v>1446.0</v>
      </c>
      <c r="B1447" s="39">
        <v>45932.0</v>
      </c>
      <c r="C1447" s="40" t="s">
        <v>2550</v>
      </c>
      <c r="D1447" s="41"/>
      <c r="E1447" s="41" t="s">
        <v>197</v>
      </c>
      <c r="F1447" s="18" t="s">
        <v>405</v>
      </c>
      <c r="G1447" s="41" t="s">
        <v>2551</v>
      </c>
      <c r="H1447" s="41"/>
      <c r="I1447" s="41"/>
      <c r="J1447" s="41" t="s">
        <v>188</v>
      </c>
      <c r="K1447" s="41" t="s">
        <v>1611</v>
      </c>
      <c r="L1447" s="42"/>
    </row>
    <row r="1448">
      <c r="A1448" s="15">
        <v>1447.0</v>
      </c>
      <c r="B1448" s="39">
        <v>45932.0</v>
      </c>
      <c r="C1448" s="40" t="s">
        <v>2552</v>
      </c>
      <c r="D1448" s="41"/>
      <c r="E1448" s="41" t="s">
        <v>197</v>
      </c>
      <c r="F1448" s="18" t="s">
        <v>405</v>
      </c>
      <c r="G1448" s="41" t="s">
        <v>2553</v>
      </c>
      <c r="H1448" s="41"/>
      <c r="I1448" s="41"/>
      <c r="J1448" s="41" t="s">
        <v>188</v>
      </c>
      <c r="K1448" s="41" t="s">
        <v>1611</v>
      </c>
      <c r="L1448" s="42"/>
    </row>
    <row r="1449">
      <c r="A1449" s="15">
        <v>1448.0</v>
      </c>
      <c r="B1449" s="39">
        <v>45932.0</v>
      </c>
      <c r="C1449" s="40" t="s">
        <v>2554</v>
      </c>
      <c r="D1449" s="41"/>
      <c r="E1449" s="41" t="s">
        <v>372</v>
      </c>
      <c r="F1449" s="18" t="s">
        <v>686</v>
      </c>
      <c r="G1449" s="41" t="s">
        <v>2555</v>
      </c>
      <c r="H1449" s="41"/>
      <c r="I1449" s="41"/>
      <c r="J1449" s="41" t="s">
        <v>188</v>
      </c>
      <c r="K1449" s="41" t="s">
        <v>1611</v>
      </c>
      <c r="L1449" s="42"/>
    </row>
    <row r="1450">
      <c r="A1450" s="15">
        <v>1449.0</v>
      </c>
      <c r="B1450" s="39">
        <v>45932.0</v>
      </c>
      <c r="C1450" s="40" t="s">
        <v>2556</v>
      </c>
      <c r="D1450" s="41"/>
      <c r="E1450" s="41"/>
      <c r="F1450" s="18" t="s">
        <v>686</v>
      </c>
      <c r="G1450" s="41" t="s">
        <v>2557</v>
      </c>
      <c r="H1450" s="41"/>
      <c r="I1450" s="41"/>
      <c r="J1450" s="41" t="s">
        <v>188</v>
      </c>
      <c r="K1450" s="41" t="s">
        <v>1611</v>
      </c>
      <c r="L1450" s="42"/>
    </row>
    <row r="1451">
      <c r="A1451" s="15">
        <v>1450.0</v>
      </c>
      <c r="B1451" s="39">
        <v>45932.0</v>
      </c>
      <c r="C1451" s="40" t="s">
        <v>2558</v>
      </c>
      <c r="D1451" s="41"/>
      <c r="E1451" s="41" t="s">
        <v>197</v>
      </c>
      <c r="F1451" s="18" t="s">
        <v>686</v>
      </c>
      <c r="G1451" s="41" t="s">
        <v>1860</v>
      </c>
      <c r="H1451" s="41"/>
      <c r="I1451" s="41"/>
      <c r="J1451" s="41" t="s">
        <v>188</v>
      </c>
      <c r="K1451" s="41" t="s">
        <v>1611</v>
      </c>
      <c r="L1451" s="42"/>
    </row>
    <row r="1452">
      <c r="A1452" s="15">
        <v>1451.0</v>
      </c>
      <c r="B1452" s="39">
        <v>45932.0</v>
      </c>
      <c r="C1452" s="40" t="s">
        <v>2559</v>
      </c>
      <c r="D1452" s="41"/>
      <c r="E1452" s="41" t="s">
        <v>2560</v>
      </c>
      <c r="F1452" s="18" t="s">
        <v>686</v>
      </c>
      <c r="G1452" s="41" t="s">
        <v>2561</v>
      </c>
      <c r="H1452" s="41"/>
      <c r="I1452" s="41"/>
      <c r="J1452" s="41" t="s">
        <v>188</v>
      </c>
      <c r="K1452" s="41"/>
      <c r="L1452" s="42"/>
    </row>
    <row r="1453">
      <c r="A1453" s="15">
        <v>1452.0</v>
      </c>
      <c r="B1453" s="39">
        <v>45932.0</v>
      </c>
      <c r="C1453" s="40" t="s">
        <v>2562</v>
      </c>
      <c r="D1453" s="41"/>
      <c r="E1453" s="41" t="s">
        <v>197</v>
      </c>
      <c r="F1453" s="18" t="s">
        <v>622</v>
      </c>
      <c r="G1453" s="41" t="s">
        <v>2563</v>
      </c>
      <c r="H1453" s="41"/>
      <c r="I1453" s="41"/>
      <c r="J1453" s="41" t="s">
        <v>188</v>
      </c>
      <c r="K1453" s="41" t="s">
        <v>1611</v>
      </c>
      <c r="L1453" s="42"/>
    </row>
    <row r="1454">
      <c r="A1454" s="15">
        <v>1453.0</v>
      </c>
      <c r="B1454" s="39">
        <v>45932.0</v>
      </c>
      <c r="C1454" s="40" t="s">
        <v>2564</v>
      </c>
      <c r="D1454" s="41"/>
      <c r="E1454" s="41" t="s">
        <v>197</v>
      </c>
      <c r="F1454" s="18" t="s">
        <v>622</v>
      </c>
      <c r="G1454" s="41" t="s">
        <v>2565</v>
      </c>
      <c r="H1454" s="41"/>
      <c r="I1454" s="41"/>
      <c r="J1454" s="41" t="s">
        <v>188</v>
      </c>
      <c r="K1454" s="41" t="s">
        <v>1611</v>
      </c>
      <c r="L1454" s="42"/>
    </row>
    <row r="1455">
      <c r="A1455" s="15">
        <v>1454.0</v>
      </c>
      <c r="B1455" s="39">
        <v>45932.0</v>
      </c>
      <c r="C1455" s="40" t="s">
        <v>2566</v>
      </c>
      <c r="D1455" s="41"/>
      <c r="E1455" s="41" t="s">
        <v>197</v>
      </c>
      <c r="F1455" s="18" t="s">
        <v>622</v>
      </c>
      <c r="G1455" s="41" t="s">
        <v>2567</v>
      </c>
      <c r="H1455" s="41"/>
      <c r="I1455" s="41"/>
      <c r="J1455" s="41" t="s">
        <v>188</v>
      </c>
      <c r="K1455" s="41" t="s">
        <v>1611</v>
      </c>
      <c r="L1455" s="42"/>
    </row>
    <row r="1456">
      <c r="A1456" s="15">
        <v>1455.0</v>
      </c>
      <c r="B1456" s="39">
        <v>45932.0</v>
      </c>
      <c r="C1456" s="40" t="s">
        <v>2568</v>
      </c>
      <c r="D1456" s="41"/>
      <c r="E1456" s="41" t="s">
        <v>197</v>
      </c>
      <c r="F1456" s="18" t="s">
        <v>622</v>
      </c>
      <c r="G1456" s="41" t="s">
        <v>2569</v>
      </c>
      <c r="H1456" s="41"/>
      <c r="I1456" s="41"/>
      <c r="J1456" s="41" t="s">
        <v>188</v>
      </c>
      <c r="K1456" s="41" t="s">
        <v>1611</v>
      </c>
      <c r="L1456" s="42"/>
    </row>
    <row r="1457">
      <c r="A1457" s="15">
        <v>1456.0</v>
      </c>
      <c r="B1457" s="39">
        <v>45932.0</v>
      </c>
      <c r="C1457" s="40" t="s">
        <v>2570</v>
      </c>
      <c r="D1457" s="41"/>
      <c r="E1457" s="41" t="s">
        <v>197</v>
      </c>
      <c r="F1457" s="18" t="s">
        <v>622</v>
      </c>
      <c r="G1457" s="41" t="s">
        <v>2571</v>
      </c>
      <c r="H1457" s="41"/>
      <c r="I1457" s="41"/>
      <c r="J1457" s="41" t="s">
        <v>188</v>
      </c>
      <c r="K1457" s="41" t="s">
        <v>1611</v>
      </c>
      <c r="L1457" s="42"/>
    </row>
    <row r="1458">
      <c r="A1458" s="15">
        <v>1457.0</v>
      </c>
      <c r="B1458" s="39">
        <v>45932.0</v>
      </c>
      <c r="C1458" s="40" t="s">
        <v>2572</v>
      </c>
      <c r="D1458" s="41"/>
      <c r="E1458" s="41" t="s">
        <v>197</v>
      </c>
      <c r="F1458" s="18" t="s">
        <v>622</v>
      </c>
      <c r="G1458" s="41" t="s">
        <v>2573</v>
      </c>
      <c r="H1458" s="41"/>
      <c r="I1458" s="41"/>
      <c r="J1458" s="41" t="s">
        <v>188</v>
      </c>
      <c r="K1458" s="41" t="s">
        <v>1611</v>
      </c>
      <c r="L1458" s="42"/>
    </row>
    <row r="1459">
      <c r="A1459" s="15">
        <v>1458.0</v>
      </c>
      <c r="B1459" s="39">
        <v>45932.0</v>
      </c>
      <c r="C1459" s="40" t="s">
        <v>2574</v>
      </c>
      <c r="D1459" s="41"/>
      <c r="E1459" s="41" t="s">
        <v>197</v>
      </c>
      <c r="F1459" s="18" t="s">
        <v>622</v>
      </c>
      <c r="G1459" s="41" t="s">
        <v>1860</v>
      </c>
      <c r="H1459" s="41"/>
      <c r="I1459" s="41"/>
      <c r="J1459" s="41" t="s">
        <v>188</v>
      </c>
      <c r="K1459" s="41" t="s">
        <v>1611</v>
      </c>
      <c r="L1459" s="42"/>
    </row>
    <row r="1460">
      <c r="A1460" s="15">
        <v>1459.0</v>
      </c>
      <c r="B1460" s="39">
        <v>45932.0</v>
      </c>
      <c r="C1460" s="40" t="s">
        <v>2575</v>
      </c>
      <c r="D1460" s="41"/>
      <c r="E1460" s="41" t="s">
        <v>197</v>
      </c>
      <c r="F1460" s="18" t="s">
        <v>405</v>
      </c>
      <c r="G1460" s="41" t="s">
        <v>2576</v>
      </c>
      <c r="H1460" s="41"/>
      <c r="I1460" s="41"/>
      <c r="J1460" s="41" t="s">
        <v>188</v>
      </c>
      <c r="K1460" s="41" t="s">
        <v>1611</v>
      </c>
      <c r="L1460" s="42"/>
    </row>
    <row r="1461">
      <c r="A1461" s="15">
        <v>1460.0</v>
      </c>
      <c r="B1461" s="39">
        <v>45932.0</v>
      </c>
      <c r="C1461" s="40" t="s">
        <v>2577</v>
      </c>
      <c r="D1461" s="41"/>
      <c r="E1461" s="41" t="s">
        <v>197</v>
      </c>
      <c r="F1461" s="18" t="s">
        <v>686</v>
      </c>
      <c r="G1461" s="41" t="s">
        <v>2578</v>
      </c>
      <c r="H1461" s="41"/>
      <c r="I1461" s="41"/>
      <c r="J1461" s="41" t="s">
        <v>188</v>
      </c>
      <c r="K1461" s="41" t="s">
        <v>1611</v>
      </c>
      <c r="L1461" s="42"/>
    </row>
    <row r="1462">
      <c r="A1462" s="15">
        <v>1461.0</v>
      </c>
      <c r="B1462" s="39">
        <v>45932.0</v>
      </c>
      <c r="C1462" s="40" t="s">
        <v>2579</v>
      </c>
      <c r="D1462" s="41"/>
      <c r="E1462" s="41" t="s">
        <v>2580</v>
      </c>
      <c r="F1462" s="18" t="s">
        <v>686</v>
      </c>
      <c r="G1462" s="41" t="s">
        <v>2581</v>
      </c>
      <c r="H1462" s="41"/>
      <c r="I1462" s="41"/>
      <c r="J1462" s="41" t="s">
        <v>188</v>
      </c>
      <c r="K1462" s="41" t="s">
        <v>1611</v>
      </c>
      <c r="L1462" s="42"/>
    </row>
    <row r="1463">
      <c r="A1463" s="15">
        <v>1462.0</v>
      </c>
      <c r="B1463" s="39">
        <v>45932.0</v>
      </c>
      <c r="C1463" s="40" t="s">
        <v>2582</v>
      </c>
      <c r="D1463" s="41"/>
      <c r="E1463" s="41" t="s">
        <v>197</v>
      </c>
      <c r="F1463" s="18" t="s">
        <v>686</v>
      </c>
      <c r="G1463" s="41" t="s">
        <v>2583</v>
      </c>
      <c r="H1463" s="41"/>
      <c r="I1463" s="41"/>
      <c r="J1463" s="41" t="s">
        <v>188</v>
      </c>
      <c r="K1463" s="41" t="s">
        <v>1611</v>
      </c>
      <c r="L1463" s="42"/>
    </row>
    <row r="1464">
      <c r="A1464" s="15">
        <v>1463.0</v>
      </c>
      <c r="B1464" s="39">
        <v>45932.0</v>
      </c>
      <c r="C1464" s="40" t="s">
        <v>2584</v>
      </c>
      <c r="D1464" s="41"/>
      <c r="E1464" s="41" t="s">
        <v>197</v>
      </c>
      <c r="F1464" s="18" t="s">
        <v>686</v>
      </c>
      <c r="G1464" s="41" t="s">
        <v>2585</v>
      </c>
      <c r="H1464" s="41"/>
      <c r="I1464" s="41"/>
      <c r="J1464" s="41" t="s">
        <v>188</v>
      </c>
      <c r="K1464" s="41" t="s">
        <v>1611</v>
      </c>
      <c r="L1464" s="42"/>
    </row>
    <row r="1465">
      <c r="A1465" s="15">
        <v>1464.0</v>
      </c>
      <c r="B1465" s="39">
        <v>45932.0</v>
      </c>
      <c r="C1465" s="50" t="s">
        <v>2586</v>
      </c>
      <c r="D1465" s="41"/>
      <c r="E1465" s="41" t="s">
        <v>401</v>
      </c>
      <c r="F1465" s="18" t="s">
        <v>622</v>
      </c>
      <c r="G1465" s="41" t="s">
        <v>937</v>
      </c>
      <c r="H1465" s="41" t="s">
        <v>1542</v>
      </c>
      <c r="I1465" s="41" t="s">
        <v>939</v>
      </c>
      <c r="J1465" s="41" t="s">
        <v>188</v>
      </c>
      <c r="K1465" s="41" t="s">
        <v>1611</v>
      </c>
      <c r="L1465" s="42"/>
    </row>
    <row r="1466">
      <c r="A1466" s="15">
        <v>1465.0</v>
      </c>
      <c r="B1466" s="39">
        <v>45932.0</v>
      </c>
      <c r="C1466" s="40" t="s">
        <v>1765</v>
      </c>
      <c r="D1466" s="41"/>
      <c r="E1466" s="41" t="s">
        <v>401</v>
      </c>
      <c r="F1466" s="18" t="s">
        <v>622</v>
      </c>
      <c r="G1466" s="41" t="s">
        <v>937</v>
      </c>
      <c r="H1466" s="41" t="s">
        <v>1542</v>
      </c>
      <c r="I1466" s="41" t="s">
        <v>939</v>
      </c>
      <c r="J1466" s="41" t="s">
        <v>188</v>
      </c>
      <c r="K1466" s="41" t="s">
        <v>1611</v>
      </c>
      <c r="L1466" s="42"/>
    </row>
    <row r="1467">
      <c r="A1467" s="15">
        <v>1466.0</v>
      </c>
      <c r="B1467" s="39">
        <v>45932.0</v>
      </c>
      <c r="C1467" s="40" t="s">
        <v>2587</v>
      </c>
      <c r="D1467" s="41"/>
      <c r="E1467" s="41" t="s">
        <v>401</v>
      </c>
      <c r="F1467" s="18" t="s">
        <v>622</v>
      </c>
      <c r="G1467" s="41" t="s">
        <v>937</v>
      </c>
      <c r="H1467" s="41" t="s">
        <v>1542</v>
      </c>
      <c r="I1467" s="41" t="s">
        <v>939</v>
      </c>
      <c r="J1467" s="41" t="s">
        <v>188</v>
      </c>
      <c r="K1467" s="41" t="s">
        <v>1611</v>
      </c>
      <c r="L1467" s="42"/>
    </row>
    <row r="1468">
      <c r="A1468" s="15">
        <v>1467.0</v>
      </c>
      <c r="B1468" s="39">
        <v>45932.0</v>
      </c>
      <c r="C1468" s="40" t="s">
        <v>2588</v>
      </c>
      <c r="D1468" s="41"/>
      <c r="E1468" s="41" t="s">
        <v>401</v>
      </c>
      <c r="F1468" s="18" t="s">
        <v>622</v>
      </c>
      <c r="G1468" s="41" t="s">
        <v>937</v>
      </c>
      <c r="H1468" s="41" t="s">
        <v>1542</v>
      </c>
      <c r="I1468" s="41" t="s">
        <v>939</v>
      </c>
      <c r="J1468" s="41" t="s">
        <v>188</v>
      </c>
      <c r="K1468" s="41" t="s">
        <v>1611</v>
      </c>
      <c r="L1468" s="42"/>
    </row>
    <row r="1469">
      <c r="A1469" s="15">
        <v>1468.0</v>
      </c>
      <c r="B1469" s="39">
        <v>45932.0</v>
      </c>
      <c r="C1469" s="40" t="s">
        <v>1769</v>
      </c>
      <c r="D1469" s="41"/>
      <c r="E1469" s="41" t="s">
        <v>401</v>
      </c>
      <c r="F1469" s="18" t="s">
        <v>622</v>
      </c>
      <c r="G1469" s="41" t="s">
        <v>937</v>
      </c>
      <c r="H1469" s="41" t="s">
        <v>1542</v>
      </c>
      <c r="I1469" s="41" t="s">
        <v>939</v>
      </c>
      <c r="J1469" s="41" t="s">
        <v>188</v>
      </c>
      <c r="K1469" s="41" t="s">
        <v>1611</v>
      </c>
      <c r="L1469" s="42"/>
    </row>
    <row r="1470">
      <c r="A1470" s="15">
        <v>1469.0</v>
      </c>
      <c r="B1470" s="39">
        <v>45932.0</v>
      </c>
      <c r="C1470" s="40" t="s">
        <v>2589</v>
      </c>
      <c r="D1470" s="41"/>
      <c r="E1470" s="41" t="s">
        <v>401</v>
      </c>
      <c r="F1470" s="18" t="s">
        <v>622</v>
      </c>
      <c r="G1470" s="41" t="s">
        <v>937</v>
      </c>
      <c r="H1470" s="41" t="s">
        <v>1542</v>
      </c>
      <c r="I1470" s="41" t="s">
        <v>939</v>
      </c>
      <c r="J1470" s="41" t="s">
        <v>188</v>
      </c>
      <c r="K1470" s="41" t="s">
        <v>1611</v>
      </c>
      <c r="L1470" s="42"/>
    </row>
    <row r="1471">
      <c r="A1471" s="15">
        <v>1470.0</v>
      </c>
      <c r="B1471" s="39">
        <v>45932.0</v>
      </c>
      <c r="C1471" s="40" t="s">
        <v>1771</v>
      </c>
      <c r="D1471" s="41"/>
      <c r="E1471" s="41" t="s">
        <v>401</v>
      </c>
      <c r="F1471" s="18" t="s">
        <v>622</v>
      </c>
      <c r="G1471" s="41" t="s">
        <v>937</v>
      </c>
      <c r="H1471" s="41" t="s">
        <v>1542</v>
      </c>
      <c r="I1471" s="41" t="s">
        <v>939</v>
      </c>
      <c r="J1471" s="41" t="s">
        <v>188</v>
      </c>
      <c r="K1471" s="41" t="s">
        <v>1611</v>
      </c>
      <c r="L1471" s="42"/>
    </row>
    <row r="1472">
      <c r="A1472" s="15">
        <v>1471.0</v>
      </c>
      <c r="B1472" s="39">
        <v>45932.0</v>
      </c>
      <c r="C1472" s="40" t="s">
        <v>1774</v>
      </c>
      <c r="D1472" s="41"/>
      <c r="E1472" s="41" t="s">
        <v>401</v>
      </c>
      <c r="F1472" s="18" t="s">
        <v>622</v>
      </c>
      <c r="G1472" s="41" t="s">
        <v>937</v>
      </c>
      <c r="H1472" s="41" t="s">
        <v>1542</v>
      </c>
      <c r="I1472" s="41" t="s">
        <v>939</v>
      </c>
      <c r="J1472" s="41" t="s">
        <v>188</v>
      </c>
      <c r="K1472" s="41" t="s">
        <v>1611</v>
      </c>
      <c r="L1472" s="42"/>
    </row>
    <row r="1473">
      <c r="A1473" s="15">
        <v>1472.0</v>
      </c>
      <c r="B1473" s="39">
        <v>45932.0</v>
      </c>
      <c r="C1473" s="40" t="s">
        <v>2590</v>
      </c>
      <c r="D1473" s="41"/>
      <c r="E1473" s="41" t="s">
        <v>401</v>
      </c>
      <c r="F1473" s="18" t="s">
        <v>622</v>
      </c>
      <c r="G1473" s="41" t="s">
        <v>937</v>
      </c>
      <c r="H1473" s="41" t="s">
        <v>1542</v>
      </c>
      <c r="I1473" s="41" t="s">
        <v>939</v>
      </c>
      <c r="J1473" s="41" t="s">
        <v>188</v>
      </c>
      <c r="K1473" s="41" t="s">
        <v>1611</v>
      </c>
      <c r="L1473" s="42"/>
    </row>
    <row r="1474">
      <c r="A1474" s="15">
        <v>1473.0</v>
      </c>
      <c r="B1474" s="39">
        <v>45932.0</v>
      </c>
      <c r="C1474" s="40" t="s">
        <v>2591</v>
      </c>
      <c r="D1474" s="41"/>
      <c r="E1474" s="41" t="s">
        <v>401</v>
      </c>
      <c r="F1474" s="18" t="s">
        <v>622</v>
      </c>
      <c r="G1474" s="41" t="s">
        <v>937</v>
      </c>
      <c r="H1474" s="41" t="s">
        <v>1542</v>
      </c>
      <c r="I1474" s="41" t="s">
        <v>939</v>
      </c>
      <c r="J1474" s="41" t="s">
        <v>188</v>
      </c>
      <c r="K1474" s="41" t="s">
        <v>1611</v>
      </c>
      <c r="L1474" s="42"/>
    </row>
    <row r="1475">
      <c r="A1475" s="15">
        <v>1474.0</v>
      </c>
      <c r="B1475" s="39">
        <v>45932.0</v>
      </c>
      <c r="C1475" s="40" t="s">
        <v>2592</v>
      </c>
      <c r="D1475" s="41"/>
      <c r="E1475" s="41" t="s">
        <v>184</v>
      </c>
      <c r="F1475" s="18" t="s">
        <v>702</v>
      </c>
      <c r="G1475" s="41" t="s">
        <v>1833</v>
      </c>
      <c r="H1475" s="41" t="s">
        <v>410</v>
      </c>
      <c r="I1475" s="41"/>
      <c r="J1475" s="41" t="s">
        <v>422</v>
      </c>
      <c r="K1475" s="41" t="s">
        <v>479</v>
      </c>
      <c r="L1475" s="42"/>
    </row>
    <row r="1476">
      <c r="A1476" s="15">
        <v>1475.0</v>
      </c>
      <c r="B1476" s="39">
        <v>45932.0</v>
      </c>
      <c r="C1476" s="40"/>
      <c r="D1476" s="41"/>
      <c r="E1476" s="41"/>
      <c r="F1476" s="18" t="b">
        <v>0</v>
      </c>
      <c r="G1476" s="41"/>
      <c r="H1476" s="41"/>
      <c r="I1476" s="41"/>
      <c r="J1476" s="41"/>
      <c r="K1476" s="41"/>
      <c r="L1476" s="42"/>
    </row>
    <row r="1477">
      <c r="A1477" s="15">
        <v>1476.0</v>
      </c>
      <c r="B1477" s="39">
        <v>45932.0</v>
      </c>
      <c r="C1477" s="40" t="s">
        <v>2593</v>
      </c>
      <c r="D1477" s="41"/>
      <c r="E1477" s="41" t="s">
        <v>184</v>
      </c>
      <c r="F1477" s="18" t="s">
        <v>622</v>
      </c>
      <c r="G1477" s="41" t="s">
        <v>1778</v>
      </c>
      <c r="H1477" s="41" t="s">
        <v>410</v>
      </c>
      <c r="I1477" s="41"/>
      <c r="J1477" s="41" t="s">
        <v>422</v>
      </c>
      <c r="K1477" s="41" t="s">
        <v>479</v>
      </c>
      <c r="L1477" s="42"/>
    </row>
    <row r="1478">
      <c r="A1478" s="15">
        <v>1477.0</v>
      </c>
      <c r="B1478" s="39">
        <v>45932.0</v>
      </c>
      <c r="C1478" s="40"/>
      <c r="D1478" s="41"/>
      <c r="E1478" s="41"/>
      <c r="F1478" s="18" t="b">
        <v>0</v>
      </c>
      <c r="G1478" s="41"/>
      <c r="H1478" s="41"/>
      <c r="I1478" s="41"/>
      <c r="J1478" s="41"/>
      <c r="K1478" s="41"/>
      <c r="L1478" s="42"/>
    </row>
    <row r="1479">
      <c r="A1479" s="15">
        <v>1478.0</v>
      </c>
      <c r="B1479" s="39">
        <v>45932.0</v>
      </c>
      <c r="C1479" s="40" t="s">
        <v>2594</v>
      </c>
      <c r="D1479" s="41"/>
      <c r="E1479" s="41" t="s">
        <v>184</v>
      </c>
      <c r="F1479" s="18" t="s">
        <v>622</v>
      </c>
      <c r="G1479" s="41" t="s">
        <v>2595</v>
      </c>
      <c r="H1479" s="41" t="s">
        <v>410</v>
      </c>
      <c r="I1479" s="41"/>
      <c r="J1479" s="41" t="s">
        <v>422</v>
      </c>
      <c r="K1479" s="41" t="s">
        <v>479</v>
      </c>
      <c r="L1479" s="42"/>
    </row>
    <row r="1480">
      <c r="A1480" s="15">
        <v>1479.0</v>
      </c>
      <c r="B1480" s="39">
        <v>45932.0</v>
      </c>
      <c r="C1480" s="40"/>
      <c r="D1480" s="41"/>
      <c r="E1480" s="41"/>
      <c r="F1480" s="18" t="b">
        <v>0</v>
      </c>
      <c r="G1480" s="41"/>
      <c r="H1480" s="41"/>
      <c r="I1480" s="41"/>
      <c r="J1480" s="41"/>
      <c r="K1480" s="41"/>
      <c r="L1480" s="42"/>
    </row>
    <row r="1481">
      <c r="A1481" s="15">
        <v>1480.0</v>
      </c>
      <c r="B1481" s="39">
        <v>45933.0</v>
      </c>
      <c r="C1481" s="40" t="s">
        <v>2596</v>
      </c>
      <c r="D1481" s="41"/>
      <c r="E1481" s="41" t="s">
        <v>184</v>
      </c>
      <c r="F1481" s="18" t="s">
        <v>686</v>
      </c>
      <c r="G1481" s="41" t="s">
        <v>2597</v>
      </c>
      <c r="H1481" s="41" t="s">
        <v>2598</v>
      </c>
      <c r="I1481" s="41" t="s">
        <v>535</v>
      </c>
      <c r="J1481" s="41" t="s">
        <v>188</v>
      </c>
      <c r="K1481" s="41" t="s">
        <v>2599</v>
      </c>
      <c r="L1481" s="42"/>
    </row>
    <row r="1482">
      <c r="A1482" s="15">
        <v>1481.0</v>
      </c>
      <c r="B1482" s="39">
        <v>45933.0</v>
      </c>
      <c r="C1482" s="40" t="s">
        <v>2600</v>
      </c>
      <c r="D1482" s="41"/>
      <c r="E1482" s="41" t="s">
        <v>184</v>
      </c>
      <c r="F1482" s="18" t="s">
        <v>686</v>
      </c>
      <c r="G1482" s="41" t="s">
        <v>2597</v>
      </c>
      <c r="H1482" s="41"/>
      <c r="I1482" s="41"/>
      <c r="J1482" s="41" t="s">
        <v>188</v>
      </c>
      <c r="K1482" s="41" t="s">
        <v>2599</v>
      </c>
      <c r="L1482" s="42"/>
    </row>
    <row r="1483">
      <c r="A1483" s="15">
        <v>1482.0</v>
      </c>
      <c r="B1483" s="39">
        <v>45933.0</v>
      </c>
      <c r="C1483" s="40" t="s">
        <v>2601</v>
      </c>
      <c r="D1483" s="41"/>
      <c r="E1483" s="41" t="s">
        <v>184</v>
      </c>
      <c r="F1483" s="18" t="s">
        <v>686</v>
      </c>
      <c r="G1483" s="41" t="s">
        <v>2602</v>
      </c>
      <c r="H1483" s="41"/>
      <c r="I1483" s="41"/>
      <c r="J1483" s="41" t="s">
        <v>188</v>
      </c>
      <c r="K1483" s="41" t="s">
        <v>2599</v>
      </c>
      <c r="L1483" s="42"/>
    </row>
    <row r="1484">
      <c r="A1484" s="15">
        <v>1483.0</v>
      </c>
      <c r="B1484" s="39">
        <v>45933.0</v>
      </c>
      <c r="C1484" s="40" t="s">
        <v>2603</v>
      </c>
      <c r="D1484" s="41"/>
      <c r="E1484" s="41" t="s">
        <v>184</v>
      </c>
      <c r="F1484" s="18" t="s">
        <v>686</v>
      </c>
      <c r="G1484" s="41" t="s">
        <v>2602</v>
      </c>
      <c r="H1484" s="41"/>
      <c r="I1484" s="41"/>
      <c r="J1484" s="41" t="s">
        <v>188</v>
      </c>
      <c r="K1484" s="41" t="s">
        <v>2599</v>
      </c>
      <c r="L1484" s="42"/>
    </row>
    <row r="1485">
      <c r="A1485" s="15">
        <v>1484.0</v>
      </c>
      <c r="B1485" s="39">
        <v>45933.0</v>
      </c>
      <c r="C1485" s="40" t="s">
        <v>2604</v>
      </c>
      <c r="D1485" s="41"/>
      <c r="E1485" s="41" t="s">
        <v>184</v>
      </c>
      <c r="F1485" s="18" t="s">
        <v>686</v>
      </c>
      <c r="G1485" s="41" t="s">
        <v>2605</v>
      </c>
      <c r="H1485" s="41"/>
      <c r="I1485" s="41"/>
      <c r="J1485" s="41" t="s">
        <v>188</v>
      </c>
      <c r="K1485" s="41" t="s">
        <v>2599</v>
      </c>
      <c r="L1485" s="42"/>
    </row>
    <row r="1486">
      <c r="A1486" s="15">
        <v>1485.0</v>
      </c>
      <c r="B1486" s="39">
        <v>45933.0</v>
      </c>
      <c r="C1486" s="40" t="s">
        <v>2606</v>
      </c>
      <c r="D1486" s="41"/>
      <c r="E1486" s="41" t="s">
        <v>184</v>
      </c>
      <c r="F1486" s="18" t="s">
        <v>686</v>
      </c>
      <c r="G1486" s="41" t="s">
        <v>2605</v>
      </c>
      <c r="H1486" s="41"/>
      <c r="I1486" s="41"/>
      <c r="J1486" s="41" t="s">
        <v>188</v>
      </c>
      <c r="K1486" s="41" t="s">
        <v>2599</v>
      </c>
      <c r="L1486" s="42"/>
    </row>
    <row r="1487">
      <c r="A1487" s="15">
        <v>1486.0</v>
      </c>
      <c r="B1487" s="39">
        <v>45933.0</v>
      </c>
      <c r="C1487" s="40" t="s">
        <v>2607</v>
      </c>
      <c r="D1487" s="41"/>
      <c r="E1487" s="41" t="s">
        <v>184</v>
      </c>
      <c r="F1487" s="18" t="s">
        <v>686</v>
      </c>
      <c r="G1487" s="41" t="s">
        <v>2602</v>
      </c>
      <c r="H1487" s="41"/>
      <c r="I1487" s="41"/>
      <c r="J1487" s="41" t="s">
        <v>188</v>
      </c>
      <c r="K1487" s="41" t="s">
        <v>2599</v>
      </c>
      <c r="L1487" s="42"/>
    </row>
    <row r="1488">
      <c r="A1488" s="15">
        <v>1487.0</v>
      </c>
      <c r="B1488" s="39">
        <v>45933.0</v>
      </c>
      <c r="C1488" s="40" t="s">
        <v>2608</v>
      </c>
      <c r="D1488" s="41"/>
      <c r="E1488" s="41" t="s">
        <v>184</v>
      </c>
      <c r="F1488" s="18" t="s">
        <v>686</v>
      </c>
      <c r="G1488" s="41" t="s">
        <v>2605</v>
      </c>
      <c r="H1488" s="41"/>
      <c r="I1488" s="41"/>
      <c r="J1488" s="41" t="s">
        <v>188</v>
      </c>
      <c r="K1488" s="41" t="s">
        <v>2599</v>
      </c>
      <c r="L1488" s="42"/>
    </row>
    <row r="1489">
      <c r="A1489" s="15">
        <v>1488.0</v>
      </c>
      <c r="B1489" s="39">
        <v>45933.0</v>
      </c>
      <c r="C1489" s="40" t="s">
        <v>2609</v>
      </c>
      <c r="D1489" s="41"/>
      <c r="E1489" s="41" t="s">
        <v>184</v>
      </c>
      <c r="F1489" s="18" t="s">
        <v>686</v>
      </c>
      <c r="G1489" s="41" t="s">
        <v>2610</v>
      </c>
      <c r="H1489" s="41"/>
      <c r="I1489" s="41"/>
      <c r="J1489" s="41" t="s">
        <v>188</v>
      </c>
      <c r="K1489" s="41" t="s">
        <v>2599</v>
      </c>
      <c r="L1489" s="42"/>
    </row>
    <row r="1490">
      <c r="A1490" s="15">
        <v>1489.0</v>
      </c>
      <c r="B1490" s="39">
        <v>45933.0</v>
      </c>
      <c r="C1490" s="40" t="s">
        <v>2611</v>
      </c>
      <c r="D1490" s="41"/>
      <c r="E1490" s="41" t="s">
        <v>184</v>
      </c>
      <c r="F1490" s="18" t="s">
        <v>622</v>
      </c>
      <c r="G1490" s="41" t="s">
        <v>2612</v>
      </c>
      <c r="H1490" s="41"/>
      <c r="I1490" s="41"/>
      <c r="J1490" s="41" t="s">
        <v>188</v>
      </c>
      <c r="K1490" s="41" t="s">
        <v>2599</v>
      </c>
      <c r="L1490" s="42"/>
    </row>
    <row r="1491">
      <c r="A1491" s="15">
        <v>1490.0</v>
      </c>
      <c r="B1491" s="39">
        <v>45933.0</v>
      </c>
      <c r="C1491" s="40" t="s">
        <v>2613</v>
      </c>
      <c r="D1491" s="41"/>
      <c r="E1491" s="41" t="s">
        <v>184</v>
      </c>
      <c r="F1491" s="18" t="s">
        <v>622</v>
      </c>
      <c r="G1491" s="41" t="s">
        <v>2614</v>
      </c>
      <c r="H1491" s="41"/>
      <c r="I1491" s="41"/>
      <c r="J1491" s="41" t="s">
        <v>188</v>
      </c>
      <c r="K1491" s="41" t="s">
        <v>2599</v>
      </c>
      <c r="L1491" s="42"/>
    </row>
    <row r="1492">
      <c r="A1492" s="15">
        <v>1491.0</v>
      </c>
      <c r="B1492" s="39">
        <v>45933.0</v>
      </c>
      <c r="C1492" s="40" t="s">
        <v>2615</v>
      </c>
      <c r="D1492" s="41"/>
      <c r="E1492" s="41" t="s">
        <v>184</v>
      </c>
      <c r="F1492" s="18" t="s">
        <v>622</v>
      </c>
      <c r="G1492" s="41" t="s">
        <v>2616</v>
      </c>
      <c r="H1492" s="41"/>
      <c r="I1492" s="41"/>
      <c r="J1492" s="41" t="s">
        <v>188</v>
      </c>
      <c r="K1492" s="41" t="s">
        <v>2599</v>
      </c>
      <c r="L1492" s="42"/>
    </row>
    <row r="1493">
      <c r="A1493" s="15">
        <v>1492.0</v>
      </c>
      <c r="B1493" s="39">
        <v>45933.0</v>
      </c>
      <c r="C1493" s="40" t="s">
        <v>2617</v>
      </c>
      <c r="D1493" s="41"/>
      <c r="E1493" s="41" t="s">
        <v>184</v>
      </c>
      <c r="F1493" s="18" t="s">
        <v>622</v>
      </c>
      <c r="G1493" s="41" t="s">
        <v>2618</v>
      </c>
      <c r="H1493" s="41"/>
      <c r="I1493" s="41"/>
      <c r="J1493" s="41" t="s">
        <v>188</v>
      </c>
      <c r="K1493" s="41" t="s">
        <v>2599</v>
      </c>
      <c r="L1493" s="42"/>
    </row>
    <row r="1494">
      <c r="A1494" s="15">
        <v>1493.0</v>
      </c>
      <c r="B1494" s="39">
        <v>45933.0</v>
      </c>
      <c r="C1494" s="40" t="s">
        <v>2619</v>
      </c>
      <c r="D1494" s="41"/>
      <c r="E1494" s="41" t="s">
        <v>184</v>
      </c>
      <c r="F1494" s="18" t="s">
        <v>622</v>
      </c>
      <c r="G1494" s="41" t="s">
        <v>2620</v>
      </c>
      <c r="H1494" s="41"/>
      <c r="I1494" s="41"/>
      <c r="J1494" s="41" t="s">
        <v>188</v>
      </c>
      <c r="K1494" s="41" t="s">
        <v>2599</v>
      </c>
      <c r="L1494" s="42"/>
    </row>
    <row r="1495">
      <c r="A1495" s="15">
        <v>1494.0</v>
      </c>
      <c r="B1495" s="39">
        <v>45933.0</v>
      </c>
      <c r="C1495" s="40" t="s">
        <v>419</v>
      </c>
      <c r="D1495" s="41"/>
      <c r="E1495" s="41" t="s">
        <v>184</v>
      </c>
      <c r="F1495" s="18" t="s">
        <v>702</v>
      </c>
      <c r="G1495" s="41" t="s">
        <v>2621</v>
      </c>
      <c r="H1495" s="41"/>
      <c r="I1495" s="41"/>
      <c r="J1495" s="41" t="s">
        <v>188</v>
      </c>
      <c r="K1495" s="41" t="s">
        <v>2599</v>
      </c>
      <c r="L1495" s="42"/>
    </row>
    <row r="1496">
      <c r="A1496" s="15">
        <v>1495.0</v>
      </c>
      <c r="B1496" s="39">
        <v>45933.0</v>
      </c>
      <c r="C1496" s="40" t="s">
        <v>2622</v>
      </c>
      <c r="D1496" s="41"/>
      <c r="E1496" s="41" t="s">
        <v>401</v>
      </c>
      <c r="F1496" s="18" t="s">
        <v>622</v>
      </c>
      <c r="G1496" s="41" t="s">
        <v>937</v>
      </c>
      <c r="H1496" s="41" t="s">
        <v>1542</v>
      </c>
      <c r="I1496" s="41" t="s">
        <v>939</v>
      </c>
      <c r="J1496" s="41" t="s">
        <v>188</v>
      </c>
      <c r="K1496" s="41" t="s">
        <v>2623</v>
      </c>
      <c r="L1496" s="42"/>
    </row>
    <row r="1497">
      <c r="A1497" s="15">
        <v>1496.0</v>
      </c>
      <c r="B1497" s="39">
        <v>45933.0</v>
      </c>
      <c r="C1497" s="40" t="s">
        <v>2624</v>
      </c>
      <c r="D1497" s="41"/>
      <c r="E1497" s="41" t="s">
        <v>401</v>
      </c>
      <c r="F1497" s="18" t="s">
        <v>622</v>
      </c>
      <c r="G1497" s="41" t="s">
        <v>937</v>
      </c>
      <c r="H1497" s="41" t="s">
        <v>1542</v>
      </c>
      <c r="I1497" s="41" t="s">
        <v>939</v>
      </c>
      <c r="J1497" s="41" t="s">
        <v>188</v>
      </c>
      <c r="K1497" s="41" t="s">
        <v>2623</v>
      </c>
      <c r="L1497" s="42"/>
    </row>
    <row r="1498">
      <c r="A1498" s="15">
        <v>1497.0</v>
      </c>
      <c r="B1498" s="39">
        <v>45933.0</v>
      </c>
      <c r="C1498" s="40" t="s">
        <v>2625</v>
      </c>
      <c r="D1498" s="41"/>
      <c r="E1498" s="41" t="s">
        <v>401</v>
      </c>
      <c r="F1498" s="18" t="s">
        <v>622</v>
      </c>
      <c r="G1498" s="41" t="s">
        <v>937</v>
      </c>
      <c r="H1498" s="41" t="s">
        <v>1542</v>
      </c>
      <c r="I1498" s="41" t="s">
        <v>939</v>
      </c>
      <c r="J1498" s="41" t="s">
        <v>188</v>
      </c>
      <c r="K1498" s="41" t="s">
        <v>2623</v>
      </c>
      <c r="L1498" s="42"/>
    </row>
    <row r="1499">
      <c r="A1499" s="15">
        <v>1498.0</v>
      </c>
      <c r="B1499" s="39">
        <v>45933.0</v>
      </c>
      <c r="C1499" s="40" t="s">
        <v>2626</v>
      </c>
      <c r="D1499" s="41"/>
      <c r="E1499" s="41" t="s">
        <v>401</v>
      </c>
      <c r="F1499" s="18" t="s">
        <v>622</v>
      </c>
      <c r="G1499" s="41" t="s">
        <v>937</v>
      </c>
      <c r="H1499" s="41" t="s">
        <v>1542</v>
      </c>
      <c r="I1499" s="41" t="s">
        <v>939</v>
      </c>
      <c r="J1499" s="41" t="s">
        <v>188</v>
      </c>
      <c r="K1499" s="41" t="s">
        <v>2623</v>
      </c>
      <c r="L1499" s="42"/>
    </row>
    <row r="1500">
      <c r="A1500" s="15">
        <v>1499.0</v>
      </c>
      <c r="B1500" s="39">
        <v>45933.0</v>
      </c>
      <c r="C1500" s="40" t="s">
        <v>2627</v>
      </c>
      <c r="D1500" s="41"/>
      <c r="E1500" s="41" t="s">
        <v>401</v>
      </c>
      <c r="F1500" s="18" t="s">
        <v>622</v>
      </c>
      <c r="G1500" s="41" t="s">
        <v>937</v>
      </c>
      <c r="H1500" s="41" t="s">
        <v>1542</v>
      </c>
      <c r="I1500" s="41" t="s">
        <v>939</v>
      </c>
      <c r="J1500" s="41" t="s">
        <v>188</v>
      </c>
      <c r="K1500" s="41" t="s">
        <v>2623</v>
      </c>
      <c r="L1500" s="42"/>
    </row>
    <row r="1501">
      <c r="A1501" s="15">
        <v>1500.0</v>
      </c>
      <c r="B1501" s="39">
        <v>45933.0</v>
      </c>
      <c r="C1501" s="40" t="s">
        <v>2628</v>
      </c>
      <c r="D1501" s="41"/>
      <c r="E1501" s="41" t="s">
        <v>401</v>
      </c>
      <c r="F1501" s="18" t="s">
        <v>622</v>
      </c>
      <c r="G1501" s="41" t="s">
        <v>937</v>
      </c>
      <c r="H1501" s="41" t="s">
        <v>1542</v>
      </c>
      <c r="I1501" s="41" t="s">
        <v>939</v>
      </c>
      <c r="J1501" s="41" t="s">
        <v>188</v>
      </c>
      <c r="K1501" s="41" t="s">
        <v>2623</v>
      </c>
      <c r="L1501" s="42"/>
    </row>
    <row r="1502">
      <c r="A1502" s="15">
        <v>1501.0</v>
      </c>
      <c r="B1502" s="39">
        <v>45933.0</v>
      </c>
      <c r="C1502" s="40" t="s">
        <v>2629</v>
      </c>
      <c r="D1502" s="41"/>
      <c r="E1502" s="41" t="s">
        <v>401</v>
      </c>
      <c r="F1502" s="18" t="s">
        <v>622</v>
      </c>
      <c r="G1502" s="41" t="s">
        <v>937</v>
      </c>
      <c r="H1502" s="41" t="s">
        <v>1542</v>
      </c>
      <c r="I1502" s="41" t="s">
        <v>939</v>
      </c>
      <c r="J1502" s="41" t="s">
        <v>188</v>
      </c>
      <c r="K1502" s="41" t="s">
        <v>2623</v>
      </c>
      <c r="L1502" s="42"/>
    </row>
    <row r="1503">
      <c r="A1503" s="15">
        <v>1502.0</v>
      </c>
      <c r="B1503" s="39">
        <v>45933.0</v>
      </c>
      <c r="C1503" s="40" t="s">
        <v>2630</v>
      </c>
      <c r="D1503" s="41"/>
      <c r="E1503" s="41" t="s">
        <v>401</v>
      </c>
      <c r="F1503" s="18" t="s">
        <v>622</v>
      </c>
      <c r="G1503" s="41" t="s">
        <v>937</v>
      </c>
      <c r="H1503" s="41" t="s">
        <v>1542</v>
      </c>
      <c r="I1503" s="41" t="s">
        <v>939</v>
      </c>
      <c r="J1503" s="41" t="s">
        <v>188</v>
      </c>
      <c r="K1503" s="41" t="s">
        <v>2623</v>
      </c>
      <c r="L1503" s="42"/>
    </row>
    <row r="1504">
      <c r="A1504" s="15">
        <v>1503.0</v>
      </c>
      <c r="B1504" s="39">
        <v>45933.0</v>
      </c>
      <c r="C1504" s="40" t="s">
        <v>2631</v>
      </c>
      <c r="D1504" s="41"/>
      <c r="E1504" s="41" t="s">
        <v>401</v>
      </c>
      <c r="F1504" s="18" t="s">
        <v>622</v>
      </c>
      <c r="G1504" s="41" t="s">
        <v>937</v>
      </c>
      <c r="H1504" s="41" t="s">
        <v>1542</v>
      </c>
      <c r="I1504" s="41" t="s">
        <v>939</v>
      </c>
      <c r="J1504" s="41" t="s">
        <v>188</v>
      </c>
      <c r="K1504" s="41" t="s">
        <v>2623</v>
      </c>
      <c r="L1504" s="42"/>
    </row>
    <row r="1505">
      <c r="A1505" s="15">
        <v>1504.0</v>
      </c>
      <c r="B1505" s="39">
        <v>45933.0</v>
      </c>
      <c r="C1505" s="40" t="s">
        <v>2632</v>
      </c>
      <c r="D1505" s="41"/>
      <c r="E1505" s="41" t="s">
        <v>401</v>
      </c>
      <c r="F1505" s="18" t="s">
        <v>622</v>
      </c>
      <c r="G1505" s="41" t="s">
        <v>937</v>
      </c>
      <c r="H1505" s="41" t="s">
        <v>1542</v>
      </c>
      <c r="I1505" s="41" t="s">
        <v>939</v>
      </c>
      <c r="J1505" s="41" t="s">
        <v>188</v>
      </c>
      <c r="K1505" s="41" t="s">
        <v>2623</v>
      </c>
      <c r="L1505" s="42"/>
    </row>
    <row r="1506">
      <c r="A1506" s="15">
        <v>1505.0</v>
      </c>
      <c r="B1506" s="39">
        <v>45933.0</v>
      </c>
      <c r="C1506" s="40" t="s">
        <v>2633</v>
      </c>
      <c r="D1506" s="41"/>
      <c r="E1506" s="41" t="s">
        <v>184</v>
      </c>
      <c r="F1506" s="18" t="s">
        <v>622</v>
      </c>
      <c r="G1506" s="41" t="s">
        <v>1778</v>
      </c>
      <c r="H1506" s="41" t="s">
        <v>410</v>
      </c>
      <c r="I1506" s="41"/>
      <c r="J1506" s="41" t="s">
        <v>422</v>
      </c>
      <c r="K1506" s="41" t="s">
        <v>2634</v>
      </c>
      <c r="L1506" s="42"/>
    </row>
    <row r="1507">
      <c r="A1507" s="15">
        <v>1506.0</v>
      </c>
      <c r="B1507" s="39">
        <v>45933.0</v>
      </c>
      <c r="C1507" s="40"/>
      <c r="D1507" s="41"/>
      <c r="E1507" s="41"/>
      <c r="F1507" s="18" t="b">
        <v>0</v>
      </c>
      <c r="G1507" s="41"/>
      <c r="H1507" s="41"/>
      <c r="I1507" s="41"/>
      <c r="J1507" s="41"/>
      <c r="K1507" s="41"/>
      <c r="L1507" s="42"/>
    </row>
    <row r="1508">
      <c r="A1508" s="15">
        <v>1507.0</v>
      </c>
      <c r="B1508" s="39">
        <v>45933.0</v>
      </c>
      <c r="C1508" s="40" t="s">
        <v>2635</v>
      </c>
      <c r="D1508" s="41"/>
      <c r="E1508" s="41" t="s">
        <v>184</v>
      </c>
      <c r="F1508" s="18" t="s">
        <v>622</v>
      </c>
      <c r="G1508" s="41" t="s">
        <v>2636</v>
      </c>
      <c r="H1508" s="41" t="s">
        <v>410</v>
      </c>
      <c r="I1508" s="41"/>
      <c r="J1508" s="41" t="s">
        <v>422</v>
      </c>
      <c r="K1508" s="41" t="s">
        <v>2634</v>
      </c>
      <c r="L1508" s="42"/>
    </row>
    <row r="1509">
      <c r="A1509" s="15">
        <v>1508.0</v>
      </c>
      <c r="B1509" s="39">
        <v>45933.0</v>
      </c>
      <c r="C1509" s="40"/>
      <c r="D1509" s="41"/>
      <c r="E1509" s="41"/>
      <c r="F1509" s="18" t="b">
        <v>0</v>
      </c>
      <c r="G1509" s="41"/>
      <c r="H1509" s="41"/>
      <c r="I1509" s="41"/>
      <c r="J1509" s="41"/>
      <c r="K1509" s="41"/>
      <c r="L1509" s="42"/>
    </row>
    <row r="1510">
      <c r="A1510" s="15">
        <v>1509.0</v>
      </c>
      <c r="B1510" s="39">
        <v>45933.0</v>
      </c>
      <c r="C1510" s="40" t="s">
        <v>2637</v>
      </c>
      <c r="D1510" s="41"/>
      <c r="E1510" s="41" t="s">
        <v>184</v>
      </c>
      <c r="F1510" s="18" t="s">
        <v>702</v>
      </c>
      <c r="G1510" s="41" t="s">
        <v>1833</v>
      </c>
      <c r="H1510" s="41" t="s">
        <v>410</v>
      </c>
      <c r="I1510" s="41"/>
      <c r="J1510" s="41" t="s">
        <v>422</v>
      </c>
      <c r="K1510" s="41" t="s">
        <v>2634</v>
      </c>
      <c r="L1510" s="42"/>
    </row>
    <row r="1511">
      <c r="A1511" s="15">
        <v>1510.0</v>
      </c>
      <c r="B1511" s="39">
        <v>45933.0</v>
      </c>
      <c r="C1511" s="40"/>
      <c r="D1511" s="41"/>
      <c r="E1511" s="41"/>
      <c r="F1511" s="18" t="b">
        <v>0</v>
      </c>
      <c r="G1511" s="41"/>
      <c r="H1511" s="41"/>
      <c r="I1511" s="41"/>
      <c r="J1511" s="41"/>
      <c r="K1511" s="41"/>
      <c r="L1511" s="42"/>
    </row>
    <row r="1512">
      <c r="A1512" s="15">
        <v>1511.0</v>
      </c>
      <c r="B1512" s="39">
        <v>45933.0</v>
      </c>
      <c r="C1512" s="40" t="s">
        <v>2638</v>
      </c>
      <c r="D1512" s="41"/>
      <c r="E1512" s="41" t="s">
        <v>184</v>
      </c>
      <c r="F1512" s="18" t="s">
        <v>702</v>
      </c>
      <c r="G1512" s="41" t="s">
        <v>1833</v>
      </c>
      <c r="H1512" s="41" t="s">
        <v>410</v>
      </c>
      <c r="I1512" s="41"/>
      <c r="J1512" s="41" t="s">
        <v>422</v>
      </c>
      <c r="K1512" s="41" t="s">
        <v>2634</v>
      </c>
      <c r="L1512" s="42"/>
    </row>
    <row r="1513">
      <c r="A1513" s="15">
        <v>1512.0</v>
      </c>
      <c r="B1513" s="39">
        <v>45933.0</v>
      </c>
      <c r="C1513" s="40"/>
      <c r="D1513" s="41"/>
      <c r="E1513" s="41"/>
      <c r="F1513" s="18" t="b">
        <v>0</v>
      </c>
      <c r="G1513" s="41"/>
      <c r="H1513" s="41"/>
      <c r="I1513" s="41"/>
      <c r="J1513" s="41"/>
      <c r="K1513" s="41"/>
      <c r="L1513" s="42"/>
    </row>
    <row r="1514">
      <c r="A1514" s="15">
        <v>1513.0</v>
      </c>
      <c r="B1514" s="39">
        <v>45934.0</v>
      </c>
      <c r="C1514" s="40" t="s">
        <v>2639</v>
      </c>
      <c r="D1514" s="41"/>
      <c r="E1514" s="41" t="s">
        <v>197</v>
      </c>
      <c r="F1514" s="18" t="s">
        <v>686</v>
      </c>
      <c r="G1514" s="41" t="s">
        <v>2640</v>
      </c>
      <c r="H1514" s="41" t="s">
        <v>2641</v>
      </c>
      <c r="I1514" s="41" t="s">
        <v>535</v>
      </c>
      <c r="J1514" s="41" t="s">
        <v>188</v>
      </c>
      <c r="K1514" s="41" t="s">
        <v>1611</v>
      </c>
      <c r="L1514" s="42"/>
    </row>
    <row r="1515">
      <c r="A1515" s="15">
        <v>1514.0</v>
      </c>
      <c r="B1515" s="39">
        <v>45934.0</v>
      </c>
      <c r="C1515" s="40" t="s">
        <v>2642</v>
      </c>
      <c r="D1515" s="41"/>
      <c r="E1515" s="41" t="s">
        <v>197</v>
      </c>
      <c r="F1515" s="18" t="s">
        <v>686</v>
      </c>
      <c r="G1515" s="41" t="s">
        <v>2640</v>
      </c>
      <c r="H1515" s="41" t="s">
        <v>2641</v>
      </c>
      <c r="I1515" s="41" t="s">
        <v>535</v>
      </c>
      <c r="J1515" s="41" t="s">
        <v>422</v>
      </c>
      <c r="K1515" s="41" t="s">
        <v>2643</v>
      </c>
      <c r="L1515" s="42"/>
    </row>
    <row r="1516">
      <c r="A1516" s="15">
        <v>1515.0</v>
      </c>
      <c r="B1516" s="39">
        <v>45934.0</v>
      </c>
      <c r="C1516" s="40" t="s">
        <v>2644</v>
      </c>
      <c r="D1516" s="41"/>
      <c r="E1516" s="41" t="s">
        <v>197</v>
      </c>
      <c r="F1516" s="18" t="s">
        <v>686</v>
      </c>
      <c r="G1516" s="41" t="s">
        <v>2640</v>
      </c>
      <c r="H1516" s="41" t="s">
        <v>2641</v>
      </c>
      <c r="I1516" s="41" t="s">
        <v>535</v>
      </c>
      <c r="J1516" s="41" t="s">
        <v>422</v>
      </c>
      <c r="K1516" s="41" t="s">
        <v>2643</v>
      </c>
      <c r="L1516" s="42"/>
    </row>
    <row r="1517">
      <c r="A1517" s="15">
        <v>1516.0</v>
      </c>
      <c r="B1517" s="39">
        <v>45934.0</v>
      </c>
      <c r="C1517" s="40" t="s">
        <v>2645</v>
      </c>
      <c r="D1517" s="41"/>
      <c r="E1517" s="41" t="s">
        <v>197</v>
      </c>
      <c r="F1517" s="18" t="s">
        <v>686</v>
      </c>
      <c r="G1517" s="41" t="s">
        <v>2640</v>
      </c>
      <c r="H1517" s="41" t="s">
        <v>2641</v>
      </c>
      <c r="I1517" s="41" t="s">
        <v>535</v>
      </c>
      <c r="J1517" s="41" t="s">
        <v>188</v>
      </c>
      <c r="K1517" s="41" t="s">
        <v>1611</v>
      </c>
      <c r="L1517" s="42"/>
    </row>
    <row r="1518">
      <c r="A1518" s="15">
        <v>1517.0</v>
      </c>
      <c r="B1518" s="39">
        <v>45934.0</v>
      </c>
      <c r="C1518" s="40" t="s">
        <v>2646</v>
      </c>
      <c r="D1518" s="41"/>
      <c r="E1518" s="41" t="s">
        <v>197</v>
      </c>
      <c r="F1518" s="18" t="s">
        <v>686</v>
      </c>
      <c r="G1518" s="41" t="s">
        <v>2640</v>
      </c>
      <c r="H1518" s="41" t="s">
        <v>2641</v>
      </c>
      <c r="I1518" s="41" t="s">
        <v>535</v>
      </c>
      <c r="J1518" s="41" t="s">
        <v>188</v>
      </c>
      <c r="K1518" s="41" t="s">
        <v>1611</v>
      </c>
      <c r="L1518" s="42"/>
    </row>
    <row r="1519">
      <c r="A1519" s="15">
        <v>1518.0</v>
      </c>
      <c r="B1519" s="39">
        <v>45934.0</v>
      </c>
      <c r="C1519" s="40" t="s">
        <v>2647</v>
      </c>
      <c r="D1519" s="41"/>
      <c r="E1519" s="41" t="s">
        <v>197</v>
      </c>
      <c r="F1519" s="18" t="s">
        <v>686</v>
      </c>
      <c r="G1519" s="41" t="s">
        <v>2640</v>
      </c>
      <c r="H1519" s="41" t="s">
        <v>2641</v>
      </c>
      <c r="I1519" s="41" t="s">
        <v>535</v>
      </c>
      <c r="J1519" s="41" t="s">
        <v>188</v>
      </c>
      <c r="K1519" s="41" t="s">
        <v>1611</v>
      </c>
      <c r="L1519" s="42"/>
    </row>
    <row r="1520">
      <c r="A1520" s="15">
        <v>1519.0</v>
      </c>
      <c r="B1520" s="39">
        <v>45934.0</v>
      </c>
      <c r="C1520" s="40" t="s">
        <v>2648</v>
      </c>
      <c r="D1520" s="41"/>
      <c r="E1520" s="41" t="s">
        <v>197</v>
      </c>
      <c r="F1520" s="18" t="s">
        <v>686</v>
      </c>
      <c r="G1520" s="41" t="s">
        <v>2640</v>
      </c>
      <c r="H1520" s="41" t="s">
        <v>2641</v>
      </c>
      <c r="I1520" s="41" t="s">
        <v>535</v>
      </c>
      <c r="J1520" s="41" t="s">
        <v>422</v>
      </c>
      <c r="K1520" s="41" t="s">
        <v>2643</v>
      </c>
      <c r="L1520" s="42"/>
    </row>
    <row r="1521">
      <c r="A1521" s="15">
        <v>1520.0</v>
      </c>
      <c r="B1521" s="39">
        <v>45934.0</v>
      </c>
      <c r="C1521" s="40" t="s">
        <v>2649</v>
      </c>
      <c r="D1521" s="41"/>
      <c r="E1521" s="41" t="s">
        <v>197</v>
      </c>
      <c r="F1521" s="18" t="s">
        <v>686</v>
      </c>
      <c r="G1521" s="41" t="s">
        <v>2650</v>
      </c>
      <c r="H1521" s="41" t="s">
        <v>2641</v>
      </c>
      <c r="I1521" s="41" t="s">
        <v>535</v>
      </c>
      <c r="J1521" s="41" t="s">
        <v>188</v>
      </c>
      <c r="K1521" s="41" t="s">
        <v>1611</v>
      </c>
      <c r="L1521" s="42"/>
    </row>
    <row r="1522">
      <c r="A1522" s="15">
        <v>1521.0</v>
      </c>
      <c r="B1522" s="39">
        <v>45934.0</v>
      </c>
      <c r="C1522" s="40" t="s">
        <v>2651</v>
      </c>
      <c r="D1522" s="41"/>
      <c r="E1522" s="41" t="s">
        <v>197</v>
      </c>
      <c r="F1522" s="18" t="s">
        <v>686</v>
      </c>
      <c r="G1522" s="41" t="s">
        <v>2652</v>
      </c>
      <c r="H1522" s="41" t="s">
        <v>2641</v>
      </c>
      <c r="I1522" s="41" t="s">
        <v>535</v>
      </c>
      <c r="J1522" s="41" t="s">
        <v>188</v>
      </c>
      <c r="K1522" s="41" t="s">
        <v>1611</v>
      </c>
      <c r="L1522" s="42"/>
    </row>
    <row r="1523">
      <c r="A1523" s="15">
        <v>1522.0</v>
      </c>
      <c r="B1523" s="39">
        <v>45934.0</v>
      </c>
      <c r="C1523" s="40" t="s">
        <v>2653</v>
      </c>
      <c r="D1523" s="41"/>
      <c r="E1523" s="41" t="s">
        <v>197</v>
      </c>
      <c r="F1523" s="18" t="s">
        <v>686</v>
      </c>
      <c r="G1523" s="41" t="s">
        <v>2650</v>
      </c>
      <c r="H1523" s="41" t="s">
        <v>2641</v>
      </c>
      <c r="I1523" s="41" t="s">
        <v>535</v>
      </c>
      <c r="J1523" s="41" t="s">
        <v>188</v>
      </c>
      <c r="K1523" s="41" t="s">
        <v>1611</v>
      </c>
      <c r="L1523" s="42"/>
    </row>
    <row r="1524">
      <c r="A1524" s="15">
        <v>1523.0</v>
      </c>
      <c r="B1524" s="39">
        <v>45934.0</v>
      </c>
      <c r="C1524" s="40" t="s">
        <v>2654</v>
      </c>
      <c r="D1524" s="41"/>
      <c r="E1524" s="41" t="s">
        <v>557</v>
      </c>
      <c r="F1524" s="18" t="s">
        <v>622</v>
      </c>
      <c r="G1524" s="41" t="s">
        <v>2655</v>
      </c>
      <c r="H1524" s="41" t="s">
        <v>2641</v>
      </c>
      <c r="I1524" s="41" t="s">
        <v>535</v>
      </c>
      <c r="J1524" s="41" t="s">
        <v>188</v>
      </c>
      <c r="K1524" s="41" t="s">
        <v>1611</v>
      </c>
      <c r="L1524" s="42"/>
    </row>
    <row r="1525">
      <c r="A1525" s="15">
        <v>1524.0</v>
      </c>
      <c r="B1525" s="39">
        <v>45934.0</v>
      </c>
      <c r="C1525" s="40" t="s">
        <v>2656</v>
      </c>
      <c r="D1525" s="41"/>
      <c r="E1525" s="41" t="s">
        <v>557</v>
      </c>
      <c r="F1525" s="18" t="s">
        <v>622</v>
      </c>
      <c r="G1525" s="41" t="s">
        <v>2657</v>
      </c>
      <c r="H1525" s="41" t="s">
        <v>2641</v>
      </c>
      <c r="I1525" s="41" t="s">
        <v>535</v>
      </c>
      <c r="J1525" s="41" t="s">
        <v>188</v>
      </c>
      <c r="K1525" s="41" t="s">
        <v>1611</v>
      </c>
      <c r="L1525" s="42"/>
    </row>
    <row r="1526">
      <c r="A1526" s="15">
        <v>1525.0</v>
      </c>
      <c r="B1526" s="39">
        <v>45934.0</v>
      </c>
      <c r="C1526" s="40" t="s">
        <v>2658</v>
      </c>
      <c r="D1526" s="41"/>
      <c r="E1526" s="41" t="s">
        <v>557</v>
      </c>
      <c r="F1526" s="18" t="s">
        <v>622</v>
      </c>
      <c r="G1526" s="41" t="s">
        <v>2657</v>
      </c>
      <c r="H1526" s="41" t="s">
        <v>2641</v>
      </c>
      <c r="I1526" s="41" t="s">
        <v>535</v>
      </c>
      <c r="J1526" s="41" t="s">
        <v>188</v>
      </c>
      <c r="K1526" s="41" t="s">
        <v>1611</v>
      </c>
      <c r="L1526" s="42"/>
    </row>
    <row r="1527">
      <c r="A1527" s="15">
        <v>1526.0</v>
      </c>
      <c r="B1527" s="39">
        <v>45934.0</v>
      </c>
      <c r="C1527" s="40" t="s">
        <v>2659</v>
      </c>
      <c r="D1527" s="41"/>
      <c r="E1527" s="41" t="s">
        <v>557</v>
      </c>
      <c r="F1527" s="18" t="s">
        <v>622</v>
      </c>
      <c r="G1527" s="41" t="s">
        <v>2660</v>
      </c>
      <c r="H1527" s="41" t="s">
        <v>2641</v>
      </c>
      <c r="I1527" s="41" t="s">
        <v>535</v>
      </c>
      <c r="J1527" s="41" t="s">
        <v>188</v>
      </c>
      <c r="K1527" s="41" t="s">
        <v>1611</v>
      </c>
      <c r="L1527" s="42"/>
    </row>
    <row r="1528">
      <c r="A1528" s="15">
        <v>1527.0</v>
      </c>
      <c r="B1528" s="39">
        <v>45934.0</v>
      </c>
      <c r="C1528" s="40" t="s">
        <v>2661</v>
      </c>
      <c r="D1528" s="41"/>
      <c r="E1528" s="41" t="s">
        <v>557</v>
      </c>
      <c r="F1528" s="18" t="s">
        <v>622</v>
      </c>
      <c r="G1528" s="41" t="s">
        <v>2662</v>
      </c>
      <c r="H1528" s="41" t="s">
        <v>2641</v>
      </c>
      <c r="I1528" s="41" t="s">
        <v>535</v>
      </c>
      <c r="J1528" s="41" t="s">
        <v>188</v>
      </c>
      <c r="K1528" s="41" t="s">
        <v>1611</v>
      </c>
      <c r="L1528" s="42"/>
    </row>
    <row r="1529">
      <c r="A1529" s="15">
        <v>1528.0</v>
      </c>
      <c r="B1529" s="39">
        <v>45934.0</v>
      </c>
      <c r="C1529" s="40" t="s">
        <v>2663</v>
      </c>
      <c r="D1529" s="41"/>
      <c r="E1529" s="41" t="s">
        <v>557</v>
      </c>
      <c r="F1529" s="18" t="s">
        <v>622</v>
      </c>
      <c r="G1529" s="41" t="s">
        <v>2664</v>
      </c>
      <c r="H1529" s="41" t="s">
        <v>2641</v>
      </c>
      <c r="I1529" s="41" t="s">
        <v>535</v>
      </c>
      <c r="J1529" s="41" t="s">
        <v>188</v>
      </c>
      <c r="K1529" s="41" t="s">
        <v>1611</v>
      </c>
      <c r="L1529" s="42"/>
    </row>
    <row r="1530">
      <c r="A1530" s="15">
        <v>1529.0</v>
      </c>
      <c r="B1530" s="39">
        <v>45934.0</v>
      </c>
      <c r="C1530" s="40" t="s">
        <v>2665</v>
      </c>
      <c r="D1530" s="41"/>
      <c r="E1530" s="41" t="s">
        <v>557</v>
      </c>
      <c r="F1530" s="18" t="s">
        <v>686</v>
      </c>
      <c r="G1530" s="41" t="s">
        <v>2666</v>
      </c>
      <c r="H1530" s="41" t="s">
        <v>2641</v>
      </c>
      <c r="I1530" s="41" t="s">
        <v>535</v>
      </c>
      <c r="J1530" s="41" t="s">
        <v>188</v>
      </c>
      <c r="K1530" s="41" t="s">
        <v>1611</v>
      </c>
      <c r="L1530" s="42"/>
    </row>
    <row r="1531">
      <c r="A1531" s="15">
        <v>1530.0</v>
      </c>
      <c r="B1531" s="39">
        <v>45934.0</v>
      </c>
      <c r="C1531" s="40" t="s">
        <v>2667</v>
      </c>
      <c r="D1531" s="41"/>
      <c r="E1531" s="41" t="s">
        <v>557</v>
      </c>
      <c r="F1531" s="18" t="s">
        <v>686</v>
      </c>
      <c r="G1531" s="41" t="s">
        <v>2668</v>
      </c>
      <c r="H1531" s="41" t="s">
        <v>2641</v>
      </c>
      <c r="I1531" s="41" t="s">
        <v>535</v>
      </c>
      <c r="J1531" s="41" t="s">
        <v>188</v>
      </c>
      <c r="K1531" s="41" t="s">
        <v>1611</v>
      </c>
      <c r="L1531" s="42"/>
    </row>
    <row r="1532">
      <c r="A1532" s="15">
        <v>1531.0</v>
      </c>
      <c r="B1532" s="39">
        <v>45934.0</v>
      </c>
      <c r="C1532" s="40" t="s">
        <v>2669</v>
      </c>
      <c r="D1532" s="41"/>
      <c r="E1532" s="41" t="s">
        <v>557</v>
      </c>
      <c r="F1532" s="18" t="s">
        <v>686</v>
      </c>
      <c r="G1532" s="41" t="s">
        <v>2670</v>
      </c>
      <c r="H1532" s="41" t="s">
        <v>2641</v>
      </c>
      <c r="I1532" s="41" t="s">
        <v>535</v>
      </c>
      <c r="J1532" s="41" t="s">
        <v>188</v>
      </c>
      <c r="K1532" s="41" t="s">
        <v>1611</v>
      </c>
      <c r="L1532" s="42"/>
    </row>
    <row r="1533">
      <c r="A1533" s="15">
        <v>1532.0</v>
      </c>
      <c r="B1533" s="39">
        <v>45934.0</v>
      </c>
      <c r="C1533" s="40" t="s">
        <v>2671</v>
      </c>
      <c r="D1533" s="41"/>
      <c r="E1533" s="41" t="s">
        <v>557</v>
      </c>
      <c r="F1533" s="18" t="s">
        <v>686</v>
      </c>
      <c r="G1533" s="41" t="s">
        <v>2672</v>
      </c>
      <c r="H1533" s="41" t="s">
        <v>2641</v>
      </c>
      <c r="I1533" s="41" t="s">
        <v>535</v>
      </c>
      <c r="J1533" s="41" t="s">
        <v>188</v>
      </c>
      <c r="K1533" s="41" t="s">
        <v>1611</v>
      </c>
      <c r="L1533" s="42"/>
    </row>
    <row r="1534">
      <c r="A1534" s="15">
        <v>1533.0</v>
      </c>
      <c r="B1534" s="39">
        <v>45934.0</v>
      </c>
      <c r="C1534" s="40" t="s">
        <v>2673</v>
      </c>
      <c r="D1534" s="41"/>
      <c r="E1534" s="41" t="s">
        <v>557</v>
      </c>
      <c r="F1534" s="18" t="s">
        <v>686</v>
      </c>
      <c r="G1534" s="41" t="s">
        <v>2674</v>
      </c>
      <c r="H1534" s="41" t="s">
        <v>2641</v>
      </c>
      <c r="I1534" s="41" t="s">
        <v>535</v>
      </c>
      <c r="J1534" s="41" t="s">
        <v>188</v>
      </c>
      <c r="K1534" s="41" t="s">
        <v>1611</v>
      </c>
      <c r="L1534" s="42"/>
    </row>
    <row r="1535">
      <c r="A1535" s="15">
        <v>1534.0</v>
      </c>
      <c r="B1535" s="39">
        <v>45934.0</v>
      </c>
      <c r="C1535" s="40" t="s">
        <v>2675</v>
      </c>
      <c r="D1535" s="41"/>
      <c r="E1535" s="41" t="s">
        <v>557</v>
      </c>
      <c r="F1535" s="18" t="s">
        <v>686</v>
      </c>
      <c r="G1535" s="41" t="s">
        <v>2676</v>
      </c>
      <c r="H1535" s="41" t="s">
        <v>2641</v>
      </c>
      <c r="I1535" s="41" t="s">
        <v>535</v>
      </c>
      <c r="J1535" s="41" t="s">
        <v>188</v>
      </c>
      <c r="K1535" s="41" t="s">
        <v>1611</v>
      </c>
      <c r="L1535" s="42"/>
    </row>
    <row r="1536">
      <c r="A1536" s="15">
        <v>1535.0</v>
      </c>
      <c r="B1536" s="39">
        <v>45934.0</v>
      </c>
      <c r="C1536" s="53" t="s">
        <v>2677</v>
      </c>
      <c r="D1536" s="41"/>
      <c r="E1536" s="52" t="s">
        <v>401</v>
      </c>
      <c r="F1536" s="18" t="s">
        <v>622</v>
      </c>
      <c r="G1536" s="52" t="s">
        <v>937</v>
      </c>
      <c r="H1536" s="52" t="s">
        <v>2678</v>
      </c>
      <c r="I1536" s="52" t="s">
        <v>939</v>
      </c>
      <c r="J1536" s="52" t="s">
        <v>188</v>
      </c>
      <c r="K1536" s="52" t="s">
        <v>1611</v>
      </c>
      <c r="L1536" s="42"/>
    </row>
    <row r="1537">
      <c r="A1537" s="15">
        <v>1536.0</v>
      </c>
      <c r="B1537" s="39">
        <v>45934.0</v>
      </c>
      <c r="C1537" s="53" t="s">
        <v>2679</v>
      </c>
      <c r="D1537" s="41"/>
      <c r="E1537" s="52" t="s">
        <v>401</v>
      </c>
      <c r="F1537" s="18" t="s">
        <v>622</v>
      </c>
      <c r="G1537" s="52" t="s">
        <v>937</v>
      </c>
      <c r="H1537" s="52" t="s">
        <v>2678</v>
      </c>
      <c r="I1537" s="52" t="s">
        <v>939</v>
      </c>
      <c r="J1537" s="52" t="s">
        <v>188</v>
      </c>
      <c r="K1537" s="52" t="s">
        <v>1611</v>
      </c>
      <c r="L1537" s="42"/>
    </row>
    <row r="1538">
      <c r="A1538" s="15">
        <v>1537.0</v>
      </c>
      <c r="B1538" s="39">
        <v>45934.0</v>
      </c>
      <c r="C1538" s="53" t="s">
        <v>2680</v>
      </c>
      <c r="D1538" s="41"/>
      <c r="E1538" s="52" t="s">
        <v>401</v>
      </c>
      <c r="F1538" s="18" t="s">
        <v>622</v>
      </c>
      <c r="G1538" s="52" t="s">
        <v>937</v>
      </c>
      <c r="H1538" s="52" t="s">
        <v>2678</v>
      </c>
      <c r="I1538" s="52" t="s">
        <v>939</v>
      </c>
      <c r="J1538" s="52" t="s">
        <v>188</v>
      </c>
      <c r="K1538" s="52" t="s">
        <v>1611</v>
      </c>
      <c r="L1538" s="42"/>
    </row>
    <row r="1539">
      <c r="A1539" s="15">
        <v>1538.0</v>
      </c>
      <c r="B1539" s="39">
        <v>45934.0</v>
      </c>
      <c r="C1539" s="53" t="s">
        <v>2681</v>
      </c>
      <c r="D1539" s="41"/>
      <c r="E1539" s="52" t="s">
        <v>401</v>
      </c>
      <c r="F1539" s="18" t="s">
        <v>622</v>
      </c>
      <c r="G1539" s="52" t="s">
        <v>937</v>
      </c>
      <c r="H1539" s="52" t="s">
        <v>2678</v>
      </c>
      <c r="I1539" s="52" t="s">
        <v>939</v>
      </c>
      <c r="J1539" s="52" t="s">
        <v>188</v>
      </c>
      <c r="K1539" s="52" t="s">
        <v>1611</v>
      </c>
      <c r="L1539" s="42"/>
    </row>
    <row r="1540">
      <c r="A1540" s="15">
        <v>1539.0</v>
      </c>
      <c r="B1540" s="39">
        <v>45934.0</v>
      </c>
      <c r="C1540" s="53" t="s">
        <v>2682</v>
      </c>
      <c r="D1540" s="41"/>
      <c r="E1540" s="52" t="s">
        <v>401</v>
      </c>
      <c r="F1540" s="18" t="s">
        <v>622</v>
      </c>
      <c r="G1540" s="52" t="s">
        <v>937</v>
      </c>
      <c r="H1540" s="52" t="s">
        <v>2678</v>
      </c>
      <c r="I1540" s="52" t="s">
        <v>939</v>
      </c>
      <c r="J1540" s="52" t="s">
        <v>188</v>
      </c>
      <c r="K1540" s="52" t="s">
        <v>1611</v>
      </c>
      <c r="L1540" s="42"/>
    </row>
    <row r="1541">
      <c r="A1541" s="15">
        <v>1540.0</v>
      </c>
      <c r="B1541" s="39">
        <v>45934.0</v>
      </c>
      <c r="C1541" s="53" t="s">
        <v>2683</v>
      </c>
      <c r="D1541" s="41"/>
      <c r="E1541" s="52" t="s">
        <v>401</v>
      </c>
      <c r="F1541" s="18" t="s">
        <v>622</v>
      </c>
      <c r="G1541" s="52" t="s">
        <v>937</v>
      </c>
      <c r="H1541" s="52" t="s">
        <v>2678</v>
      </c>
      <c r="I1541" s="52" t="s">
        <v>939</v>
      </c>
      <c r="J1541" s="52" t="s">
        <v>188</v>
      </c>
      <c r="K1541" s="52" t="s">
        <v>1611</v>
      </c>
      <c r="L1541" s="42"/>
    </row>
    <row r="1542">
      <c r="A1542" s="15">
        <v>1541.0</v>
      </c>
      <c r="B1542" s="39">
        <v>45934.0</v>
      </c>
      <c r="C1542" s="53" t="s">
        <v>2632</v>
      </c>
      <c r="D1542" s="41"/>
      <c r="E1542" s="52" t="s">
        <v>401</v>
      </c>
      <c r="F1542" s="18" t="s">
        <v>622</v>
      </c>
      <c r="G1542" s="52" t="s">
        <v>937</v>
      </c>
      <c r="H1542" s="52" t="s">
        <v>2678</v>
      </c>
      <c r="I1542" s="52" t="s">
        <v>939</v>
      </c>
      <c r="J1542" s="52" t="s">
        <v>188</v>
      </c>
      <c r="K1542" s="52" t="s">
        <v>1611</v>
      </c>
      <c r="L1542" s="42"/>
    </row>
    <row r="1543">
      <c r="A1543" s="15">
        <v>1542.0</v>
      </c>
      <c r="B1543" s="39">
        <v>45934.0</v>
      </c>
      <c r="C1543" s="53" t="s">
        <v>2631</v>
      </c>
      <c r="D1543" s="41"/>
      <c r="E1543" s="52" t="s">
        <v>401</v>
      </c>
      <c r="F1543" s="18" t="s">
        <v>622</v>
      </c>
      <c r="G1543" s="52" t="s">
        <v>937</v>
      </c>
      <c r="H1543" s="52" t="s">
        <v>2678</v>
      </c>
      <c r="I1543" s="52" t="s">
        <v>939</v>
      </c>
      <c r="J1543" s="52" t="s">
        <v>188</v>
      </c>
      <c r="K1543" s="52" t="s">
        <v>1611</v>
      </c>
      <c r="L1543" s="42"/>
    </row>
    <row r="1544">
      <c r="A1544" s="15">
        <v>1543.0</v>
      </c>
      <c r="B1544" s="39">
        <v>45934.0</v>
      </c>
      <c r="C1544" s="53" t="s">
        <v>2684</v>
      </c>
      <c r="D1544" s="41"/>
      <c r="E1544" s="52" t="s">
        <v>184</v>
      </c>
      <c r="F1544" s="18" t="s">
        <v>702</v>
      </c>
      <c r="G1544" s="51" t="s">
        <v>2685</v>
      </c>
      <c r="H1544" s="41" t="s">
        <v>410</v>
      </c>
      <c r="I1544" s="41"/>
      <c r="J1544" s="52" t="s">
        <v>422</v>
      </c>
      <c r="K1544" s="41"/>
      <c r="L1544" s="42"/>
    </row>
    <row r="1545">
      <c r="A1545" s="15">
        <v>1544.0</v>
      </c>
      <c r="B1545" s="39">
        <v>45934.0</v>
      </c>
      <c r="C1545" s="53" t="s">
        <v>2686</v>
      </c>
      <c r="D1545" s="41"/>
      <c r="E1545" s="52" t="s">
        <v>184</v>
      </c>
      <c r="F1545" s="18" t="s">
        <v>702</v>
      </c>
      <c r="G1545" s="41" t="s">
        <v>2687</v>
      </c>
      <c r="H1545" s="41" t="s">
        <v>410</v>
      </c>
      <c r="I1545" s="41"/>
      <c r="J1545" s="52" t="s">
        <v>422</v>
      </c>
      <c r="K1545" s="41"/>
      <c r="L1545" s="42"/>
    </row>
    <row r="1546">
      <c r="A1546" s="15">
        <v>1545.0</v>
      </c>
      <c r="B1546" s="39">
        <v>45934.0</v>
      </c>
      <c r="C1546" s="53" t="s">
        <v>2688</v>
      </c>
      <c r="D1546" s="41"/>
      <c r="E1546" s="52" t="s">
        <v>184</v>
      </c>
      <c r="F1546" s="18" t="s">
        <v>622</v>
      </c>
      <c r="G1546" s="41" t="s">
        <v>2685</v>
      </c>
      <c r="H1546" s="41" t="s">
        <v>410</v>
      </c>
      <c r="I1546" s="41"/>
      <c r="J1546" s="52" t="s">
        <v>422</v>
      </c>
      <c r="K1546" s="41" t="s">
        <v>2689</v>
      </c>
      <c r="L1546" s="42"/>
    </row>
    <row r="1547">
      <c r="A1547" s="15">
        <v>1546.0</v>
      </c>
      <c r="B1547" s="39">
        <v>45934.0</v>
      </c>
      <c r="C1547" s="53" t="s">
        <v>2690</v>
      </c>
      <c r="D1547" s="41"/>
      <c r="E1547" s="52" t="s">
        <v>184</v>
      </c>
      <c r="F1547" s="18" t="s">
        <v>622</v>
      </c>
      <c r="G1547" s="41" t="s">
        <v>2691</v>
      </c>
      <c r="H1547" s="41" t="s">
        <v>410</v>
      </c>
      <c r="I1547" s="41"/>
      <c r="J1547" s="52" t="s">
        <v>422</v>
      </c>
      <c r="K1547" s="41" t="s">
        <v>2692</v>
      </c>
      <c r="L1547" s="42"/>
    </row>
    <row r="1548">
      <c r="A1548" s="15">
        <v>1547.0</v>
      </c>
      <c r="B1548" s="39">
        <v>45935.0</v>
      </c>
      <c r="C1548" s="40" t="s">
        <v>2693</v>
      </c>
      <c r="D1548" s="41"/>
      <c r="E1548" s="41" t="s">
        <v>197</v>
      </c>
      <c r="F1548" s="18" t="s">
        <v>686</v>
      </c>
      <c r="G1548" s="41" t="s">
        <v>2694</v>
      </c>
      <c r="H1548" s="41" t="s">
        <v>2695</v>
      </c>
      <c r="I1548" s="41" t="s">
        <v>535</v>
      </c>
      <c r="J1548" s="41" t="s">
        <v>188</v>
      </c>
      <c r="K1548" s="41"/>
      <c r="L1548" s="42"/>
    </row>
    <row r="1549">
      <c r="A1549" s="15">
        <v>1548.0</v>
      </c>
      <c r="B1549" s="39">
        <v>45935.0</v>
      </c>
      <c r="C1549" s="40" t="s">
        <v>2696</v>
      </c>
      <c r="D1549" s="41"/>
      <c r="E1549" s="41" t="s">
        <v>197</v>
      </c>
      <c r="F1549" s="18" t="s">
        <v>686</v>
      </c>
      <c r="G1549" s="41" t="s">
        <v>2694</v>
      </c>
      <c r="H1549" s="41"/>
      <c r="I1549" s="41"/>
      <c r="J1549" s="41" t="s">
        <v>188</v>
      </c>
      <c r="K1549" s="41"/>
      <c r="L1549" s="42"/>
    </row>
    <row r="1550">
      <c r="A1550" s="15">
        <v>1549.0</v>
      </c>
      <c r="B1550" s="39">
        <v>45935.0</v>
      </c>
      <c r="C1550" s="40" t="s">
        <v>2697</v>
      </c>
      <c r="D1550" s="41"/>
      <c r="E1550" s="41" t="s">
        <v>747</v>
      </c>
      <c r="F1550" s="18" t="s">
        <v>686</v>
      </c>
      <c r="G1550" s="41" t="s">
        <v>2698</v>
      </c>
      <c r="H1550" s="41"/>
      <c r="I1550" s="41"/>
      <c r="J1550" s="41" t="s">
        <v>188</v>
      </c>
      <c r="K1550" s="41"/>
      <c r="L1550" s="42"/>
    </row>
    <row r="1551">
      <c r="A1551" s="15">
        <v>1550.0</v>
      </c>
      <c r="B1551" s="39">
        <v>45935.0</v>
      </c>
      <c r="C1551" s="40" t="s">
        <v>2699</v>
      </c>
      <c r="D1551" s="41"/>
      <c r="E1551" s="41" t="s">
        <v>747</v>
      </c>
      <c r="F1551" s="18" t="s">
        <v>686</v>
      </c>
      <c r="G1551" s="41" t="s">
        <v>2700</v>
      </c>
      <c r="H1551" s="41"/>
      <c r="I1551" s="41"/>
      <c r="J1551" s="41" t="s">
        <v>188</v>
      </c>
      <c r="K1551" s="41"/>
      <c r="L1551" s="42"/>
    </row>
    <row r="1552">
      <c r="A1552" s="15">
        <v>1551.0</v>
      </c>
      <c r="B1552" s="39">
        <v>45935.0</v>
      </c>
      <c r="C1552" s="40" t="s">
        <v>2701</v>
      </c>
      <c r="D1552" s="41"/>
      <c r="E1552" s="41" t="s">
        <v>747</v>
      </c>
      <c r="F1552" s="18" t="s">
        <v>622</v>
      </c>
      <c r="G1552" s="41" t="s">
        <v>2702</v>
      </c>
      <c r="H1552" s="41"/>
      <c r="I1552" s="41"/>
      <c r="J1552" s="41" t="s">
        <v>188</v>
      </c>
      <c r="K1552" s="41"/>
      <c r="L1552" s="42"/>
    </row>
    <row r="1553">
      <c r="A1553" s="15">
        <v>1552.0</v>
      </c>
      <c r="B1553" s="39">
        <v>45935.0</v>
      </c>
      <c r="C1553" s="40" t="s">
        <v>2703</v>
      </c>
      <c r="D1553" s="41"/>
      <c r="E1553" s="41" t="s">
        <v>197</v>
      </c>
      <c r="F1553" s="18" t="s">
        <v>686</v>
      </c>
      <c r="G1553" s="41" t="s">
        <v>2704</v>
      </c>
      <c r="H1553" s="41"/>
      <c r="I1553" s="41"/>
      <c r="J1553" s="41" t="s">
        <v>188</v>
      </c>
      <c r="K1553" s="41"/>
      <c r="L1553" s="42"/>
    </row>
    <row r="1554">
      <c r="A1554" s="15">
        <v>1553.0</v>
      </c>
      <c r="B1554" s="39">
        <v>45935.0</v>
      </c>
      <c r="C1554" s="40" t="s">
        <v>2705</v>
      </c>
      <c r="D1554" s="41"/>
      <c r="E1554" s="41" t="s">
        <v>1146</v>
      </c>
      <c r="F1554" s="18" t="s">
        <v>622</v>
      </c>
      <c r="G1554" s="41" t="s">
        <v>2706</v>
      </c>
      <c r="H1554" s="41"/>
      <c r="I1554" s="41"/>
      <c r="J1554" s="41" t="s">
        <v>188</v>
      </c>
      <c r="K1554" s="41"/>
      <c r="L1554" s="42"/>
    </row>
    <row r="1555">
      <c r="A1555" s="15">
        <v>1554.0</v>
      </c>
      <c r="B1555" s="39">
        <v>45935.0</v>
      </c>
      <c r="C1555" s="40" t="s">
        <v>2707</v>
      </c>
      <c r="D1555" s="41"/>
      <c r="E1555" s="41" t="s">
        <v>747</v>
      </c>
      <c r="F1555" s="18" t="s">
        <v>622</v>
      </c>
      <c r="G1555" s="41" t="s">
        <v>2708</v>
      </c>
      <c r="H1555" s="41"/>
      <c r="I1555" s="41"/>
      <c r="J1555" s="41" t="s">
        <v>188</v>
      </c>
      <c r="K1555" s="41"/>
      <c r="L1555" s="42"/>
    </row>
    <row r="1556">
      <c r="A1556" s="15">
        <v>1555.0</v>
      </c>
      <c r="B1556" s="39">
        <v>45935.0</v>
      </c>
      <c r="C1556" s="40" t="s">
        <v>2709</v>
      </c>
      <c r="D1556" s="41"/>
      <c r="E1556" s="41" t="s">
        <v>747</v>
      </c>
      <c r="F1556" s="18" t="s">
        <v>622</v>
      </c>
      <c r="G1556" s="41" t="s">
        <v>2708</v>
      </c>
      <c r="H1556" s="41"/>
      <c r="I1556" s="41"/>
      <c r="J1556" s="41" t="s">
        <v>188</v>
      </c>
      <c r="K1556" s="41"/>
      <c r="L1556" s="42"/>
    </row>
    <row r="1557">
      <c r="A1557" s="15">
        <v>1556.0</v>
      </c>
      <c r="B1557" s="39">
        <v>45935.0</v>
      </c>
      <c r="C1557" s="40" t="s">
        <v>2710</v>
      </c>
      <c r="D1557" s="41"/>
      <c r="E1557" s="41" t="s">
        <v>747</v>
      </c>
      <c r="F1557" s="18" t="s">
        <v>622</v>
      </c>
      <c r="G1557" s="41" t="s">
        <v>2708</v>
      </c>
      <c r="H1557" s="41"/>
      <c r="I1557" s="41"/>
      <c r="J1557" s="41" t="s">
        <v>188</v>
      </c>
      <c r="K1557" s="41"/>
      <c r="L1557" s="42"/>
    </row>
    <row r="1558">
      <c r="A1558" s="15">
        <v>1557.0</v>
      </c>
      <c r="B1558" s="39">
        <v>45935.0</v>
      </c>
      <c r="C1558" s="40" t="s">
        <v>2711</v>
      </c>
      <c r="D1558" s="41"/>
      <c r="E1558" s="41" t="s">
        <v>197</v>
      </c>
      <c r="F1558" s="18" t="s">
        <v>405</v>
      </c>
      <c r="G1558" s="41" t="s">
        <v>2712</v>
      </c>
      <c r="H1558" s="41"/>
      <c r="I1558" s="41"/>
      <c r="J1558" s="41" t="s">
        <v>188</v>
      </c>
      <c r="K1558" s="41"/>
      <c r="L1558" s="42"/>
    </row>
    <row r="1559">
      <c r="A1559" s="15">
        <v>1558.0</v>
      </c>
      <c r="B1559" s="39">
        <v>45935.0</v>
      </c>
      <c r="C1559" s="40" t="s">
        <v>2713</v>
      </c>
      <c r="D1559" s="41"/>
      <c r="E1559" s="41" t="s">
        <v>197</v>
      </c>
      <c r="F1559" s="18" t="s">
        <v>405</v>
      </c>
      <c r="G1559" s="41" t="s">
        <v>2714</v>
      </c>
      <c r="H1559" s="41"/>
      <c r="I1559" s="41"/>
      <c r="J1559" s="41" t="s">
        <v>188</v>
      </c>
      <c r="K1559" s="41"/>
      <c r="L1559" s="42"/>
    </row>
    <row r="1560">
      <c r="A1560" s="15">
        <v>1559.0</v>
      </c>
      <c r="B1560" s="39">
        <v>45935.0</v>
      </c>
      <c r="C1560" s="40" t="s">
        <v>2715</v>
      </c>
      <c r="D1560" s="41"/>
      <c r="E1560" s="41" t="s">
        <v>197</v>
      </c>
      <c r="F1560" s="18" t="s">
        <v>405</v>
      </c>
      <c r="G1560" s="41" t="s">
        <v>2716</v>
      </c>
      <c r="H1560" s="41"/>
      <c r="I1560" s="41"/>
      <c r="J1560" s="41" t="s">
        <v>188</v>
      </c>
      <c r="K1560" s="41"/>
      <c r="L1560" s="42"/>
    </row>
    <row r="1561">
      <c r="A1561" s="15">
        <v>1560.0</v>
      </c>
      <c r="B1561" s="39">
        <v>45935.0</v>
      </c>
      <c r="C1561" s="40" t="s">
        <v>2717</v>
      </c>
      <c r="D1561" s="41"/>
      <c r="E1561" s="41" t="s">
        <v>197</v>
      </c>
      <c r="F1561" s="18" t="s">
        <v>405</v>
      </c>
      <c r="G1561" s="41" t="s">
        <v>2718</v>
      </c>
      <c r="H1561" s="41"/>
      <c r="I1561" s="41"/>
      <c r="J1561" s="41" t="s">
        <v>188</v>
      </c>
      <c r="K1561" s="41"/>
      <c r="L1561" s="42"/>
    </row>
    <row r="1562">
      <c r="A1562" s="15">
        <v>1561.0</v>
      </c>
      <c r="B1562" s="39">
        <v>45935.0</v>
      </c>
      <c r="C1562" s="40" t="s">
        <v>2719</v>
      </c>
      <c r="D1562" s="41"/>
      <c r="E1562" s="41" t="s">
        <v>197</v>
      </c>
      <c r="F1562" s="18" t="s">
        <v>405</v>
      </c>
      <c r="G1562" s="41" t="s">
        <v>2720</v>
      </c>
      <c r="H1562" s="41"/>
      <c r="I1562" s="41"/>
      <c r="J1562" s="41" t="s">
        <v>188</v>
      </c>
      <c r="K1562" s="41"/>
      <c r="L1562" s="42"/>
    </row>
    <row r="1563">
      <c r="A1563" s="15">
        <v>1562.0</v>
      </c>
      <c r="B1563" s="39">
        <v>45935.0</v>
      </c>
      <c r="C1563" s="40" t="s">
        <v>2721</v>
      </c>
      <c r="D1563" s="41"/>
      <c r="E1563" s="41" t="s">
        <v>197</v>
      </c>
      <c r="F1563" s="18" t="s">
        <v>405</v>
      </c>
      <c r="G1563" s="41" t="s">
        <v>2722</v>
      </c>
      <c r="H1563" s="41"/>
      <c r="I1563" s="41"/>
      <c r="J1563" s="41" t="s">
        <v>188</v>
      </c>
      <c r="K1563" s="41"/>
      <c r="L1563" s="42"/>
    </row>
    <row r="1564">
      <c r="A1564" s="15">
        <v>1563.0</v>
      </c>
      <c r="B1564" s="39">
        <v>45935.0</v>
      </c>
      <c r="C1564" s="54" t="s">
        <v>2723</v>
      </c>
      <c r="D1564" s="41"/>
      <c r="E1564" s="41" t="s">
        <v>197</v>
      </c>
      <c r="F1564" s="18" t="s">
        <v>686</v>
      </c>
      <c r="G1564" s="41" t="s">
        <v>2724</v>
      </c>
      <c r="H1564" s="41"/>
      <c r="I1564" s="41"/>
      <c r="J1564" s="41" t="s">
        <v>188</v>
      </c>
      <c r="K1564" s="41"/>
      <c r="L1564" s="42"/>
    </row>
    <row r="1565">
      <c r="A1565" s="15">
        <v>1564.0</v>
      </c>
      <c r="B1565" s="39">
        <v>45935.0</v>
      </c>
      <c r="C1565" s="40" t="s">
        <v>2725</v>
      </c>
      <c r="D1565" s="41"/>
      <c r="E1565" s="41" t="s">
        <v>197</v>
      </c>
      <c r="F1565" s="18" t="s">
        <v>686</v>
      </c>
      <c r="G1565" s="41" t="s">
        <v>2726</v>
      </c>
      <c r="H1565" s="41"/>
      <c r="I1565" s="41"/>
      <c r="J1565" s="41" t="s">
        <v>188</v>
      </c>
      <c r="K1565" s="41"/>
      <c r="L1565" s="42"/>
    </row>
    <row r="1566">
      <c r="A1566" s="15">
        <v>1565.0</v>
      </c>
      <c r="B1566" s="39">
        <v>45935.0</v>
      </c>
      <c r="C1566" s="40" t="s">
        <v>2727</v>
      </c>
      <c r="D1566" s="41"/>
      <c r="E1566" s="41" t="s">
        <v>197</v>
      </c>
      <c r="F1566" s="18" t="s">
        <v>686</v>
      </c>
      <c r="G1566" s="41" t="s">
        <v>2728</v>
      </c>
      <c r="H1566" s="41"/>
      <c r="I1566" s="41"/>
      <c r="J1566" s="41" t="s">
        <v>188</v>
      </c>
      <c r="K1566" s="41"/>
      <c r="L1566" s="42"/>
    </row>
    <row r="1567">
      <c r="A1567" s="15">
        <v>1566.0</v>
      </c>
      <c r="B1567" s="39">
        <v>45935.0</v>
      </c>
      <c r="C1567" s="40" t="s">
        <v>2729</v>
      </c>
      <c r="D1567" s="41"/>
      <c r="E1567" s="41" t="s">
        <v>197</v>
      </c>
      <c r="F1567" s="18" t="s">
        <v>686</v>
      </c>
      <c r="G1567" s="41" t="s">
        <v>2730</v>
      </c>
      <c r="H1567" s="41"/>
      <c r="I1567" s="41"/>
      <c r="J1567" s="41" t="s">
        <v>188</v>
      </c>
      <c r="K1567" s="41"/>
      <c r="L1567" s="42"/>
    </row>
    <row r="1568">
      <c r="A1568" s="15">
        <v>1567.0</v>
      </c>
      <c r="B1568" s="39">
        <v>45935.0</v>
      </c>
      <c r="C1568" s="40" t="s">
        <v>2731</v>
      </c>
      <c r="D1568" s="41"/>
      <c r="E1568" s="41" t="s">
        <v>197</v>
      </c>
      <c r="F1568" s="18" t="s">
        <v>686</v>
      </c>
      <c r="G1568" s="41" t="s">
        <v>1882</v>
      </c>
      <c r="H1568" s="41"/>
      <c r="I1568" s="41"/>
      <c r="J1568" s="41" t="s">
        <v>188</v>
      </c>
      <c r="K1568" s="41"/>
      <c r="L1568" s="42"/>
    </row>
    <row r="1569">
      <c r="A1569" s="15">
        <v>1568.0</v>
      </c>
      <c r="B1569" s="39">
        <v>45935.0</v>
      </c>
      <c r="C1569" s="40" t="s">
        <v>2732</v>
      </c>
      <c r="D1569" s="41"/>
      <c r="E1569" s="41" t="s">
        <v>197</v>
      </c>
      <c r="F1569" s="18" t="s">
        <v>622</v>
      </c>
      <c r="G1569" s="41" t="s">
        <v>2730</v>
      </c>
      <c r="H1569" s="41"/>
      <c r="I1569" s="41"/>
      <c r="J1569" s="41" t="s">
        <v>188</v>
      </c>
      <c r="K1569" s="41"/>
      <c r="L1569" s="42"/>
    </row>
    <row r="1570">
      <c r="A1570" s="15">
        <v>1569.0</v>
      </c>
      <c r="B1570" s="39">
        <v>45935.0</v>
      </c>
      <c r="C1570" s="40" t="s">
        <v>2733</v>
      </c>
      <c r="D1570" s="41"/>
      <c r="E1570" s="41" t="s">
        <v>197</v>
      </c>
      <c r="F1570" s="18" t="s">
        <v>622</v>
      </c>
      <c r="G1570" s="41" t="s">
        <v>2734</v>
      </c>
      <c r="H1570" s="41"/>
      <c r="I1570" s="41"/>
      <c r="J1570" s="41" t="s">
        <v>188</v>
      </c>
      <c r="K1570" s="41"/>
      <c r="L1570" s="42"/>
    </row>
    <row r="1571">
      <c r="A1571" s="15">
        <v>1570.0</v>
      </c>
      <c r="B1571" s="39">
        <v>45935.0</v>
      </c>
      <c r="C1571" s="40" t="s">
        <v>2735</v>
      </c>
      <c r="D1571" s="41"/>
      <c r="E1571" s="41" t="s">
        <v>197</v>
      </c>
      <c r="F1571" s="18" t="s">
        <v>622</v>
      </c>
      <c r="G1571" s="41" t="s">
        <v>2734</v>
      </c>
      <c r="H1571" s="41"/>
      <c r="I1571" s="41"/>
      <c r="J1571" s="41" t="s">
        <v>188</v>
      </c>
      <c r="K1571" s="41"/>
      <c r="L1571" s="42"/>
    </row>
    <row r="1572">
      <c r="A1572" s="15">
        <v>1571.0</v>
      </c>
      <c r="B1572" s="39">
        <v>45935.0</v>
      </c>
      <c r="C1572" s="40" t="s">
        <v>2736</v>
      </c>
      <c r="D1572" s="41"/>
      <c r="E1572" s="41" t="s">
        <v>197</v>
      </c>
      <c r="F1572" s="18" t="s">
        <v>622</v>
      </c>
      <c r="G1572" s="41" t="s">
        <v>2737</v>
      </c>
      <c r="H1572" s="41"/>
      <c r="I1572" s="41"/>
      <c r="J1572" s="41" t="s">
        <v>188</v>
      </c>
      <c r="K1572" s="41"/>
      <c r="L1572" s="42"/>
    </row>
    <row r="1573">
      <c r="A1573" s="15">
        <v>1572.0</v>
      </c>
      <c r="B1573" s="39">
        <v>45936.0</v>
      </c>
      <c r="C1573" s="40" t="s">
        <v>2738</v>
      </c>
      <c r="D1573" s="41"/>
      <c r="E1573" s="41" t="s">
        <v>197</v>
      </c>
      <c r="F1573" s="18" t="s">
        <v>622</v>
      </c>
      <c r="G1573" s="41" t="s">
        <v>2739</v>
      </c>
      <c r="H1573" s="41" t="s">
        <v>2740</v>
      </c>
      <c r="I1573" s="41" t="s">
        <v>535</v>
      </c>
      <c r="J1573" s="41" t="s">
        <v>188</v>
      </c>
      <c r="K1573" s="41" t="s">
        <v>1611</v>
      </c>
      <c r="L1573" s="42"/>
    </row>
    <row r="1574">
      <c r="A1574" s="15">
        <v>1573.0</v>
      </c>
      <c r="B1574" s="39">
        <v>45936.0</v>
      </c>
      <c r="C1574" s="40"/>
      <c r="D1574" s="41"/>
      <c r="E1574" s="41" t="s">
        <v>1146</v>
      </c>
      <c r="F1574" s="18" t="b">
        <v>0</v>
      </c>
      <c r="G1574" s="41" t="s">
        <v>2741</v>
      </c>
      <c r="H1574" s="41"/>
      <c r="I1574" s="41"/>
      <c r="J1574" s="41" t="s">
        <v>188</v>
      </c>
      <c r="K1574" s="41" t="s">
        <v>1611</v>
      </c>
      <c r="L1574" s="42"/>
    </row>
    <row r="1575">
      <c r="A1575" s="15">
        <v>1574.0</v>
      </c>
      <c r="B1575" s="39">
        <v>45936.0</v>
      </c>
      <c r="C1575" s="40" t="s">
        <v>2742</v>
      </c>
      <c r="D1575" s="41"/>
      <c r="E1575" s="41" t="s">
        <v>372</v>
      </c>
      <c r="F1575" s="18" t="s">
        <v>622</v>
      </c>
      <c r="G1575" s="41" t="s">
        <v>2743</v>
      </c>
      <c r="H1575" s="41"/>
      <c r="I1575" s="41"/>
      <c r="J1575" s="41" t="s">
        <v>188</v>
      </c>
      <c r="K1575" s="41" t="s">
        <v>1611</v>
      </c>
      <c r="L1575" s="42"/>
    </row>
    <row r="1576">
      <c r="A1576" s="15">
        <v>1575.0</v>
      </c>
      <c r="B1576" s="39">
        <v>45936.0</v>
      </c>
      <c r="C1576" s="40" t="s">
        <v>2744</v>
      </c>
      <c r="D1576" s="41"/>
      <c r="E1576" s="41" t="s">
        <v>197</v>
      </c>
      <c r="F1576" s="18" t="s">
        <v>686</v>
      </c>
      <c r="G1576" s="41" t="s">
        <v>2745</v>
      </c>
      <c r="H1576" s="41"/>
      <c r="I1576" s="41"/>
      <c r="J1576" s="41" t="s">
        <v>188</v>
      </c>
      <c r="K1576" s="41" t="s">
        <v>1611</v>
      </c>
      <c r="L1576" s="42"/>
    </row>
    <row r="1577">
      <c r="A1577" s="15">
        <v>1576.0</v>
      </c>
      <c r="B1577" s="39">
        <v>45936.0</v>
      </c>
      <c r="C1577" s="40" t="s">
        <v>2746</v>
      </c>
      <c r="D1577" s="41"/>
      <c r="E1577" s="41" t="s">
        <v>372</v>
      </c>
      <c r="F1577" s="18" t="s">
        <v>622</v>
      </c>
      <c r="G1577" s="41" t="s">
        <v>2747</v>
      </c>
      <c r="H1577" s="41"/>
      <c r="I1577" s="41"/>
      <c r="J1577" s="41" t="s">
        <v>188</v>
      </c>
      <c r="K1577" s="41" t="s">
        <v>1611</v>
      </c>
      <c r="L1577" s="42"/>
    </row>
    <row r="1578">
      <c r="A1578" s="15">
        <v>1577.0</v>
      </c>
      <c r="B1578" s="39">
        <v>45936.0</v>
      </c>
      <c r="C1578" s="40" t="s">
        <v>2748</v>
      </c>
      <c r="D1578" s="41"/>
      <c r="E1578" s="41" t="s">
        <v>197</v>
      </c>
      <c r="F1578" s="18" t="s">
        <v>405</v>
      </c>
      <c r="G1578" s="41" t="s">
        <v>2749</v>
      </c>
      <c r="H1578" s="41"/>
      <c r="I1578" s="41"/>
      <c r="J1578" s="41" t="s">
        <v>188</v>
      </c>
      <c r="K1578" s="41" t="s">
        <v>1611</v>
      </c>
      <c r="L1578" s="42"/>
    </row>
    <row r="1579">
      <c r="A1579" s="15">
        <v>1578.0</v>
      </c>
      <c r="B1579" s="39">
        <v>45936.0</v>
      </c>
      <c r="C1579" s="40" t="s">
        <v>2750</v>
      </c>
      <c r="D1579" s="41"/>
      <c r="E1579" s="41" t="s">
        <v>197</v>
      </c>
      <c r="F1579" s="18" t="s">
        <v>405</v>
      </c>
      <c r="G1579" s="41" t="s">
        <v>2751</v>
      </c>
      <c r="H1579" s="41"/>
      <c r="I1579" s="41"/>
      <c r="J1579" s="41" t="s">
        <v>188</v>
      </c>
      <c r="K1579" s="41" t="s">
        <v>1611</v>
      </c>
      <c r="L1579" s="42"/>
    </row>
    <row r="1580">
      <c r="A1580" s="15">
        <v>1579.0</v>
      </c>
      <c r="B1580" s="39">
        <v>45936.0</v>
      </c>
      <c r="C1580" s="40" t="s">
        <v>2752</v>
      </c>
      <c r="D1580" s="41"/>
      <c r="E1580" s="41" t="s">
        <v>1146</v>
      </c>
      <c r="F1580" s="18" t="s">
        <v>622</v>
      </c>
      <c r="G1580" s="41" t="s">
        <v>2741</v>
      </c>
      <c r="H1580" s="41"/>
      <c r="I1580" s="41"/>
      <c r="J1580" s="41" t="s">
        <v>188</v>
      </c>
      <c r="K1580" s="41" t="s">
        <v>1611</v>
      </c>
      <c r="L1580" s="42"/>
    </row>
    <row r="1581">
      <c r="A1581" s="15">
        <v>1580.0</v>
      </c>
      <c r="B1581" s="39">
        <v>45936.0</v>
      </c>
      <c r="C1581" s="40" t="s">
        <v>2753</v>
      </c>
      <c r="D1581" s="41"/>
      <c r="E1581" s="41" t="s">
        <v>197</v>
      </c>
      <c r="F1581" s="18" t="s">
        <v>405</v>
      </c>
      <c r="G1581" s="41" t="s">
        <v>2754</v>
      </c>
      <c r="H1581" s="41"/>
      <c r="I1581" s="41"/>
      <c r="J1581" s="41" t="s">
        <v>188</v>
      </c>
      <c r="K1581" s="41" t="s">
        <v>1611</v>
      </c>
      <c r="L1581" s="42"/>
    </row>
    <row r="1582">
      <c r="A1582" s="15">
        <v>1581.0</v>
      </c>
      <c r="B1582" s="39">
        <v>45936.0</v>
      </c>
      <c r="C1582" s="40" t="s">
        <v>2755</v>
      </c>
      <c r="D1582" s="41"/>
      <c r="E1582" s="41" t="s">
        <v>372</v>
      </c>
      <c r="F1582" s="18" t="s">
        <v>686</v>
      </c>
      <c r="G1582" s="41" t="s">
        <v>2756</v>
      </c>
      <c r="H1582" s="41"/>
      <c r="I1582" s="41"/>
      <c r="J1582" s="41" t="s">
        <v>188</v>
      </c>
      <c r="K1582" s="41" t="s">
        <v>1611</v>
      </c>
      <c r="L1582" s="42"/>
    </row>
    <row r="1583">
      <c r="A1583" s="15">
        <v>1582.0</v>
      </c>
      <c r="B1583" s="39">
        <v>45936.0</v>
      </c>
      <c r="C1583" s="40" t="s">
        <v>2757</v>
      </c>
      <c r="D1583" s="41"/>
      <c r="E1583" s="41" t="s">
        <v>226</v>
      </c>
      <c r="F1583" s="18" t="s">
        <v>405</v>
      </c>
      <c r="G1583" s="41" t="s">
        <v>2758</v>
      </c>
      <c r="H1583" s="41"/>
      <c r="I1583" s="41"/>
      <c r="J1583" s="41" t="s">
        <v>188</v>
      </c>
      <c r="K1583" s="41" t="s">
        <v>1611</v>
      </c>
      <c r="L1583" s="42"/>
    </row>
    <row r="1584">
      <c r="A1584" s="15">
        <v>1583.0</v>
      </c>
      <c r="B1584" s="39">
        <v>45936.0</v>
      </c>
      <c r="C1584" s="40" t="s">
        <v>2759</v>
      </c>
      <c r="D1584" s="41"/>
      <c r="E1584" s="41" t="s">
        <v>197</v>
      </c>
      <c r="F1584" s="18" t="s">
        <v>622</v>
      </c>
      <c r="G1584" s="41" t="s">
        <v>2760</v>
      </c>
      <c r="H1584" s="41"/>
      <c r="I1584" s="41"/>
      <c r="J1584" s="41" t="s">
        <v>188</v>
      </c>
      <c r="K1584" s="41" t="s">
        <v>1611</v>
      </c>
      <c r="L1584" s="42"/>
    </row>
    <row r="1585">
      <c r="A1585" s="15">
        <v>1584.0</v>
      </c>
      <c r="B1585" s="39">
        <v>45936.0</v>
      </c>
      <c r="C1585" s="40" t="s">
        <v>2761</v>
      </c>
      <c r="D1585" s="41"/>
      <c r="E1585" s="41" t="s">
        <v>197</v>
      </c>
      <c r="F1585" s="18" t="s">
        <v>622</v>
      </c>
      <c r="G1585" s="41" t="s">
        <v>2762</v>
      </c>
      <c r="H1585" s="41"/>
      <c r="I1585" s="41"/>
      <c r="J1585" s="41" t="s">
        <v>188</v>
      </c>
      <c r="K1585" s="41" t="s">
        <v>1611</v>
      </c>
      <c r="L1585" s="42"/>
    </row>
    <row r="1586">
      <c r="A1586" s="15">
        <v>1585.0</v>
      </c>
      <c r="B1586" s="39">
        <v>45936.0</v>
      </c>
      <c r="C1586" s="40" t="s">
        <v>2763</v>
      </c>
      <c r="D1586" s="41"/>
      <c r="E1586" s="41" t="s">
        <v>197</v>
      </c>
      <c r="F1586" s="18" t="s">
        <v>622</v>
      </c>
      <c r="G1586" s="41" t="s">
        <v>2764</v>
      </c>
      <c r="H1586" s="41"/>
      <c r="I1586" s="41"/>
      <c r="J1586" s="41" t="s">
        <v>188</v>
      </c>
      <c r="K1586" s="41" t="s">
        <v>1611</v>
      </c>
      <c r="L1586" s="42"/>
    </row>
    <row r="1587">
      <c r="A1587" s="15">
        <v>1586.0</v>
      </c>
      <c r="B1587" s="39">
        <v>45936.0</v>
      </c>
      <c r="C1587" s="40" t="s">
        <v>2765</v>
      </c>
      <c r="D1587" s="41"/>
      <c r="E1587" s="41" t="s">
        <v>197</v>
      </c>
      <c r="F1587" s="18" t="s">
        <v>622</v>
      </c>
      <c r="G1587" s="41" t="s">
        <v>2766</v>
      </c>
      <c r="H1587" s="41"/>
      <c r="I1587" s="41"/>
      <c r="J1587" s="41" t="s">
        <v>188</v>
      </c>
      <c r="K1587" s="41" t="s">
        <v>1611</v>
      </c>
      <c r="L1587" s="42"/>
    </row>
    <row r="1588">
      <c r="A1588" s="15">
        <v>1587.0</v>
      </c>
      <c r="B1588" s="39">
        <v>45936.0</v>
      </c>
      <c r="C1588" s="40" t="s">
        <v>2767</v>
      </c>
      <c r="D1588" s="41"/>
      <c r="E1588" s="41" t="s">
        <v>197</v>
      </c>
      <c r="F1588" s="18" t="s">
        <v>622</v>
      </c>
      <c r="G1588" s="41" t="s">
        <v>2768</v>
      </c>
      <c r="H1588" s="41"/>
      <c r="I1588" s="41"/>
      <c r="J1588" s="41" t="s">
        <v>188</v>
      </c>
      <c r="K1588" s="41" t="s">
        <v>1611</v>
      </c>
      <c r="L1588" s="42"/>
    </row>
    <row r="1589">
      <c r="A1589" s="15">
        <v>1588.0</v>
      </c>
      <c r="B1589" s="39">
        <v>45936.0</v>
      </c>
      <c r="C1589" s="40" t="s">
        <v>2769</v>
      </c>
      <c r="D1589" s="41"/>
      <c r="E1589" s="41" t="s">
        <v>197</v>
      </c>
      <c r="F1589" s="18" t="s">
        <v>622</v>
      </c>
      <c r="G1589" s="41" t="s">
        <v>2770</v>
      </c>
      <c r="H1589" s="41"/>
      <c r="I1589" s="41"/>
      <c r="J1589" s="41" t="s">
        <v>188</v>
      </c>
      <c r="K1589" s="41" t="s">
        <v>1611</v>
      </c>
      <c r="L1589" s="42"/>
    </row>
    <row r="1590">
      <c r="A1590" s="15">
        <v>1589.0</v>
      </c>
      <c r="B1590" s="39">
        <v>45936.0</v>
      </c>
      <c r="C1590" s="40" t="s">
        <v>2771</v>
      </c>
      <c r="D1590" s="41"/>
      <c r="E1590" s="41" t="s">
        <v>197</v>
      </c>
      <c r="F1590" s="18" t="s">
        <v>622</v>
      </c>
      <c r="G1590" s="41" t="s">
        <v>2772</v>
      </c>
      <c r="H1590" s="41"/>
      <c r="I1590" s="41"/>
      <c r="J1590" s="41" t="s">
        <v>188</v>
      </c>
      <c r="K1590" s="41" t="s">
        <v>1611</v>
      </c>
      <c r="L1590" s="42"/>
    </row>
    <row r="1591">
      <c r="A1591" s="15">
        <v>1590.0</v>
      </c>
      <c r="B1591" s="39">
        <v>45936.0</v>
      </c>
      <c r="C1591" s="40" t="s">
        <v>2773</v>
      </c>
      <c r="D1591" s="41"/>
      <c r="E1591" s="41" t="s">
        <v>197</v>
      </c>
      <c r="F1591" s="18" t="s">
        <v>622</v>
      </c>
      <c r="G1591" s="41" t="s">
        <v>2774</v>
      </c>
      <c r="H1591" s="41"/>
      <c r="I1591" s="41"/>
      <c r="J1591" s="41" t="s">
        <v>188</v>
      </c>
      <c r="K1591" s="41" t="s">
        <v>1611</v>
      </c>
      <c r="L1591" s="42"/>
    </row>
    <row r="1592">
      <c r="A1592" s="15">
        <v>1591.0</v>
      </c>
      <c r="B1592" s="39">
        <v>45936.0</v>
      </c>
      <c r="C1592" s="40" t="s">
        <v>2775</v>
      </c>
      <c r="D1592" s="41"/>
      <c r="E1592" s="41" t="s">
        <v>197</v>
      </c>
      <c r="F1592" s="18" t="s">
        <v>405</v>
      </c>
      <c r="G1592" s="41" t="s">
        <v>2776</v>
      </c>
      <c r="H1592" s="41"/>
      <c r="I1592" s="41"/>
      <c r="J1592" s="41" t="s">
        <v>188</v>
      </c>
      <c r="K1592" s="41" t="s">
        <v>1611</v>
      </c>
      <c r="L1592" s="42"/>
    </row>
    <row r="1593">
      <c r="A1593" s="15">
        <v>1592.0</v>
      </c>
      <c r="B1593" s="39">
        <v>45936.0</v>
      </c>
      <c r="C1593" s="40" t="s">
        <v>2777</v>
      </c>
      <c r="D1593" s="41"/>
      <c r="E1593" s="41" t="s">
        <v>197</v>
      </c>
      <c r="F1593" s="18" t="s">
        <v>405</v>
      </c>
      <c r="G1593" s="41" t="s">
        <v>2778</v>
      </c>
      <c r="H1593" s="41"/>
      <c r="I1593" s="41"/>
      <c r="J1593" s="41" t="s">
        <v>188</v>
      </c>
      <c r="K1593" s="41" t="s">
        <v>1611</v>
      </c>
      <c r="L1593" s="42"/>
    </row>
    <row r="1594">
      <c r="A1594" s="15">
        <v>1593.0</v>
      </c>
      <c r="B1594" s="39">
        <v>45936.0</v>
      </c>
      <c r="C1594" s="40" t="s">
        <v>2779</v>
      </c>
      <c r="D1594" s="41"/>
      <c r="E1594" s="41" t="s">
        <v>197</v>
      </c>
      <c r="F1594" s="18" t="s">
        <v>405</v>
      </c>
      <c r="G1594" s="41" t="s">
        <v>2780</v>
      </c>
      <c r="H1594" s="41"/>
      <c r="I1594" s="41"/>
      <c r="J1594" s="41" t="s">
        <v>188</v>
      </c>
      <c r="K1594" s="41" t="s">
        <v>1611</v>
      </c>
      <c r="L1594" s="42"/>
    </row>
    <row r="1595">
      <c r="A1595" s="15">
        <v>1594.0</v>
      </c>
      <c r="B1595" s="39">
        <v>45936.0</v>
      </c>
      <c r="C1595" s="40" t="s">
        <v>2781</v>
      </c>
      <c r="D1595" s="41"/>
      <c r="E1595" s="41" t="s">
        <v>197</v>
      </c>
      <c r="F1595" s="18" t="s">
        <v>405</v>
      </c>
      <c r="G1595" s="41" t="s">
        <v>2782</v>
      </c>
      <c r="H1595" s="41"/>
      <c r="I1595" s="41"/>
      <c r="J1595" s="41" t="s">
        <v>188</v>
      </c>
      <c r="K1595" s="41" t="s">
        <v>1611</v>
      </c>
      <c r="L1595" s="42"/>
    </row>
    <row r="1596">
      <c r="A1596" s="15">
        <v>1595.0</v>
      </c>
      <c r="B1596" s="39">
        <v>45936.0</v>
      </c>
      <c r="C1596" s="40" t="s">
        <v>2783</v>
      </c>
      <c r="D1596" s="41"/>
      <c r="E1596" s="41" t="s">
        <v>197</v>
      </c>
      <c r="F1596" s="18" t="s">
        <v>405</v>
      </c>
      <c r="G1596" s="41" t="s">
        <v>2784</v>
      </c>
      <c r="H1596" s="41"/>
      <c r="I1596" s="41"/>
      <c r="J1596" s="41" t="s">
        <v>188</v>
      </c>
      <c r="K1596" s="41" t="s">
        <v>1611</v>
      </c>
      <c r="L1596" s="42"/>
    </row>
    <row r="1597">
      <c r="A1597" s="15">
        <v>1596.0</v>
      </c>
      <c r="B1597" s="39">
        <v>45936.0</v>
      </c>
      <c r="C1597" s="40" t="s">
        <v>2785</v>
      </c>
      <c r="D1597" s="41"/>
      <c r="E1597" s="41" t="s">
        <v>197</v>
      </c>
      <c r="F1597" s="18" t="s">
        <v>686</v>
      </c>
      <c r="G1597" s="41" t="s">
        <v>2786</v>
      </c>
      <c r="H1597" s="41"/>
      <c r="I1597" s="41"/>
      <c r="J1597" s="41" t="s">
        <v>188</v>
      </c>
      <c r="K1597" s="41" t="s">
        <v>1611</v>
      </c>
      <c r="L1597" s="42"/>
    </row>
    <row r="1598">
      <c r="A1598" s="15">
        <v>1597.0</v>
      </c>
      <c r="B1598" s="39">
        <v>45936.0</v>
      </c>
      <c r="C1598" s="40" t="s">
        <v>2787</v>
      </c>
      <c r="D1598" s="41"/>
      <c r="E1598" s="41" t="s">
        <v>197</v>
      </c>
      <c r="F1598" s="18" t="s">
        <v>686</v>
      </c>
      <c r="G1598" s="41" t="s">
        <v>2788</v>
      </c>
      <c r="H1598" s="41"/>
      <c r="I1598" s="41"/>
      <c r="J1598" s="41" t="s">
        <v>188</v>
      </c>
      <c r="K1598" s="41" t="s">
        <v>1611</v>
      </c>
      <c r="L1598" s="42"/>
    </row>
    <row r="1599">
      <c r="A1599" s="15">
        <v>1598.0</v>
      </c>
      <c r="B1599" s="39">
        <v>45936.0</v>
      </c>
      <c r="C1599" s="40" t="s">
        <v>2789</v>
      </c>
      <c r="D1599" s="41"/>
      <c r="E1599" s="41" t="s">
        <v>401</v>
      </c>
      <c r="F1599" s="18" t="s">
        <v>622</v>
      </c>
      <c r="G1599" s="41" t="s">
        <v>937</v>
      </c>
      <c r="H1599" s="41" t="s">
        <v>1542</v>
      </c>
      <c r="I1599" s="41" t="s">
        <v>939</v>
      </c>
      <c r="J1599" s="41" t="s">
        <v>188</v>
      </c>
      <c r="K1599" s="41"/>
      <c r="L1599" s="42"/>
    </row>
    <row r="1600">
      <c r="A1600" s="15">
        <v>1599.0</v>
      </c>
      <c r="B1600" s="39">
        <v>45936.0</v>
      </c>
      <c r="C1600" s="40" t="s">
        <v>2790</v>
      </c>
      <c r="D1600" s="41"/>
      <c r="E1600" s="41" t="s">
        <v>401</v>
      </c>
      <c r="F1600" s="18" t="s">
        <v>622</v>
      </c>
      <c r="G1600" s="41" t="s">
        <v>937</v>
      </c>
      <c r="H1600" s="41" t="s">
        <v>1542</v>
      </c>
      <c r="I1600" s="41" t="s">
        <v>939</v>
      </c>
      <c r="J1600" s="41" t="s">
        <v>188</v>
      </c>
      <c r="K1600" s="41"/>
      <c r="L1600" s="42"/>
    </row>
    <row r="1601">
      <c r="A1601" s="15">
        <v>1600.0</v>
      </c>
      <c r="B1601" s="39">
        <v>45936.0</v>
      </c>
      <c r="C1601" s="40" t="s">
        <v>2791</v>
      </c>
      <c r="D1601" s="41"/>
      <c r="E1601" s="41" t="s">
        <v>401</v>
      </c>
      <c r="F1601" s="18" t="s">
        <v>622</v>
      </c>
      <c r="G1601" s="41" t="s">
        <v>937</v>
      </c>
      <c r="H1601" s="41" t="s">
        <v>1542</v>
      </c>
      <c r="I1601" s="41" t="s">
        <v>939</v>
      </c>
      <c r="J1601" s="41" t="s">
        <v>188</v>
      </c>
      <c r="K1601" s="41"/>
      <c r="L1601" s="42"/>
    </row>
    <row r="1602">
      <c r="A1602" s="15">
        <v>1601.0</v>
      </c>
      <c r="B1602" s="39">
        <v>45936.0</v>
      </c>
      <c r="C1602" s="40" t="s">
        <v>2792</v>
      </c>
      <c r="D1602" s="41"/>
      <c r="E1602" s="41" t="s">
        <v>401</v>
      </c>
      <c r="F1602" s="18" t="s">
        <v>622</v>
      </c>
      <c r="G1602" s="41" t="s">
        <v>937</v>
      </c>
      <c r="H1602" s="41" t="s">
        <v>1542</v>
      </c>
      <c r="I1602" s="41" t="s">
        <v>939</v>
      </c>
      <c r="J1602" s="41" t="s">
        <v>188</v>
      </c>
      <c r="K1602" s="41"/>
      <c r="L1602" s="42"/>
    </row>
    <row r="1603">
      <c r="A1603" s="15">
        <v>1602.0</v>
      </c>
      <c r="B1603" s="39">
        <v>45936.0</v>
      </c>
      <c r="C1603" s="40" t="s">
        <v>2793</v>
      </c>
      <c r="D1603" s="41"/>
      <c r="E1603" s="41" t="s">
        <v>401</v>
      </c>
      <c r="F1603" s="18" t="s">
        <v>622</v>
      </c>
      <c r="G1603" s="41" t="s">
        <v>937</v>
      </c>
      <c r="H1603" s="41" t="s">
        <v>1542</v>
      </c>
      <c r="I1603" s="41" t="s">
        <v>939</v>
      </c>
      <c r="J1603" s="41" t="s">
        <v>188</v>
      </c>
      <c r="K1603" s="41"/>
      <c r="L1603" s="42"/>
    </row>
    <row r="1604">
      <c r="A1604" s="15">
        <v>1603.0</v>
      </c>
      <c r="B1604" s="39">
        <v>45936.0</v>
      </c>
      <c r="C1604" s="40" t="s">
        <v>2794</v>
      </c>
      <c r="D1604" s="41"/>
      <c r="E1604" s="41" t="s">
        <v>401</v>
      </c>
      <c r="F1604" s="18" t="s">
        <v>622</v>
      </c>
      <c r="G1604" s="41" t="s">
        <v>937</v>
      </c>
      <c r="H1604" s="41" t="s">
        <v>1542</v>
      </c>
      <c r="I1604" s="41" t="s">
        <v>939</v>
      </c>
      <c r="J1604" s="41" t="s">
        <v>188</v>
      </c>
      <c r="K1604" s="41"/>
      <c r="L1604" s="42"/>
    </row>
    <row r="1605">
      <c r="A1605" s="15">
        <v>1604.0</v>
      </c>
      <c r="B1605" s="39">
        <v>45936.0</v>
      </c>
      <c r="C1605" s="40" t="s">
        <v>2795</v>
      </c>
      <c r="D1605" s="41"/>
      <c r="E1605" s="41" t="s">
        <v>401</v>
      </c>
      <c r="F1605" s="18" t="s">
        <v>622</v>
      </c>
      <c r="G1605" s="41" t="s">
        <v>937</v>
      </c>
      <c r="H1605" s="41" t="s">
        <v>1542</v>
      </c>
      <c r="I1605" s="41" t="s">
        <v>939</v>
      </c>
      <c r="J1605" s="41" t="s">
        <v>188</v>
      </c>
      <c r="K1605" s="41"/>
      <c r="L1605" s="42"/>
    </row>
    <row r="1606">
      <c r="A1606" s="15">
        <v>1605.0</v>
      </c>
      <c r="B1606" s="39">
        <v>45936.0</v>
      </c>
      <c r="C1606" s="40" t="s">
        <v>2796</v>
      </c>
      <c r="D1606" s="41"/>
      <c r="E1606" s="41" t="s">
        <v>401</v>
      </c>
      <c r="F1606" s="18" t="s">
        <v>622</v>
      </c>
      <c r="G1606" s="41" t="s">
        <v>937</v>
      </c>
      <c r="H1606" s="41" t="s">
        <v>1542</v>
      </c>
      <c r="I1606" s="41" t="s">
        <v>939</v>
      </c>
      <c r="J1606" s="41" t="s">
        <v>188</v>
      </c>
      <c r="K1606" s="41"/>
      <c r="L1606" s="42"/>
    </row>
    <row r="1607">
      <c r="A1607" s="15">
        <v>1606.0</v>
      </c>
      <c r="B1607" s="39">
        <v>45936.0</v>
      </c>
      <c r="C1607" s="40" t="s">
        <v>2797</v>
      </c>
      <c r="D1607" s="41"/>
      <c r="E1607" s="41" t="s">
        <v>401</v>
      </c>
      <c r="F1607" s="18" t="s">
        <v>622</v>
      </c>
      <c r="G1607" s="41" t="s">
        <v>937</v>
      </c>
      <c r="H1607" s="41" t="s">
        <v>1542</v>
      </c>
      <c r="I1607" s="41" t="s">
        <v>939</v>
      </c>
      <c r="J1607" s="41" t="s">
        <v>188</v>
      </c>
      <c r="K1607" s="41"/>
      <c r="L1607" s="42"/>
    </row>
    <row r="1608">
      <c r="A1608" s="15">
        <v>1607.0</v>
      </c>
      <c r="B1608" s="39">
        <v>45936.0</v>
      </c>
      <c r="C1608" s="40" t="s">
        <v>2798</v>
      </c>
      <c r="D1608" s="41"/>
      <c r="E1608" s="41" t="s">
        <v>401</v>
      </c>
      <c r="F1608" s="18" t="s">
        <v>622</v>
      </c>
      <c r="G1608" s="41" t="s">
        <v>937</v>
      </c>
      <c r="H1608" s="41" t="s">
        <v>1542</v>
      </c>
      <c r="I1608" s="41" t="s">
        <v>939</v>
      </c>
      <c r="J1608" s="41" t="s">
        <v>188</v>
      </c>
      <c r="K1608" s="41"/>
      <c r="L1608" s="42"/>
    </row>
    <row r="1609">
      <c r="A1609" s="15">
        <v>1608.0</v>
      </c>
      <c r="B1609" s="39">
        <v>45936.0</v>
      </c>
      <c r="C1609" s="40" t="s">
        <v>2799</v>
      </c>
      <c r="D1609" s="41"/>
      <c r="E1609" s="41" t="s">
        <v>401</v>
      </c>
      <c r="F1609" s="18" t="s">
        <v>622</v>
      </c>
      <c r="G1609" s="41" t="s">
        <v>937</v>
      </c>
      <c r="H1609" s="41" t="s">
        <v>1542</v>
      </c>
      <c r="I1609" s="41" t="s">
        <v>939</v>
      </c>
      <c r="J1609" s="41" t="s">
        <v>188</v>
      </c>
      <c r="K1609" s="41"/>
      <c r="L1609" s="42"/>
    </row>
    <row r="1610">
      <c r="A1610" s="15">
        <v>1609.0</v>
      </c>
      <c r="B1610" s="39">
        <v>45936.0</v>
      </c>
      <c r="C1610" s="40" t="s">
        <v>2800</v>
      </c>
      <c r="D1610" s="41"/>
      <c r="E1610" s="41" t="s">
        <v>401</v>
      </c>
      <c r="F1610" s="18" t="s">
        <v>622</v>
      </c>
      <c r="G1610" s="41" t="s">
        <v>937</v>
      </c>
      <c r="H1610" s="41" t="s">
        <v>1542</v>
      </c>
      <c r="I1610" s="41" t="s">
        <v>939</v>
      </c>
      <c r="J1610" s="41" t="s">
        <v>188</v>
      </c>
      <c r="K1610" s="41"/>
      <c r="L1610" s="42"/>
    </row>
    <row r="1611">
      <c r="A1611" s="15">
        <v>1610.0</v>
      </c>
      <c r="B1611" s="39">
        <v>45936.0</v>
      </c>
      <c r="C1611" s="40" t="s">
        <v>2801</v>
      </c>
      <c r="D1611" s="41"/>
      <c r="E1611" s="41" t="s">
        <v>401</v>
      </c>
      <c r="F1611" s="18" t="s">
        <v>622</v>
      </c>
      <c r="G1611" s="41" t="s">
        <v>937</v>
      </c>
      <c r="H1611" s="41" t="s">
        <v>1542</v>
      </c>
      <c r="I1611" s="41" t="s">
        <v>939</v>
      </c>
      <c r="J1611" s="41" t="s">
        <v>188</v>
      </c>
      <c r="K1611" s="41"/>
      <c r="L1611" s="42"/>
    </row>
    <row r="1612">
      <c r="A1612" s="15">
        <v>1611.0</v>
      </c>
      <c r="B1612" s="39">
        <v>45936.0</v>
      </c>
      <c r="C1612" s="40" t="s">
        <v>2802</v>
      </c>
      <c r="D1612" s="41"/>
      <c r="E1612" s="41" t="s">
        <v>401</v>
      </c>
      <c r="F1612" s="18" t="s">
        <v>622</v>
      </c>
      <c r="G1612" s="41" t="s">
        <v>937</v>
      </c>
      <c r="H1612" s="41" t="s">
        <v>1542</v>
      </c>
      <c r="I1612" s="41" t="s">
        <v>939</v>
      </c>
      <c r="J1612" s="41" t="s">
        <v>188</v>
      </c>
      <c r="K1612" s="41"/>
      <c r="L1612" s="42"/>
    </row>
    <row r="1613">
      <c r="A1613" s="15">
        <v>1612.0</v>
      </c>
      <c r="B1613" s="39">
        <v>45936.0</v>
      </c>
      <c r="C1613" s="40" t="s">
        <v>2803</v>
      </c>
      <c r="D1613" s="41"/>
      <c r="E1613" s="41" t="s">
        <v>401</v>
      </c>
      <c r="F1613" s="18" t="s">
        <v>702</v>
      </c>
      <c r="G1613" s="41" t="s">
        <v>937</v>
      </c>
      <c r="H1613" s="41" t="s">
        <v>1542</v>
      </c>
      <c r="I1613" s="41" t="s">
        <v>939</v>
      </c>
      <c r="J1613" s="41" t="s">
        <v>188</v>
      </c>
      <c r="K1613" s="41"/>
      <c r="L1613" s="42"/>
    </row>
    <row r="1614">
      <c r="A1614" s="15">
        <v>1613.0</v>
      </c>
      <c r="B1614" s="39">
        <v>45936.0</v>
      </c>
      <c r="C1614" s="40" t="s">
        <v>2804</v>
      </c>
      <c r="D1614" s="41"/>
      <c r="E1614" s="41" t="s">
        <v>401</v>
      </c>
      <c r="F1614" s="18" t="s">
        <v>622</v>
      </c>
      <c r="G1614" s="41" t="s">
        <v>937</v>
      </c>
      <c r="H1614" s="41" t="s">
        <v>1542</v>
      </c>
      <c r="I1614" s="41" t="s">
        <v>939</v>
      </c>
      <c r="J1614" s="41" t="s">
        <v>188</v>
      </c>
      <c r="K1614" s="41"/>
      <c r="L1614" s="42"/>
    </row>
    <row r="1615">
      <c r="A1615" s="15">
        <v>1614.0</v>
      </c>
      <c r="B1615" s="39">
        <v>45936.0</v>
      </c>
      <c r="C1615" s="40" t="s">
        <v>2805</v>
      </c>
      <c r="D1615" s="41"/>
      <c r="E1615" s="41" t="s">
        <v>401</v>
      </c>
      <c r="F1615" s="18" t="s">
        <v>622</v>
      </c>
      <c r="G1615" s="41" t="s">
        <v>937</v>
      </c>
      <c r="H1615" s="41" t="s">
        <v>1542</v>
      </c>
      <c r="I1615" s="41" t="s">
        <v>939</v>
      </c>
      <c r="J1615" s="41" t="s">
        <v>188</v>
      </c>
      <c r="K1615" s="41"/>
      <c r="L1615" s="42"/>
    </row>
    <row r="1616">
      <c r="A1616" s="15">
        <v>1615.0</v>
      </c>
      <c r="B1616" s="39">
        <v>45936.0</v>
      </c>
      <c r="C1616" s="40" t="s">
        <v>2806</v>
      </c>
      <c r="D1616" s="41"/>
      <c r="E1616" s="41" t="s">
        <v>401</v>
      </c>
      <c r="F1616" s="18" t="s">
        <v>622</v>
      </c>
      <c r="G1616" s="41" t="s">
        <v>937</v>
      </c>
      <c r="H1616" s="41" t="s">
        <v>1542</v>
      </c>
      <c r="I1616" s="41" t="s">
        <v>939</v>
      </c>
      <c r="J1616" s="41" t="s">
        <v>188</v>
      </c>
      <c r="K1616" s="41"/>
      <c r="L1616" s="42"/>
    </row>
    <row r="1617">
      <c r="A1617" s="15">
        <v>1616.0</v>
      </c>
      <c r="B1617" s="39">
        <v>45936.0</v>
      </c>
      <c r="C1617" s="53" t="s">
        <v>2807</v>
      </c>
      <c r="D1617" s="41"/>
      <c r="E1617" s="41" t="s">
        <v>184</v>
      </c>
      <c r="F1617" s="18" t="s">
        <v>622</v>
      </c>
      <c r="G1617" s="41" t="s">
        <v>2808</v>
      </c>
      <c r="H1617" s="41" t="s">
        <v>407</v>
      </c>
      <c r="I1617" s="41"/>
      <c r="J1617" s="41" t="s">
        <v>422</v>
      </c>
      <c r="K1617" s="41" t="s">
        <v>2809</v>
      </c>
      <c r="L1617" s="42"/>
    </row>
    <row r="1618">
      <c r="A1618" s="15">
        <v>1617.0</v>
      </c>
      <c r="B1618" s="39">
        <v>45936.0</v>
      </c>
      <c r="C1618" s="54" t="s">
        <v>2810</v>
      </c>
      <c r="D1618" s="41"/>
      <c r="E1618" s="41" t="s">
        <v>184</v>
      </c>
      <c r="F1618" s="18" t="s">
        <v>622</v>
      </c>
      <c r="G1618" s="41" t="s">
        <v>2811</v>
      </c>
      <c r="H1618" s="41" t="s">
        <v>410</v>
      </c>
      <c r="I1618" s="41"/>
      <c r="J1618" s="41" t="s">
        <v>422</v>
      </c>
      <c r="K1618" s="41" t="s">
        <v>2809</v>
      </c>
      <c r="L1618" s="42"/>
    </row>
    <row r="1619">
      <c r="A1619" s="15">
        <v>1618.0</v>
      </c>
      <c r="B1619" s="55"/>
      <c r="C1619" s="40"/>
      <c r="D1619" s="41"/>
      <c r="E1619" s="41"/>
      <c r="F1619" s="18" t="b">
        <v>0</v>
      </c>
      <c r="G1619" s="41"/>
      <c r="H1619" s="41"/>
      <c r="I1619" s="41"/>
      <c r="J1619" s="41"/>
      <c r="K1619" s="41"/>
      <c r="L1619" s="42"/>
    </row>
    <row r="1620">
      <c r="A1620" s="15">
        <v>1619.0</v>
      </c>
      <c r="B1620" s="39">
        <v>45936.0</v>
      </c>
      <c r="C1620" s="40" t="s">
        <v>2812</v>
      </c>
      <c r="D1620" s="41"/>
      <c r="E1620" s="41" t="s">
        <v>184</v>
      </c>
      <c r="F1620" s="18" t="s">
        <v>622</v>
      </c>
      <c r="G1620" s="41" t="s">
        <v>822</v>
      </c>
      <c r="H1620" s="41" t="s">
        <v>410</v>
      </c>
      <c r="I1620" s="41"/>
      <c r="J1620" s="41" t="s">
        <v>422</v>
      </c>
      <c r="K1620" s="41" t="s">
        <v>2809</v>
      </c>
      <c r="L1620" s="42"/>
    </row>
    <row r="1621">
      <c r="A1621" s="15">
        <v>1620.0</v>
      </c>
      <c r="B1621" s="55"/>
      <c r="C1621" s="40"/>
      <c r="D1621" s="41"/>
      <c r="E1621" s="41"/>
      <c r="F1621" s="18" t="b">
        <v>0</v>
      </c>
      <c r="G1621" s="41"/>
      <c r="H1621" s="41"/>
      <c r="I1621" s="41"/>
      <c r="J1621" s="41"/>
      <c r="K1621" s="41"/>
      <c r="L1621" s="42"/>
    </row>
    <row r="1622">
      <c r="A1622" s="15">
        <v>1621.0</v>
      </c>
      <c r="B1622" s="39">
        <v>45936.0</v>
      </c>
      <c r="C1622" s="40" t="s">
        <v>2813</v>
      </c>
      <c r="D1622" s="41"/>
      <c r="E1622" s="41" t="s">
        <v>184</v>
      </c>
      <c r="F1622" s="18" t="s">
        <v>622</v>
      </c>
      <c r="G1622" s="41" t="s">
        <v>822</v>
      </c>
      <c r="H1622" s="41" t="s">
        <v>410</v>
      </c>
      <c r="I1622" s="41"/>
      <c r="J1622" s="41" t="s">
        <v>422</v>
      </c>
      <c r="K1622" s="41" t="s">
        <v>2809</v>
      </c>
      <c r="L1622" s="42"/>
    </row>
    <row r="1623">
      <c r="A1623" s="15">
        <v>1622.0</v>
      </c>
      <c r="B1623" s="55"/>
      <c r="C1623" s="40"/>
      <c r="D1623" s="41"/>
      <c r="E1623" s="41"/>
      <c r="F1623" s="18" t="b">
        <v>0</v>
      </c>
      <c r="G1623" s="41"/>
      <c r="H1623" s="41"/>
      <c r="I1623" s="41"/>
      <c r="J1623" s="41"/>
      <c r="K1623" s="41"/>
      <c r="L1623" s="42"/>
    </row>
    <row r="1624">
      <c r="A1624" s="15">
        <v>1623.0</v>
      </c>
      <c r="B1624" s="39">
        <v>45936.0</v>
      </c>
      <c r="C1624" s="40" t="s">
        <v>2814</v>
      </c>
      <c r="D1624" s="41"/>
      <c r="E1624" s="41" t="s">
        <v>184</v>
      </c>
      <c r="F1624" s="18" t="s">
        <v>702</v>
      </c>
      <c r="G1624" s="41" t="s">
        <v>1833</v>
      </c>
      <c r="H1624" s="41" t="s">
        <v>410</v>
      </c>
      <c r="I1624" s="41"/>
      <c r="J1624" s="41" t="s">
        <v>422</v>
      </c>
      <c r="K1624" s="41" t="s">
        <v>2809</v>
      </c>
      <c r="L1624" s="42"/>
    </row>
    <row r="1625">
      <c r="A1625" s="15">
        <v>1624.0</v>
      </c>
      <c r="B1625" s="55"/>
      <c r="C1625" s="40"/>
      <c r="D1625" s="41"/>
      <c r="E1625" s="41"/>
      <c r="F1625" s="18" t="b">
        <v>0</v>
      </c>
      <c r="G1625" s="41"/>
      <c r="H1625" s="41"/>
      <c r="I1625" s="41"/>
      <c r="J1625" s="41"/>
      <c r="K1625" s="41"/>
      <c r="L1625" s="42"/>
    </row>
    <row r="1626">
      <c r="A1626" s="15">
        <v>1625.0</v>
      </c>
      <c r="B1626" s="39">
        <v>45936.0</v>
      </c>
      <c r="C1626" s="40" t="s">
        <v>2815</v>
      </c>
      <c r="D1626" s="41"/>
      <c r="E1626" s="41" t="s">
        <v>184</v>
      </c>
      <c r="F1626" s="18" t="s">
        <v>702</v>
      </c>
      <c r="G1626" s="41" t="s">
        <v>2816</v>
      </c>
      <c r="H1626" s="41" t="s">
        <v>410</v>
      </c>
      <c r="I1626" s="41"/>
      <c r="J1626" s="41" t="s">
        <v>422</v>
      </c>
      <c r="K1626" s="41" t="s">
        <v>2809</v>
      </c>
      <c r="L1626" s="42"/>
    </row>
    <row r="1627">
      <c r="A1627" s="15">
        <v>1626.0</v>
      </c>
      <c r="B1627" s="55"/>
      <c r="C1627" s="40"/>
      <c r="D1627" s="41"/>
      <c r="E1627" s="41"/>
      <c r="F1627" s="18" t="b">
        <v>0</v>
      </c>
      <c r="G1627" s="41"/>
      <c r="H1627" s="41"/>
      <c r="I1627" s="41"/>
      <c r="J1627" s="41"/>
      <c r="K1627" s="41"/>
      <c r="L1627" s="42"/>
    </row>
    <row r="1628">
      <c r="A1628" s="15">
        <v>1627.0</v>
      </c>
      <c r="B1628" s="39">
        <v>45936.0</v>
      </c>
      <c r="C1628" s="40" t="s">
        <v>2817</v>
      </c>
      <c r="D1628" s="41"/>
      <c r="E1628" s="41" t="s">
        <v>184</v>
      </c>
      <c r="F1628" s="18" t="s">
        <v>702</v>
      </c>
      <c r="G1628" s="41" t="s">
        <v>2818</v>
      </c>
      <c r="H1628" s="41" t="s">
        <v>410</v>
      </c>
      <c r="I1628" s="41"/>
      <c r="J1628" s="41" t="s">
        <v>422</v>
      </c>
      <c r="K1628" s="41" t="s">
        <v>2809</v>
      </c>
      <c r="L1628" s="42"/>
    </row>
    <row r="1629">
      <c r="A1629" s="15">
        <v>1628.0</v>
      </c>
      <c r="B1629" s="55"/>
      <c r="C1629" s="40"/>
      <c r="D1629" s="41"/>
      <c r="E1629" s="41"/>
      <c r="F1629" s="18" t="b">
        <v>0</v>
      </c>
      <c r="G1629" s="41"/>
      <c r="H1629" s="41"/>
      <c r="I1629" s="41"/>
      <c r="J1629" s="41"/>
      <c r="K1629" s="41"/>
      <c r="L1629" s="42"/>
    </row>
    <row r="1630">
      <c r="A1630" s="15">
        <v>1629.0</v>
      </c>
      <c r="B1630" s="39">
        <v>45937.0</v>
      </c>
      <c r="C1630" s="40" t="s">
        <v>2819</v>
      </c>
      <c r="D1630" s="41"/>
      <c r="E1630" s="41" t="s">
        <v>2820</v>
      </c>
      <c r="F1630" s="18" t="s">
        <v>686</v>
      </c>
      <c r="G1630" s="41" t="s">
        <v>2821</v>
      </c>
      <c r="H1630" s="41" t="s">
        <v>546</v>
      </c>
      <c r="I1630" s="41" t="s">
        <v>535</v>
      </c>
      <c r="J1630" s="41" t="s">
        <v>188</v>
      </c>
      <c r="K1630" s="41"/>
      <c r="L1630" s="42"/>
    </row>
    <row r="1631">
      <c r="A1631" s="15">
        <v>1630.0</v>
      </c>
      <c r="B1631" s="39">
        <v>45937.0</v>
      </c>
      <c r="C1631" s="40" t="s">
        <v>2822</v>
      </c>
      <c r="D1631" s="41"/>
      <c r="E1631" s="41" t="s">
        <v>557</v>
      </c>
      <c r="F1631" s="18" t="s">
        <v>622</v>
      </c>
      <c r="G1631" s="41" t="s">
        <v>2823</v>
      </c>
      <c r="H1631" s="41" t="s">
        <v>546</v>
      </c>
      <c r="I1631" s="41" t="s">
        <v>535</v>
      </c>
      <c r="J1631" s="41" t="s">
        <v>188</v>
      </c>
      <c r="K1631" s="41"/>
      <c r="L1631" s="42"/>
    </row>
    <row r="1632">
      <c r="A1632" s="15">
        <v>1631.0</v>
      </c>
      <c r="B1632" s="39">
        <v>45937.0</v>
      </c>
      <c r="C1632" s="40" t="s">
        <v>2824</v>
      </c>
      <c r="D1632" s="41"/>
      <c r="E1632" s="41" t="s">
        <v>557</v>
      </c>
      <c r="F1632" s="18" t="s">
        <v>622</v>
      </c>
      <c r="G1632" s="41" t="s">
        <v>2825</v>
      </c>
      <c r="H1632" s="41" t="s">
        <v>546</v>
      </c>
      <c r="I1632" s="41" t="s">
        <v>535</v>
      </c>
      <c r="J1632" s="41" t="s">
        <v>188</v>
      </c>
      <c r="K1632" s="41"/>
      <c r="L1632" s="42"/>
    </row>
    <row r="1633">
      <c r="A1633" s="15">
        <v>1632.0</v>
      </c>
      <c r="B1633" s="39">
        <v>45937.0</v>
      </c>
      <c r="C1633" s="40" t="s">
        <v>2826</v>
      </c>
      <c r="D1633" s="41"/>
      <c r="E1633" s="41" t="s">
        <v>2827</v>
      </c>
      <c r="F1633" s="18" t="s">
        <v>622</v>
      </c>
      <c r="G1633" s="41" t="s">
        <v>2828</v>
      </c>
      <c r="H1633" s="41" t="s">
        <v>546</v>
      </c>
      <c r="I1633" s="41" t="s">
        <v>535</v>
      </c>
      <c r="J1633" s="41" t="s">
        <v>188</v>
      </c>
      <c r="K1633" s="41"/>
      <c r="L1633" s="42"/>
    </row>
    <row r="1634">
      <c r="A1634" s="15">
        <v>1633.0</v>
      </c>
      <c r="B1634" s="39">
        <v>45937.0</v>
      </c>
      <c r="C1634" s="40" t="s">
        <v>2829</v>
      </c>
      <c r="D1634" s="41"/>
      <c r="E1634" s="41" t="s">
        <v>2827</v>
      </c>
      <c r="F1634" s="18" t="s">
        <v>622</v>
      </c>
      <c r="G1634" s="41" t="s">
        <v>2830</v>
      </c>
      <c r="H1634" s="41" t="s">
        <v>546</v>
      </c>
      <c r="I1634" s="41" t="s">
        <v>535</v>
      </c>
      <c r="J1634" s="41" t="s">
        <v>188</v>
      </c>
      <c r="K1634" s="41"/>
      <c r="L1634" s="42"/>
    </row>
    <row r="1635">
      <c r="A1635" s="15">
        <v>1634.0</v>
      </c>
      <c r="B1635" s="39">
        <v>45937.0</v>
      </c>
      <c r="C1635" s="40" t="s">
        <v>2831</v>
      </c>
      <c r="D1635" s="41"/>
      <c r="E1635" s="41" t="s">
        <v>2827</v>
      </c>
      <c r="F1635" s="18" t="s">
        <v>622</v>
      </c>
      <c r="G1635" s="41" t="s">
        <v>2832</v>
      </c>
      <c r="H1635" s="41" t="s">
        <v>546</v>
      </c>
      <c r="I1635" s="41" t="s">
        <v>535</v>
      </c>
      <c r="J1635" s="41" t="s">
        <v>188</v>
      </c>
      <c r="K1635" s="41"/>
      <c r="L1635" s="42"/>
    </row>
    <row r="1636">
      <c r="A1636" s="15">
        <v>1635.0</v>
      </c>
      <c r="B1636" s="39">
        <v>45937.0</v>
      </c>
      <c r="C1636" s="40" t="s">
        <v>2833</v>
      </c>
      <c r="D1636" s="41"/>
      <c r="E1636" s="41" t="s">
        <v>2827</v>
      </c>
      <c r="F1636" s="18" t="s">
        <v>622</v>
      </c>
      <c r="G1636" s="41" t="s">
        <v>2834</v>
      </c>
      <c r="H1636" s="41" t="s">
        <v>546</v>
      </c>
      <c r="I1636" s="41" t="s">
        <v>535</v>
      </c>
      <c r="J1636" s="41" t="s">
        <v>188</v>
      </c>
      <c r="K1636" s="41"/>
      <c r="L1636" s="42"/>
    </row>
    <row r="1637">
      <c r="A1637" s="15">
        <v>1636.0</v>
      </c>
      <c r="B1637" s="39">
        <v>45937.0</v>
      </c>
      <c r="C1637" s="40" t="s">
        <v>2835</v>
      </c>
      <c r="D1637" s="41"/>
      <c r="E1637" s="41" t="s">
        <v>2827</v>
      </c>
      <c r="F1637" s="18" t="s">
        <v>622</v>
      </c>
      <c r="G1637" s="41" t="s">
        <v>2836</v>
      </c>
      <c r="H1637" s="41" t="s">
        <v>546</v>
      </c>
      <c r="I1637" s="41" t="s">
        <v>535</v>
      </c>
      <c r="J1637" s="41" t="s">
        <v>188</v>
      </c>
      <c r="K1637" s="41"/>
      <c r="L1637" s="42"/>
    </row>
    <row r="1638">
      <c r="A1638" s="15">
        <v>1637.0</v>
      </c>
      <c r="B1638" s="39">
        <v>45937.0</v>
      </c>
      <c r="C1638" s="40" t="s">
        <v>2837</v>
      </c>
      <c r="D1638" s="41"/>
      <c r="E1638" s="41" t="s">
        <v>2827</v>
      </c>
      <c r="F1638" s="18" t="s">
        <v>622</v>
      </c>
      <c r="G1638" s="41" t="s">
        <v>2838</v>
      </c>
      <c r="H1638" s="41" t="s">
        <v>546</v>
      </c>
      <c r="I1638" s="41" t="s">
        <v>535</v>
      </c>
      <c r="J1638" s="41" t="s">
        <v>188</v>
      </c>
      <c r="K1638" s="41"/>
      <c r="L1638" s="42"/>
    </row>
    <row r="1639">
      <c r="A1639" s="15">
        <v>1638.0</v>
      </c>
      <c r="B1639" s="39">
        <v>45937.0</v>
      </c>
      <c r="C1639" s="40" t="s">
        <v>2839</v>
      </c>
      <c r="D1639" s="41"/>
      <c r="E1639" s="41" t="s">
        <v>2827</v>
      </c>
      <c r="F1639" s="18" t="s">
        <v>622</v>
      </c>
      <c r="G1639" s="41" t="s">
        <v>2840</v>
      </c>
      <c r="H1639" s="41" t="s">
        <v>546</v>
      </c>
      <c r="I1639" s="41" t="s">
        <v>535</v>
      </c>
      <c r="J1639" s="41" t="s">
        <v>188</v>
      </c>
      <c r="K1639" s="41"/>
      <c r="L1639" s="42"/>
    </row>
    <row r="1640">
      <c r="A1640" s="15">
        <v>1639.0</v>
      </c>
      <c r="B1640" s="39">
        <v>45937.0</v>
      </c>
      <c r="C1640" s="40" t="s">
        <v>2841</v>
      </c>
      <c r="D1640" s="41"/>
      <c r="E1640" s="41" t="s">
        <v>2827</v>
      </c>
      <c r="F1640" s="18" t="s">
        <v>622</v>
      </c>
      <c r="G1640" s="41" t="s">
        <v>2842</v>
      </c>
      <c r="H1640" s="41" t="s">
        <v>546</v>
      </c>
      <c r="I1640" s="41" t="s">
        <v>535</v>
      </c>
      <c r="J1640" s="41" t="s">
        <v>188</v>
      </c>
      <c r="K1640" s="41"/>
      <c r="L1640" s="42"/>
    </row>
    <row r="1641">
      <c r="A1641" s="15">
        <v>1640.0</v>
      </c>
      <c r="B1641" s="39">
        <v>45937.0</v>
      </c>
      <c r="C1641" s="40" t="s">
        <v>2843</v>
      </c>
      <c r="D1641" s="41"/>
      <c r="E1641" s="41" t="s">
        <v>2827</v>
      </c>
      <c r="F1641" s="18" t="s">
        <v>622</v>
      </c>
      <c r="G1641" s="41" t="s">
        <v>2844</v>
      </c>
      <c r="H1641" s="41" t="s">
        <v>546</v>
      </c>
      <c r="I1641" s="41" t="s">
        <v>535</v>
      </c>
      <c r="J1641" s="41" t="s">
        <v>188</v>
      </c>
      <c r="K1641" s="41"/>
      <c r="L1641" s="42"/>
    </row>
    <row r="1642">
      <c r="A1642" s="15">
        <v>1641.0</v>
      </c>
      <c r="B1642" s="39">
        <v>45937.0</v>
      </c>
      <c r="C1642" s="40" t="s">
        <v>2845</v>
      </c>
      <c r="D1642" s="41"/>
      <c r="E1642" s="41" t="s">
        <v>197</v>
      </c>
      <c r="F1642" s="18" t="s">
        <v>686</v>
      </c>
      <c r="G1642" s="41" t="s">
        <v>2846</v>
      </c>
      <c r="H1642" s="41" t="s">
        <v>546</v>
      </c>
      <c r="I1642" s="41" t="s">
        <v>535</v>
      </c>
      <c r="J1642" s="41" t="s">
        <v>188</v>
      </c>
      <c r="K1642" s="41"/>
      <c r="L1642" s="42"/>
    </row>
    <row r="1643">
      <c r="A1643" s="15">
        <v>1642.0</v>
      </c>
      <c r="B1643" s="39">
        <v>45937.0</v>
      </c>
      <c r="C1643" s="40" t="s">
        <v>2847</v>
      </c>
      <c r="D1643" s="41"/>
      <c r="E1643" s="41" t="s">
        <v>197</v>
      </c>
      <c r="F1643" s="18" t="s">
        <v>686</v>
      </c>
      <c r="G1643" s="41" t="s">
        <v>2848</v>
      </c>
      <c r="H1643" s="41" t="s">
        <v>546</v>
      </c>
      <c r="I1643" s="41" t="s">
        <v>535</v>
      </c>
      <c r="J1643" s="41" t="s">
        <v>188</v>
      </c>
      <c r="K1643" s="41"/>
      <c r="L1643" s="42"/>
    </row>
    <row r="1644">
      <c r="A1644" s="15">
        <v>1643.0</v>
      </c>
      <c r="B1644" s="39">
        <v>45937.0</v>
      </c>
      <c r="C1644" s="40" t="s">
        <v>2849</v>
      </c>
      <c r="D1644" s="41"/>
      <c r="E1644" s="41" t="s">
        <v>197</v>
      </c>
      <c r="F1644" s="18" t="s">
        <v>686</v>
      </c>
      <c r="G1644" s="41" t="s">
        <v>2850</v>
      </c>
      <c r="H1644" s="41" t="s">
        <v>546</v>
      </c>
      <c r="I1644" s="41" t="s">
        <v>535</v>
      </c>
      <c r="J1644" s="41" t="s">
        <v>188</v>
      </c>
      <c r="K1644" s="41"/>
      <c r="L1644" s="42"/>
    </row>
    <row r="1645">
      <c r="A1645" s="15">
        <v>1644.0</v>
      </c>
      <c r="B1645" s="39">
        <v>45937.0</v>
      </c>
      <c r="C1645" s="40" t="s">
        <v>2851</v>
      </c>
      <c r="D1645" s="41"/>
      <c r="E1645" s="41" t="s">
        <v>197</v>
      </c>
      <c r="F1645" s="18" t="s">
        <v>686</v>
      </c>
      <c r="G1645" s="41" t="s">
        <v>2852</v>
      </c>
      <c r="H1645" s="41" t="s">
        <v>546</v>
      </c>
      <c r="I1645" s="41" t="s">
        <v>535</v>
      </c>
      <c r="J1645" s="41" t="s">
        <v>188</v>
      </c>
      <c r="K1645" s="41"/>
      <c r="L1645" s="42"/>
    </row>
    <row r="1646">
      <c r="A1646" s="15">
        <v>1645.0</v>
      </c>
      <c r="B1646" s="39">
        <v>45937.0</v>
      </c>
      <c r="C1646" s="40" t="s">
        <v>2853</v>
      </c>
      <c r="D1646" s="41"/>
      <c r="E1646" s="41" t="s">
        <v>197</v>
      </c>
      <c r="F1646" s="18" t="s">
        <v>686</v>
      </c>
      <c r="G1646" s="41" t="s">
        <v>2854</v>
      </c>
      <c r="H1646" s="41" t="s">
        <v>546</v>
      </c>
      <c r="I1646" s="41" t="s">
        <v>535</v>
      </c>
      <c r="J1646" s="41" t="s">
        <v>188</v>
      </c>
      <c r="K1646" s="41"/>
      <c r="L1646" s="42"/>
    </row>
    <row r="1647">
      <c r="A1647" s="15">
        <v>1646.0</v>
      </c>
      <c r="B1647" s="39">
        <v>45937.0</v>
      </c>
      <c r="C1647" s="40" t="s">
        <v>2855</v>
      </c>
      <c r="D1647" s="41"/>
      <c r="E1647" s="41" t="s">
        <v>197</v>
      </c>
      <c r="F1647" s="18" t="s">
        <v>686</v>
      </c>
      <c r="G1647" s="41" t="s">
        <v>2856</v>
      </c>
      <c r="H1647" s="41" t="s">
        <v>546</v>
      </c>
      <c r="I1647" s="41" t="s">
        <v>535</v>
      </c>
      <c r="J1647" s="41" t="s">
        <v>188</v>
      </c>
      <c r="K1647" s="41"/>
      <c r="L1647" s="42"/>
    </row>
    <row r="1648">
      <c r="A1648" s="15">
        <v>1647.0</v>
      </c>
      <c r="B1648" s="39">
        <v>45937.0</v>
      </c>
      <c r="C1648" s="40" t="s">
        <v>2857</v>
      </c>
      <c r="D1648" s="41"/>
      <c r="E1648" s="41" t="s">
        <v>197</v>
      </c>
      <c r="F1648" s="18" t="s">
        <v>686</v>
      </c>
      <c r="G1648" s="41" t="s">
        <v>2858</v>
      </c>
      <c r="H1648" s="41" t="s">
        <v>546</v>
      </c>
      <c r="I1648" s="41" t="s">
        <v>535</v>
      </c>
      <c r="J1648" s="41" t="s">
        <v>188</v>
      </c>
      <c r="K1648" s="41"/>
      <c r="L1648" s="42"/>
    </row>
    <row r="1649">
      <c r="A1649" s="15">
        <v>1648.0</v>
      </c>
      <c r="B1649" s="39">
        <v>45937.0</v>
      </c>
      <c r="C1649" s="40" t="s">
        <v>2859</v>
      </c>
      <c r="D1649" s="41"/>
      <c r="E1649" s="41" t="s">
        <v>401</v>
      </c>
      <c r="F1649" s="18" t="s">
        <v>622</v>
      </c>
      <c r="G1649" s="41" t="s">
        <v>937</v>
      </c>
      <c r="H1649" s="41" t="s">
        <v>1542</v>
      </c>
      <c r="I1649" s="41" t="s">
        <v>939</v>
      </c>
      <c r="J1649" s="41" t="s">
        <v>188</v>
      </c>
      <c r="K1649" s="41" t="s">
        <v>2860</v>
      </c>
      <c r="L1649" s="42"/>
    </row>
    <row r="1650">
      <c r="A1650" s="15">
        <v>1649.0</v>
      </c>
      <c r="B1650" s="39">
        <v>45937.0</v>
      </c>
      <c r="C1650" s="40" t="s">
        <v>2861</v>
      </c>
      <c r="D1650" s="41"/>
      <c r="E1650" s="41" t="s">
        <v>401</v>
      </c>
      <c r="F1650" s="18" t="s">
        <v>622</v>
      </c>
      <c r="G1650" s="41" t="s">
        <v>937</v>
      </c>
      <c r="H1650" s="41" t="s">
        <v>1542</v>
      </c>
      <c r="I1650" s="41" t="s">
        <v>939</v>
      </c>
      <c r="J1650" s="41" t="s">
        <v>188</v>
      </c>
      <c r="K1650" s="41" t="s">
        <v>2860</v>
      </c>
      <c r="L1650" s="42"/>
    </row>
    <row r="1651">
      <c r="A1651" s="15">
        <v>1650.0</v>
      </c>
      <c r="B1651" s="39">
        <v>45937.0</v>
      </c>
      <c r="C1651" s="40" t="s">
        <v>2862</v>
      </c>
      <c r="D1651" s="41"/>
      <c r="E1651" s="41" t="s">
        <v>401</v>
      </c>
      <c r="F1651" s="18" t="s">
        <v>622</v>
      </c>
      <c r="G1651" s="41" t="s">
        <v>937</v>
      </c>
      <c r="H1651" s="41" t="s">
        <v>1542</v>
      </c>
      <c r="I1651" s="41" t="s">
        <v>939</v>
      </c>
      <c r="J1651" s="41" t="s">
        <v>188</v>
      </c>
      <c r="K1651" s="41" t="s">
        <v>2860</v>
      </c>
      <c r="L1651" s="42"/>
    </row>
    <row r="1652">
      <c r="A1652" s="15">
        <v>1651.0</v>
      </c>
      <c r="B1652" s="39">
        <v>45937.0</v>
      </c>
      <c r="C1652" s="40" t="s">
        <v>2863</v>
      </c>
      <c r="D1652" s="41"/>
      <c r="E1652" s="41" t="s">
        <v>401</v>
      </c>
      <c r="F1652" s="18" t="s">
        <v>622</v>
      </c>
      <c r="G1652" s="41" t="s">
        <v>937</v>
      </c>
      <c r="H1652" s="41" t="s">
        <v>1542</v>
      </c>
      <c r="I1652" s="41" t="s">
        <v>939</v>
      </c>
      <c r="J1652" s="41" t="s">
        <v>188</v>
      </c>
      <c r="K1652" s="41" t="s">
        <v>2860</v>
      </c>
      <c r="L1652" s="42"/>
    </row>
    <row r="1653">
      <c r="A1653" s="15">
        <v>1652.0</v>
      </c>
      <c r="B1653" s="39">
        <v>45937.0</v>
      </c>
      <c r="C1653" s="40" t="s">
        <v>2864</v>
      </c>
      <c r="D1653" s="41"/>
      <c r="E1653" s="41" t="s">
        <v>401</v>
      </c>
      <c r="F1653" s="18" t="s">
        <v>622</v>
      </c>
      <c r="G1653" s="41" t="s">
        <v>937</v>
      </c>
      <c r="H1653" s="41" t="s">
        <v>1542</v>
      </c>
      <c r="I1653" s="41" t="s">
        <v>939</v>
      </c>
      <c r="J1653" s="41" t="s">
        <v>188</v>
      </c>
      <c r="K1653" s="41" t="s">
        <v>2860</v>
      </c>
      <c r="L1653" s="42"/>
    </row>
    <row r="1654">
      <c r="A1654" s="15">
        <v>1653.0</v>
      </c>
      <c r="B1654" s="39">
        <v>45937.0</v>
      </c>
      <c r="C1654" s="40" t="s">
        <v>2865</v>
      </c>
      <c r="D1654" s="41"/>
      <c r="E1654" s="41" t="s">
        <v>401</v>
      </c>
      <c r="F1654" s="18" t="s">
        <v>622</v>
      </c>
      <c r="G1654" s="41" t="s">
        <v>937</v>
      </c>
      <c r="H1654" s="41" t="s">
        <v>1542</v>
      </c>
      <c r="I1654" s="41" t="s">
        <v>939</v>
      </c>
      <c r="J1654" s="41" t="s">
        <v>188</v>
      </c>
      <c r="K1654" s="41" t="s">
        <v>2860</v>
      </c>
      <c r="L1654" s="42"/>
    </row>
    <row r="1655">
      <c r="A1655" s="15">
        <v>1654.0</v>
      </c>
      <c r="B1655" s="39">
        <v>45937.0</v>
      </c>
      <c r="C1655" s="40" t="s">
        <v>2866</v>
      </c>
      <c r="D1655" s="41"/>
      <c r="E1655" s="41" t="s">
        <v>401</v>
      </c>
      <c r="F1655" s="18" t="s">
        <v>622</v>
      </c>
      <c r="G1655" s="41" t="s">
        <v>937</v>
      </c>
      <c r="H1655" s="41" t="s">
        <v>1542</v>
      </c>
      <c r="I1655" s="41" t="s">
        <v>939</v>
      </c>
      <c r="J1655" s="41" t="s">
        <v>188</v>
      </c>
      <c r="K1655" s="41" t="s">
        <v>2860</v>
      </c>
      <c r="L1655" s="42"/>
    </row>
    <row r="1656">
      <c r="A1656" s="15">
        <v>1655.0</v>
      </c>
      <c r="B1656" s="39">
        <v>45937.0</v>
      </c>
      <c r="C1656" s="40" t="s">
        <v>2867</v>
      </c>
      <c r="D1656" s="41"/>
      <c r="E1656" s="41" t="s">
        <v>401</v>
      </c>
      <c r="F1656" s="18" t="s">
        <v>622</v>
      </c>
      <c r="G1656" s="41" t="s">
        <v>937</v>
      </c>
      <c r="H1656" s="41" t="s">
        <v>1542</v>
      </c>
      <c r="I1656" s="41" t="s">
        <v>939</v>
      </c>
      <c r="J1656" s="41" t="s">
        <v>188</v>
      </c>
      <c r="K1656" s="41" t="s">
        <v>2860</v>
      </c>
      <c r="L1656" s="42"/>
    </row>
    <row r="1657">
      <c r="A1657" s="15">
        <v>1656.0</v>
      </c>
      <c r="B1657" s="39">
        <v>45937.0</v>
      </c>
      <c r="C1657" s="40" t="s">
        <v>2868</v>
      </c>
      <c r="D1657" s="41"/>
      <c r="E1657" s="41" t="s">
        <v>401</v>
      </c>
      <c r="F1657" s="18" t="s">
        <v>622</v>
      </c>
      <c r="G1657" s="41" t="s">
        <v>937</v>
      </c>
      <c r="H1657" s="41" t="s">
        <v>1542</v>
      </c>
      <c r="I1657" s="41" t="s">
        <v>939</v>
      </c>
      <c r="J1657" s="41" t="s">
        <v>188</v>
      </c>
      <c r="K1657" s="41" t="s">
        <v>2860</v>
      </c>
      <c r="L1657" s="42"/>
    </row>
    <row r="1658">
      <c r="A1658" s="15">
        <v>1657.0</v>
      </c>
      <c r="B1658" s="39">
        <v>45937.0</v>
      </c>
      <c r="C1658" s="40" t="s">
        <v>2869</v>
      </c>
      <c r="D1658" s="41"/>
      <c r="E1658" s="41" t="s">
        <v>401</v>
      </c>
      <c r="F1658" s="18" t="s">
        <v>622</v>
      </c>
      <c r="G1658" s="41" t="s">
        <v>937</v>
      </c>
      <c r="H1658" s="41" t="s">
        <v>1542</v>
      </c>
      <c r="I1658" s="41" t="s">
        <v>939</v>
      </c>
      <c r="J1658" s="41" t="s">
        <v>188</v>
      </c>
      <c r="K1658" s="41" t="s">
        <v>2860</v>
      </c>
      <c r="L1658" s="42"/>
    </row>
    <row r="1659">
      <c r="A1659" s="15">
        <v>1658.0</v>
      </c>
      <c r="B1659" s="39">
        <v>45937.0</v>
      </c>
      <c r="C1659" s="40" t="s">
        <v>2870</v>
      </c>
      <c r="D1659" s="41"/>
      <c r="E1659" s="52" t="s">
        <v>197</v>
      </c>
      <c r="F1659" s="18" t="s">
        <v>622</v>
      </c>
      <c r="G1659" s="41" t="s">
        <v>2818</v>
      </c>
      <c r="H1659" s="41" t="s">
        <v>410</v>
      </c>
      <c r="I1659" s="41"/>
      <c r="J1659" s="41" t="s">
        <v>188</v>
      </c>
      <c r="K1659" s="41"/>
      <c r="L1659" s="42"/>
    </row>
    <row r="1660">
      <c r="A1660" s="15">
        <v>1659.0</v>
      </c>
      <c r="B1660" s="55"/>
      <c r="C1660" s="40"/>
      <c r="D1660" s="41"/>
      <c r="E1660" s="41"/>
      <c r="F1660" s="18" t="b">
        <v>0</v>
      </c>
      <c r="G1660" s="41"/>
      <c r="H1660" s="41"/>
      <c r="I1660" s="41"/>
      <c r="J1660" s="41"/>
      <c r="K1660" s="41"/>
      <c r="L1660" s="42"/>
    </row>
    <row r="1661">
      <c r="A1661" s="15">
        <v>1660.0</v>
      </c>
      <c r="B1661" s="39">
        <v>45937.0</v>
      </c>
      <c r="C1661" s="40" t="s">
        <v>2871</v>
      </c>
      <c r="D1661" s="41"/>
      <c r="E1661" s="52" t="s">
        <v>197</v>
      </c>
      <c r="F1661" s="18" t="s">
        <v>622</v>
      </c>
      <c r="G1661" s="41" t="s">
        <v>2818</v>
      </c>
      <c r="H1661" s="41" t="s">
        <v>410</v>
      </c>
      <c r="I1661" s="41"/>
      <c r="J1661" s="41" t="s">
        <v>188</v>
      </c>
      <c r="K1661" s="41"/>
      <c r="L1661" s="42"/>
    </row>
    <row r="1662">
      <c r="A1662" s="15">
        <v>1661.0</v>
      </c>
      <c r="B1662" s="55"/>
      <c r="C1662" s="40"/>
      <c r="D1662" s="41"/>
      <c r="E1662" s="41"/>
      <c r="F1662" s="18" t="b">
        <v>0</v>
      </c>
      <c r="G1662" s="41"/>
      <c r="H1662" s="41"/>
      <c r="I1662" s="41"/>
      <c r="J1662" s="41"/>
      <c r="K1662" s="41"/>
      <c r="L1662" s="42"/>
    </row>
    <row r="1663">
      <c r="A1663" s="15">
        <v>1662.0</v>
      </c>
      <c r="B1663" s="39">
        <v>45938.0</v>
      </c>
      <c r="C1663" s="40" t="s">
        <v>2872</v>
      </c>
      <c r="D1663" s="41"/>
      <c r="E1663" s="41" t="s">
        <v>2820</v>
      </c>
      <c r="F1663" s="18" t="s">
        <v>622</v>
      </c>
      <c r="G1663" s="41" t="s">
        <v>2873</v>
      </c>
      <c r="H1663" s="41" t="s">
        <v>453</v>
      </c>
      <c r="I1663" s="41" t="s">
        <v>535</v>
      </c>
      <c r="J1663" s="41" t="s">
        <v>188</v>
      </c>
      <c r="K1663" s="41"/>
      <c r="L1663" s="42"/>
    </row>
    <row r="1664">
      <c r="A1664" s="15">
        <v>1663.0</v>
      </c>
      <c r="B1664" s="39">
        <v>45938.0</v>
      </c>
      <c r="C1664" s="40" t="s">
        <v>2874</v>
      </c>
      <c r="D1664" s="41"/>
      <c r="E1664" s="41" t="s">
        <v>2875</v>
      </c>
      <c r="F1664" s="18" t="s">
        <v>622</v>
      </c>
      <c r="G1664" s="41" t="s">
        <v>2876</v>
      </c>
      <c r="H1664" s="41" t="s">
        <v>453</v>
      </c>
      <c r="I1664" s="41" t="s">
        <v>535</v>
      </c>
      <c r="J1664" s="41" t="s">
        <v>188</v>
      </c>
      <c r="K1664" s="41"/>
      <c r="L1664" s="42"/>
    </row>
    <row r="1665">
      <c r="A1665" s="15">
        <v>1664.0</v>
      </c>
      <c r="B1665" s="39">
        <v>45938.0</v>
      </c>
      <c r="C1665" s="40" t="s">
        <v>2877</v>
      </c>
      <c r="D1665" s="41"/>
      <c r="E1665" s="41" t="s">
        <v>557</v>
      </c>
      <c r="F1665" s="18" t="s">
        <v>622</v>
      </c>
      <c r="G1665" s="41" t="s">
        <v>546</v>
      </c>
      <c r="H1665" s="41" t="s">
        <v>453</v>
      </c>
      <c r="I1665" s="41" t="s">
        <v>535</v>
      </c>
      <c r="J1665" s="41" t="s">
        <v>188</v>
      </c>
      <c r="K1665" s="41"/>
      <c r="L1665" s="42"/>
    </row>
    <row r="1666">
      <c r="A1666" s="15">
        <v>1665.0</v>
      </c>
      <c r="B1666" s="39">
        <v>45938.0</v>
      </c>
      <c r="C1666" s="40" t="s">
        <v>2878</v>
      </c>
      <c r="D1666" s="41"/>
      <c r="E1666" s="41" t="s">
        <v>2879</v>
      </c>
      <c r="F1666" s="18" t="s">
        <v>622</v>
      </c>
      <c r="G1666" s="41" t="s">
        <v>2880</v>
      </c>
      <c r="H1666" s="41" t="s">
        <v>453</v>
      </c>
      <c r="I1666" s="41" t="s">
        <v>535</v>
      </c>
      <c r="J1666" s="41" t="s">
        <v>188</v>
      </c>
      <c r="K1666" s="41"/>
      <c r="L1666" s="42"/>
    </row>
    <row r="1667">
      <c r="A1667" s="15">
        <v>1666.0</v>
      </c>
      <c r="B1667" s="39">
        <v>45938.0</v>
      </c>
      <c r="C1667" s="40" t="s">
        <v>2881</v>
      </c>
      <c r="D1667" s="41"/>
      <c r="E1667" s="41" t="s">
        <v>2827</v>
      </c>
      <c r="F1667" s="18" t="s">
        <v>622</v>
      </c>
      <c r="G1667" s="41" t="s">
        <v>546</v>
      </c>
      <c r="H1667" s="41" t="s">
        <v>453</v>
      </c>
      <c r="I1667" s="41" t="s">
        <v>535</v>
      </c>
      <c r="J1667" s="41" t="s">
        <v>188</v>
      </c>
      <c r="K1667" s="41"/>
      <c r="L1667" s="42"/>
    </row>
    <row r="1668">
      <c r="A1668" s="15">
        <v>1667.0</v>
      </c>
      <c r="B1668" s="39">
        <v>45938.0</v>
      </c>
      <c r="C1668" s="40" t="s">
        <v>2882</v>
      </c>
      <c r="D1668" s="41"/>
      <c r="E1668" s="41" t="s">
        <v>2827</v>
      </c>
      <c r="F1668" s="18" t="s">
        <v>622</v>
      </c>
      <c r="G1668" s="41" t="s">
        <v>2883</v>
      </c>
      <c r="H1668" s="41" t="s">
        <v>453</v>
      </c>
      <c r="I1668" s="41" t="s">
        <v>535</v>
      </c>
      <c r="J1668" s="41" t="s">
        <v>188</v>
      </c>
      <c r="K1668" s="41"/>
      <c r="L1668" s="42"/>
    </row>
    <row r="1669">
      <c r="A1669" s="15">
        <v>1668.0</v>
      </c>
      <c r="B1669" s="39">
        <v>45938.0</v>
      </c>
      <c r="C1669" s="40" t="s">
        <v>2884</v>
      </c>
      <c r="D1669" s="41"/>
      <c r="E1669" s="41" t="s">
        <v>2827</v>
      </c>
      <c r="F1669" s="18" t="s">
        <v>622</v>
      </c>
      <c r="G1669" s="41" t="s">
        <v>546</v>
      </c>
      <c r="H1669" s="41" t="s">
        <v>453</v>
      </c>
      <c r="I1669" s="41" t="s">
        <v>535</v>
      </c>
      <c r="J1669" s="41" t="s">
        <v>188</v>
      </c>
      <c r="K1669" s="41"/>
      <c r="L1669" s="42"/>
    </row>
    <row r="1670">
      <c r="A1670" s="15">
        <v>1669.0</v>
      </c>
      <c r="B1670" s="39">
        <v>45938.0</v>
      </c>
      <c r="C1670" s="40" t="s">
        <v>2885</v>
      </c>
      <c r="D1670" s="41"/>
      <c r="E1670" s="41" t="s">
        <v>2827</v>
      </c>
      <c r="F1670" s="18" t="s">
        <v>622</v>
      </c>
      <c r="G1670" s="41" t="s">
        <v>2886</v>
      </c>
      <c r="H1670" s="41" t="s">
        <v>453</v>
      </c>
      <c r="I1670" s="41" t="s">
        <v>535</v>
      </c>
      <c r="J1670" s="41" t="s">
        <v>188</v>
      </c>
      <c r="K1670" s="41"/>
      <c r="L1670" s="42"/>
    </row>
    <row r="1671">
      <c r="A1671" s="15">
        <v>1670.0</v>
      </c>
      <c r="B1671" s="39">
        <v>45938.0</v>
      </c>
      <c r="C1671" s="40" t="s">
        <v>2887</v>
      </c>
      <c r="D1671" s="41"/>
      <c r="E1671" s="41" t="s">
        <v>2827</v>
      </c>
      <c r="F1671" s="18" t="s">
        <v>622</v>
      </c>
      <c r="G1671" s="41" t="s">
        <v>546</v>
      </c>
      <c r="H1671" s="41" t="s">
        <v>453</v>
      </c>
      <c r="I1671" s="41" t="s">
        <v>535</v>
      </c>
      <c r="J1671" s="41" t="s">
        <v>188</v>
      </c>
      <c r="K1671" s="41"/>
      <c r="L1671" s="42"/>
    </row>
    <row r="1672">
      <c r="A1672" s="15">
        <v>1671.0</v>
      </c>
      <c r="B1672" s="39">
        <v>45938.0</v>
      </c>
      <c r="C1672" s="40" t="s">
        <v>2888</v>
      </c>
      <c r="D1672" s="41"/>
      <c r="E1672" s="41" t="s">
        <v>2827</v>
      </c>
      <c r="F1672" s="18" t="s">
        <v>622</v>
      </c>
      <c r="G1672" s="41" t="s">
        <v>2889</v>
      </c>
      <c r="H1672" s="41" t="s">
        <v>453</v>
      </c>
      <c r="I1672" s="41" t="s">
        <v>535</v>
      </c>
      <c r="J1672" s="41" t="s">
        <v>188</v>
      </c>
      <c r="K1672" s="41"/>
      <c r="L1672" s="42"/>
    </row>
    <row r="1673">
      <c r="A1673" s="15">
        <v>1672.0</v>
      </c>
      <c r="B1673" s="39">
        <v>45938.0</v>
      </c>
      <c r="C1673" s="40" t="s">
        <v>2890</v>
      </c>
      <c r="D1673" s="41"/>
      <c r="E1673" s="41" t="s">
        <v>2827</v>
      </c>
      <c r="F1673" s="18" t="s">
        <v>622</v>
      </c>
      <c r="G1673" s="41" t="s">
        <v>546</v>
      </c>
      <c r="H1673" s="41" t="s">
        <v>453</v>
      </c>
      <c r="I1673" s="41" t="s">
        <v>535</v>
      </c>
      <c r="J1673" s="41" t="s">
        <v>188</v>
      </c>
      <c r="K1673" s="41"/>
      <c r="L1673" s="42"/>
    </row>
    <row r="1674">
      <c r="A1674" s="15">
        <v>1673.0</v>
      </c>
      <c r="B1674" s="39">
        <v>45938.0</v>
      </c>
      <c r="C1674" s="40" t="s">
        <v>2891</v>
      </c>
      <c r="D1674" s="41"/>
      <c r="E1674" s="41" t="s">
        <v>2827</v>
      </c>
      <c r="F1674" s="18" t="s">
        <v>622</v>
      </c>
      <c r="G1674" s="41" t="s">
        <v>2892</v>
      </c>
      <c r="H1674" s="41" t="s">
        <v>453</v>
      </c>
      <c r="I1674" s="41" t="s">
        <v>535</v>
      </c>
      <c r="J1674" s="41" t="s">
        <v>188</v>
      </c>
      <c r="K1674" s="41"/>
      <c r="L1674" s="42"/>
    </row>
    <row r="1675">
      <c r="A1675" s="15">
        <v>1674.0</v>
      </c>
      <c r="B1675" s="39">
        <v>45938.0</v>
      </c>
      <c r="C1675" s="40" t="s">
        <v>2893</v>
      </c>
      <c r="D1675" s="41"/>
      <c r="E1675" s="41" t="s">
        <v>197</v>
      </c>
      <c r="F1675" s="18" t="s">
        <v>686</v>
      </c>
      <c r="G1675" s="41" t="s">
        <v>2894</v>
      </c>
      <c r="H1675" s="41" t="s">
        <v>453</v>
      </c>
      <c r="I1675" s="41"/>
      <c r="J1675" s="41" t="s">
        <v>188</v>
      </c>
      <c r="K1675" s="41"/>
      <c r="L1675" s="42"/>
    </row>
    <row r="1676">
      <c r="A1676" s="15">
        <v>1675.0</v>
      </c>
      <c r="B1676" s="39">
        <v>45938.0</v>
      </c>
      <c r="C1676" s="40" t="s">
        <v>2895</v>
      </c>
      <c r="D1676" s="41"/>
      <c r="E1676" s="41" t="s">
        <v>197</v>
      </c>
      <c r="F1676" s="18" t="s">
        <v>686</v>
      </c>
      <c r="G1676" s="41" t="s">
        <v>2896</v>
      </c>
      <c r="H1676" s="41" t="s">
        <v>453</v>
      </c>
      <c r="I1676" s="41"/>
      <c r="J1676" s="41" t="s">
        <v>188</v>
      </c>
      <c r="K1676" s="41"/>
      <c r="L1676" s="42"/>
    </row>
    <row r="1677">
      <c r="A1677" s="15">
        <v>1676.0</v>
      </c>
      <c r="B1677" s="39">
        <v>45938.0</v>
      </c>
      <c r="C1677" s="40" t="s">
        <v>2897</v>
      </c>
      <c r="D1677" s="41"/>
      <c r="E1677" s="41" t="s">
        <v>197</v>
      </c>
      <c r="F1677" s="18" t="s">
        <v>622</v>
      </c>
      <c r="G1677" s="41" t="s">
        <v>2894</v>
      </c>
      <c r="H1677" s="41" t="s">
        <v>453</v>
      </c>
      <c r="I1677" s="41"/>
      <c r="J1677" s="41" t="s">
        <v>188</v>
      </c>
      <c r="K1677" s="41"/>
      <c r="L1677" s="42"/>
    </row>
    <row r="1678">
      <c r="A1678" s="15">
        <v>1677.0</v>
      </c>
      <c r="B1678" s="39">
        <v>45938.0</v>
      </c>
      <c r="C1678" s="40" t="s">
        <v>2898</v>
      </c>
      <c r="D1678" s="41"/>
      <c r="E1678" s="41" t="s">
        <v>197</v>
      </c>
      <c r="F1678" s="18" t="s">
        <v>622</v>
      </c>
      <c r="G1678" s="41" t="s">
        <v>2899</v>
      </c>
      <c r="H1678" s="41" t="s">
        <v>453</v>
      </c>
      <c r="I1678" s="41"/>
      <c r="J1678" s="41" t="s">
        <v>188</v>
      </c>
      <c r="K1678" s="41"/>
      <c r="L1678" s="42"/>
    </row>
    <row r="1679">
      <c r="A1679" s="15">
        <v>1678.0</v>
      </c>
      <c r="B1679" s="39">
        <v>45938.0</v>
      </c>
      <c r="C1679" s="40" t="s">
        <v>2900</v>
      </c>
      <c r="D1679" s="41"/>
      <c r="E1679" s="41" t="s">
        <v>197</v>
      </c>
      <c r="F1679" s="18" t="s">
        <v>622</v>
      </c>
      <c r="G1679" s="41" t="s">
        <v>2901</v>
      </c>
      <c r="H1679" s="41" t="s">
        <v>453</v>
      </c>
      <c r="I1679" s="41"/>
      <c r="J1679" s="41" t="s">
        <v>188</v>
      </c>
      <c r="K1679" s="41"/>
      <c r="L1679" s="42"/>
    </row>
    <row r="1680">
      <c r="A1680" s="15">
        <v>1679.0</v>
      </c>
      <c r="B1680" s="39">
        <v>45938.0</v>
      </c>
      <c r="C1680" s="40" t="s">
        <v>2902</v>
      </c>
      <c r="D1680" s="41"/>
      <c r="E1680" s="41" t="s">
        <v>197</v>
      </c>
      <c r="F1680" s="18" t="s">
        <v>622</v>
      </c>
      <c r="G1680" s="41" t="s">
        <v>2903</v>
      </c>
      <c r="H1680" s="41" t="s">
        <v>453</v>
      </c>
      <c r="I1680" s="41"/>
      <c r="J1680" s="41" t="s">
        <v>188</v>
      </c>
      <c r="K1680" s="41"/>
      <c r="L1680" s="42"/>
    </row>
    <row r="1681">
      <c r="A1681" s="15">
        <v>1680.0</v>
      </c>
      <c r="B1681" s="39">
        <v>45938.0</v>
      </c>
      <c r="C1681" s="40" t="s">
        <v>2904</v>
      </c>
      <c r="D1681" s="41"/>
      <c r="E1681" s="41" t="s">
        <v>197</v>
      </c>
      <c r="F1681" s="18" t="s">
        <v>622</v>
      </c>
      <c r="G1681" s="41" t="s">
        <v>2896</v>
      </c>
      <c r="H1681" s="41" t="s">
        <v>453</v>
      </c>
      <c r="I1681" s="41"/>
      <c r="J1681" s="41" t="s">
        <v>188</v>
      </c>
      <c r="K1681" s="41"/>
      <c r="L1681" s="42"/>
    </row>
    <row r="1682">
      <c r="A1682" s="15">
        <v>1681.0</v>
      </c>
      <c r="B1682" s="39">
        <v>45938.0</v>
      </c>
      <c r="C1682" s="40" t="s">
        <v>2905</v>
      </c>
      <c r="D1682" s="41"/>
      <c r="E1682" s="41" t="s">
        <v>401</v>
      </c>
      <c r="F1682" s="18" t="s">
        <v>622</v>
      </c>
      <c r="G1682" s="41" t="s">
        <v>937</v>
      </c>
      <c r="H1682" s="41" t="s">
        <v>1542</v>
      </c>
      <c r="I1682" s="41" t="s">
        <v>939</v>
      </c>
      <c r="J1682" s="41" t="s">
        <v>188</v>
      </c>
      <c r="K1682" s="41" t="s">
        <v>1611</v>
      </c>
      <c r="L1682" s="42"/>
    </row>
    <row r="1683">
      <c r="A1683" s="15">
        <v>1682.0</v>
      </c>
      <c r="B1683" s="39">
        <v>45938.0</v>
      </c>
      <c r="C1683" s="40" t="s">
        <v>2906</v>
      </c>
      <c r="D1683" s="41"/>
      <c r="E1683" s="41" t="s">
        <v>401</v>
      </c>
      <c r="F1683" s="18" t="s">
        <v>622</v>
      </c>
      <c r="G1683" s="41" t="s">
        <v>937</v>
      </c>
      <c r="H1683" s="41" t="s">
        <v>1542</v>
      </c>
      <c r="I1683" s="41" t="s">
        <v>939</v>
      </c>
      <c r="J1683" s="41" t="s">
        <v>188</v>
      </c>
      <c r="K1683" s="41" t="s">
        <v>1611</v>
      </c>
      <c r="L1683" s="42"/>
    </row>
    <row r="1684">
      <c r="A1684" s="15">
        <v>1683.0</v>
      </c>
      <c r="B1684" s="39">
        <v>45938.0</v>
      </c>
      <c r="C1684" s="40" t="s">
        <v>2907</v>
      </c>
      <c r="D1684" s="41"/>
      <c r="E1684" s="41" t="s">
        <v>401</v>
      </c>
      <c r="F1684" s="18" t="s">
        <v>622</v>
      </c>
      <c r="G1684" s="41" t="s">
        <v>937</v>
      </c>
      <c r="H1684" s="41" t="s">
        <v>1542</v>
      </c>
      <c r="I1684" s="41" t="s">
        <v>939</v>
      </c>
      <c r="J1684" s="41" t="s">
        <v>188</v>
      </c>
      <c r="K1684" s="41" t="s">
        <v>1611</v>
      </c>
      <c r="L1684" s="42"/>
    </row>
    <row r="1685">
      <c r="A1685" s="15">
        <v>1684.0</v>
      </c>
      <c r="B1685" s="39">
        <v>45938.0</v>
      </c>
      <c r="C1685" s="40" t="s">
        <v>2908</v>
      </c>
      <c r="D1685" s="41"/>
      <c r="E1685" s="41" t="s">
        <v>401</v>
      </c>
      <c r="F1685" s="18" t="s">
        <v>622</v>
      </c>
      <c r="G1685" s="41" t="s">
        <v>937</v>
      </c>
      <c r="H1685" s="41" t="s">
        <v>1542</v>
      </c>
      <c r="I1685" s="41" t="s">
        <v>939</v>
      </c>
      <c r="J1685" s="41" t="s">
        <v>188</v>
      </c>
      <c r="K1685" s="41" t="s">
        <v>1611</v>
      </c>
      <c r="L1685" s="42"/>
    </row>
    <row r="1686">
      <c r="A1686" s="15">
        <v>1685.0</v>
      </c>
      <c r="B1686" s="39">
        <v>45938.0</v>
      </c>
      <c r="C1686" s="40" t="s">
        <v>2909</v>
      </c>
      <c r="D1686" s="41"/>
      <c r="E1686" s="41" t="s">
        <v>401</v>
      </c>
      <c r="F1686" s="18" t="s">
        <v>622</v>
      </c>
      <c r="G1686" s="41" t="s">
        <v>937</v>
      </c>
      <c r="H1686" s="41" t="s">
        <v>1542</v>
      </c>
      <c r="I1686" s="41" t="s">
        <v>939</v>
      </c>
      <c r="J1686" s="41" t="s">
        <v>188</v>
      </c>
      <c r="K1686" s="41" t="s">
        <v>1611</v>
      </c>
      <c r="L1686" s="42"/>
    </row>
    <row r="1687">
      <c r="A1687" s="15">
        <v>1686.0</v>
      </c>
      <c r="B1687" s="39">
        <v>45938.0</v>
      </c>
      <c r="C1687" s="40" t="s">
        <v>2910</v>
      </c>
      <c r="D1687" s="41"/>
      <c r="E1687" s="41" t="s">
        <v>401</v>
      </c>
      <c r="F1687" s="18" t="s">
        <v>622</v>
      </c>
      <c r="G1687" s="41" t="s">
        <v>937</v>
      </c>
      <c r="H1687" s="41" t="s">
        <v>1542</v>
      </c>
      <c r="I1687" s="41" t="s">
        <v>939</v>
      </c>
      <c r="J1687" s="41" t="s">
        <v>188</v>
      </c>
      <c r="K1687" s="41" t="s">
        <v>1611</v>
      </c>
      <c r="L1687" s="42"/>
    </row>
    <row r="1688">
      <c r="A1688" s="15">
        <v>1687.0</v>
      </c>
      <c r="B1688" s="39">
        <v>45938.0</v>
      </c>
      <c r="C1688" s="40" t="s">
        <v>2911</v>
      </c>
      <c r="D1688" s="41"/>
      <c r="E1688" s="41" t="s">
        <v>401</v>
      </c>
      <c r="F1688" s="18" t="s">
        <v>622</v>
      </c>
      <c r="G1688" s="41" t="s">
        <v>937</v>
      </c>
      <c r="H1688" s="41" t="s">
        <v>1542</v>
      </c>
      <c r="I1688" s="41" t="s">
        <v>939</v>
      </c>
      <c r="J1688" s="41" t="s">
        <v>188</v>
      </c>
      <c r="K1688" s="41" t="s">
        <v>1611</v>
      </c>
      <c r="L1688" s="42"/>
    </row>
    <row r="1689">
      <c r="A1689" s="15">
        <v>1688.0</v>
      </c>
      <c r="B1689" s="39">
        <v>45938.0</v>
      </c>
      <c r="C1689" s="40" t="s">
        <v>2912</v>
      </c>
      <c r="D1689" s="41"/>
      <c r="E1689" s="41" t="s">
        <v>401</v>
      </c>
      <c r="F1689" s="18" t="s">
        <v>622</v>
      </c>
      <c r="G1689" s="41" t="s">
        <v>937</v>
      </c>
      <c r="H1689" s="41" t="s">
        <v>1542</v>
      </c>
      <c r="I1689" s="41" t="s">
        <v>939</v>
      </c>
      <c r="J1689" s="41" t="s">
        <v>188</v>
      </c>
      <c r="K1689" s="41" t="s">
        <v>1611</v>
      </c>
      <c r="L1689" s="42"/>
    </row>
    <row r="1690">
      <c r="A1690" s="15">
        <v>1689.0</v>
      </c>
      <c r="B1690" s="39">
        <v>45938.0</v>
      </c>
      <c r="C1690" s="40" t="s">
        <v>2913</v>
      </c>
      <c r="D1690" s="41"/>
      <c r="E1690" s="41" t="s">
        <v>401</v>
      </c>
      <c r="F1690" s="18" t="s">
        <v>622</v>
      </c>
      <c r="G1690" s="41" t="s">
        <v>937</v>
      </c>
      <c r="H1690" s="41" t="s">
        <v>1542</v>
      </c>
      <c r="I1690" s="41" t="s">
        <v>939</v>
      </c>
      <c r="J1690" s="41" t="s">
        <v>188</v>
      </c>
      <c r="K1690" s="41" t="s">
        <v>1611</v>
      </c>
      <c r="L1690" s="42"/>
    </row>
    <row r="1691">
      <c r="A1691" s="15">
        <v>1690.0</v>
      </c>
      <c r="B1691" s="39">
        <v>45938.0</v>
      </c>
      <c r="C1691" s="40" t="s">
        <v>2914</v>
      </c>
      <c r="D1691" s="41"/>
      <c r="E1691" s="41" t="s">
        <v>401</v>
      </c>
      <c r="F1691" s="18" t="s">
        <v>622</v>
      </c>
      <c r="G1691" s="41" t="s">
        <v>937</v>
      </c>
      <c r="H1691" s="41" t="s">
        <v>1542</v>
      </c>
      <c r="I1691" s="41" t="s">
        <v>939</v>
      </c>
      <c r="J1691" s="41" t="s">
        <v>188</v>
      </c>
      <c r="K1691" s="41" t="s">
        <v>1611</v>
      </c>
      <c r="L1691" s="42"/>
    </row>
    <row r="1692">
      <c r="A1692" s="15">
        <v>1691.0</v>
      </c>
      <c r="B1692" s="39">
        <v>45938.0</v>
      </c>
      <c r="C1692" s="40" t="s">
        <v>2915</v>
      </c>
      <c r="D1692" s="41"/>
      <c r="E1692" s="41" t="s">
        <v>401</v>
      </c>
      <c r="F1692" s="18" t="s">
        <v>622</v>
      </c>
      <c r="G1692" s="41" t="s">
        <v>937</v>
      </c>
      <c r="H1692" s="41" t="s">
        <v>1542</v>
      </c>
      <c r="I1692" s="41" t="s">
        <v>939</v>
      </c>
      <c r="J1692" s="41" t="s">
        <v>188</v>
      </c>
      <c r="K1692" s="41" t="s">
        <v>1611</v>
      </c>
      <c r="L1692" s="42"/>
    </row>
    <row r="1693">
      <c r="A1693" s="15">
        <v>1692.0</v>
      </c>
      <c r="B1693" s="39">
        <v>45938.0</v>
      </c>
      <c r="C1693" s="40" t="s">
        <v>2916</v>
      </c>
      <c r="D1693" s="41"/>
      <c r="E1693" s="41" t="s">
        <v>184</v>
      </c>
      <c r="F1693" s="18" t="s">
        <v>702</v>
      </c>
      <c r="G1693" s="41" t="s">
        <v>822</v>
      </c>
      <c r="H1693" s="41" t="s">
        <v>2917</v>
      </c>
      <c r="I1693" s="41"/>
      <c r="J1693" s="41" t="s">
        <v>188</v>
      </c>
      <c r="K1693" s="41"/>
      <c r="L1693" s="42"/>
    </row>
    <row r="1694">
      <c r="A1694" s="15">
        <v>1693.0</v>
      </c>
      <c r="B1694" s="39">
        <v>45939.0</v>
      </c>
      <c r="C1694" s="40" t="s">
        <v>2918</v>
      </c>
      <c r="D1694" s="41"/>
      <c r="E1694" s="41" t="s">
        <v>197</v>
      </c>
      <c r="F1694" s="18" t="s">
        <v>405</v>
      </c>
      <c r="G1694" s="41" t="s">
        <v>2919</v>
      </c>
      <c r="H1694" s="41" t="s">
        <v>2740</v>
      </c>
      <c r="I1694" s="41" t="s">
        <v>535</v>
      </c>
      <c r="J1694" s="41" t="s">
        <v>188</v>
      </c>
      <c r="K1694" s="41"/>
      <c r="L1694" s="42"/>
    </row>
    <row r="1695">
      <c r="A1695" s="15">
        <v>1694.0</v>
      </c>
      <c r="B1695" s="39">
        <v>45939.0</v>
      </c>
      <c r="C1695" s="40" t="s">
        <v>2920</v>
      </c>
      <c r="D1695" s="41"/>
      <c r="E1695" s="41" t="s">
        <v>197</v>
      </c>
      <c r="F1695" s="18" t="s">
        <v>405</v>
      </c>
      <c r="G1695" s="41" t="s">
        <v>2921</v>
      </c>
      <c r="H1695" s="41"/>
      <c r="I1695" s="41"/>
      <c r="J1695" s="41" t="s">
        <v>188</v>
      </c>
      <c r="K1695" s="41"/>
      <c r="L1695" s="42"/>
    </row>
    <row r="1696">
      <c r="A1696" s="15">
        <v>1695.0</v>
      </c>
      <c r="B1696" s="39">
        <v>45939.0</v>
      </c>
      <c r="C1696" s="40" t="s">
        <v>2922</v>
      </c>
      <c r="D1696" s="41"/>
      <c r="E1696" s="41" t="s">
        <v>372</v>
      </c>
      <c r="F1696" s="18" t="s">
        <v>405</v>
      </c>
      <c r="G1696" s="41" t="s">
        <v>2923</v>
      </c>
      <c r="H1696" s="41"/>
      <c r="I1696" s="41"/>
      <c r="J1696" s="41" t="s">
        <v>188</v>
      </c>
      <c r="K1696" s="41"/>
      <c r="L1696" s="42"/>
    </row>
    <row r="1697">
      <c r="A1697" s="15">
        <v>1696.0</v>
      </c>
      <c r="B1697" s="39">
        <v>45939.0</v>
      </c>
      <c r="C1697" s="40" t="s">
        <v>2924</v>
      </c>
      <c r="D1697" s="41"/>
      <c r="E1697" s="41" t="s">
        <v>197</v>
      </c>
      <c r="F1697" s="18" t="s">
        <v>405</v>
      </c>
      <c r="G1697" s="41" t="s">
        <v>2925</v>
      </c>
      <c r="H1697" s="41"/>
      <c r="I1697" s="41"/>
      <c r="J1697" s="41" t="s">
        <v>188</v>
      </c>
      <c r="K1697" s="41"/>
      <c r="L1697" s="42"/>
    </row>
    <row r="1698">
      <c r="A1698" s="15">
        <v>1697.0</v>
      </c>
      <c r="B1698" s="39">
        <v>45939.0</v>
      </c>
      <c r="C1698" s="40" t="s">
        <v>2926</v>
      </c>
      <c r="D1698" s="41"/>
      <c r="E1698" s="41" t="s">
        <v>372</v>
      </c>
      <c r="F1698" s="18" t="s">
        <v>405</v>
      </c>
      <c r="G1698" s="41" t="s">
        <v>2927</v>
      </c>
      <c r="H1698" s="41"/>
      <c r="I1698" s="41"/>
      <c r="J1698" s="41" t="s">
        <v>188</v>
      </c>
      <c r="K1698" s="41"/>
      <c r="L1698" s="42"/>
    </row>
    <row r="1699">
      <c r="A1699" s="15">
        <v>1698.0</v>
      </c>
      <c r="B1699" s="39">
        <v>45939.0</v>
      </c>
      <c r="C1699" s="40" t="s">
        <v>2928</v>
      </c>
      <c r="D1699" s="41"/>
      <c r="E1699" s="41" t="s">
        <v>197</v>
      </c>
      <c r="F1699" s="18" t="s">
        <v>405</v>
      </c>
      <c r="G1699" s="41" t="s">
        <v>2929</v>
      </c>
      <c r="H1699" s="41"/>
      <c r="I1699" s="41"/>
      <c r="J1699" s="41" t="s">
        <v>188</v>
      </c>
      <c r="K1699" s="41"/>
      <c r="L1699" s="42"/>
    </row>
    <row r="1700">
      <c r="A1700" s="15">
        <v>1699.0</v>
      </c>
      <c r="B1700" s="39">
        <v>45939.0</v>
      </c>
      <c r="C1700" s="40" t="s">
        <v>2930</v>
      </c>
      <c r="D1700" s="41"/>
      <c r="E1700" s="41" t="s">
        <v>197</v>
      </c>
      <c r="F1700" s="18" t="s">
        <v>405</v>
      </c>
      <c r="G1700" s="41" t="s">
        <v>2931</v>
      </c>
      <c r="H1700" s="41"/>
      <c r="I1700" s="41"/>
      <c r="J1700" s="41" t="s">
        <v>188</v>
      </c>
      <c r="K1700" s="41"/>
      <c r="L1700" s="42"/>
    </row>
    <row r="1701">
      <c r="A1701" s="15">
        <v>1700.0</v>
      </c>
      <c r="B1701" s="39">
        <v>45939.0</v>
      </c>
      <c r="C1701" s="40" t="s">
        <v>2932</v>
      </c>
      <c r="D1701" s="41"/>
      <c r="E1701" s="41" t="s">
        <v>197</v>
      </c>
      <c r="F1701" s="18" t="s">
        <v>405</v>
      </c>
      <c r="G1701" s="41" t="s">
        <v>2933</v>
      </c>
      <c r="H1701" s="41"/>
      <c r="I1701" s="41"/>
      <c r="J1701" s="41" t="s">
        <v>188</v>
      </c>
      <c r="K1701" s="41"/>
      <c r="L1701" s="42"/>
    </row>
    <row r="1702">
      <c r="A1702" s="15">
        <v>1701.0</v>
      </c>
      <c r="B1702" s="39">
        <v>45939.0</v>
      </c>
      <c r="C1702" s="40" t="s">
        <v>2934</v>
      </c>
      <c r="D1702" s="41"/>
      <c r="E1702" s="41" t="s">
        <v>197</v>
      </c>
      <c r="F1702" s="18" t="s">
        <v>405</v>
      </c>
      <c r="G1702" s="41" t="s">
        <v>2935</v>
      </c>
      <c r="H1702" s="41"/>
      <c r="I1702" s="41"/>
      <c r="J1702" s="41" t="s">
        <v>188</v>
      </c>
      <c r="K1702" s="41"/>
      <c r="L1702" s="42"/>
    </row>
    <row r="1703">
      <c r="A1703" s="15">
        <v>1702.0</v>
      </c>
      <c r="B1703" s="39">
        <v>45939.0</v>
      </c>
      <c r="C1703" s="40" t="s">
        <v>2936</v>
      </c>
      <c r="D1703" s="41"/>
      <c r="E1703" s="41" t="s">
        <v>372</v>
      </c>
      <c r="F1703" s="18" t="s">
        <v>405</v>
      </c>
      <c r="G1703" s="41" t="s">
        <v>2937</v>
      </c>
      <c r="H1703" s="41"/>
      <c r="I1703" s="41"/>
      <c r="J1703" s="41" t="s">
        <v>188</v>
      </c>
      <c r="K1703" s="41"/>
      <c r="L1703" s="42"/>
    </row>
    <row r="1704">
      <c r="A1704" s="15">
        <v>1703.0</v>
      </c>
      <c r="B1704" s="39">
        <v>45939.0</v>
      </c>
      <c r="C1704" s="40" t="s">
        <v>2938</v>
      </c>
      <c r="D1704" s="41"/>
      <c r="E1704" s="41" t="s">
        <v>1385</v>
      </c>
      <c r="F1704" s="18" t="s">
        <v>405</v>
      </c>
      <c r="G1704" s="41" t="s">
        <v>2939</v>
      </c>
      <c r="H1704" s="41"/>
      <c r="I1704" s="41"/>
      <c r="J1704" s="41" t="s">
        <v>188</v>
      </c>
      <c r="K1704" s="41"/>
      <c r="L1704" s="42"/>
    </row>
    <row r="1705">
      <c r="A1705" s="15">
        <v>1704.0</v>
      </c>
      <c r="B1705" s="39">
        <v>45939.0</v>
      </c>
      <c r="C1705" s="40" t="s">
        <v>2940</v>
      </c>
      <c r="D1705" s="41"/>
      <c r="E1705" s="41" t="s">
        <v>197</v>
      </c>
      <c r="F1705" s="18" t="s">
        <v>405</v>
      </c>
      <c r="G1705" s="41" t="s">
        <v>2941</v>
      </c>
      <c r="H1705" s="41"/>
      <c r="I1705" s="41"/>
      <c r="J1705" s="41" t="s">
        <v>188</v>
      </c>
      <c r="K1705" s="41"/>
      <c r="L1705" s="42"/>
    </row>
    <row r="1706">
      <c r="A1706" s="15">
        <v>1705.0</v>
      </c>
      <c r="B1706" s="39">
        <v>45939.0</v>
      </c>
      <c r="C1706" s="40" t="s">
        <v>2942</v>
      </c>
      <c r="D1706" s="41"/>
      <c r="E1706" s="41" t="s">
        <v>197</v>
      </c>
      <c r="F1706" s="18" t="s">
        <v>405</v>
      </c>
      <c r="G1706" s="41" t="s">
        <v>2943</v>
      </c>
      <c r="H1706" s="41"/>
      <c r="I1706" s="41"/>
      <c r="J1706" s="41" t="s">
        <v>188</v>
      </c>
      <c r="K1706" s="41"/>
      <c r="L1706" s="42"/>
    </row>
    <row r="1707">
      <c r="A1707" s="15">
        <v>1706.0</v>
      </c>
      <c r="B1707" s="39">
        <v>45939.0</v>
      </c>
      <c r="C1707" s="40" t="s">
        <v>2944</v>
      </c>
      <c r="D1707" s="41"/>
      <c r="E1707" s="41" t="s">
        <v>197</v>
      </c>
      <c r="F1707" s="18" t="s">
        <v>622</v>
      </c>
      <c r="G1707" s="41" t="s">
        <v>2945</v>
      </c>
      <c r="H1707" s="41"/>
      <c r="I1707" s="41"/>
      <c r="J1707" s="41" t="s">
        <v>188</v>
      </c>
      <c r="K1707" s="41"/>
      <c r="L1707" s="42"/>
    </row>
    <row r="1708">
      <c r="A1708" s="15">
        <v>1707.0</v>
      </c>
      <c r="B1708" s="39">
        <v>45939.0</v>
      </c>
      <c r="C1708" s="40" t="s">
        <v>2946</v>
      </c>
      <c r="D1708" s="41"/>
      <c r="E1708" s="41" t="s">
        <v>197</v>
      </c>
      <c r="F1708" s="18" t="s">
        <v>622</v>
      </c>
      <c r="G1708" s="41" t="s">
        <v>2947</v>
      </c>
      <c r="H1708" s="41"/>
      <c r="I1708" s="41"/>
      <c r="J1708" s="41" t="s">
        <v>188</v>
      </c>
      <c r="K1708" s="41"/>
      <c r="L1708" s="42"/>
    </row>
    <row r="1709">
      <c r="A1709" s="15">
        <v>1708.0</v>
      </c>
      <c r="B1709" s="39">
        <v>45939.0</v>
      </c>
      <c r="C1709" s="40" t="s">
        <v>2948</v>
      </c>
      <c r="D1709" s="41"/>
      <c r="E1709" s="41" t="s">
        <v>197</v>
      </c>
      <c r="F1709" s="18" t="s">
        <v>622</v>
      </c>
      <c r="G1709" s="41" t="s">
        <v>2949</v>
      </c>
      <c r="H1709" s="41"/>
      <c r="I1709" s="41"/>
      <c r="J1709" s="41" t="s">
        <v>188</v>
      </c>
      <c r="K1709" s="41"/>
      <c r="L1709" s="42"/>
    </row>
    <row r="1710">
      <c r="A1710" s="15">
        <v>1709.0</v>
      </c>
      <c r="B1710" s="39">
        <v>45939.0</v>
      </c>
      <c r="C1710" s="40" t="s">
        <v>2950</v>
      </c>
      <c r="D1710" s="41"/>
      <c r="E1710" s="41" t="s">
        <v>197</v>
      </c>
      <c r="F1710" s="18" t="s">
        <v>622</v>
      </c>
      <c r="G1710" s="41" t="s">
        <v>2951</v>
      </c>
      <c r="H1710" s="41"/>
      <c r="I1710" s="41"/>
      <c r="J1710" s="41" t="s">
        <v>188</v>
      </c>
      <c r="K1710" s="41"/>
      <c r="L1710" s="42"/>
    </row>
    <row r="1711">
      <c r="A1711" s="15">
        <v>1710.0</v>
      </c>
      <c r="B1711" s="39">
        <v>45939.0</v>
      </c>
      <c r="C1711" s="40" t="s">
        <v>2952</v>
      </c>
      <c r="D1711" s="41"/>
      <c r="E1711" s="41" t="s">
        <v>1385</v>
      </c>
      <c r="F1711" s="18" t="s">
        <v>686</v>
      </c>
      <c r="G1711" s="41" t="s">
        <v>2953</v>
      </c>
      <c r="H1711" s="41"/>
      <c r="I1711" s="41"/>
      <c r="J1711" s="41" t="s">
        <v>188</v>
      </c>
      <c r="K1711" s="41"/>
      <c r="L1711" s="42"/>
    </row>
    <row r="1712">
      <c r="A1712" s="15">
        <v>1711.0</v>
      </c>
      <c r="B1712" s="39">
        <v>45939.0</v>
      </c>
      <c r="C1712" s="40" t="s">
        <v>2954</v>
      </c>
      <c r="D1712" s="41"/>
      <c r="E1712" s="41" t="s">
        <v>197</v>
      </c>
      <c r="F1712" s="18" t="s">
        <v>686</v>
      </c>
      <c r="G1712" s="41" t="s">
        <v>2955</v>
      </c>
      <c r="H1712" s="41"/>
      <c r="I1712" s="41"/>
      <c r="J1712" s="41" t="s">
        <v>188</v>
      </c>
      <c r="K1712" s="41"/>
      <c r="L1712" s="42"/>
    </row>
    <row r="1713">
      <c r="A1713" s="15">
        <v>1712.0</v>
      </c>
      <c r="B1713" s="39">
        <v>45939.0</v>
      </c>
      <c r="C1713" s="40" t="s">
        <v>2956</v>
      </c>
      <c r="D1713" s="41"/>
      <c r="E1713" s="41" t="s">
        <v>197</v>
      </c>
      <c r="F1713" s="18" t="s">
        <v>686</v>
      </c>
      <c r="G1713" s="41" t="s">
        <v>2957</v>
      </c>
      <c r="H1713" s="41"/>
      <c r="I1713" s="41"/>
      <c r="J1713" s="41" t="s">
        <v>188</v>
      </c>
      <c r="K1713" s="41"/>
      <c r="L1713" s="42"/>
    </row>
    <row r="1714">
      <c r="A1714" s="15">
        <v>1713.0</v>
      </c>
      <c r="B1714" s="39">
        <v>45939.0</v>
      </c>
      <c r="C1714" s="40" t="s">
        <v>2958</v>
      </c>
      <c r="D1714" s="41"/>
      <c r="E1714" s="41" t="s">
        <v>197</v>
      </c>
      <c r="F1714" s="18" t="s">
        <v>405</v>
      </c>
      <c r="G1714" s="41" t="s">
        <v>2959</v>
      </c>
      <c r="H1714" s="41"/>
      <c r="I1714" s="41"/>
      <c r="J1714" s="41" t="s">
        <v>188</v>
      </c>
      <c r="K1714" s="41"/>
      <c r="L1714" s="42"/>
    </row>
    <row r="1715">
      <c r="A1715" s="15">
        <v>1714.0</v>
      </c>
      <c r="B1715" s="39">
        <v>45939.0</v>
      </c>
      <c r="C1715" s="40" t="s">
        <v>2960</v>
      </c>
      <c r="D1715" s="41"/>
      <c r="E1715" s="41" t="s">
        <v>1385</v>
      </c>
      <c r="F1715" s="18" t="s">
        <v>405</v>
      </c>
      <c r="G1715" s="41" t="s">
        <v>2961</v>
      </c>
      <c r="H1715" s="41"/>
      <c r="I1715" s="41"/>
      <c r="J1715" s="41" t="s">
        <v>188</v>
      </c>
      <c r="K1715" s="41"/>
      <c r="L1715" s="42"/>
    </row>
    <row r="1716">
      <c r="A1716" s="15">
        <v>1715.0</v>
      </c>
      <c r="B1716" s="39">
        <v>45939.0</v>
      </c>
      <c r="C1716" s="40" t="s">
        <v>2962</v>
      </c>
      <c r="D1716" s="41"/>
      <c r="E1716" s="41" t="s">
        <v>197</v>
      </c>
      <c r="F1716" s="18" t="s">
        <v>405</v>
      </c>
      <c r="G1716" s="41" t="s">
        <v>2963</v>
      </c>
      <c r="H1716" s="41"/>
      <c r="I1716" s="41"/>
      <c r="J1716" s="41" t="s">
        <v>188</v>
      </c>
      <c r="K1716" s="41"/>
      <c r="L1716" s="42"/>
    </row>
    <row r="1717">
      <c r="A1717" s="15">
        <v>1716.0</v>
      </c>
      <c r="B1717" s="39">
        <v>45939.0</v>
      </c>
      <c r="C1717" s="40" t="s">
        <v>2964</v>
      </c>
      <c r="D1717" s="41"/>
      <c r="E1717" s="41" t="s">
        <v>197</v>
      </c>
      <c r="F1717" s="18" t="s">
        <v>405</v>
      </c>
      <c r="G1717" s="41" t="s">
        <v>2965</v>
      </c>
      <c r="H1717" s="41"/>
      <c r="I1717" s="41"/>
      <c r="J1717" s="41" t="s">
        <v>188</v>
      </c>
      <c r="K1717" s="41"/>
      <c r="L1717" s="42"/>
    </row>
    <row r="1718">
      <c r="A1718" s="15">
        <v>1717.0</v>
      </c>
      <c r="B1718" s="39">
        <v>45939.0</v>
      </c>
      <c r="C1718" s="40" t="s">
        <v>2966</v>
      </c>
      <c r="D1718" s="41"/>
      <c r="E1718" s="41" t="s">
        <v>197</v>
      </c>
      <c r="F1718" s="18" t="s">
        <v>405</v>
      </c>
      <c r="G1718" s="41" t="s">
        <v>2967</v>
      </c>
      <c r="H1718" s="41"/>
      <c r="I1718" s="41"/>
      <c r="J1718" s="41" t="s">
        <v>188</v>
      </c>
      <c r="K1718" s="41"/>
      <c r="L1718" s="42"/>
    </row>
    <row r="1719">
      <c r="A1719" s="15">
        <v>1718.0</v>
      </c>
      <c r="B1719" s="39">
        <v>45939.0</v>
      </c>
      <c r="C1719" s="40" t="s">
        <v>2968</v>
      </c>
      <c r="D1719" s="41"/>
      <c r="E1719" s="41" t="s">
        <v>401</v>
      </c>
      <c r="F1719" s="18" t="s">
        <v>622</v>
      </c>
      <c r="G1719" s="41" t="s">
        <v>937</v>
      </c>
      <c r="H1719" s="41" t="s">
        <v>1542</v>
      </c>
      <c r="I1719" s="41" t="s">
        <v>939</v>
      </c>
      <c r="J1719" s="41" t="s">
        <v>188</v>
      </c>
      <c r="K1719" s="41"/>
      <c r="L1719" s="42"/>
    </row>
    <row r="1720">
      <c r="A1720" s="15">
        <v>1719.0</v>
      </c>
      <c r="B1720" s="39">
        <v>45939.0</v>
      </c>
      <c r="C1720" s="40" t="s">
        <v>2969</v>
      </c>
      <c r="D1720" s="41"/>
      <c r="E1720" s="41" t="s">
        <v>401</v>
      </c>
      <c r="F1720" s="18" t="s">
        <v>622</v>
      </c>
      <c r="G1720" s="41" t="s">
        <v>937</v>
      </c>
      <c r="H1720" s="41" t="s">
        <v>1542</v>
      </c>
      <c r="I1720" s="41" t="s">
        <v>939</v>
      </c>
      <c r="J1720" s="41" t="s">
        <v>188</v>
      </c>
      <c r="K1720" s="41"/>
      <c r="L1720" s="42"/>
    </row>
    <row r="1721">
      <c r="A1721" s="15">
        <v>1720.0</v>
      </c>
      <c r="B1721" s="39">
        <v>45939.0</v>
      </c>
      <c r="C1721" s="40" t="s">
        <v>2970</v>
      </c>
      <c r="D1721" s="41"/>
      <c r="E1721" s="41" t="s">
        <v>401</v>
      </c>
      <c r="F1721" s="18" t="s">
        <v>622</v>
      </c>
      <c r="G1721" s="41" t="s">
        <v>937</v>
      </c>
      <c r="H1721" s="41" t="s">
        <v>1542</v>
      </c>
      <c r="I1721" s="41" t="s">
        <v>939</v>
      </c>
      <c r="J1721" s="41" t="s">
        <v>188</v>
      </c>
      <c r="K1721" s="41"/>
      <c r="L1721" s="42"/>
    </row>
    <row r="1722">
      <c r="A1722" s="15">
        <v>1721.0</v>
      </c>
      <c r="B1722" s="39">
        <v>45939.0</v>
      </c>
      <c r="C1722" s="40" t="s">
        <v>2971</v>
      </c>
      <c r="D1722" s="41"/>
      <c r="E1722" s="41" t="s">
        <v>401</v>
      </c>
      <c r="F1722" s="18" t="s">
        <v>622</v>
      </c>
      <c r="G1722" s="41" t="s">
        <v>937</v>
      </c>
      <c r="H1722" s="41" t="s">
        <v>1542</v>
      </c>
      <c r="I1722" s="41" t="s">
        <v>939</v>
      </c>
      <c r="J1722" s="41" t="s">
        <v>188</v>
      </c>
      <c r="K1722" s="41"/>
      <c r="L1722" s="42"/>
    </row>
    <row r="1723">
      <c r="A1723" s="15">
        <v>1722.0</v>
      </c>
      <c r="B1723" s="39">
        <v>45939.0</v>
      </c>
      <c r="C1723" s="40" t="s">
        <v>2972</v>
      </c>
      <c r="D1723" s="41"/>
      <c r="E1723" s="41" t="s">
        <v>401</v>
      </c>
      <c r="F1723" s="18" t="s">
        <v>622</v>
      </c>
      <c r="G1723" s="41" t="s">
        <v>937</v>
      </c>
      <c r="H1723" s="41" t="s">
        <v>1542</v>
      </c>
      <c r="I1723" s="41" t="s">
        <v>939</v>
      </c>
      <c r="J1723" s="41" t="s">
        <v>188</v>
      </c>
      <c r="K1723" s="41"/>
      <c r="L1723" s="42"/>
    </row>
    <row r="1724">
      <c r="A1724" s="15">
        <v>1723.0</v>
      </c>
      <c r="B1724" s="39">
        <v>45939.0</v>
      </c>
      <c r="C1724" s="40" t="s">
        <v>2973</v>
      </c>
      <c r="D1724" s="41"/>
      <c r="E1724" s="41" t="s">
        <v>401</v>
      </c>
      <c r="F1724" s="18" t="s">
        <v>622</v>
      </c>
      <c r="G1724" s="41" t="s">
        <v>937</v>
      </c>
      <c r="H1724" s="41" t="s">
        <v>1542</v>
      </c>
      <c r="I1724" s="41" t="s">
        <v>939</v>
      </c>
      <c r="J1724" s="41" t="s">
        <v>188</v>
      </c>
      <c r="K1724" s="41"/>
      <c r="L1724" s="42"/>
    </row>
    <row r="1725">
      <c r="A1725" s="15">
        <v>1724.0</v>
      </c>
      <c r="B1725" s="39">
        <v>45939.0</v>
      </c>
      <c r="C1725" s="40" t="s">
        <v>2974</v>
      </c>
      <c r="D1725" s="41"/>
      <c r="E1725" s="41" t="s">
        <v>401</v>
      </c>
      <c r="F1725" s="18" t="s">
        <v>622</v>
      </c>
      <c r="G1725" s="41" t="s">
        <v>937</v>
      </c>
      <c r="H1725" s="41" t="s">
        <v>1542</v>
      </c>
      <c r="I1725" s="41" t="s">
        <v>939</v>
      </c>
      <c r="J1725" s="41" t="s">
        <v>188</v>
      </c>
      <c r="K1725" s="41"/>
      <c r="L1725" s="42"/>
    </row>
    <row r="1726">
      <c r="A1726" s="15">
        <v>1725.0</v>
      </c>
      <c r="B1726" s="39">
        <v>45939.0</v>
      </c>
      <c r="C1726" s="40" t="s">
        <v>2975</v>
      </c>
      <c r="D1726" s="41"/>
      <c r="E1726" s="41" t="s">
        <v>401</v>
      </c>
      <c r="F1726" s="18" t="s">
        <v>622</v>
      </c>
      <c r="G1726" s="41" t="s">
        <v>937</v>
      </c>
      <c r="H1726" s="41" t="s">
        <v>1542</v>
      </c>
      <c r="I1726" s="41" t="s">
        <v>939</v>
      </c>
      <c r="J1726" s="41" t="s">
        <v>188</v>
      </c>
      <c r="K1726" s="41"/>
      <c r="L1726" s="42"/>
    </row>
    <row r="1727">
      <c r="A1727" s="15">
        <v>1726.0</v>
      </c>
      <c r="B1727" s="39">
        <v>45939.0</v>
      </c>
      <c r="C1727" s="40" t="s">
        <v>2976</v>
      </c>
      <c r="D1727" s="41"/>
      <c r="E1727" s="41" t="s">
        <v>401</v>
      </c>
      <c r="F1727" s="18" t="s">
        <v>622</v>
      </c>
      <c r="G1727" s="41" t="s">
        <v>937</v>
      </c>
      <c r="H1727" s="41" t="s">
        <v>1542</v>
      </c>
      <c r="I1727" s="41" t="s">
        <v>939</v>
      </c>
      <c r="J1727" s="41" t="s">
        <v>188</v>
      </c>
      <c r="K1727" s="41"/>
      <c r="L1727" s="42"/>
    </row>
    <row r="1728">
      <c r="A1728" s="15">
        <v>1727.0</v>
      </c>
      <c r="B1728" s="39">
        <v>45939.0</v>
      </c>
      <c r="C1728" s="40" t="s">
        <v>2977</v>
      </c>
      <c r="D1728" s="41"/>
      <c r="E1728" s="41" t="s">
        <v>401</v>
      </c>
      <c r="F1728" s="18" t="s">
        <v>622</v>
      </c>
      <c r="G1728" s="41" t="s">
        <v>937</v>
      </c>
      <c r="H1728" s="41" t="s">
        <v>1542</v>
      </c>
      <c r="I1728" s="41" t="s">
        <v>939</v>
      </c>
      <c r="J1728" s="41" t="s">
        <v>188</v>
      </c>
      <c r="K1728" s="41"/>
      <c r="L1728" s="42"/>
    </row>
    <row r="1729">
      <c r="A1729" s="15">
        <v>1728.0</v>
      </c>
      <c r="B1729" s="39">
        <v>45939.0</v>
      </c>
      <c r="C1729" s="40" t="s">
        <v>2978</v>
      </c>
      <c r="D1729" s="41"/>
      <c r="E1729" s="41" t="s">
        <v>401</v>
      </c>
      <c r="F1729" s="18" t="s">
        <v>622</v>
      </c>
      <c r="G1729" s="41" t="s">
        <v>937</v>
      </c>
      <c r="H1729" s="41" t="s">
        <v>1542</v>
      </c>
      <c r="I1729" s="41" t="s">
        <v>939</v>
      </c>
      <c r="J1729" s="41" t="s">
        <v>188</v>
      </c>
      <c r="K1729" s="41"/>
      <c r="L1729" s="42"/>
    </row>
    <row r="1730">
      <c r="A1730" s="15">
        <v>1729.0</v>
      </c>
      <c r="B1730" s="39">
        <v>45939.0</v>
      </c>
      <c r="C1730" s="40" t="s">
        <v>2979</v>
      </c>
      <c r="D1730" s="41"/>
      <c r="E1730" s="41" t="s">
        <v>184</v>
      </c>
      <c r="F1730" s="18" t="s">
        <v>686</v>
      </c>
      <c r="G1730" s="41" t="s">
        <v>2980</v>
      </c>
      <c r="H1730" s="41" t="s">
        <v>410</v>
      </c>
      <c r="I1730" s="41"/>
      <c r="J1730" s="41"/>
      <c r="K1730" s="41"/>
      <c r="L1730" s="42"/>
    </row>
    <row r="1731">
      <c r="A1731" s="15">
        <v>1730.0</v>
      </c>
      <c r="B1731" s="55"/>
      <c r="C1731" s="40"/>
      <c r="D1731" s="41"/>
      <c r="E1731" s="41"/>
      <c r="F1731" s="18" t="b">
        <v>0</v>
      </c>
      <c r="G1731" s="41"/>
      <c r="H1731" s="41"/>
      <c r="I1731" s="41"/>
      <c r="J1731" s="41"/>
      <c r="K1731" s="41"/>
      <c r="L1731" s="42"/>
    </row>
    <row r="1732">
      <c r="A1732" s="15">
        <v>1731.0</v>
      </c>
      <c r="B1732" s="39">
        <v>45939.0</v>
      </c>
      <c r="C1732" s="40" t="s">
        <v>2981</v>
      </c>
      <c r="D1732" s="41"/>
      <c r="E1732" s="41" t="s">
        <v>184</v>
      </c>
      <c r="F1732" s="18" t="s">
        <v>622</v>
      </c>
      <c r="G1732" s="41" t="s">
        <v>2982</v>
      </c>
      <c r="H1732" s="41" t="s">
        <v>410</v>
      </c>
      <c r="I1732" s="41"/>
      <c r="J1732" s="41"/>
      <c r="K1732" s="41"/>
      <c r="L1732" s="42"/>
    </row>
    <row r="1733">
      <c r="A1733" s="15">
        <v>1732.0</v>
      </c>
      <c r="B1733" s="55"/>
      <c r="C1733" s="40"/>
      <c r="D1733" s="41"/>
      <c r="E1733" s="41"/>
      <c r="F1733" s="18" t="b">
        <v>0</v>
      </c>
      <c r="G1733" s="41"/>
      <c r="H1733" s="41"/>
      <c r="I1733" s="41"/>
      <c r="J1733" s="41"/>
      <c r="K1733" s="41"/>
      <c r="L1733" s="42"/>
    </row>
    <row r="1734">
      <c r="A1734" s="15">
        <v>1733.0</v>
      </c>
      <c r="B1734" s="39">
        <v>45939.0</v>
      </c>
      <c r="C1734" s="40" t="s">
        <v>2983</v>
      </c>
      <c r="D1734" s="41"/>
      <c r="E1734" s="41" t="s">
        <v>184</v>
      </c>
      <c r="F1734" s="18" t="s">
        <v>622</v>
      </c>
      <c r="G1734" s="41" t="s">
        <v>2980</v>
      </c>
      <c r="H1734" s="41" t="s">
        <v>410</v>
      </c>
      <c r="I1734" s="41"/>
      <c r="J1734" s="41"/>
      <c r="K1734" s="41"/>
      <c r="L1734" s="42"/>
    </row>
    <row r="1735">
      <c r="A1735" s="15">
        <v>1734.0</v>
      </c>
      <c r="B1735" s="55"/>
      <c r="C1735" s="40"/>
      <c r="D1735" s="41"/>
      <c r="E1735" s="41"/>
      <c r="F1735" s="18" t="b">
        <v>0</v>
      </c>
      <c r="G1735" s="41"/>
      <c r="H1735" s="41"/>
      <c r="I1735" s="41"/>
      <c r="J1735" s="41"/>
      <c r="K1735" s="41"/>
      <c r="L1735" s="42"/>
    </row>
    <row r="1736">
      <c r="A1736" s="15">
        <v>1735.0</v>
      </c>
      <c r="B1736" s="39">
        <v>45940.0</v>
      </c>
      <c r="C1736" s="40" t="s">
        <v>2984</v>
      </c>
      <c r="D1736" s="41"/>
      <c r="E1736" s="41" t="s">
        <v>197</v>
      </c>
      <c r="F1736" s="18" t="s">
        <v>405</v>
      </c>
      <c r="G1736" s="41" t="s">
        <v>2985</v>
      </c>
      <c r="H1736" s="41" t="s">
        <v>2740</v>
      </c>
      <c r="I1736" s="41" t="s">
        <v>535</v>
      </c>
      <c r="J1736" s="41" t="s">
        <v>188</v>
      </c>
      <c r="K1736" s="41"/>
      <c r="L1736" s="42"/>
    </row>
    <row r="1737">
      <c r="A1737" s="15">
        <v>1736.0</v>
      </c>
      <c r="B1737" s="39">
        <v>45940.0</v>
      </c>
      <c r="C1737" s="40" t="s">
        <v>2986</v>
      </c>
      <c r="D1737" s="41"/>
      <c r="E1737" s="41" t="s">
        <v>197</v>
      </c>
      <c r="F1737" s="18" t="s">
        <v>405</v>
      </c>
      <c r="G1737" s="41" t="s">
        <v>2987</v>
      </c>
      <c r="H1737" s="41"/>
      <c r="I1737" s="41"/>
      <c r="J1737" s="41" t="s">
        <v>188</v>
      </c>
      <c r="K1737" s="41"/>
      <c r="L1737" s="42"/>
    </row>
    <row r="1738">
      <c r="A1738" s="15">
        <v>1737.0</v>
      </c>
      <c r="B1738" s="39">
        <v>45940.0</v>
      </c>
      <c r="C1738" s="40" t="s">
        <v>2988</v>
      </c>
      <c r="D1738" s="41"/>
      <c r="E1738" s="41" t="s">
        <v>197</v>
      </c>
      <c r="F1738" s="18" t="s">
        <v>405</v>
      </c>
      <c r="G1738" s="41" t="s">
        <v>2989</v>
      </c>
      <c r="H1738" s="41"/>
      <c r="I1738" s="41"/>
      <c r="J1738" s="41" t="s">
        <v>188</v>
      </c>
      <c r="K1738" s="41"/>
      <c r="L1738" s="42"/>
    </row>
    <row r="1739">
      <c r="A1739" s="15">
        <v>1738.0</v>
      </c>
      <c r="B1739" s="39">
        <v>45940.0</v>
      </c>
      <c r="C1739" s="40" t="s">
        <v>2990</v>
      </c>
      <c r="D1739" s="41"/>
      <c r="E1739" s="41" t="s">
        <v>197</v>
      </c>
      <c r="F1739" s="18" t="s">
        <v>405</v>
      </c>
      <c r="G1739" s="41" t="s">
        <v>2991</v>
      </c>
      <c r="H1739" s="41"/>
      <c r="I1739" s="41"/>
      <c r="J1739" s="41" t="s">
        <v>188</v>
      </c>
      <c r="K1739" s="41"/>
      <c r="L1739" s="42"/>
    </row>
    <row r="1740">
      <c r="A1740" s="15">
        <v>1739.0</v>
      </c>
      <c r="B1740" s="39">
        <v>45940.0</v>
      </c>
      <c r="C1740" s="40" t="s">
        <v>2992</v>
      </c>
      <c r="D1740" s="41"/>
      <c r="E1740" s="41" t="s">
        <v>197</v>
      </c>
      <c r="F1740" s="18" t="s">
        <v>405</v>
      </c>
      <c r="G1740" s="41" t="s">
        <v>2993</v>
      </c>
      <c r="H1740" s="41"/>
      <c r="I1740" s="41"/>
      <c r="J1740" s="41" t="s">
        <v>188</v>
      </c>
      <c r="K1740" s="41"/>
      <c r="L1740" s="42"/>
    </row>
    <row r="1741">
      <c r="A1741" s="15">
        <v>1740.0</v>
      </c>
      <c r="B1741" s="39">
        <v>45940.0</v>
      </c>
      <c r="C1741" s="40" t="s">
        <v>2994</v>
      </c>
      <c r="D1741" s="41"/>
      <c r="E1741" s="41" t="s">
        <v>197</v>
      </c>
      <c r="F1741" s="18" t="s">
        <v>405</v>
      </c>
      <c r="G1741" s="41" t="s">
        <v>2995</v>
      </c>
      <c r="H1741" s="41"/>
      <c r="I1741" s="41"/>
      <c r="J1741" s="41" t="s">
        <v>188</v>
      </c>
      <c r="K1741" s="41"/>
      <c r="L1741" s="42"/>
    </row>
    <row r="1742">
      <c r="A1742" s="15">
        <v>1741.0</v>
      </c>
      <c r="B1742" s="39">
        <v>45940.0</v>
      </c>
      <c r="C1742" s="40" t="s">
        <v>2996</v>
      </c>
      <c r="D1742" s="41"/>
      <c r="E1742" s="41" t="s">
        <v>197</v>
      </c>
      <c r="F1742" s="18" t="s">
        <v>405</v>
      </c>
      <c r="G1742" s="41" t="s">
        <v>2997</v>
      </c>
      <c r="H1742" s="41"/>
      <c r="I1742" s="41"/>
      <c r="J1742" s="41" t="s">
        <v>188</v>
      </c>
      <c r="K1742" s="41"/>
      <c r="L1742" s="42"/>
    </row>
    <row r="1743">
      <c r="A1743" s="15">
        <v>1742.0</v>
      </c>
      <c r="B1743" s="39">
        <v>45940.0</v>
      </c>
      <c r="C1743" s="40" t="s">
        <v>2998</v>
      </c>
      <c r="D1743" s="41"/>
      <c r="E1743" s="41" t="s">
        <v>197</v>
      </c>
      <c r="F1743" s="18" t="s">
        <v>405</v>
      </c>
      <c r="G1743" s="41" t="s">
        <v>2999</v>
      </c>
      <c r="H1743" s="41"/>
      <c r="I1743" s="41"/>
      <c r="J1743" s="41" t="s">
        <v>188</v>
      </c>
      <c r="K1743" s="41"/>
      <c r="L1743" s="42"/>
    </row>
    <row r="1744">
      <c r="A1744" s="15">
        <v>1743.0</v>
      </c>
      <c r="B1744" s="39">
        <v>45940.0</v>
      </c>
      <c r="C1744" s="40" t="s">
        <v>3000</v>
      </c>
      <c r="D1744" s="41"/>
      <c r="E1744" s="41" t="s">
        <v>197</v>
      </c>
      <c r="F1744" s="18" t="s">
        <v>405</v>
      </c>
      <c r="G1744" s="41" t="s">
        <v>3001</v>
      </c>
      <c r="H1744" s="41"/>
      <c r="I1744" s="41"/>
      <c r="J1744" s="41" t="s">
        <v>188</v>
      </c>
      <c r="K1744" s="41"/>
      <c r="L1744" s="42"/>
    </row>
    <row r="1745">
      <c r="A1745" s="15">
        <v>1744.0</v>
      </c>
      <c r="B1745" s="39">
        <v>45940.0</v>
      </c>
      <c r="C1745" s="40" t="s">
        <v>3002</v>
      </c>
      <c r="D1745" s="41"/>
      <c r="E1745" s="41" t="s">
        <v>197</v>
      </c>
      <c r="F1745" s="18" t="s">
        <v>405</v>
      </c>
      <c r="G1745" s="41" t="s">
        <v>3003</v>
      </c>
      <c r="H1745" s="41"/>
      <c r="I1745" s="41"/>
      <c r="J1745" s="41" t="s">
        <v>188</v>
      </c>
      <c r="K1745" s="41"/>
      <c r="L1745" s="42"/>
    </row>
    <row r="1746">
      <c r="A1746" s="15">
        <v>1745.0</v>
      </c>
      <c r="B1746" s="39">
        <v>45940.0</v>
      </c>
      <c r="C1746" s="40" t="s">
        <v>3004</v>
      </c>
      <c r="D1746" s="41"/>
      <c r="E1746" s="41" t="s">
        <v>197</v>
      </c>
      <c r="F1746" s="18" t="s">
        <v>405</v>
      </c>
      <c r="G1746" s="41" t="s">
        <v>3005</v>
      </c>
      <c r="H1746" s="41"/>
      <c r="I1746" s="41"/>
      <c r="J1746" s="41" t="s">
        <v>188</v>
      </c>
      <c r="K1746" s="41"/>
      <c r="L1746" s="42"/>
    </row>
    <row r="1747">
      <c r="A1747" s="15">
        <v>1746.0</v>
      </c>
      <c r="B1747" s="39">
        <v>45940.0</v>
      </c>
      <c r="C1747" s="40" t="s">
        <v>3006</v>
      </c>
      <c r="D1747" s="41"/>
      <c r="E1747" s="41" t="s">
        <v>197</v>
      </c>
      <c r="F1747" s="18" t="s">
        <v>405</v>
      </c>
      <c r="G1747" s="41" t="s">
        <v>3007</v>
      </c>
      <c r="H1747" s="41"/>
      <c r="I1747" s="41"/>
      <c r="J1747" s="41" t="s">
        <v>188</v>
      </c>
      <c r="K1747" s="41"/>
      <c r="L1747" s="42"/>
    </row>
    <row r="1748">
      <c r="A1748" s="15">
        <v>1747.0</v>
      </c>
      <c r="B1748" s="39">
        <v>45940.0</v>
      </c>
      <c r="C1748" s="40" t="s">
        <v>3008</v>
      </c>
      <c r="D1748" s="41"/>
      <c r="E1748" s="41" t="s">
        <v>197</v>
      </c>
      <c r="F1748" s="18" t="s">
        <v>686</v>
      </c>
      <c r="G1748" s="41" t="s">
        <v>3009</v>
      </c>
      <c r="H1748" s="41"/>
      <c r="I1748" s="41"/>
      <c r="J1748" s="41" t="s">
        <v>188</v>
      </c>
      <c r="K1748" s="41"/>
      <c r="L1748" s="42"/>
    </row>
    <row r="1749">
      <c r="A1749" s="15">
        <v>1748.0</v>
      </c>
      <c r="B1749" s="39">
        <v>45940.0</v>
      </c>
      <c r="C1749" s="40" t="s">
        <v>3010</v>
      </c>
      <c r="D1749" s="41"/>
      <c r="E1749" s="41" t="s">
        <v>1146</v>
      </c>
      <c r="F1749" s="18" t="s">
        <v>622</v>
      </c>
      <c r="G1749" s="41" t="s">
        <v>3011</v>
      </c>
      <c r="H1749" s="41"/>
      <c r="I1749" s="41"/>
      <c r="J1749" s="41" t="s">
        <v>188</v>
      </c>
      <c r="K1749" s="41"/>
      <c r="L1749" s="42"/>
    </row>
    <row r="1750">
      <c r="A1750" s="15">
        <v>1749.0</v>
      </c>
      <c r="B1750" s="39">
        <v>45940.0</v>
      </c>
      <c r="C1750" s="40" t="s">
        <v>3012</v>
      </c>
      <c r="D1750" s="41"/>
      <c r="E1750" s="41" t="s">
        <v>401</v>
      </c>
      <c r="F1750" s="18" t="s">
        <v>622</v>
      </c>
      <c r="G1750" s="41" t="s">
        <v>3013</v>
      </c>
      <c r="H1750" s="41"/>
      <c r="I1750" s="41"/>
      <c r="J1750" s="41" t="s">
        <v>188</v>
      </c>
      <c r="K1750" s="41"/>
      <c r="L1750" s="42"/>
    </row>
    <row r="1751">
      <c r="A1751" s="15">
        <v>1750.0</v>
      </c>
      <c r="B1751" s="39">
        <v>45940.0</v>
      </c>
      <c r="C1751" s="40" t="s">
        <v>3014</v>
      </c>
      <c r="D1751" s="41"/>
      <c r="E1751" s="41" t="s">
        <v>197</v>
      </c>
      <c r="F1751" s="18" t="s">
        <v>622</v>
      </c>
      <c r="G1751" s="41" t="s">
        <v>3015</v>
      </c>
      <c r="H1751" s="41"/>
      <c r="I1751" s="41"/>
      <c r="J1751" s="41" t="s">
        <v>188</v>
      </c>
      <c r="K1751" s="41"/>
      <c r="L1751" s="42"/>
    </row>
    <row r="1752">
      <c r="A1752" s="15">
        <v>1751.0</v>
      </c>
      <c r="B1752" s="39">
        <v>45940.0</v>
      </c>
      <c r="C1752" s="40" t="s">
        <v>3016</v>
      </c>
      <c r="D1752" s="41"/>
      <c r="E1752" s="41" t="s">
        <v>1146</v>
      </c>
      <c r="F1752" s="18" t="s">
        <v>622</v>
      </c>
      <c r="G1752" s="41" t="s">
        <v>3017</v>
      </c>
      <c r="H1752" s="41"/>
      <c r="I1752" s="41"/>
      <c r="J1752" s="41" t="s">
        <v>188</v>
      </c>
      <c r="K1752" s="41"/>
      <c r="L1752" s="42"/>
    </row>
    <row r="1753">
      <c r="A1753" s="15">
        <v>1752.0</v>
      </c>
      <c r="B1753" s="39">
        <v>45940.0</v>
      </c>
      <c r="C1753" s="40" t="s">
        <v>3018</v>
      </c>
      <c r="D1753" s="41"/>
      <c r="E1753" s="41" t="s">
        <v>197</v>
      </c>
      <c r="F1753" s="18" t="s">
        <v>622</v>
      </c>
      <c r="G1753" s="41" t="s">
        <v>3019</v>
      </c>
      <c r="H1753" s="41"/>
      <c r="I1753" s="41"/>
      <c r="J1753" s="41" t="s">
        <v>188</v>
      </c>
      <c r="K1753" s="41"/>
      <c r="L1753" s="42"/>
    </row>
    <row r="1754">
      <c r="A1754" s="15">
        <v>1753.0</v>
      </c>
      <c r="B1754" s="39">
        <v>45940.0</v>
      </c>
      <c r="C1754" s="40" t="s">
        <v>3020</v>
      </c>
      <c r="D1754" s="41"/>
      <c r="E1754" s="41" t="s">
        <v>197</v>
      </c>
      <c r="F1754" s="18" t="s">
        <v>686</v>
      </c>
      <c r="G1754" s="41" t="s">
        <v>3021</v>
      </c>
      <c r="H1754" s="41"/>
      <c r="I1754" s="41"/>
      <c r="J1754" s="41" t="s">
        <v>188</v>
      </c>
      <c r="K1754" s="41"/>
      <c r="L1754" s="42"/>
    </row>
    <row r="1755">
      <c r="A1755" s="15">
        <v>1754.0</v>
      </c>
      <c r="B1755" s="39">
        <v>45940.0</v>
      </c>
      <c r="C1755" s="40" t="s">
        <v>3022</v>
      </c>
      <c r="D1755" s="41"/>
      <c r="E1755" s="41" t="s">
        <v>197</v>
      </c>
      <c r="F1755" s="18" t="s">
        <v>405</v>
      </c>
      <c r="G1755" s="41"/>
      <c r="H1755" s="41"/>
      <c r="I1755" s="41"/>
      <c r="J1755" s="41" t="s">
        <v>188</v>
      </c>
      <c r="K1755" s="41"/>
      <c r="L1755" s="42"/>
    </row>
    <row r="1756">
      <c r="A1756" s="15">
        <v>1755.0</v>
      </c>
      <c r="B1756" s="39">
        <v>45940.0</v>
      </c>
      <c r="C1756" s="40" t="s">
        <v>3023</v>
      </c>
      <c r="D1756" s="41"/>
      <c r="E1756" s="41" t="s">
        <v>197</v>
      </c>
      <c r="F1756" s="18" t="s">
        <v>405</v>
      </c>
      <c r="G1756" s="41"/>
      <c r="H1756" s="41"/>
      <c r="I1756" s="41"/>
      <c r="J1756" s="41" t="s">
        <v>188</v>
      </c>
      <c r="K1756" s="41"/>
      <c r="L1756" s="42"/>
    </row>
    <row r="1757">
      <c r="A1757" s="15">
        <v>1756.0</v>
      </c>
      <c r="B1757" s="39">
        <v>45940.0</v>
      </c>
      <c r="C1757" s="40" t="s">
        <v>3024</v>
      </c>
      <c r="D1757" s="41"/>
      <c r="E1757" s="41" t="s">
        <v>197</v>
      </c>
      <c r="F1757" s="18" t="s">
        <v>405</v>
      </c>
      <c r="G1757" s="41"/>
      <c r="H1757" s="41"/>
      <c r="I1757" s="41"/>
      <c r="J1757" s="41" t="s">
        <v>188</v>
      </c>
      <c r="K1757" s="41"/>
      <c r="L1757" s="42"/>
    </row>
    <row r="1758">
      <c r="A1758" s="15">
        <v>1757.0</v>
      </c>
      <c r="B1758" s="39">
        <v>45940.0</v>
      </c>
      <c r="C1758" s="40" t="s">
        <v>3025</v>
      </c>
      <c r="D1758" s="41"/>
      <c r="E1758" s="41" t="s">
        <v>197</v>
      </c>
      <c r="F1758" s="18" t="s">
        <v>405</v>
      </c>
      <c r="G1758" s="41"/>
      <c r="H1758" s="41"/>
      <c r="I1758" s="41"/>
      <c r="J1758" s="41" t="s">
        <v>188</v>
      </c>
      <c r="K1758" s="41"/>
      <c r="L1758" s="42"/>
    </row>
    <row r="1759">
      <c r="A1759" s="15">
        <v>1758.0</v>
      </c>
      <c r="B1759" s="39">
        <v>45940.0</v>
      </c>
      <c r="C1759" s="40" t="s">
        <v>3026</v>
      </c>
      <c r="D1759" s="41"/>
      <c r="E1759" s="41" t="s">
        <v>197</v>
      </c>
      <c r="F1759" s="18" t="s">
        <v>405</v>
      </c>
      <c r="G1759" s="41"/>
      <c r="H1759" s="41"/>
      <c r="I1759" s="41"/>
      <c r="J1759" s="41" t="s">
        <v>188</v>
      </c>
      <c r="K1759" s="41"/>
      <c r="L1759" s="42"/>
    </row>
    <row r="1760">
      <c r="A1760" s="15">
        <v>1759.0</v>
      </c>
      <c r="B1760" s="39">
        <v>45940.0</v>
      </c>
      <c r="C1760" s="40" t="s">
        <v>3027</v>
      </c>
      <c r="D1760" s="41"/>
      <c r="E1760" s="41" t="s">
        <v>197</v>
      </c>
      <c r="F1760" s="18" t="s">
        <v>405</v>
      </c>
      <c r="G1760" s="41"/>
      <c r="H1760" s="41"/>
      <c r="I1760" s="41"/>
      <c r="J1760" s="41" t="s">
        <v>188</v>
      </c>
      <c r="K1760" s="41"/>
      <c r="L1760" s="42"/>
    </row>
    <row r="1761">
      <c r="A1761" s="15">
        <v>1760.0</v>
      </c>
      <c r="B1761" s="39">
        <v>45940.0</v>
      </c>
      <c r="C1761" s="40" t="s">
        <v>3028</v>
      </c>
      <c r="D1761" s="41"/>
      <c r="E1761" s="41" t="s">
        <v>184</v>
      </c>
      <c r="F1761" s="18" t="s">
        <v>702</v>
      </c>
      <c r="G1761" s="41" t="s">
        <v>3029</v>
      </c>
      <c r="H1761" s="41" t="s">
        <v>413</v>
      </c>
      <c r="I1761" s="41"/>
      <c r="J1761" s="41" t="s">
        <v>188</v>
      </c>
      <c r="K1761" s="41"/>
      <c r="L1761" s="42"/>
    </row>
    <row r="1762">
      <c r="A1762" s="15">
        <v>1761.0</v>
      </c>
      <c r="B1762" s="55"/>
      <c r="C1762" s="40"/>
      <c r="D1762" s="41"/>
      <c r="E1762" s="41"/>
      <c r="F1762" s="18" t="b">
        <v>0</v>
      </c>
      <c r="G1762" s="41"/>
      <c r="H1762" s="41"/>
      <c r="I1762" s="41"/>
      <c r="J1762" s="41"/>
      <c r="K1762" s="41"/>
      <c r="L1762" s="42"/>
    </row>
    <row r="1763">
      <c r="A1763" s="15">
        <v>1762.0</v>
      </c>
      <c r="B1763" s="39">
        <v>45940.0</v>
      </c>
      <c r="C1763" s="40" t="s">
        <v>3030</v>
      </c>
      <c r="D1763" s="41"/>
      <c r="E1763" s="41" t="s">
        <v>184</v>
      </c>
      <c r="F1763" s="18" t="s">
        <v>622</v>
      </c>
      <c r="G1763" s="41" t="s">
        <v>3029</v>
      </c>
      <c r="H1763" s="41" t="s">
        <v>413</v>
      </c>
      <c r="I1763" s="41"/>
      <c r="J1763" s="41" t="s">
        <v>188</v>
      </c>
      <c r="K1763" s="41"/>
      <c r="L1763" s="42"/>
    </row>
    <row r="1764">
      <c r="A1764" s="15">
        <v>1763.0</v>
      </c>
      <c r="B1764" s="55"/>
      <c r="C1764" s="40"/>
      <c r="D1764" s="41"/>
      <c r="E1764" s="41"/>
      <c r="F1764" s="18" t="b">
        <v>0</v>
      </c>
      <c r="G1764" s="41"/>
      <c r="H1764" s="41"/>
      <c r="I1764" s="41"/>
      <c r="J1764" s="41"/>
      <c r="K1764" s="41"/>
      <c r="L1764" s="42"/>
    </row>
    <row r="1765">
      <c r="A1765" s="15">
        <v>1764.0</v>
      </c>
      <c r="B1765" s="39">
        <v>45940.0</v>
      </c>
      <c r="C1765" s="54" t="s">
        <v>3031</v>
      </c>
      <c r="D1765" s="41"/>
      <c r="E1765" s="41" t="s">
        <v>184</v>
      </c>
      <c r="F1765" s="18" t="s">
        <v>622</v>
      </c>
      <c r="G1765" s="41" t="s">
        <v>3032</v>
      </c>
      <c r="H1765" s="41" t="s">
        <v>413</v>
      </c>
      <c r="I1765" s="41"/>
      <c r="J1765" s="41" t="s">
        <v>188</v>
      </c>
      <c r="K1765" s="41"/>
      <c r="L1765" s="42"/>
    </row>
    <row r="1766">
      <c r="A1766" s="15">
        <v>1765.0</v>
      </c>
      <c r="B1766" s="55"/>
      <c r="C1766" s="40"/>
      <c r="D1766" s="41"/>
      <c r="E1766" s="41"/>
      <c r="F1766" s="18" t="b">
        <v>0</v>
      </c>
      <c r="G1766" s="41"/>
      <c r="H1766" s="41"/>
      <c r="I1766" s="41"/>
      <c r="J1766" s="41"/>
      <c r="K1766" s="41"/>
      <c r="L1766" s="42"/>
    </row>
    <row r="1767">
      <c r="A1767" s="15">
        <v>1766.0</v>
      </c>
      <c r="B1767" s="39">
        <v>45941.0</v>
      </c>
      <c r="C1767" s="54" t="s">
        <v>3033</v>
      </c>
      <c r="D1767" s="41"/>
      <c r="E1767" s="41" t="s">
        <v>197</v>
      </c>
      <c r="F1767" s="18" t="s">
        <v>622</v>
      </c>
      <c r="G1767" s="41" t="s">
        <v>3034</v>
      </c>
      <c r="H1767" s="41" t="s">
        <v>453</v>
      </c>
      <c r="I1767" s="41" t="s">
        <v>535</v>
      </c>
      <c r="J1767" s="41" t="s">
        <v>188</v>
      </c>
      <c r="K1767" s="41"/>
      <c r="L1767" s="42"/>
    </row>
    <row r="1768">
      <c r="A1768" s="15">
        <v>1767.0</v>
      </c>
      <c r="B1768" s="39">
        <v>45941.0</v>
      </c>
      <c r="C1768" s="54" t="s">
        <v>3035</v>
      </c>
      <c r="D1768" s="41"/>
      <c r="E1768" s="41" t="s">
        <v>197</v>
      </c>
      <c r="F1768" s="18" t="s">
        <v>622</v>
      </c>
      <c r="G1768" s="41" t="s">
        <v>3034</v>
      </c>
      <c r="H1768" s="41" t="s">
        <v>453</v>
      </c>
      <c r="I1768" s="41" t="s">
        <v>535</v>
      </c>
      <c r="J1768" s="41" t="s">
        <v>188</v>
      </c>
      <c r="K1768" s="41"/>
      <c r="L1768" s="42"/>
    </row>
    <row r="1769">
      <c r="A1769" s="15">
        <v>1768.0</v>
      </c>
      <c r="B1769" s="39">
        <v>45941.0</v>
      </c>
      <c r="C1769" s="54" t="s">
        <v>3036</v>
      </c>
      <c r="D1769" s="41"/>
      <c r="E1769" s="41" t="s">
        <v>197</v>
      </c>
      <c r="F1769" s="18" t="s">
        <v>622</v>
      </c>
      <c r="G1769" s="41" t="s">
        <v>3034</v>
      </c>
      <c r="H1769" s="41" t="s">
        <v>453</v>
      </c>
      <c r="I1769" s="41" t="s">
        <v>535</v>
      </c>
      <c r="J1769" s="41" t="s">
        <v>188</v>
      </c>
      <c r="K1769" s="41"/>
      <c r="L1769" s="42"/>
    </row>
    <row r="1770">
      <c r="A1770" s="15">
        <v>1769.0</v>
      </c>
      <c r="B1770" s="39">
        <v>45941.0</v>
      </c>
      <c r="C1770" s="54" t="s">
        <v>3037</v>
      </c>
      <c r="D1770" s="41"/>
      <c r="E1770" s="41" t="s">
        <v>197</v>
      </c>
      <c r="F1770" s="18" t="s">
        <v>622</v>
      </c>
      <c r="G1770" s="41" t="s">
        <v>3034</v>
      </c>
      <c r="H1770" s="41" t="s">
        <v>453</v>
      </c>
      <c r="I1770" s="41" t="s">
        <v>535</v>
      </c>
      <c r="J1770" s="41" t="s">
        <v>188</v>
      </c>
      <c r="K1770" s="41"/>
      <c r="L1770" s="42"/>
    </row>
    <row r="1771">
      <c r="A1771" s="15">
        <v>1770.0</v>
      </c>
      <c r="B1771" s="39">
        <v>45941.0</v>
      </c>
      <c r="C1771" s="54" t="s">
        <v>3038</v>
      </c>
      <c r="D1771" s="41"/>
      <c r="E1771" s="41" t="s">
        <v>197</v>
      </c>
      <c r="F1771" s="18" t="s">
        <v>686</v>
      </c>
      <c r="G1771" s="41" t="s">
        <v>3034</v>
      </c>
      <c r="H1771" s="41" t="s">
        <v>453</v>
      </c>
      <c r="I1771" s="41" t="s">
        <v>535</v>
      </c>
      <c r="J1771" s="41" t="s">
        <v>188</v>
      </c>
      <c r="K1771" s="41"/>
      <c r="L1771" s="42"/>
    </row>
    <row r="1772">
      <c r="A1772" s="15">
        <v>1771.0</v>
      </c>
      <c r="B1772" s="39">
        <v>45941.0</v>
      </c>
      <c r="C1772" s="54" t="s">
        <v>3039</v>
      </c>
      <c r="D1772" s="41"/>
      <c r="E1772" s="41" t="s">
        <v>197</v>
      </c>
      <c r="F1772" s="18" t="s">
        <v>686</v>
      </c>
      <c r="G1772" s="41" t="s">
        <v>3040</v>
      </c>
      <c r="H1772" s="41" t="s">
        <v>453</v>
      </c>
      <c r="I1772" s="41" t="s">
        <v>535</v>
      </c>
      <c r="J1772" s="41" t="s">
        <v>188</v>
      </c>
      <c r="K1772" s="41"/>
      <c r="L1772" s="42"/>
    </row>
    <row r="1773">
      <c r="A1773" s="15">
        <v>1772.0</v>
      </c>
      <c r="B1773" s="39">
        <v>45941.0</v>
      </c>
      <c r="C1773" s="54" t="s">
        <v>3041</v>
      </c>
      <c r="D1773" s="41"/>
      <c r="E1773" s="41" t="s">
        <v>197</v>
      </c>
      <c r="F1773" s="18" t="s">
        <v>686</v>
      </c>
      <c r="G1773" s="41" t="s">
        <v>3042</v>
      </c>
      <c r="H1773" s="41" t="s">
        <v>453</v>
      </c>
      <c r="I1773" s="41" t="s">
        <v>535</v>
      </c>
      <c r="J1773" s="41" t="s">
        <v>188</v>
      </c>
      <c r="K1773" s="41"/>
      <c r="L1773" s="42"/>
    </row>
    <row r="1774">
      <c r="A1774" s="15">
        <v>1773.0</v>
      </c>
      <c r="B1774" s="39">
        <v>45941.0</v>
      </c>
      <c r="C1774" s="54" t="s">
        <v>3043</v>
      </c>
      <c r="D1774" s="41"/>
      <c r="E1774" s="41" t="s">
        <v>197</v>
      </c>
      <c r="F1774" s="18" t="s">
        <v>686</v>
      </c>
      <c r="G1774" s="41" t="s">
        <v>3042</v>
      </c>
      <c r="H1774" s="41" t="s">
        <v>453</v>
      </c>
      <c r="I1774" s="41" t="s">
        <v>535</v>
      </c>
      <c r="J1774" s="41" t="s">
        <v>188</v>
      </c>
      <c r="K1774" s="41"/>
      <c r="L1774" s="42"/>
    </row>
    <row r="1775">
      <c r="A1775" s="15">
        <v>1774.0</v>
      </c>
      <c r="B1775" s="39">
        <v>45941.0</v>
      </c>
      <c r="C1775" s="54" t="s">
        <v>3044</v>
      </c>
      <c r="D1775" s="41"/>
      <c r="E1775" s="41" t="s">
        <v>197</v>
      </c>
      <c r="F1775" s="18" t="s">
        <v>686</v>
      </c>
      <c r="G1775" s="41" t="s">
        <v>3042</v>
      </c>
      <c r="H1775" s="41" t="s">
        <v>453</v>
      </c>
      <c r="I1775" s="41" t="s">
        <v>535</v>
      </c>
      <c r="J1775" s="41" t="s">
        <v>188</v>
      </c>
      <c r="K1775" s="41"/>
      <c r="L1775" s="42"/>
    </row>
    <row r="1776">
      <c r="A1776" s="15">
        <v>1775.0</v>
      </c>
      <c r="B1776" s="39">
        <v>45941.0</v>
      </c>
      <c r="C1776" s="54" t="s">
        <v>3045</v>
      </c>
      <c r="D1776" s="41"/>
      <c r="E1776" s="41" t="s">
        <v>197</v>
      </c>
      <c r="F1776" s="18" t="s">
        <v>686</v>
      </c>
      <c r="G1776" s="41" t="s">
        <v>3042</v>
      </c>
      <c r="H1776" s="41" t="s">
        <v>453</v>
      </c>
      <c r="I1776" s="41" t="s">
        <v>535</v>
      </c>
      <c r="J1776" s="41" t="s">
        <v>188</v>
      </c>
      <c r="K1776" s="41"/>
      <c r="L1776" s="42"/>
    </row>
    <row r="1777">
      <c r="A1777" s="15">
        <v>1776.0</v>
      </c>
      <c r="B1777" s="39">
        <v>45941.0</v>
      </c>
      <c r="C1777" s="54" t="s">
        <v>3046</v>
      </c>
      <c r="D1777" s="41"/>
      <c r="E1777" s="41" t="s">
        <v>197</v>
      </c>
      <c r="F1777" s="18" t="s">
        <v>686</v>
      </c>
      <c r="G1777" s="41" t="s">
        <v>3042</v>
      </c>
      <c r="H1777" s="41" t="s">
        <v>453</v>
      </c>
      <c r="I1777" s="41" t="s">
        <v>535</v>
      </c>
      <c r="J1777" s="41" t="s">
        <v>188</v>
      </c>
      <c r="K1777" s="41"/>
      <c r="L1777" s="42"/>
    </row>
    <row r="1778">
      <c r="A1778" s="15">
        <v>1777.0</v>
      </c>
      <c r="B1778" s="39">
        <v>45941.0</v>
      </c>
      <c r="C1778" s="54" t="s">
        <v>3047</v>
      </c>
      <c r="D1778" s="41"/>
      <c r="E1778" s="41" t="s">
        <v>197</v>
      </c>
      <c r="F1778" s="18" t="s">
        <v>622</v>
      </c>
      <c r="G1778" s="41" t="s">
        <v>3048</v>
      </c>
      <c r="H1778" s="41" t="s">
        <v>453</v>
      </c>
      <c r="I1778" s="41" t="s">
        <v>535</v>
      </c>
      <c r="J1778" s="41" t="s">
        <v>188</v>
      </c>
      <c r="K1778" s="41"/>
      <c r="L1778" s="42"/>
    </row>
    <row r="1779">
      <c r="A1779" s="15">
        <v>1778.0</v>
      </c>
      <c r="B1779" s="39">
        <v>45941.0</v>
      </c>
      <c r="C1779" s="54" t="s">
        <v>3049</v>
      </c>
      <c r="D1779" s="41"/>
      <c r="E1779" s="41" t="s">
        <v>197</v>
      </c>
      <c r="F1779" s="18" t="s">
        <v>622</v>
      </c>
      <c r="G1779" s="41" t="s">
        <v>3050</v>
      </c>
      <c r="H1779" s="41" t="s">
        <v>453</v>
      </c>
      <c r="I1779" s="41" t="s">
        <v>535</v>
      </c>
      <c r="J1779" s="41" t="s">
        <v>188</v>
      </c>
      <c r="K1779" s="41"/>
      <c r="L1779" s="42"/>
    </row>
    <row r="1780">
      <c r="A1780" s="15">
        <v>1779.0</v>
      </c>
      <c r="B1780" s="39">
        <v>45941.0</v>
      </c>
      <c r="C1780" s="54" t="s">
        <v>3051</v>
      </c>
      <c r="D1780" s="41"/>
      <c r="E1780" s="41" t="s">
        <v>197</v>
      </c>
      <c r="F1780" s="18" t="s">
        <v>622</v>
      </c>
      <c r="G1780" s="41" t="s">
        <v>3052</v>
      </c>
      <c r="H1780" s="41" t="s">
        <v>453</v>
      </c>
      <c r="I1780" s="41" t="s">
        <v>535</v>
      </c>
      <c r="J1780" s="41" t="s">
        <v>188</v>
      </c>
      <c r="K1780" s="41"/>
      <c r="L1780" s="42"/>
    </row>
    <row r="1781">
      <c r="A1781" s="15">
        <v>1780.0</v>
      </c>
      <c r="B1781" s="39">
        <v>45941.0</v>
      </c>
      <c r="C1781" s="54" t="s">
        <v>3053</v>
      </c>
      <c r="D1781" s="41"/>
      <c r="E1781" s="41" t="s">
        <v>197</v>
      </c>
      <c r="F1781" s="18" t="s">
        <v>622</v>
      </c>
      <c r="G1781" s="41" t="s">
        <v>3054</v>
      </c>
      <c r="H1781" s="41" t="s">
        <v>453</v>
      </c>
      <c r="I1781" s="41" t="s">
        <v>535</v>
      </c>
      <c r="J1781" s="41" t="s">
        <v>188</v>
      </c>
      <c r="K1781" s="41"/>
      <c r="L1781" s="42"/>
    </row>
    <row r="1782">
      <c r="A1782" s="15">
        <v>1781.0</v>
      </c>
      <c r="B1782" s="39">
        <v>45941.0</v>
      </c>
      <c r="C1782" s="54" t="s">
        <v>3055</v>
      </c>
      <c r="D1782" s="41"/>
      <c r="E1782" s="41" t="s">
        <v>197</v>
      </c>
      <c r="F1782" s="18" t="s">
        <v>622</v>
      </c>
      <c r="G1782" s="41" t="s">
        <v>3056</v>
      </c>
      <c r="H1782" s="41" t="s">
        <v>453</v>
      </c>
      <c r="I1782" s="41" t="s">
        <v>535</v>
      </c>
      <c r="J1782" s="41" t="s">
        <v>188</v>
      </c>
      <c r="K1782" s="41"/>
      <c r="L1782" s="42"/>
    </row>
    <row r="1783">
      <c r="A1783" s="15">
        <v>1782.0</v>
      </c>
      <c r="B1783" s="39">
        <v>45942.0</v>
      </c>
      <c r="C1783" s="54" t="s">
        <v>3057</v>
      </c>
      <c r="D1783" s="41"/>
      <c r="E1783" s="41" t="s">
        <v>197</v>
      </c>
      <c r="F1783" s="18" t="s">
        <v>405</v>
      </c>
      <c r="G1783" s="41" t="s">
        <v>3058</v>
      </c>
      <c r="H1783" s="41" t="s">
        <v>1782</v>
      </c>
      <c r="I1783" s="41" t="s">
        <v>535</v>
      </c>
      <c r="J1783" s="41" t="s">
        <v>188</v>
      </c>
      <c r="K1783" s="41"/>
      <c r="L1783" s="42"/>
    </row>
    <row r="1784">
      <c r="A1784" s="15">
        <v>1783.0</v>
      </c>
      <c r="B1784" s="39">
        <v>45942.0</v>
      </c>
      <c r="C1784" s="54" t="s">
        <v>3059</v>
      </c>
      <c r="D1784" s="41"/>
      <c r="E1784" s="41" t="s">
        <v>197</v>
      </c>
      <c r="F1784" s="18" t="s">
        <v>405</v>
      </c>
      <c r="G1784" s="41" t="s">
        <v>3058</v>
      </c>
      <c r="H1784" s="41"/>
      <c r="I1784" s="41"/>
      <c r="J1784" s="41" t="s">
        <v>188</v>
      </c>
      <c r="K1784" s="41"/>
      <c r="L1784" s="42"/>
    </row>
    <row r="1785">
      <c r="A1785" s="15">
        <v>1784.0</v>
      </c>
      <c r="B1785" s="39">
        <v>45942.0</v>
      </c>
      <c r="C1785" s="40" t="s">
        <v>3060</v>
      </c>
      <c r="D1785" s="41"/>
      <c r="E1785" s="41" t="s">
        <v>197</v>
      </c>
      <c r="F1785" s="18" t="s">
        <v>405</v>
      </c>
      <c r="G1785" s="41" t="s">
        <v>3061</v>
      </c>
      <c r="H1785" s="41"/>
      <c r="I1785" s="41"/>
      <c r="J1785" s="41" t="s">
        <v>188</v>
      </c>
      <c r="K1785" s="41"/>
      <c r="L1785" s="42"/>
    </row>
    <row r="1786">
      <c r="A1786" s="15">
        <v>1785.0</v>
      </c>
      <c r="B1786" s="39">
        <v>45942.0</v>
      </c>
      <c r="C1786" s="40" t="s">
        <v>3062</v>
      </c>
      <c r="D1786" s="41"/>
      <c r="E1786" s="41" t="s">
        <v>197</v>
      </c>
      <c r="F1786" s="18" t="s">
        <v>405</v>
      </c>
      <c r="G1786" s="41" t="s">
        <v>3063</v>
      </c>
      <c r="H1786" s="41"/>
      <c r="I1786" s="41"/>
      <c r="J1786" s="41" t="s">
        <v>188</v>
      </c>
      <c r="K1786" s="41"/>
      <c r="L1786" s="42"/>
    </row>
    <row r="1787">
      <c r="A1787" s="15">
        <v>1786.0</v>
      </c>
      <c r="B1787" s="39">
        <v>45942.0</v>
      </c>
      <c r="C1787" s="40" t="s">
        <v>3064</v>
      </c>
      <c r="D1787" s="41"/>
      <c r="E1787" s="41" t="s">
        <v>747</v>
      </c>
      <c r="F1787" s="18" t="s">
        <v>622</v>
      </c>
      <c r="G1787" s="41" t="s">
        <v>3065</v>
      </c>
      <c r="H1787" s="41"/>
      <c r="I1787" s="41"/>
      <c r="J1787" s="41" t="s">
        <v>188</v>
      </c>
      <c r="K1787" s="41"/>
      <c r="L1787" s="42"/>
    </row>
    <row r="1788">
      <c r="A1788" s="15">
        <v>1787.0</v>
      </c>
      <c r="B1788" s="39">
        <v>45942.0</v>
      </c>
      <c r="C1788" s="40" t="s">
        <v>3066</v>
      </c>
      <c r="D1788" s="41"/>
      <c r="E1788" s="41" t="s">
        <v>747</v>
      </c>
      <c r="F1788" s="18" t="s">
        <v>622</v>
      </c>
      <c r="G1788" s="41" t="s">
        <v>3067</v>
      </c>
      <c r="H1788" s="41"/>
      <c r="I1788" s="41"/>
      <c r="J1788" s="41" t="s">
        <v>188</v>
      </c>
      <c r="K1788" s="41"/>
      <c r="L1788" s="42"/>
    </row>
    <row r="1789">
      <c r="A1789" s="15">
        <v>1788.0</v>
      </c>
      <c r="B1789" s="39">
        <v>45942.0</v>
      </c>
      <c r="C1789" s="40" t="s">
        <v>3068</v>
      </c>
      <c r="D1789" s="41"/>
      <c r="E1789" s="41" t="s">
        <v>197</v>
      </c>
      <c r="F1789" s="18" t="s">
        <v>622</v>
      </c>
      <c r="G1789" s="41" t="s">
        <v>3069</v>
      </c>
      <c r="H1789" s="41"/>
      <c r="I1789" s="41"/>
      <c r="J1789" s="41" t="s">
        <v>188</v>
      </c>
      <c r="K1789" s="41"/>
      <c r="L1789" s="42"/>
    </row>
    <row r="1790">
      <c r="A1790" s="15">
        <v>1789.0</v>
      </c>
      <c r="B1790" s="39">
        <v>45942.0</v>
      </c>
      <c r="C1790" s="40" t="s">
        <v>3070</v>
      </c>
      <c r="D1790" s="41"/>
      <c r="E1790" s="41" t="s">
        <v>197</v>
      </c>
      <c r="F1790" s="18" t="s">
        <v>622</v>
      </c>
      <c r="G1790" s="41" t="s">
        <v>3071</v>
      </c>
      <c r="H1790" s="41"/>
      <c r="I1790" s="41"/>
      <c r="J1790" s="41" t="s">
        <v>188</v>
      </c>
      <c r="K1790" s="41"/>
      <c r="L1790" s="42"/>
    </row>
    <row r="1791">
      <c r="A1791" s="15">
        <v>1790.0</v>
      </c>
      <c r="B1791" s="39">
        <v>45942.0</v>
      </c>
      <c r="C1791" s="40" t="s">
        <v>3072</v>
      </c>
      <c r="D1791" s="41"/>
      <c r="E1791" s="41" t="s">
        <v>197</v>
      </c>
      <c r="F1791" s="18" t="s">
        <v>622</v>
      </c>
      <c r="G1791" s="41" t="s">
        <v>3073</v>
      </c>
      <c r="H1791" s="41"/>
      <c r="I1791" s="41"/>
      <c r="J1791" s="41" t="s">
        <v>188</v>
      </c>
      <c r="K1791" s="41"/>
      <c r="L1791" s="42"/>
    </row>
    <row r="1792">
      <c r="A1792" s="15">
        <v>1791.0</v>
      </c>
      <c r="B1792" s="39">
        <v>45942.0</v>
      </c>
      <c r="C1792" s="40" t="s">
        <v>3074</v>
      </c>
      <c r="D1792" s="41"/>
      <c r="E1792" s="41" t="s">
        <v>197</v>
      </c>
      <c r="F1792" s="18" t="s">
        <v>622</v>
      </c>
      <c r="G1792" s="41" t="s">
        <v>3075</v>
      </c>
      <c r="H1792" s="41"/>
      <c r="I1792" s="41"/>
      <c r="J1792" s="41" t="s">
        <v>188</v>
      </c>
      <c r="K1792" s="41"/>
      <c r="L1792" s="42"/>
    </row>
    <row r="1793">
      <c r="A1793" s="15">
        <v>1792.0</v>
      </c>
      <c r="B1793" s="39">
        <v>45942.0</v>
      </c>
      <c r="C1793" s="40" t="s">
        <v>3076</v>
      </c>
      <c r="D1793" s="41"/>
      <c r="E1793" s="41" t="s">
        <v>184</v>
      </c>
      <c r="F1793" s="18" t="s">
        <v>405</v>
      </c>
      <c r="G1793" s="41" t="s">
        <v>3077</v>
      </c>
      <c r="H1793" s="41"/>
      <c r="I1793" s="41"/>
      <c r="J1793" s="41" t="s">
        <v>188</v>
      </c>
      <c r="K1793" s="41"/>
      <c r="L1793" s="42"/>
    </row>
    <row r="1794">
      <c r="A1794" s="15">
        <v>1793.0</v>
      </c>
      <c r="B1794" s="39">
        <v>45942.0</v>
      </c>
      <c r="C1794" s="40" t="s">
        <v>3078</v>
      </c>
      <c r="D1794" s="41"/>
      <c r="E1794" s="41" t="s">
        <v>197</v>
      </c>
      <c r="F1794" s="18" t="s">
        <v>405</v>
      </c>
      <c r="G1794" s="41" t="s">
        <v>3079</v>
      </c>
      <c r="H1794" s="41"/>
      <c r="I1794" s="41"/>
      <c r="J1794" s="41" t="s">
        <v>188</v>
      </c>
      <c r="K1794" s="41"/>
      <c r="L1794" s="42"/>
    </row>
    <row r="1795">
      <c r="A1795" s="15">
        <v>1794.0</v>
      </c>
      <c r="B1795" s="39">
        <v>45942.0</v>
      </c>
      <c r="C1795" s="40" t="s">
        <v>3080</v>
      </c>
      <c r="D1795" s="41"/>
      <c r="E1795" s="41" t="s">
        <v>197</v>
      </c>
      <c r="F1795" s="18" t="s">
        <v>405</v>
      </c>
      <c r="G1795" s="41" t="s">
        <v>3081</v>
      </c>
      <c r="H1795" s="41"/>
      <c r="I1795" s="41"/>
      <c r="J1795" s="41" t="s">
        <v>188</v>
      </c>
      <c r="K1795" s="41"/>
      <c r="L1795" s="42"/>
    </row>
    <row r="1796">
      <c r="A1796" s="15">
        <v>1795.0</v>
      </c>
      <c r="B1796" s="39">
        <v>45942.0</v>
      </c>
      <c r="C1796" s="40" t="s">
        <v>3082</v>
      </c>
      <c r="D1796" s="41"/>
      <c r="E1796" s="41" t="s">
        <v>197</v>
      </c>
      <c r="F1796" s="18" t="s">
        <v>405</v>
      </c>
      <c r="G1796" s="41" t="s">
        <v>3083</v>
      </c>
      <c r="H1796" s="41"/>
      <c r="I1796" s="41"/>
      <c r="J1796" s="41" t="s">
        <v>188</v>
      </c>
      <c r="K1796" s="41"/>
      <c r="L1796" s="42"/>
    </row>
    <row r="1797">
      <c r="A1797" s="15">
        <v>1796.0</v>
      </c>
      <c r="B1797" s="39">
        <v>45942.0</v>
      </c>
      <c r="C1797" s="40" t="s">
        <v>3084</v>
      </c>
      <c r="D1797" s="41"/>
      <c r="E1797" s="41" t="s">
        <v>197</v>
      </c>
      <c r="F1797" s="18" t="s">
        <v>405</v>
      </c>
      <c r="G1797" s="41" t="s">
        <v>3085</v>
      </c>
      <c r="H1797" s="41"/>
      <c r="I1797" s="41"/>
      <c r="J1797" s="41" t="s">
        <v>188</v>
      </c>
      <c r="K1797" s="41"/>
      <c r="L1797" s="42"/>
    </row>
    <row r="1798">
      <c r="A1798" s="15">
        <v>1797.0</v>
      </c>
      <c r="B1798" s="39">
        <v>45942.0</v>
      </c>
      <c r="C1798" s="40" t="s">
        <v>3086</v>
      </c>
      <c r="D1798" s="41"/>
      <c r="E1798" s="41" t="s">
        <v>197</v>
      </c>
      <c r="F1798" s="18" t="s">
        <v>622</v>
      </c>
      <c r="G1798" s="41" t="s">
        <v>3087</v>
      </c>
      <c r="H1798" s="41"/>
      <c r="I1798" s="41"/>
      <c r="J1798" s="41" t="s">
        <v>188</v>
      </c>
      <c r="K1798" s="41"/>
      <c r="L1798" s="42"/>
    </row>
    <row r="1799">
      <c r="A1799" s="15">
        <v>1798.0</v>
      </c>
      <c r="B1799" s="39">
        <v>45942.0</v>
      </c>
      <c r="C1799" s="40" t="s">
        <v>3088</v>
      </c>
      <c r="D1799" s="41"/>
      <c r="E1799" s="41" t="s">
        <v>197</v>
      </c>
      <c r="F1799" s="18" t="s">
        <v>622</v>
      </c>
      <c r="G1799" s="41" t="s">
        <v>3089</v>
      </c>
      <c r="H1799" s="41"/>
      <c r="I1799" s="41"/>
      <c r="J1799" s="41" t="s">
        <v>188</v>
      </c>
      <c r="K1799" s="41"/>
      <c r="L1799" s="42"/>
    </row>
    <row r="1800">
      <c r="A1800" s="15">
        <v>1799.0</v>
      </c>
      <c r="B1800" s="39">
        <v>45942.0</v>
      </c>
      <c r="C1800" s="40" t="s">
        <v>3090</v>
      </c>
      <c r="D1800" s="41"/>
      <c r="E1800" s="41" t="s">
        <v>197</v>
      </c>
      <c r="F1800" s="18" t="s">
        <v>622</v>
      </c>
      <c r="G1800" s="41" t="s">
        <v>3089</v>
      </c>
      <c r="H1800" s="41"/>
      <c r="I1800" s="41"/>
      <c r="J1800" s="41" t="s">
        <v>188</v>
      </c>
      <c r="K1800" s="41"/>
      <c r="L1800" s="42"/>
    </row>
    <row r="1801">
      <c r="A1801" s="15">
        <v>1800.0</v>
      </c>
      <c r="B1801" s="39">
        <v>45942.0</v>
      </c>
      <c r="C1801" s="40" t="s">
        <v>3091</v>
      </c>
      <c r="D1801" s="41"/>
      <c r="E1801" s="41" t="s">
        <v>197</v>
      </c>
      <c r="F1801" s="18" t="s">
        <v>622</v>
      </c>
      <c r="G1801" s="41" t="s">
        <v>3089</v>
      </c>
      <c r="H1801" s="41"/>
      <c r="I1801" s="41"/>
      <c r="J1801" s="41" t="s">
        <v>188</v>
      </c>
      <c r="K1801" s="41"/>
      <c r="L1801" s="42"/>
    </row>
    <row r="1802">
      <c r="A1802" s="15">
        <v>1801.0</v>
      </c>
      <c r="B1802" s="39">
        <v>45942.0</v>
      </c>
      <c r="C1802" s="40" t="s">
        <v>3092</v>
      </c>
      <c r="D1802" s="41"/>
      <c r="E1802" s="41"/>
      <c r="F1802" s="18" t="s">
        <v>622</v>
      </c>
      <c r="G1802" s="41" t="s">
        <v>3029</v>
      </c>
      <c r="H1802" s="41" t="s">
        <v>410</v>
      </c>
      <c r="I1802" s="41"/>
      <c r="J1802" s="41" t="s">
        <v>422</v>
      </c>
      <c r="K1802" s="41"/>
      <c r="L1802" s="42"/>
    </row>
    <row r="1803">
      <c r="A1803" s="15">
        <v>1802.0</v>
      </c>
      <c r="B1803" s="55"/>
      <c r="C1803" s="40"/>
      <c r="D1803" s="41"/>
      <c r="E1803" s="41"/>
      <c r="F1803" s="18" t="b">
        <v>0</v>
      </c>
      <c r="G1803" s="41"/>
      <c r="H1803" s="41"/>
      <c r="I1803" s="41"/>
      <c r="J1803" s="41"/>
      <c r="K1803" s="41"/>
      <c r="L1803" s="42"/>
    </row>
    <row r="1804">
      <c r="A1804" s="15">
        <v>1803.0</v>
      </c>
      <c r="B1804" s="39">
        <v>45942.0</v>
      </c>
      <c r="C1804" s="40" t="s">
        <v>3093</v>
      </c>
      <c r="D1804" s="41"/>
      <c r="E1804" s="41"/>
      <c r="F1804" s="18" t="s">
        <v>702</v>
      </c>
      <c r="G1804" s="41" t="s">
        <v>3094</v>
      </c>
      <c r="H1804" s="41" t="s">
        <v>410</v>
      </c>
      <c r="I1804" s="41"/>
      <c r="J1804" s="41" t="s">
        <v>422</v>
      </c>
      <c r="K1804" s="41"/>
      <c r="L1804" s="42"/>
    </row>
    <row r="1805">
      <c r="A1805" s="15">
        <v>1804.0</v>
      </c>
      <c r="B1805" s="55"/>
      <c r="C1805" s="40"/>
      <c r="D1805" s="41"/>
      <c r="E1805" s="41"/>
      <c r="F1805" s="18" t="b">
        <v>0</v>
      </c>
      <c r="G1805" s="41"/>
      <c r="H1805" s="41"/>
      <c r="I1805" s="41"/>
      <c r="J1805" s="41"/>
      <c r="K1805" s="41"/>
      <c r="L1805" s="42"/>
    </row>
    <row r="1806">
      <c r="A1806" s="15">
        <v>1805.0</v>
      </c>
      <c r="B1806" s="39">
        <v>45942.0</v>
      </c>
      <c r="C1806" s="40" t="s">
        <v>3095</v>
      </c>
      <c r="D1806" s="41"/>
      <c r="E1806" s="41"/>
      <c r="F1806" s="18" t="s">
        <v>702</v>
      </c>
      <c r="G1806" s="41" t="s">
        <v>3094</v>
      </c>
      <c r="H1806" s="41" t="s">
        <v>410</v>
      </c>
      <c r="I1806" s="41"/>
      <c r="J1806" s="41" t="s">
        <v>422</v>
      </c>
      <c r="K1806" s="41"/>
      <c r="L1806" s="42"/>
    </row>
    <row r="1807">
      <c r="A1807" s="15">
        <v>1806.0</v>
      </c>
      <c r="B1807" s="55"/>
      <c r="C1807" s="40"/>
      <c r="D1807" s="41"/>
      <c r="E1807" s="41"/>
      <c r="F1807" s="18" t="b">
        <v>0</v>
      </c>
      <c r="G1807" s="41"/>
      <c r="H1807" s="41"/>
      <c r="I1807" s="41"/>
      <c r="J1807" s="41"/>
      <c r="K1807" s="41"/>
      <c r="L1807" s="42"/>
    </row>
    <row r="1808">
      <c r="A1808" s="15">
        <v>1807.0</v>
      </c>
      <c r="B1808" s="39">
        <v>45942.0</v>
      </c>
      <c r="C1808" s="40" t="s">
        <v>3096</v>
      </c>
      <c r="D1808" s="41"/>
      <c r="E1808" s="41"/>
      <c r="F1808" s="18" t="s">
        <v>702</v>
      </c>
      <c r="G1808" s="41" t="s">
        <v>3094</v>
      </c>
      <c r="H1808" s="41" t="s">
        <v>410</v>
      </c>
      <c r="I1808" s="41"/>
      <c r="J1808" s="41" t="s">
        <v>422</v>
      </c>
      <c r="K1808" s="41"/>
      <c r="L1808" s="42"/>
    </row>
    <row r="1809">
      <c r="A1809" s="15">
        <v>1808.0</v>
      </c>
      <c r="B1809" s="55"/>
      <c r="C1809" s="40"/>
      <c r="D1809" s="41"/>
      <c r="E1809" s="41"/>
      <c r="F1809" s="18" t="b">
        <v>0</v>
      </c>
      <c r="G1809" s="41"/>
      <c r="H1809" s="41"/>
      <c r="I1809" s="41"/>
      <c r="J1809" s="41"/>
      <c r="K1809" s="41"/>
      <c r="L1809" s="42"/>
    </row>
    <row r="1810">
      <c r="A1810" s="15">
        <v>1809.0</v>
      </c>
      <c r="B1810" s="39">
        <v>45943.0</v>
      </c>
      <c r="C1810" s="40" t="s">
        <v>3097</v>
      </c>
      <c r="D1810" s="41"/>
      <c r="E1810" s="41" t="s">
        <v>197</v>
      </c>
      <c r="F1810" s="18" t="s">
        <v>622</v>
      </c>
      <c r="G1810" s="41" t="s">
        <v>3098</v>
      </c>
      <c r="H1810" s="41" t="s">
        <v>1782</v>
      </c>
      <c r="I1810" s="41" t="s">
        <v>535</v>
      </c>
      <c r="J1810" s="41" t="s">
        <v>188</v>
      </c>
      <c r="K1810" s="41"/>
      <c r="L1810" s="42"/>
    </row>
    <row r="1811">
      <c r="A1811" s="15">
        <v>1810.0</v>
      </c>
      <c r="B1811" s="39">
        <v>45943.0</v>
      </c>
      <c r="C1811" s="40" t="s">
        <v>3099</v>
      </c>
      <c r="D1811" s="41"/>
      <c r="E1811" s="41" t="s">
        <v>747</v>
      </c>
      <c r="F1811" s="18" t="s">
        <v>622</v>
      </c>
      <c r="G1811" s="41" t="s">
        <v>3100</v>
      </c>
      <c r="H1811" s="41"/>
      <c r="I1811" s="41"/>
      <c r="J1811" s="41" t="s">
        <v>188</v>
      </c>
      <c r="K1811" s="41"/>
      <c r="L1811" s="42"/>
    </row>
    <row r="1812">
      <c r="A1812" s="15">
        <v>1811.0</v>
      </c>
      <c r="B1812" s="39">
        <v>45943.0</v>
      </c>
      <c r="C1812" s="40" t="s">
        <v>3101</v>
      </c>
      <c r="D1812" s="41"/>
      <c r="E1812" s="41" t="s">
        <v>197</v>
      </c>
      <c r="F1812" s="18" t="s">
        <v>405</v>
      </c>
      <c r="G1812" s="41" t="s">
        <v>3102</v>
      </c>
      <c r="H1812" s="41"/>
      <c r="I1812" s="41"/>
      <c r="J1812" s="41" t="s">
        <v>188</v>
      </c>
      <c r="K1812" s="41"/>
      <c r="L1812" s="42"/>
    </row>
    <row r="1813">
      <c r="A1813" s="15">
        <v>1812.0</v>
      </c>
      <c r="B1813" s="39">
        <v>45943.0</v>
      </c>
      <c r="C1813" s="40" t="s">
        <v>3103</v>
      </c>
      <c r="D1813" s="41"/>
      <c r="E1813" s="41" t="s">
        <v>747</v>
      </c>
      <c r="F1813" s="18" t="s">
        <v>405</v>
      </c>
      <c r="G1813" s="41" t="s">
        <v>3104</v>
      </c>
      <c r="H1813" s="41"/>
      <c r="I1813" s="41"/>
      <c r="J1813" s="41" t="s">
        <v>188</v>
      </c>
      <c r="K1813" s="41"/>
      <c r="L1813" s="42"/>
    </row>
    <row r="1814">
      <c r="A1814" s="15">
        <v>1813.0</v>
      </c>
      <c r="B1814" s="39">
        <v>45943.0</v>
      </c>
      <c r="C1814" s="40" t="s">
        <v>3105</v>
      </c>
      <c r="D1814" s="41"/>
      <c r="E1814" s="41" t="s">
        <v>197</v>
      </c>
      <c r="F1814" s="18" t="s">
        <v>405</v>
      </c>
      <c r="G1814" s="41" t="s">
        <v>3106</v>
      </c>
      <c r="H1814" s="41"/>
      <c r="I1814" s="41"/>
      <c r="J1814" s="41" t="s">
        <v>188</v>
      </c>
      <c r="K1814" s="41"/>
      <c r="L1814" s="42"/>
    </row>
    <row r="1815">
      <c r="A1815" s="15">
        <v>1814.0</v>
      </c>
      <c r="B1815" s="39">
        <v>45943.0</v>
      </c>
      <c r="C1815" s="40" t="s">
        <v>3107</v>
      </c>
      <c r="D1815" s="41"/>
      <c r="E1815" s="41" t="s">
        <v>197</v>
      </c>
      <c r="F1815" s="18" t="s">
        <v>405</v>
      </c>
      <c r="G1815" s="41" t="s">
        <v>3108</v>
      </c>
      <c r="H1815" s="41"/>
      <c r="I1815" s="41"/>
      <c r="J1815" s="41" t="s">
        <v>188</v>
      </c>
      <c r="K1815" s="41"/>
      <c r="L1815" s="42"/>
    </row>
    <row r="1816">
      <c r="A1816" s="15">
        <v>1815.0</v>
      </c>
      <c r="B1816" s="39">
        <v>45943.0</v>
      </c>
      <c r="C1816" s="40" t="s">
        <v>3109</v>
      </c>
      <c r="D1816" s="41"/>
      <c r="E1816" s="41" t="s">
        <v>197</v>
      </c>
      <c r="F1816" s="18" t="s">
        <v>405</v>
      </c>
      <c r="G1816" s="41" t="s">
        <v>3110</v>
      </c>
      <c r="H1816" s="41"/>
      <c r="I1816" s="41"/>
      <c r="J1816" s="41" t="s">
        <v>188</v>
      </c>
      <c r="K1816" s="41"/>
      <c r="L1816" s="42"/>
    </row>
    <row r="1817">
      <c r="A1817" s="15">
        <v>1816.0</v>
      </c>
      <c r="B1817" s="39">
        <v>45943.0</v>
      </c>
      <c r="C1817" s="40" t="s">
        <v>3111</v>
      </c>
      <c r="D1817" s="41"/>
      <c r="E1817" s="41" t="s">
        <v>197</v>
      </c>
      <c r="F1817" s="18" t="s">
        <v>405</v>
      </c>
      <c r="G1817" s="41" t="s">
        <v>3112</v>
      </c>
      <c r="H1817" s="41"/>
      <c r="I1817" s="41"/>
      <c r="J1817" s="41" t="s">
        <v>188</v>
      </c>
      <c r="K1817" s="41"/>
      <c r="L1817" s="42"/>
    </row>
    <row r="1818">
      <c r="A1818" s="15">
        <v>1817.0</v>
      </c>
      <c r="B1818" s="39">
        <v>45943.0</v>
      </c>
      <c r="C1818" s="40" t="s">
        <v>3113</v>
      </c>
      <c r="D1818" s="41"/>
      <c r="E1818" s="41" t="s">
        <v>197</v>
      </c>
      <c r="F1818" s="18" t="s">
        <v>405</v>
      </c>
      <c r="G1818" s="41" t="s">
        <v>3114</v>
      </c>
      <c r="H1818" s="41"/>
      <c r="I1818" s="41"/>
      <c r="J1818" s="41" t="s">
        <v>188</v>
      </c>
      <c r="K1818" s="41"/>
      <c r="L1818" s="42"/>
    </row>
    <row r="1819">
      <c r="A1819" s="15">
        <v>1818.0</v>
      </c>
      <c r="B1819" s="39">
        <v>45943.0</v>
      </c>
      <c r="C1819" s="40" t="s">
        <v>3115</v>
      </c>
      <c r="D1819" s="41"/>
      <c r="E1819" s="41" t="s">
        <v>197</v>
      </c>
      <c r="F1819" s="18" t="s">
        <v>405</v>
      </c>
      <c r="G1819" s="41" t="s">
        <v>3116</v>
      </c>
      <c r="H1819" s="41"/>
      <c r="I1819" s="41"/>
      <c r="J1819" s="41" t="s">
        <v>188</v>
      </c>
      <c r="K1819" s="41"/>
      <c r="L1819" s="42"/>
    </row>
    <row r="1820">
      <c r="A1820" s="15">
        <v>1819.0</v>
      </c>
      <c r="B1820" s="39">
        <v>45943.0</v>
      </c>
      <c r="C1820" s="40" t="s">
        <v>3117</v>
      </c>
      <c r="D1820" s="41"/>
      <c r="E1820" s="41" t="s">
        <v>197</v>
      </c>
      <c r="F1820" s="18" t="s">
        <v>622</v>
      </c>
      <c r="G1820" s="41" t="s">
        <v>3118</v>
      </c>
      <c r="H1820" s="41"/>
      <c r="I1820" s="41"/>
      <c r="J1820" s="41" t="s">
        <v>188</v>
      </c>
      <c r="K1820" s="41"/>
      <c r="L1820" s="42"/>
    </row>
    <row r="1821">
      <c r="A1821" s="15">
        <v>1820.0</v>
      </c>
      <c r="B1821" s="39">
        <v>45943.0</v>
      </c>
      <c r="C1821" s="40" t="s">
        <v>3119</v>
      </c>
      <c r="D1821" s="41"/>
      <c r="E1821" s="41" t="s">
        <v>197</v>
      </c>
      <c r="F1821" s="18" t="s">
        <v>405</v>
      </c>
      <c r="G1821" s="41" t="s">
        <v>3120</v>
      </c>
      <c r="H1821" s="41"/>
      <c r="I1821" s="41"/>
      <c r="J1821" s="41" t="s">
        <v>188</v>
      </c>
      <c r="K1821" s="41"/>
      <c r="L1821" s="42"/>
    </row>
    <row r="1822">
      <c r="A1822" s="15">
        <v>1821.0</v>
      </c>
      <c r="B1822" s="39">
        <v>45943.0</v>
      </c>
      <c r="C1822" s="40" t="s">
        <v>3121</v>
      </c>
      <c r="D1822" s="41"/>
      <c r="E1822" s="41" t="s">
        <v>401</v>
      </c>
      <c r="F1822" s="18" t="s">
        <v>622</v>
      </c>
      <c r="G1822" s="41" t="s">
        <v>937</v>
      </c>
      <c r="H1822" s="41" t="s">
        <v>1542</v>
      </c>
      <c r="I1822" s="41" t="s">
        <v>939</v>
      </c>
      <c r="J1822" s="41" t="s">
        <v>188</v>
      </c>
      <c r="K1822" s="41"/>
      <c r="L1822" s="42"/>
    </row>
    <row r="1823">
      <c r="A1823" s="15">
        <v>1822.0</v>
      </c>
      <c r="B1823" s="39">
        <v>45943.0</v>
      </c>
      <c r="C1823" s="40" t="s">
        <v>3122</v>
      </c>
      <c r="D1823" s="41"/>
      <c r="E1823" s="41" t="s">
        <v>401</v>
      </c>
      <c r="F1823" s="18" t="s">
        <v>622</v>
      </c>
      <c r="G1823" s="41" t="s">
        <v>937</v>
      </c>
      <c r="H1823" s="41" t="s">
        <v>1542</v>
      </c>
      <c r="I1823" s="41" t="s">
        <v>939</v>
      </c>
      <c r="J1823" s="41" t="s">
        <v>188</v>
      </c>
      <c r="K1823" s="41"/>
      <c r="L1823" s="42"/>
    </row>
    <row r="1824">
      <c r="A1824" s="15">
        <v>1823.0</v>
      </c>
      <c r="B1824" s="39">
        <v>45943.0</v>
      </c>
      <c r="C1824" s="40" t="s">
        <v>3123</v>
      </c>
      <c r="D1824" s="41"/>
      <c r="E1824" s="41" t="s">
        <v>401</v>
      </c>
      <c r="F1824" s="18" t="s">
        <v>622</v>
      </c>
      <c r="G1824" s="41" t="s">
        <v>937</v>
      </c>
      <c r="H1824" s="41" t="s">
        <v>1542</v>
      </c>
      <c r="I1824" s="41" t="s">
        <v>939</v>
      </c>
      <c r="J1824" s="41" t="s">
        <v>188</v>
      </c>
      <c r="K1824" s="41"/>
      <c r="L1824" s="42"/>
    </row>
    <row r="1825">
      <c r="A1825" s="15">
        <v>1824.0</v>
      </c>
      <c r="B1825" s="39">
        <v>45943.0</v>
      </c>
      <c r="C1825" s="40" t="s">
        <v>3124</v>
      </c>
      <c r="D1825" s="41"/>
      <c r="E1825" s="41" t="s">
        <v>401</v>
      </c>
      <c r="F1825" s="18" t="s">
        <v>622</v>
      </c>
      <c r="G1825" s="41" t="s">
        <v>937</v>
      </c>
      <c r="H1825" s="41" t="s">
        <v>1542</v>
      </c>
      <c r="I1825" s="41" t="s">
        <v>939</v>
      </c>
      <c r="J1825" s="41" t="s">
        <v>188</v>
      </c>
      <c r="K1825" s="41"/>
      <c r="L1825" s="42"/>
    </row>
    <row r="1826">
      <c r="A1826" s="15">
        <v>1825.0</v>
      </c>
      <c r="B1826" s="39">
        <v>45943.0</v>
      </c>
      <c r="C1826" s="40" t="s">
        <v>3125</v>
      </c>
      <c r="D1826" s="41"/>
      <c r="E1826" s="41" t="s">
        <v>401</v>
      </c>
      <c r="F1826" s="18" t="s">
        <v>622</v>
      </c>
      <c r="G1826" s="41" t="s">
        <v>937</v>
      </c>
      <c r="H1826" s="41" t="s">
        <v>1542</v>
      </c>
      <c r="I1826" s="41" t="s">
        <v>939</v>
      </c>
      <c r="J1826" s="41" t="s">
        <v>188</v>
      </c>
      <c r="K1826" s="41"/>
      <c r="L1826" s="42"/>
    </row>
    <row r="1827">
      <c r="A1827" s="15">
        <v>1826.0</v>
      </c>
      <c r="B1827" s="39">
        <v>45943.0</v>
      </c>
      <c r="C1827" s="40" t="s">
        <v>3126</v>
      </c>
      <c r="D1827" s="41"/>
      <c r="E1827" s="41" t="s">
        <v>401</v>
      </c>
      <c r="F1827" s="18" t="s">
        <v>622</v>
      </c>
      <c r="G1827" s="41" t="s">
        <v>937</v>
      </c>
      <c r="H1827" s="41" t="s">
        <v>1542</v>
      </c>
      <c r="I1827" s="41" t="s">
        <v>939</v>
      </c>
      <c r="J1827" s="41" t="s">
        <v>188</v>
      </c>
      <c r="K1827" s="41"/>
      <c r="L1827" s="42"/>
    </row>
    <row r="1828">
      <c r="A1828" s="15">
        <v>1827.0</v>
      </c>
      <c r="B1828" s="39">
        <v>45943.0</v>
      </c>
      <c r="C1828" s="40" t="s">
        <v>3127</v>
      </c>
      <c r="D1828" s="41"/>
      <c r="E1828" s="41" t="s">
        <v>401</v>
      </c>
      <c r="F1828" s="18" t="s">
        <v>622</v>
      </c>
      <c r="G1828" s="41" t="s">
        <v>937</v>
      </c>
      <c r="H1828" s="41" t="s">
        <v>1542</v>
      </c>
      <c r="I1828" s="41" t="s">
        <v>939</v>
      </c>
      <c r="J1828" s="41" t="s">
        <v>188</v>
      </c>
      <c r="K1828" s="41"/>
      <c r="L1828" s="42"/>
    </row>
    <row r="1829">
      <c r="A1829" s="15">
        <v>1828.0</v>
      </c>
      <c r="B1829" s="39">
        <v>45943.0</v>
      </c>
      <c r="C1829" s="40" t="s">
        <v>3128</v>
      </c>
      <c r="D1829" s="41"/>
      <c r="E1829" s="41" t="s">
        <v>401</v>
      </c>
      <c r="F1829" s="18" t="s">
        <v>622</v>
      </c>
      <c r="G1829" s="41" t="s">
        <v>937</v>
      </c>
      <c r="H1829" s="41" t="s">
        <v>1542</v>
      </c>
      <c r="I1829" s="41" t="s">
        <v>939</v>
      </c>
      <c r="J1829" s="41" t="s">
        <v>188</v>
      </c>
      <c r="K1829" s="41"/>
      <c r="L1829" s="42"/>
    </row>
    <row r="1830">
      <c r="A1830" s="15">
        <v>1829.0</v>
      </c>
      <c r="B1830" s="39">
        <v>45943.0</v>
      </c>
      <c r="C1830" s="40" t="s">
        <v>3129</v>
      </c>
      <c r="D1830" s="41"/>
      <c r="E1830" s="41" t="s">
        <v>401</v>
      </c>
      <c r="F1830" s="18" t="s">
        <v>622</v>
      </c>
      <c r="G1830" s="41" t="s">
        <v>937</v>
      </c>
      <c r="H1830" s="41" t="s">
        <v>1542</v>
      </c>
      <c r="I1830" s="41" t="s">
        <v>939</v>
      </c>
      <c r="J1830" s="41" t="s">
        <v>188</v>
      </c>
      <c r="K1830" s="41"/>
      <c r="L1830" s="42"/>
    </row>
    <row r="1831">
      <c r="A1831" s="15">
        <v>1830.0</v>
      </c>
      <c r="B1831" s="39">
        <v>45943.0</v>
      </c>
      <c r="C1831" s="40" t="s">
        <v>3130</v>
      </c>
      <c r="D1831" s="41"/>
      <c r="E1831" s="41" t="s">
        <v>401</v>
      </c>
      <c r="F1831" s="18" t="s">
        <v>622</v>
      </c>
      <c r="G1831" s="41" t="s">
        <v>937</v>
      </c>
      <c r="H1831" s="41" t="s">
        <v>1542</v>
      </c>
      <c r="I1831" s="41" t="s">
        <v>939</v>
      </c>
      <c r="J1831" s="41" t="s">
        <v>188</v>
      </c>
      <c r="K1831" s="41"/>
      <c r="L1831" s="42"/>
    </row>
    <row r="1832">
      <c r="A1832" s="15">
        <v>1831.0</v>
      </c>
      <c r="B1832" s="39">
        <v>45943.0</v>
      </c>
      <c r="C1832" s="40" t="s">
        <v>3131</v>
      </c>
      <c r="D1832" s="41"/>
      <c r="E1832" s="41" t="s">
        <v>401</v>
      </c>
      <c r="F1832" s="18" t="s">
        <v>622</v>
      </c>
      <c r="G1832" s="41" t="s">
        <v>937</v>
      </c>
      <c r="H1832" s="41" t="s">
        <v>1542</v>
      </c>
      <c r="I1832" s="41" t="s">
        <v>939</v>
      </c>
      <c r="J1832" s="41" t="s">
        <v>188</v>
      </c>
      <c r="K1832" s="41"/>
      <c r="L1832" s="42"/>
    </row>
    <row r="1833">
      <c r="A1833" s="15">
        <v>1832.0</v>
      </c>
      <c r="B1833" s="39">
        <v>45943.0</v>
      </c>
      <c r="C1833" s="40" t="s">
        <v>3132</v>
      </c>
      <c r="D1833" s="41"/>
      <c r="E1833" s="41" t="s">
        <v>401</v>
      </c>
      <c r="F1833" s="18" t="s">
        <v>622</v>
      </c>
      <c r="G1833" s="41" t="s">
        <v>937</v>
      </c>
      <c r="H1833" s="41" t="s">
        <v>1542</v>
      </c>
      <c r="I1833" s="41" t="s">
        <v>939</v>
      </c>
      <c r="J1833" s="41" t="s">
        <v>188</v>
      </c>
      <c r="K1833" s="41"/>
      <c r="L1833" s="42"/>
    </row>
    <row r="1834">
      <c r="A1834" s="15">
        <v>1833.0</v>
      </c>
      <c r="B1834" s="39">
        <v>45943.0</v>
      </c>
      <c r="C1834" s="40" t="s">
        <v>3133</v>
      </c>
      <c r="D1834" s="41"/>
      <c r="E1834" s="41" t="s">
        <v>401</v>
      </c>
      <c r="F1834" s="18" t="s">
        <v>622</v>
      </c>
      <c r="G1834" s="41" t="s">
        <v>937</v>
      </c>
      <c r="H1834" s="41" t="s">
        <v>1542</v>
      </c>
      <c r="I1834" s="41" t="s">
        <v>939</v>
      </c>
      <c r="J1834" s="41" t="s">
        <v>188</v>
      </c>
      <c r="K1834" s="41"/>
      <c r="L1834" s="42"/>
    </row>
    <row r="1835">
      <c r="A1835" s="15">
        <v>1834.0</v>
      </c>
      <c r="B1835" s="39">
        <v>45944.0</v>
      </c>
      <c r="C1835" s="40" t="s">
        <v>3134</v>
      </c>
      <c r="D1835" s="41"/>
      <c r="E1835" s="41" t="s">
        <v>401</v>
      </c>
      <c r="F1835" s="18" t="s">
        <v>405</v>
      </c>
      <c r="G1835" s="41" t="s">
        <v>3135</v>
      </c>
      <c r="H1835" s="41" t="s">
        <v>1782</v>
      </c>
      <c r="I1835" s="41" t="s">
        <v>535</v>
      </c>
      <c r="J1835" s="41" t="s">
        <v>188</v>
      </c>
      <c r="K1835" s="41"/>
      <c r="L1835" s="42"/>
    </row>
    <row r="1836">
      <c r="A1836" s="15">
        <v>1835.0</v>
      </c>
      <c r="B1836" s="39">
        <v>45944.0</v>
      </c>
      <c r="C1836" s="40" t="s">
        <v>3136</v>
      </c>
      <c r="D1836" s="41"/>
      <c r="E1836" s="41" t="s">
        <v>197</v>
      </c>
      <c r="F1836" s="18" t="s">
        <v>405</v>
      </c>
      <c r="G1836" s="41" t="s">
        <v>3137</v>
      </c>
      <c r="H1836" s="41"/>
      <c r="I1836" s="41"/>
      <c r="J1836" s="41" t="s">
        <v>188</v>
      </c>
      <c r="K1836" s="41"/>
      <c r="L1836" s="42"/>
    </row>
    <row r="1837">
      <c r="A1837" s="15">
        <v>1836.0</v>
      </c>
      <c r="B1837" s="39">
        <v>45944.0</v>
      </c>
      <c r="C1837" s="40" t="s">
        <v>3138</v>
      </c>
      <c r="D1837" s="41"/>
      <c r="E1837" s="41" t="s">
        <v>197</v>
      </c>
      <c r="F1837" s="18" t="s">
        <v>405</v>
      </c>
      <c r="G1837" s="41" t="s">
        <v>3139</v>
      </c>
      <c r="H1837" s="41"/>
      <c r="I1837" s="41"/>
      <c r="J1837" s="41" t="s">
        <v>188</v>
      </c>
      <c r="K1837" s="41"/>
      <c r="L1837" s="42"/>
    </row>
    <row r="1838">
      <c r="A1838" s="15">
        <v>1837.0</v>
      </c>
      <c r="B1838" s="39">
        <v>45944.0</v>
      </c>
      <c r="C1838" s="40" t="s">
        <v>3140</v>
      </c>
      <c r="D1838" s="41"/>
      <c r="E1838" s="41" t="s">
        <v>747</v>
      </c>
      <c r="F1838" s="18" t="s">
        <v>405</v>
      </c>
      <c r="G1838" s="41" t="s">
        <v>3141</v>
      </c>
      <c r="H1838" s="41"/>
      <c r="I1838" s="41"/>
      <c r="J1838" s="41" t="s">
        <v>188</v>
      </c>
      <c r="K1838" s="41"/>
      <c r="L1838" s="42"/>
    </row>
    <row r="1839">
      <c r="A1839" s="15">
        <v>1838.0</v>
      </c>
      <c r="B1839" s="39">
        <v>45944.0</v>
      </c>
      <c r="C1839" s="40" t="s">
        <v>3142</v>
      </c>
      <c r="D1839" s="41"/>
      <c r="E1839" s="41" t="s">
        <v>747</v>
      </c>
      <c r="F1839" s="18" t="s">
        <v>405</v>
      </c>
      <c r="G1839" s="41" t="s">
        <v>3143</v>
      </c>
      <c r="H1839" s="41"/>
      <c r="I1839" s="41"/>
      <c r="J1839" s="41" t="s">
        <v>188</v>
      </c>
      <c r="K1839" s="41"/>
      <c r="L1839" s="42"/>
    </row>
    <row r="1840">
      <c r="A1840" s="15">
        <v>1839.0</v>
      </c>
      <c r="B1840" s="39">
        <v>45944.0</v>
      </c>
      <c r="C1840" s="40" t="s">
        <v>3144</v>
      </c>
      <c r="D1840" s="41"/>
      <c r="E1840" s="41" t="s">
        <v>197</v>
      </c>
      <c r="F1840" s="18" t="s">
        <v>405</v>
      </c>
      <c r="G1840" s="41" t="s">
        <v>3145</v>
      </c>
      <c r="H1840" s="41"/>
      <c r="I1840" s="41"/>
      <c r="J1840" s="41" t="s">
        <v>188</v>
      </c>
      <c r="K1840" s="41"/>
      <c r="L1840" s="42"/>
    </row>
    <row r="1841">
      <c r="A1841" s="15">
        <v>1840.0</v>
      </c>
      <c r="B1841" s="39">
        <v>45944.0</v>
      </c>
      <c r="C1841" s="40" t="s">
        <v>3146</v>
      </c>
      <c r="D1841" s="41"/>
      <c r="E1841" s="41" t="s">
        <v>197</v>
      </c>
      <c r="F1841" s="18" t="s">
        <v>622</v>
      </c>
      <c r="G1841" s="41" t="s">
        <v>3069</v>
      </c>
      <c r="H1841" s="41"/>
      <c r="I1841" s="41"/>
      <c r="J1841" s="41" t="s">
        <v>188</v>
      </c>
      <c r="K1841" s="41"/>
      <c r="L1841" s="42"/>
    </row>
    <row r="1842">
      <c r="A1842" s="15">
        <v>1841.0</v>
      </c>
      <c r="B1842" s="39">
        <v>45944.0</v>
      </c>
      <c r="C1842" s="40" t="s">
        <v>3147</v>
      </c>
      <c r="D1842" s="41"/>
      <c r="E1842" s="41" t="s">
        <v>197</v>
      </c>
      <c r="F1842" s="18" t="s">
        <v>405</v>
      </c>
      <c r="G1842" s="41" t="s">
        <v>3148</v>
      </c>
      <c r="H1842" s="41"/>
      <c r="I1842" s="41"/>
      <c r="J1842" s="41" t="s">
        <v>188</v>
      </c>
      <c r="K1842" s="41"/>
      <c r="L1842" s="42"/>
    </row>
    <row r="1843">
      <c r="A1843" s="15">
        <v>1842.0</v>
      </c>
      <c r="B1843" s="39">
        <v>45944.0</v>
      </c>
      <c r="C1843" s="40" t="s">
        <v>3149</v>
      </c>
      <c r="D1843" s="41"/>
      <c r="E1843" s="41" t="s">
        <v>197</v>
      </c>
      <c r="F1843" s="18" t="s">
        <v>405</v>
      </c>
      <c r="G1843" s="41" t="s">
        <v>3150</v>
      </c>
      <c r="H1843" s="41"/>
      <c r="I1843" s="41"/>
      <c r="J1843" s="41" t="s">
        <v>188</v>
      </c>
      <c r="K1843" s="41"/>
      <c r="L1843" s="42"/>
    </row>
    <row r="1844">
      <c r="A1844" s="15">
        <v>1843.0</v>
      </c>
      <c r="B1844" s="39">
        <v>45944.0</v>
      </c>
      <c r="C1844" s="40" t="s">
        <v>3151</v>
      </c>
      <c r="D1844" s="41"/>
      <c r="E1844" s="41" t="s">
        <v>197</v>
      </c>
      <c r="F1844" s="18" t="s">
        <v>405</v>
      </c>
      <c r="G1844" s="41" t="s">
        <v>3152</v>
      </c>
      <c r="H1844" s="41"/>
      <c r="I1844" s="41"/>
      <c r="J1844" s="41" t="s">
        <v>188</v>
      </c>
      <c r="K1844" s="41"/>
      <c r="L1844" s="42"/>
    </row>
    <row r="1845">
      <c r="A1845" s="15">
        <v>1844.0</v>
      </c>
      <c r="B1845" s="39">
        <v>45944.0</v>
      </c>
      <c r="C1845" s="40" t="s">
        <v>3153</v>
      </c>
      <c r="D1845" s="41"/>
      <c r="E1845" s="41" t="s">
        <v>447</v>
      </c>
      <c r="F1845" s="18" t="s">
        <v>405</v>
      </c>
      <c r="G1845" s="41" t="s">
        <v>3154</v>
      </c>
      <c r="H1845" s="41"/>
      <c r="I1845" s="41"/>
      <c r="J1845" s="41" t="s">
        <v>188</v>
      </c>
      <c r="K1845" s="41"/>
      <c r="L1845" s="42"/>
    </row>
    <row r="1846">
      <c r="A1846" s="15">
        <v>1845.0</v>
      </c>
      <c r="B1846" s="39">
        <v>45944.0</v>
      </c>
      <c r="C1846" s="40" t="s">
        <v>3155</v>
      </c>
      <c r="D1846" s="41"/>
      <c r="E1846" s="41" t="s">
        <v>184</v>
      </c>
      <c r="F1846" s="18" t="s">
        <v>405</v>
      </c>
      <c r="G1846" s="41" t="s">
        <v>3156</v>
      </c>
      <c r="H1846" s="41"/>
      <c r="I1846" s="41"/>
      <c r="J1846" s="41" t="s">
        <v>188</v>
      </c>
      <c r="K1846" s="41"/>
      <c r="L1846" s="42"/>
    </row>
    <row r="1847">
      <c r="A1847" s="15">
        <v>1846.0</v>
      </c>
      <c r="B1847" s="39">
        <v>45944.0</v>
      </c>
      <c r="C1847" s="40" t="s">
        <v>3157</v>
      </c>
      <c r="D1847" s="41"/>
      <c r="E1847" s="41" t="s">
        <v>197</v>
      </c>
      <c r="F1847" s="18" t="s">
        <v>405</v>
      </c>
      <c r="G1847" s="41" t="s">
        <v>3158</v>
      </c>
      <c r="H1847" s="41"/>
      <c r="I1847" s="41"/>
      <c r="J1847" s="41" t="s">
        <v>188</v>
      </c>
      <c r="K1847" s="41"/>
      <c r="L1847" s="42"/>
    </row>
    <row r="1848">
      <c r="A1848" s="15">
        <v>1847.0</v>
      </c>
      <c r="B1848" s="39">
        <v>45944.0</v>
      </c>
      <c r="C1848" s="40" t="s">
        <v>3159</v>
      </c>
      <c r="D1848" s="41"/>
      <c r="E1848" s="41" t="s">
        <v>197</v>
      </c>
      <c r="F1848" s="18" t="s">
        <v>405</v>
      </c>
      <c r="G1848" s="41" t="s">
        <v>3160</v>
      </c>
      <c r="H1848" s="41"/>
      <c r="I1848" s="41"/>
      <c r="J1848" s="41" t="s">
        <v>188</v>
      </c>
      <c r="K1848" s="41"/>
      <c r="L1848" s="42"/>
    </row>
    <row r="1849">
      <c r="A1849" s="15">
        <v>1848.0</v>
      </c>
      <c r="B1849" s="39">
        <v>45944.0</v>
      </c>
      <c r="C1849" s="40" t="s">
        <v>3161</v>
      </c>
      <c r="D1849" s="41"/>
      <c r="E1849" s="41" t="s">
        <v>197</v>
      </c>
      <c r="F1849" s="18" t="s">
        <v>405</v>
      </c>
      <c r="G1849" s="41" t="s">
        <v>3162</v>
      </c>
      <c r="H1849" s="41"/>
      <c r="I1849" s="41"/>
      <c r="J1849" s="41" t="s">
        <v>188</v>
      </c>
      <c r="K1849" s="41"/>
      <c r="L1849" s="42"/>
    </row>
    <row r="1850">
      <c r="A1850" s="15">
        <v>1849.0</v>
      </c>
      <c r="B1850" s="39">
        <v>45944.0</v>
      </c>
      <c r="C1850" s="40" t="s">
        <v>3163</v>
      </c>
      <c r="D1850" s="41"/>
      <c r="E1850" s="41" t="s">
        <v>197</v>
      </c>
      <c r="F1850" s="18" t="s">
        <v>405</v>
      </c>
      <c r="G1850" s="41" t="s">
        <v>3164</v>
      </c>
      <c r="H1850" s="41"/>
      <c r="I1850" s="41"/>
      <c r="J1850" s="41" t="s">
        <v>188</v>
      </c>
      <c r="K1850" s="41"/>
      <c r="L1850" s="42"/>
    </row>
    <row r="1851">
      <c r="A1851" s="15">
        <v>1850.0</v>
      </c>
      <c r="B1851" s="39">
        <v>45944.0</v>
      </c>
      <c r="C1851" s="40" t="s">
        <v>3165</v>
      </c>
      <c r="D1851" s="41"/>
      <c r="E1851" s="41" t="s">
        <v>197</v>
      </c>
      <c r="F1851" s="18" t="s">
        <v>622</v>
      </c>
      <c r="G1851" s="41" t="s">
        <v>3166</v>
      </c>
      <c r="H1851" s="41"/>
      <c r="I1851" s="41"/>
      <c r="J1851" s="41" t="s">
        <v>188</v>
      </c>
      <c r="K1851" s="41"/>
      <c r="L1851" s="42"/>
    </row>
    <row r="1852">
      <c r="A1852" s="15">
        <v>1851.0</v>
      </c>
      <c r="B1852" s="39">
        <v>45944.0</v>
      </c>
      <c r="C1852" s="40" t="s">
        <v>3167</v>
      </c>
      <c r="D1852" s="41"/>
      <c r="E1852" s="41" t="s">
        <v>197</v>
      </c>
      <c r="F1852" s="18" t="s">
        <v>622</v>
      </c>
      <c r="G1852" s="41" t="s">
        <v>3168</v>
      </c>
      <c r="H1852" s="41"/>
      <c r="I1852" s="41"/>
      <c r="J1852" s="41" t="s">
        <v>188</v>
      </c>
      <c r="K1852" s="41"/>
      <c r="L1852" s="42"/>
    </row>
    <row r="1853">
      <c r="A1853" s="15">
        <v>1852.0</v>
      </c>
      <c r="B1853" s="39">
        <v>45944.0</v>
      </c>
      <c r="C1853" s="40" t="s">
        <v>3169</v>
      </c>
      <c r="D1853" s="41"/>
      <c r="E1853" s="41" t="s">
        <v>197</v>
      </c>
      <c r="F1853" s="18" t="s">
        <v>622</v>
      </c>
      <c r="G1853" s="41" t="s">
        <v>3170</v>
      </c>
      <c r="H1853" s="41"/>
      <c r="I1853" s="41"/>
      <c r="J1853" s="41" t="s">
        <v>188</v>
      </c>
      <c r="K1853" s="41"/>
      <c r="L1853" s="42"/>
    </row>
    <row r="1854">
      <c r="A1854" s="15">
        <v>1853.0</v>
      </c>
      <c r="B1854" s="39">
        <v>45944.0</v>
      </c>
      <c r="C1854" s="40" t="s">
        <v>3171</v>
      </c>
      <c r="D1854" s="41"/>
      <c r="E1854" s="41" t="s">
        <v>197</v>
      </c>
      <c r="F1854" s="18" t="s">
        <v>622</v>
      </c>
      <c r="G1854" s="41" t="s">
        <v>3170</v>
      </c>
      <c r="H1854" s="41"/>
      <c r="I1854" s="41"/>
      <c r="J1854" s="41" t="s">
        <v>188</v>
      </c>
      <c r="K1854" s="41"/>
      <c r="L1854" s="42"/>
    </row>
    <row r="1855">
      <c r="A1855" s="15">
        <v>1854.0</v>
      </c>
      <c r="B1855" s="39">
        <v>45944.0</v>
      </c>
      <c r="C1855" s="40" t="s">
        <v>3172</v>
      </c>
      <c r="D1855" s="41"/>
      <c r="E1855" s="41" t="s">
        <v>401</v>
      </c>
      <c r="F1855" s="18" t="s">
        <v>622</v>
      </c>
      <c r="G1855" s="41" t="s">
        <v>1765</v>
      </c>
      <c r="H1855" s="41" t="s">
        <v>1542</v>
      </c>
      <c r="I1855" s="41" t="s">
        <v>939</v>
      </c>
      <c r="J1855" s="41" t="s">
        <v>188</v>
      </c>
      <c r="K1855" s="41"/>
      <c r="L1855" s="42"/>
    </row>
    <row r="1856">
      <c r="A1856" s="15">
        <v>1855.0</v>
      </c>
      <c r="B1856" s="39">
        <v>45944.0</v>
      </c>
      <c r="C1856" s="40" t="s">
        <v>3173</v>
      </c>
      <c r="D1856" s="41"/>
      <c r="E1856" s="41" t="s">
        <v>401</v>
      </c>
      <c r="F1856" s="18" t="s">
        <v>622</v>
      </c>
      <c r="G1856" s="41" t="s">
        <v>937</v>
      </c>
      <c r="H1856" s="41" t="s">
        <v>1542</v>
      </c>
      <c r="I1856" s="41" t="s">
        <v>939</v>
      </c>
      <c r="J1856" s="41" t="s">
        <v>188</v>
      </c>
      <c r="K1856" s="41"/>
      <c r="L1856" s="42"/>
    </row>
    <row r="1857">
      <c r="A1857" s="15">
        <v>1856.0</v>
      </c>
      <c r="B1857" s="39">
        <v>45944.0</v>
      </c>
      <c r="C1857" s="40" t="s">
        <v>1765</v>
      </c>
      <c r="D1857" s="41"/>
      <c r="E1857" s="41" t="s">
        <v>401</v>
      </c>
      <c r="F1857" s="18" t="s">
        <v>622</v>
      </c>
      <c r="G1857" s="41" t="s">
        <v>937</v>
      </c>
      <c r="H1857" s="41" t="s">
        <v>1542</v>
      </c>
      <c r="I1857" s="41" t="s">
        <v>939</v>
      </c>
      <c r="J1857" s="41" t="s">
        <v>188</v>
      </c>
      <c r="K1857" s="41"/>
      <c r="L1857" s="42"/>
    </row>
    <row r="1858">
      <c r="A1858" s="15">
        <v>1857.0</v>
      </c>
      <c r="B1858" s="39">
        <v>45944.0</v>
      </c>
      <c r="C1858" s="40" t="s">
        <v>3174</v>
      </c>
      <c r="D1858" s="41"/>
      <c r="E1858" s="41" t="s">
        <v>401</v>
      </c>
      <c r="F1858" s="18" t="s">
        <v>622</v>
      </c>
      <c r="G1858" s="41" t="s">
        <v>937</v>
      </c>
      <c r="H1858" s="41" t="s">
        <v>1542</v>
      </c>
      <c r="I1858" s="41" t="s">
        <v>939</v>
      </c>
      <c r="J1858" s="41" t="s">
        <v>188</v>
      </c>
      <c r="K1858" s="41"/>
      <c r="L1858" s="42"/>
    </row>
    <row r="1859">
      <c r="A1859" s="15">
        <v>1858.0</v>
      </c>
      <c r="B1859" s="39">
        <v>45944.0</v>
      </c>
      <c r="C1859" s="40" t="s">
        <v>3175</v>
      </c>
      <c r="D1859" s="41"/>
      <c r="E1859" s="41" t="s">
        <v>401</v>
      </c>
      <c r="F1859" s="18" t="s">
        <v>622</v>
      </c>
      <c r="G1859" s="41" t="s">
        <v>937</v>
      </c>
      <c r="H1859" s="41" t="s">
        <v>1542</v>
      </c>
      <c r="I1859" s="41" t="s">
        <v>939</v>
      </c>
      <c r="J1859" s="41" t="s">
        <v>188</v>
      </c>
      <c r="K1859" s="41"/>
      <c r="L1859" s="42"/>
    </row>
    <row r="1860">
      <c r="A1860" s="15">
        <v>1859.0</v>
      </c>
      <c r="B1860" s="39">
        <v>45945.0</v>
      </c>
      <c r="C1860" s="53" t="s">
        <v>3176</v>
      </c>
      <c r="D1860" s="41"/>
      <c r="E1860" s="41" t="s">
        <v>197</v>
      </c>
      <c r="F1860" s="18" t="s">
        <v>622</v>
      </c>
      <c r="G1860" s="41" t="s">
        <v>3177</v>
      </c>
      <c r="H1860" s="41" t="s">
        <v>779</v>
      </c>
      <c r="I1860" s="41" t="s">
        <v>535</v>
      </c>
      <c r="J1860" s="41" t="s">
        <v>188</v>
      </c>
      <c r="K1860" s="41"/>
      <c r="L1860" s="42"/>
    </row>
    <row r="1861">
      <c r="A1861" s="15">
        <v>1860.0</v>
      </c>
      <c r="B1861" s="39">
        <v>45945.0</v>
      </c>
      <c r="C1861" s="40" t="s">
        <v>3178</v>
      </c>
      <c r="D1861" s="41"/>
      <c r="E1861" s="41" t="s">
        <v>557</v>
      </c>
      <c r="F1861" s="18" t="s">
        <v>622</v>
      </c>
      <c r="G1861" s="41" t="s">
        <v>3179</v>
      </c>
      <c r="H1861" s="41" t="s">
        <v>779</v>
      </c>
      <c r="I1861" s="41" t="s">
        <v>535</v>
      </c>
      <c r="J1861" s="41" t="s">
        <v>188</v>
      </c>
      <c r="K1861" s="41"/>
      <c r="L1861" s="42"/>
    </row>
    <row r="1862">
      <c r="A1862" s="15">
        <v>1861.0</v>
      </c>
      <c r="B1862" s="39">
        <v>45945.0</v>
      </c>
      <c r="C1862" s="40" t="s">
        <v>3180</v>
      </c>
      <c r="D1862" s="41"/>
      <c r="E1862" s="41" t="s">
        <v>197</v>
      </c>
      <c r="F1862" s="18" t="s">
        <v>622</v>
      </c>
      <c r="G1862" s="41" t="s">
        <v>3181</v>
      </c>
      <c r="H1862" s="41" t="s">
        <v>779</v>
      </c>
      <c r="I1862" s="41" t="s">
        <v>535</v>
      </c>
      <c r="J1862" s="41" t="s">
        <v>188</v>
      </c>
      <c r="K1862" s="41"/>
      <c r="L1862" s="42"/>
    </row>
    <row r="1863">
      <c r="A1863" s="15">
        <v>1862.0</v>
      </c>
      <c r="B1863" s="39">
        <v>45945.0</v>
      </c>
      <c r="C1863" s="40" t="s">
        <v>3182</v>
      </c>
      <c r="D1863" s="41"/>
      <c r="E1863" s="41" t="s">
        <v>3183</v>
      </c>
      <c r="F1863" s="18" t="s">
        <v>622</v>
      </c>
      <c r="G1863" s="41" t="s">
        <v>3184</v>
      </c>
      <c r="H1863" s="41" t="s">
        <v>779</v>
      </c>
      <c r="I1863" s="41" t="s">
        <v>535</v>
      </c>
      <c r="J1863" s="41" t="s">
        <v>188</v>
      </c>
      <c r="K1863" s="41"/>
      <c r="L1863" s="42"/>
    </row>
    <row r="1864">
      <c r="A1864" s="15">
        <v>1863.0</v>
      </c>
      <c r="B1864" s="39">
        <v>45945.0</v>
      </c>
      <c r="C1864" s="40" t="s">
        <v>3185</v>
      </c>
      <c r="D1864" s="41"/>
      <c r="E1864" s="41" t="s">
        <v>3183</v>
      </c>
      <c r="F1864" s="18" t="s">
        <v>622</v>
      </c>
      <c r="G1864" s="41" t="s">
        <v>3186</v>
      </c>
      <c r="H1864" s="41" t="s">
        <v>779</v>
      </c>
      <c r="I1864" s="41" t="s">
        <v>535</v>
      </c>
      <c r="J1864" s="41" t="s">
        <v>188</v>
      </c>
      <c r="K1864" s="41"/>
      <c r="L1864" s="42"/>
    </row>
    <row r="1865">
      <c r="A1865" s="15">
        <v>1864.0</v>
      </c>
      <c r="B1865" s="39">
        <v>45945.0</v>
      </c>
      <c r="C1865" s="40" t="s">
        <v>3187</v>
      </c>
      <c r="D1865" s="41"/>
      <c r="E1865" s="41" t="s">
        <v>3183</v>
      </c>
      <c r="F1865" s="18" t="s">
        <v>622</v>
      </c>
      <c r="G1865" s="41" t="s">
        <v>3188</v>
      </c>
      <c r="H1865" s="41" t="s">
        <v>779</v>
      </c>
      <c r="I1865" s="41" t="s">
        <v>535</v>
      </c>
      <c r="J1865" s="41" t="s">
        <v>188</v>
      </c>
      <c r="K1865" s="41"/>
      <c r="L1865" s="42"/>
    </row>
    <row r="1866">
      <c r="A1866" s="15">
        <v>1865.0</v>
      </c>
      <c r="B1866" s="39">
        <v>45945.0</v>
      </c>
      <c r="C1866" s="40" t="s">
        <v>3189</v>
      </c>
      <c r="D1866" s="41"/>
      <c r="E1866" s="41" t="s">
        <v>3183</v>
      </c>
      <c r="F1866" s="18" t="s">
        <v>622</v>
      </c>
      <c r="G1866" s="41" t="s">
        <v>3190</v>
      </c>
      <c r="H1866" s="41" t="s">
        <v>779</v>
      </c>
      <c r="I1866" s="41" t="s">
        <v>535</v>
      </c>
      <c r="J1866" s="41" t="s">
        <v>188</v>
      </c>
      <c r="K1866" s="41"/>
      <c r="L1866" s="42"/>
    </row>
    <row r="1867">
      <c r="A1867" s="15">
        <v>1866.0</v>
      </c>
      <c r="B1867" s="39">
        <v>45945.0</v>
      </c>
      <c r="C1867" s="40" t="s">
        <v>3191</v>
      </c>
      <c r="D1867" s="41"/>
      <c r="E1867" s="41" t="s">
        <v>3183</v>
      </c>
      <c r="F1867" s="18" t="s">
        <v>622</v>
      </c>
      <c r="G1867" s="41" t="s">
        <v>3192</v>
      </c>
      <c r="H1867" s="41" t="s">
        <v>779</v>
      </c>
      <c r="I1867" s="41" t="s">
        <v>535</v>
      </c>
      <c r="J1867" s="41" t="s">
        <v>188</v>
      </c>
      <c r="K1867" s="41"/>
      <c r="L1867" s="42"/>
    </row>
    <row r="1868">
      <c r="A1868" s="15">
        <v>1867.0</v>
      </c>
      <c r="B1868" s="39">
        <v>45945.0</v>
      </c>
      <c r="C1868" s="40" t="s">
        <v>3193</v>
      </c>
      <c r="D1868" s="41"/>
      <c r="E1868" s="41" t="s">
        <v>3183</v>
      </c>
      <c r="F1868" s="18" t="s">
        <v>622</v>
      </c>
      <c r="G1868" s="41" t="s">
        <v>3194</v>
      </c>
      <c r="H1868" s="41" t="s">
        <v>779</v>
      </c>
      <c r="I1868" s="41" t="s">
        <v>535</v>
      </c>
      <c r="J1868" s="41" t="s">
        <v>188</v>
      </c>
      <c r="K1868" s="41"/>
      <c r="L1868" s="42"/>
    </row>
    <row r="1869">
      <c r="A1869" s="15">
        <v>1868.0</v>
      </c>
      <c r="B1869" s="39">
        <v>45945.0</v>
      </c>
      <c r="C1869" s="40" t="s">
        <v>3195</v>
      </c>
      <c r="D1869" s="41"/>
      <c r="E1869" s="41" t="s">
        <v>3183</v>
      </c>
      <c r="F1869" s="18" t="s">
        <v>622</v>
      </c>
      <c r="G1869" s="41" t="s">
        <v>3196</v>
      </c>
      <c r="H1869" s="41" t="s">
        <v>779</v>
      </c>
      <c r="I1869" s="41" t="s">
        <v>535</v>
      </c>
      <c r="J1869" s="41" t="s">
        <v>188</v>
      </c>
      <c r="K1869" s="41"/>
      <c r="L1869" s="42"/>
    </row>
    <row r="1870">
      <c r="A1870" s="15">
        <v>1869.0</v>
      </c>
      <c r="B1870" s="39">
        <v>45945.0</v>
      </c>
      <c r="C1870" s="40" t="s">
        <v>3197</v>
      </c>
      <c r="D1870" s="41"/>
      <c r="E1870" s="41" t="s">
        <v>2827</v>
      </c>
      <c r="F1870" s="18" t="s">
        <v>622</v>
      </c>
      <c r="G1870" s="41" t="s">
        <v>3198</v>
      </c>
      <c r="H1870" s="41" t="s">
        <v>779</v>
      </c>
      <c r="I1870" s="41" t="s">
        <v>535</v>
      </c>
      <c r="J1870" s="41" t="s">
        <v>188</v>
      </c>
      <c r="K1870" s="41"/>
      <c r="L1870" s="42"/>
    </row>
    <row r="1871">
      <c r="A1871" s="15">
        <v>1870.0</v>
      </c>
      <c r="B1871" s="39">
        <v>45945.0</v>
      </c>
      <c r="C1871" s="40" t="s">
        <v>3199</v>
      </c>
      <c r="D1871" s="41"/>
      <c r="E1871" s="41" t="s">
        <v>2827</v>
      </c>
      <c r="F1871" s="18" t="s">
        <v>622</v>
      </c>
      <c r="G1871" s="41" t="s">
        <v>3200</v>
      </c>
      <c r="H1871" s="41" t="s">
        <v>779</v>
      </c>
      <c r="I1871" s="41" t="s">
        <v>535</v>
      </c>
      <c r="J1871" s="41" t="s">
        <v>188</v>
      </c>
      <c r="K1871" s="41"/>
      <c r="L1871" s="42"/>
    </row>
    <row r="1872">
      <c r="A1872" s="15">
        <v>1871.0</v>
      </c>
      <c r="B1872" s="39">
        <v>45945.0</v>
      </c>
      <c r="C1872" s="40" t="s">
        <v>3201</v>
      </c>
      <c r="D1872" s="41"/>
      <c r="E1872" s="41" t="s">
        <v>557</v>
      </c>
      <c r="F1872" s="18" t="s">
        <v>622</v>
      </c>
      <c r="G1872" s="41" t="s">
        <v>3202</v>
      </c>
      <c r="H1872" s="41" t="s">
        <v>779</v>
      </c>
      <c r="I1872" s="41" t="s">
        <v>535</v>
      </c>
      <c r="J1872" s="41" t="s">
        <v>188</v>
      </c>
      <c r="K1872" s="41"/>
      <c r="L1872" s="42"/>
    </row>
    <row r="1873">
      <c r="A1873" s="15">
        <v>1872.0</v>
      </c>
      <c r="B1873" s="39">
        <v>45945.0</v>
      </c>
      <c r="C1873" s="40" t="s">
        <v>3203</v>
      </c>
      <c r="D1873" s="41"/>
      <c r="E1873" s="41" t="s">
        <v>557</v>
      </c>
      <c r="F1873" s="18" t="s">
        <v>622</v>
      </c>
      <c r="G1873" s="41" t="s">
        <v>3204</v>
      </c>
      <c r="H1873" s="41" t="s">
        <v>779</v>
      </c>
      <c r="I1873" s="41" t="s">
        <v>535</v>
      </c>
      <c r="J1873" s="41" t="s">
        <v>188</v>
      </c>
      <c r="K1873" s="41"/>
      <c r="L1873" s="42"/>
    </row>
    <row r="1874">
      <c r="A1874" s="15">
        <v>1873.0</v>
      </c>
      <c r="B1874" s="39">
        <v>45945.0</v>
      </c>
      <c r="C1874" s="40" t="s">
        <v>3205</v>
      </c>
      <c r="D1874" s="41"/>
      <c r="E1874" s="41" t="s">
        <v>557</v>
      </c>
      <c r="F1874" s="18" t="s">
        <v>622</v>
      </c>
      <c r="G1874" s="41" t="s">
        <v>3206</v>
      </c>
      <c r="H1874" s="41" t="s">
        <v>779</v>
      </c>
      <c r="I1874" s="41" t="s">
        <v>535</v>
      </c>
      <c r="J1874" s="41" t="s">
        <v>188</v>
      </c>
      <c r="K1874" s="41"/>
      <c r="L1874" s="42"/>
    </row>
    <row r="1875">
      <c r="A1875" s="15">
        <v>1874.0</v>
      </c>
      <c r="B1875" s="39">
        <v>45945.0</v>
      </c>
      <c r="C1875" s="40" t="s">
        <v>3207</v>
      </c>
      <c r="D1875" s="41"/>
      <c r="E1875" s="41" t="s">
        <v>401</v>
      </c>
      <c r="F1875" s="18" t="s">
        <v>622</v>
      </c>
      <c r="G1875" s="41" t="s">
        <v>937</v>
      </c>
      <c r="H1875" s="41" t="s">
        <v>1542</v>
      </c>
      <c r="I1875" s="41" t="s">
        <v>939</v>
      </c>
      <c r="J1875" s="41" t="s">
        <v>188</v>
      </c>
      <c r="K1875" s="41"/>
      <c r="L1875" s="42"/>
    </row>
    <row r="1876">
      <c r="A1876" s="15">
        <v>1875.0</v>
      </c>
      <c r="B1876" s="39">
        <v>45945.0</v>
      </c>
      <c r="C1876" s="40" t="s">
        <v>3208</v>
      </c>
      <c r="D1876" s="41"/>
      <c r="E1876" s="41" t="s">
        <v>401</v>
      </c>
      <c r="F1876" s="18" t="s">
        <v>622</v>
      </c>
      <c r="G1876" s="41" t="s">
        <v>937</v>
      </c>
      <c r="H1876" s="41" t="s">
        <v>1542</v>
      </c>
      <c r="I1876" s="41" t="s">
        <v>939</v>
      </c>
      <c r="J1876" s="41" t="s">
        <v>188</v>
      </c>
      <c r="K1876" s="41"/>
      <c r="L1876" s="42"/>
    </row>
    <row r="1877">
      <c r="A1877" s="15">
        <v>1876.0</v>
      </c>
      <c r="B1877" s="39">
        <v>45945.0</v>
      </c>
      <c r="C1877" s="40" t="s">
        <v>3209</v>
      </c>
      <c r="D1877" s="41"/>
      <c r="E1877" s="41" t="s">
        <v>401</v>
      </c>
      <c r="F1877" s="18" t="s">
        <v>622</v>
      </c>
      <c r="G1877" s="41" t="s">
        <v>937</v>
      </c>
      <c r="H1877" s="41" t="s">
        <v>1542</v>
      </c>
      <c r="I1877" s="41" t="s">
        <v>939</v>
      </c>
      <c r="J1877" s="41" t="s">
        <v>188</v>
      </c>
      <c r="K1877" s="41"/>
      <c r="L1877" s="42"/>
    </row>
    <row r="1878">
      <c r="A1878" s="15">
        <v>1877.0</v>
      </c>
      <c r="B1878" s="39">
        <v>45945.0</v>
      </c>
      <c r="C1878" s="40" t="s">
        <v>3210</v>
      </c>
      <c r="D1878" s="41"/>
      <c r="E1878" s="41" t="s">
        <v>401</v>
      </c>
      <c r="F1878" s="18" t="s">
        <v>622</v>
      </c>
      <c r="G1878" s="41" t="s">
        <v>937</v>
      </c>
      <c r="H1878" s="41" t="s">
        <v>1542</v>
      </c>
      <c r="I1878" s="41" t="s">
        <v>939</v>
      </c>
      <c r="J1878" s="41" t="s">
        <v>188</v>
      </c>
      <c r="K1878" s="41"/>
      <c r="L1878" s="42"/>
    </row>
    <row r="1879">
      <c r="A1879" s="15">
        <v>1878.0</v>
      </c>
      <c r="B1879" s="39">
        <v>45945.0</v>
      </c>
      <c r="C1879" s="40" t="s">
        <v>3211</v>
      </c>
      <c r="D1879" s="41"/>
      <c r="E1879" s="41" t="s">
        <v>401</v>
      </c>
      <c r="F1879" s="18" t="s">
        <v>622</v>
      </c>
      <c r="G1879" s="41" t="s">
        <v>937</v>
      </c>
      <c r="H1879" s="41" t="s">
        <v>1542</v>
      </c>
      <c r="I1879" s="41" t="s">
        <v>939</v>
      </c>
      <c r="J1879" s="41" t="s">
        <v>188</v>
      </c>
      <c r="K1879" s="41"/>
      <c r="L1879" s="42"/>
    </row>
    <row r="1880">
      <c r="A1880" s="15">
        <v>1879.0</v>
      </c>
      <c r="B1880" s="39">
        <v>45945.0</v>
      </c>
      <c r="C1880" s="40" t="s">
        <v>3212</v>
      </c>
      <c r="D1880" s="41"/>
      <c r="E1880" s="41" t="s">
        <v>577</v>
      </c>
      <c r="F1880" s="18" t="s">
        <v>622</v>
      </c>
      <c r="G1880" s="41" t="s">
        <v>2982</v>
      </c>
      <c r="H1880" s="41" t="s">
        <v>410</v>
      </c>
      <c r="I1880" s="41"/>
      <c r="J1880" s="41" t="s">
        <v>188</v>
      </c>
      <c r="K1880" s="41"/>
      <c r="L1880" s="42"/>
    </row>
    <row r="1881">
      <c r="A1881" s="15">
        <v>1880.0</v>
      </c>
      <c r="B1881" s="55"/>
      <c r="C1881" s="40"/>
      <c r="D1881" s="41"/>
      <c r="E1881" s="41"/>
      <c r="F1881" s="18" t="b">
        <v>0</v>
      </c>
      <c r="G1881" s="41"/>
      <c r="H1881" s="41"/>
      <c r="I1881" s="41"/>
      <c r="J1881" s="41"/>
      <c r="K1881" s="41"/>
      <c r="L1881" s="42"/>
    </row>
    <row r="1882">
      <c r="A1882" s="15">
        <v>1881.0</v>
      </c>
      <c r="B1882" s="39">
        <v>45945.0</v>
      </c>
      <c r="C1882" s="40" t="s">
        <v>3213</v>
      </c>
      <c r="D1882" s="41"/>
      <c r="E1882" s="41" t="s">
        <v>577</v>
      </c>
      <c r="F1882" s="18" t="s">
        <v>622</v>
      </c>
      <c r="G1882" s="41" t="s">
        <v>2980</v>
      </c>
      <c r="H1882" s="41" t="s">
        <v>410</v>
      </c>
      <c r="I1882" s="41"/>
      <c r="J1882" s="41" t="s">
        <v>188</v>
      </c>
      <c r="K1882" s="41"/>
      <c r="L1882" s="42"/>
    </row>
    <row r="1883">
      <c r="A1883" s="15">
        <v>1882.0</v>
      </c>
      <c r="B1883" s="55"/>
      <c r="C1883" s="40"/>
      <c r="D1883" s="41"/>
      <c r="E1883" s="41"/>
      <c r="F1883" s="18" t="b">
        <v>0</v>
      </c>
      <c r="G1883" s="41"/>
      <c r="H1883" s="41"/>
      <c r="I1883" s="41"/>
      <c r="J1883" s="41"/>
      <c r="K1883" s="41"/>
      <c r="L1883" s="42"/>
    </row>
    <row r="1884">
      <c r="A1884" s="15">
        <v>1883.0</v>
      </c>
      <c r="B1884" s="39">
        <v>45945.0</v>
      </c>
      <c r="C1884" s="40" t="s">
        <v>3214</v>
      </c>
      <c r="D1884" s="41"/>
      <c r="E1884" s="41" t="s">
        <v>577</v>
      </c>
      <c r="F1884" s="18" t="s">
        <v>622</v>
      </c>
      <c r="G1884" s="41" t="s">
        <v>3215</v>
      </c>
      <c r="H1884" s="41" t="s">
        <v>410</v>
      </c>
      <c r="I1884" s="41"/>
      <c r="J1884" s="41" t="s">
        <v>188</v>
      </c>
      <c r="K1884" s="41"/>
      <c r="L1884" s="42"/>
    </row>
    <row r="1885">
      <c r="A1885" s="15">
        <v>1884.0</v>
      </c>
      <c r="B1885" s="55"/>
      <c r="C1885" s="40"/>
      <c r="D1885" s="41"/>
      <c r="E1885" s="41"/>
      <c r="F1885" s="18" t="b">
        <v>0</v>
      </c>
      <c r="G1885" s="41"/>
      <c r="H1885" s="41"/>
      <c r="I1885" s="41"/>
      <c r="J1885" s="41"/>
      <c r="K1885" s="41"/>
      <c r="L1885" s="42"/>
    </row>
    <row r="1886">
      <c r="A1886" s="15">
        <v>1885.0</v>
      </c>
      <c r="B1886" s="39">
        <v>45945.0</v>
      </c>
      <c r="C1886" s="40" t="s">
        <v>3216</v>
      </c>
      <c r="D1886" s="41"/>
      <c r="E1886" s="41" t="s">
        <v>577</v>
      </c>
      <c r="F1886" s="18" t="s">
        <v>622</v>
      </c>
      <c r="G1886" s="41" t="s">
        <v>3217</v>
      </c>
      <c r="H1886" s="41" t="s">
        <v>410</v>
      </c>
      <c r="I1886" s="41"/>
      <c r="J1886" s="41" t="s">
        <v>188</v>
      </c>
      <c r="K1886" s="41"/>
      <c r="L1886" s="42"/>
    </row>
    <row r="1887">
      <c r="A1887" s="15">
        <v>1886.0</v>
      </c>
      <c r="B1887" s="55"/>
      <c r="C1887" s="40"/>
      <c r="D1887" s="41"/>
      <c r="E1887" s="41"/>
      <c r="F1887" s="18" t="b">
        <v>0</v>
      </c>
      <c r="G1887" s="41"/>
      <c r="H1887" s="41"/>
      <c r="I1887" s="41"/>
      <c r="J1887" s="41"/>
      <c r="K1887" s="41"/>
      <c r="L1887" s="42"/>
    </row>
    <row r="1888">
      <c r="A1888" s="15">
        <v>1887.0</v>
      </c>
      <c r="B1888" s="39">
        <v>45945.0</v>
      </c>
      <c r="C1888" s="40" t="s">
        <v>3218</v>
      </c>
      <c r="D1888" s="41"/>
      <c r="E1888" s="41" t="s">
        <v>577</v>
      </c>
      <c r="F1888" s="18" t="s">
        <v>702</v>
      </c>
      <c r="G1888" s="41" t="s">
        <v>3219</v>
      </c>
      <c r="H1888" s="41" t="s">
        <v>410</v>
      </c>
      <c r="I1888" s="41"/>
      <c r="J1888" s="41" t="s">
        <v>188</v>
      </c>
      <c r="K1888" s="41"/>
      <c r="L1888" s="42"/>
    </row>
    <row r="1889">
      <c r="A1889" s="15">
        <v>1888.0</v>
      </c>
      <c r="B1889" s="55"/>
      <c r="C1889" s="40"/>
      <c r="D1889" s="41"/>
      <c r="E1889" s="41"/>
      <c r="F1889" s="18" t="b">
        <v>0</v>
      </c>
      <c r="G1889" s="41"/>
      <c r="H1889" s="41"/>
      <c r="I1889" s="41"/>
      <c r="J1889" s="41"/>
      <c r="K1889" s="41"/>
      <c r="L1889" s="42"/>
    </row>
    <row r="1890">
      <c r="A1890" s="15">
        <v>1889.0</v>
      </c>
      <c r="B1890" s="39">
        <v>45945.0</v>
      </c>
      <c r="C1890" s="40" t="s">
        <v>3220</v>
      </c>
      <c r="D1890" s="41"/>
      <c r="E1890" s="41" t="s">
        <v>577</v>
      </c>
      <c r="F1890" s="18" t="s">
        <v>702</v>
      </c>
      <c r="G1890" s="41" t="s">
        <v>3221</v>
      </c>
      <c r="H1890" s="41" t="s">
        <v>410</v>
      </c>
      <c r="I1890" s="41"/>
      <c r="J1890" s="41" t="s">
        <v>188</v>
      </c>
      <c r="K1890" s="41"/>
      <c r="L1890" s="42"/>
    </row>
    <row r="1891">
      <c r="A1891" s="15">
        <v>1890.0</v>
      </c>
      <c r="B1891" s="55"/>
      <c r="C1891" s="40"/>
      <c r="D1891" s="41"/>
      <c r="E1891" s="41"/>
      <c r="F1891" s="18" t="b">
        <v>0</v>
      </c>
      <c r="G1891" s="41"/>
      <c r="H1891" s="41"/>
      <c r="I1891" s="41"/>
      <c r="J1891" s="41"/>
      <c r="K1891" s="41"/>
      <c r="L1891" s="42"/>
    </row>
    <row r="1892">
      <c r="A1892" s="15">
        <v>1891.0</v>
      </c>
      <c r="B1892" s="39">
        <v>45945.0</v>
      </c>
      <c r="C1892" s="40" t="s">
        <v>3222</v>
      </c>
      <c r="D1892" s="41"/>
      <c r="E1892" s="41" t="s">
        <v>577</v>
      </c>
      <c r="F1892" s="18" t="s">
        <v>702</v>
      </c>
      <c r="G1892" s="41" t="s">
        <v>3223</v>
      </c>
      <c r="H1892" s="41" t="s">
        <v>410</v>
      </c>
      <c r="I1892" s="41"/>
      <c r="J1892" s="41" t="s">
        <v>188</v>
      </c>
      <c r="K1892" s="41"/>
      <c r="L1892" s="42"/>
    </row>
    <row r="1893">
      <c r="A1893" s="15">
        <v>1892.0</v>
      </c>
      <c r="B1893" s="55"/>
      <c r="C1893" s="40"/>
      <c r="D1893" s="41"/>
      <c r="E1893" s="41"/>
      <c r="F1893" s="18" t="b">
        <v>0</v>
      </c>
      <c r="G1893" s="41"/>
      <c r="H1893" s="41"/>
      <c r="I1893" s="41"/>
      <c r="J1893" s="41"/>
      <c r="K1893" s="41"/>
      <c r="L1893" s="42"/>
    </row>
    <row r="1894">
      <c r="A1894" s="15">
        <v>1893.0</v>
      </c>
      <c r="B1894" s="39">
        <v>45946.0</v>
      </c>
      <c r="C1894" s="40" t="s">
        <v>3224</v>
      </c>
      <c r="D1894" s="41"/>
      <c r="E1894" s="41" t="s">
        <v>197</v>
      </c>
      <c r="F1894" s="18" t="s">
        <v>622</v>
      </c>
      <c r="G1894" s="41" t="s">
        <v>3225</v>
      </c>
      <c r="H1894" s="41" t="s">
        <v>453</v>
      </c>
      <c r="I1894" s="41" t="s">
        <v>535</v>
      </c>
      <c r="J1894" s="41" t="s">
        <v>188</v>
      </c>
      <c r="K1894" s="41"/>
      <c r="L1894" s="42"/>
    </row>
    <row r="1895">
      <c r="A1895" s="15">
        <v>1894.0</v>
      </c>
      <c r="B1895" s="39">
        <v>45946.0</v>
      </c>
      <c r="C1895" s="40" t="s">
        <v>3226</v>
      </c>
      <c r="D1895" s="41"/>
      <c r="E1895" s="41" t="s">
        <v>197</v>
      </c>
      <c r="F1895" s="18" t="s">
        <v>622</v>
      </c>
      <c r="G1895" s="41" t="s">
        <v>3227</v>
      </c>
      <c r="H1895" s="41" t="s">
        <v>453</v>
      </c>
      <c r="I1895" s="41" t="s">
        <v>535</v>
      </c>
      <c r="J1895" s="41" t="s">
        <v>188</v>
      </c>
      <c r="K1895" s="41"/>
      <c r="L1895" s="42"/>
    </row>
    <row r="1896">
      <c r="A1896" s="15">
        <v>1895.0</v>
      </c>
      <c r="B1896" s="39">
        <v>45946.0</v>
      </c>
      <c r="C1896" s="40" t="s">
        <v>3228</v>
      </c>
      <c r="D1896" s="41"/>
      <c r="E1896" s="41" t="s">
        <v>197</v>
      </c>
      <c r="F1896" s="18" t="s">
        <v>622</v>
      </c>
      <c r="G1896" s="41" t="s">
        <v>3229</v>
      </c>
      <c r="H1896" s="41" t="s">
        <v>453</v>
      </c>
      <c r="I1896" s="41" t="s">
        <v>535</v>
      </c>
      <c r="J1896" s="41" t="s">
        <v>188</v>
      </c>
      <c r="K1896" s="41"/>
      <c r="L1896" s="42"/>
    </row>
    <row r="1897">
      <c r="A1897" s="15">
        <v>1896.0</v>
      </c>
      <c r="B1897" s="39">
        <v>45946.0</v>
      </c>
      <c r="C1897" s="40" t="s">
        <v>3230</v>
      </c>
      <c r="D1897" s="41"/>
      <c r="E1897" s="41" t="s">
        <v>197</v>
      </c>
      <c r="F1897" s="18" t="s">
        <v>622</v>
      </c>
      <c r="G1897" s="41" t="s">
        <v>3231</v>
      </c>
      <c r="H1897" s="41" t="s">
        <v>453</v>
      </c>
      <c r="I1897" s="41" t="s">
        <v>535</v>
      </c>
      <c r="J1897" s="41" t="s">
        <v>188</v>
      </c>
      <c r="K1897" s="41"/>
      <c r="L1897" s="42"/>
    </row>
    <row r="1898">
      <c r="A1898" s="15">
        <v>1897.0</v>
      </c>
      <c r="B1898" s="39">
        <v>45946.0</v>
      </c>
      <c r="C1898" s="40" t="s">
        <v>3232</v>
      </c>
      <c r="D1898" s="41"/>
      <c r="E1898" s="41" t="s">
        <v>3183</v>
      </c>
      <c r="F1898" s="18" t="s">
        <v>405</v>
      </c>
      <c r="G1898" s="41" t="s">
        <v>3233</v>
      </c>
      <c r="H1898" s="41" t="s">
        <v>453</v>
      </c>
      <c r="I1898" s="41" t="s">
        <v>535</v>
      </c>
      <c r="J1898" s="41" t="s">
        <v>188</v>
      </c>
      <c r="K1898" s="41"/>
      <c r="L1898" s="42"/>
    </row>
    <row r="1899">
      <c r="A1899" s="15">
        <v>1898.0</v>
      </c>
      <c r="B1899" s="39">
        <v>45946.0</v>
      </c>
      <c r="C1899" s="40" t="s">
        <v>3234</v>
      </c>
      <c r="D1899" s="41"/>
      <c r="E1899" s="41" t="s">
        <v>3183</v>
      </c>
      <c r="F1899" s="18" t="s">
        <v>405</v>
      </c>
      <c r="G1899" s="41" t="s">
        <v>3233</v>
      </c>
      <c r="H1899" s="41" t="s">
        <v>453</v>
      </c>
      <c r="I1899" s="41" t="s">
        <v>535</v>
      </c>
      <c r="J1899" s="41" t="s">
        <v>188</v>
      </c>
      <c r="K1899" s="41"/>
      <c r="L1899" s="42"/>
    </row>
    <row r="1900">
      <c r="A1900" s="15">
        <v>1899.0</v>
      </c>
      <c r="B1900" s="39">
        <v>45946.0</v>
      </c>
      <c r="C1900" s="40" t="s">
        <v>3235</v>
      </c>
      <c r="D1900" s="41"/>
      <c r="E1900" s="41" t="s">
        <v>3183</v>
      </c>
      <c r="F1900" s="18" t="s">
        <v>405</v>
      </c>
      <c r="G1900" s="41" t="s">
        <v>3236</v>
      </c>
      <c r="H1900" s="41" t="s">
        <v>453</v>
      </c>
      <c r="I1900" s="41" t="s">
        <v>535</v>
      </c>
      <c r="J1900" s="41" t="s">
        <v>188</v>
      </c>
      <c r="K1900" s="41"/>
      <c r="L1900" s="42"/>
    </row>
    <row r="1901">
      <c r="A1901" s="15">
        <v>1900.0</v>
      </c>
      <c r="B1901" s="39">
        <v>45946.0</v>
      </c>
      <c r="C1901" s="40" t="s">
        <v>3237</v>
      </c>
      <c r="D1901" s="41"/>
      <c r="E1901" s="41" t="s">
        <v>3183</v>
      </c>
      <c r="F1901" s="18" t="s">
        <v>405</v>
      </c>
      <c r="G1901" s="41" t="s">
        <v>3233</v>
      </c>
      <c r="H1901" s="41" t="s">
        <v>453</v>
      </c>
      <c r="I1901" s="41" t="s">
        <v>535</v>
      </c>
      <c r="J1901" s="41" t="s">
        <v>188</v>
      </c>
      <c r="K1901" s="41"/>
      <c r="L1901" s="42"/>
    </row>
    <row r="1902">
      <c r="A1902" s="15">
        <v>1901.0</v>
      </c>
      <c r="B1902" s="39">
        <v>45946.0</v>
      </c>
      <c r="C1902" s="40" t="s">
        <v>3238</v>
      </c>
      <c r="D1902" s="41"/>
      <c r="E1902" s="41" t="s">
        <v>2827</v>
      </c>
      <c r="F1902" s="18" t="s">
        <v>405</v>
      </c>
      <c r="G1902" s="41" t="s">
        <v>3233</v>
      </c>
      <c r="H1902" s="41" t="s">
        <v>453</v>
      </c>
      <c r="I1902" s="41" t="s">
        <v>535</v>
      </c>
      <c r="J1902" s="41" t="s">
        <v>188</v>
      </c>
      <c r="K1902" s="41"/>
      <c r="L1902" s="42"/>
    </row>
    <row r="1903">
      <c r="A1903" s="15">
        <v>1902.0</v>
      </c>
      <c r="B1903" s="39">
        <v>45946.0</v>
      </c>
      <c r="C1903" s="40" t="s">
        <v>3239</v>
      </c>
      <c r="D1903" s="41"/>
      <c r="E1903" s="41" t="s">
        <v>3183</v>
      </c>
      <c r="F1903" s="18" t="s">
        <v>405</v>
      </c>
      <c r="G1903" s="41" t="s">
        <v>3233</v>
      </c>
      <c r="H1903" s="41" t="s">
        <v>453</v>
      </c>
      <c r="I1903" s="41" t="s">
        <v>535</v>
      </c>
      <c r="J1903" s="41" t="s">
        <v>188</v>
      </c>
      <c r="K1903" s="41"/>
      <c r="L1903" s="42"/>
    </row>
    <row r="1904">
      <c r="A1904" s="15">
        <v>1903.0</v>
      </c>
      <c r="B1904" s="39">
        <v>45946.0</v>
      </c>
      <c r="C1904" s="40" t="s">
        <v>3240</v>
      </c>
      <c r="D1904" s="41"/>
      <c r="E1904" s="41" t="s">
        <v>3183</v>
      </c>
      <c r="F1904" s="18" t="s">
        <v>405</v>
      </c>
      <c r="G1904" s="41" t="s">
        <v>3233</v>
      </c>
      <c r="H1904" s="41" t="s">
        <v>453</v>
      </c>
      <c r="I1904" s="41" t="s">
        <v>535</v>
      </c>
      <c r="J1904" s="41" t="s">
        <v>188</v>
      </c>
      <c r="K1904" s="41"/>
      <c r="L1904" s="42"/>
    </row>
    <row r="1905">
      <c r="A1905" s="15">
        <v>1904.0</v>
      </c>
      <c r="B1905" s="39">
        <v>45946.0</v>
      </c>
      <c r="C1905" s="40" t="s">
        <v>3241</v>
      </c>
      <c r="D1905" s="41"/>
      <c r="E1905" s="41" t="s">
        <v>3183</v>
      </c>
      <c r="F1905" s="18" t="s">
        <v>686</v>
      </c>
      <c r="G1905" s="41" t="s">
        <v>3233</v>
      </c>
      <c r="H1905" s="41" t="s">
        <v>453</v>
      </c>
      <c r="I1905" s="41" t="s">
        <v>535</v>
      </c>
      <c r="J1905" s="41" t="s">
        <v>188</v>
      </c>
      <c r="K1905" s="41"/>
      <c r="L1905" s="42"/>
    </row>
    <row r="1906">
      <c r="A1906" s="15">
        <v>1905.0</v>
      </c>
      <c r="B1906" s="39">
        <v>45946.0</v>
      </c>
      <c r="C1906" s="40" t="s">
        <v>3242</v>
      </c>
      <c r="D1906" s="41"/>
      <c r="E1906" s="41" t="s">
        <v>3183</v>
      </c>
      <c r="F1906" s="18" t="s">
        <v>686</v>
      </c>
      <c r="G1906" s="41" t="s">
        <v>3243</v>
      </c>
      <c r="H1906" s="41" t="s">
        <v>453</v>
      </c>
      <c r="I1906" s="41" t="s">
        <v>535</v>
      </c>
      <c r="J1906" s="41" t="s">
        <v>188</v>
      </c>
      <c r="K1906" s="41"/>
      <c r="L1906" s="42"/>
    </row>
    <row r="1907">
      <c r="A1907" s="15">
        <v>1906.0</v>
      </c>
      <c r="B1907" s="39">
        <v>45946.0</v>
      </c>
      <c r="C1907" s="40" t="s">
        <v>3244</v>
      </c>
      <c r="D1907" s="41"/>
      <c r="E1907" s="41" t="s">
        <v>3183</v>
      </c>
      <c r="F1907" s="18" t="s">
        <v>686</v>
      </c>
      <c r="G1907" s="41" t="s">
        <v>3245</v>
      </c>
      <c r="H1907" s="41" t="s">
        <v>453</v>
      </c>
      <c r="I1907" s="41" t="s">
        <v>535</v>
      </c>
      <c r="J1907" s="41" t="s">
        <v>188</v>
      </c>
      <c r="K1907" s="41"/>
      <c r="L1907" s="42"/>
    </row>
    <row r="1908">
      <c r="A1908" s="15">
        <v>1907.0</v>
      </c>
      <c r="B1908" s="39">
        <v>45946.0</v>
      </c>
      <c r="C1908" s="40" t="s">
        <v>3246</v>
      </c>
      <c r="D1908" s="41"/>
      <c r="E1908" s="41" t="s">
        <v>3183</v>
      </c>
      <c r="F1908" s="18" t="s">
        <v>686</v>
      </c>
      <c r="G1908" s="41" t="s">
        <v>3247</v>
      </c>
      <c r="H1908" s="41" t="s">
        <v>453</v>
      </c>
      <c r="I1908" s="41" t="s">
        <v>535</v>
      </c>
      <c r="J1908" s="41" t="s">
        <v>188</v>
      </c>
      <c r="K1908" s="41"/>
      <c r="L1908" s="42"/>
    </row>
    <row r="1909">
      <c r="A1909" s="15">
        <v>1908.0</v>
      </c>
      <c r="B1909" s="39">
        <v>45946.0</v>
      </c>
      <c r="C1909" s="40" t="s">
        <v>3248</v>
      </c>
      <c r="D1909" s="41"/>
      <c r="E1909" s="41" t="s">
        <v>3183</v>
      </c>
      <c r="F1909" s="18" t="s">
        <v>686</v>
      </c>
      <c r="G1909" s="41" t="s">
        <v>3247</v>
      </c>
      <c r="H1909" s="41" t="s">
        <v>453</v>
      </c>
      <c r="I1909" s="41" t="s">
        <v>535</v>
      </c>
      <c r="J1909" s="41" t="s">
        <v>188</v>
      </c>
      <c r="K1909" s="41"/>
      <c r="L1909" s="42"/>
    </row>
    <row r="1910">
      <c r="A1910" s="15">
        <v>1909.0</v>
      </c>
      <c r="B1910" s="39">
        <v>45946.0</v>
      </c>
      <c r="C1910" s="40" t="s">
        <v>3249</v>
      </c>
      <c r="D1910" s="41"/>
      <c r="E1910" s="41" t="s">
        <v>401</v>
      </c>
      <c r="F1910" s="18" t="s">
        <v>622</v>
      </c>
      <c r="G1910" s="41" t="s">
        <v>937</v>
      </c>
      <c r="H1910" s="41" t="s">
        <v>1542</v>
      </c>
      <c r="I1910" s="41" t="s">
        <v>939</v>
      </c>
      <c r="J1910" s="41" t="s">
        <v>188</v>
      </c>
      <c r="K1910" s="41"/>
      <c r="L1910" s="42"/>
    </row>
    <row r="1911">
      <c r="A1911" s="15">
        <v>1910.0</v>
      </c>
      <c r="B1911" s="39">
        <v>45946.0</v>
      </c>
      <c r="C1911" s="40" t="s">
        <v>3250</v>
      </c>
      <c r="D1911" s="41"/>
      <c r="E1911" s="41" t="s">
        <v>401</v>
      </c>
      <c r="F1911" s="18" t="s">
        <v>622</v>
      </c>
      <c r="G1911" s="41" t="s">
        <v>937</v>
      </c>
      <c r="H1911" s="41" t="s">
        <v>1542</v>
      </c>
      <c r="I1911" s="41" t="s">
        <v>939</v>
      </c>
      <c r="J1911" s="41" t="s">
        <v>188</v>
      </c>
      <c r="K1911" s="41"/>
      <c r="L1911" s="42"/>
    </row>
    <row r="1912">
      <c r="A1912" s="15">
        <v>1911.0</v>
      </c>
      <c r="B1912" s="39">
        <v>45946.0</v>
      </c>
      <c r="C1912" s="40" t="s">
        <v>3251</v>
      </c>
      <c r="D1912" s="41"/>
      <c r="E1912" s="41" t="s">
        <v>401</v>
      </c>
      <c r="F1912" s="18" t="s">
        <v>622</v>
      </c>
      <c r="G1912" s="41" t="s">
        <v>937</v>
      </c>
      <c r="H1912" s="41" t="s">
        <v>1542</v>
      </c>
      <c r="I1912" s="41" t="s">
        <v>939</v>
      </c>
      <c r="J1912" s="41" t="s">
        <v>188</v>
      </c>
      <c r="K1912" s="41"/>
      <c r="L1912" s="42"/>
    </row>
    <row r="1913">
      <c r="A1913" s="15">
        <v>1912.0</v>
      </c>
      <c r="B1913" s="39">
        <v>45946.0</v>
      </c>
      <c r="C1913" s="40" t="s">
        <v>3252</v>
      </c>
      <c r="D1913" s="41"/>
      <c r="E1913" s="41" t="s">
        <v>401</v>
      </c>
      <c r="F1913" s="18" t="s">
        <v>622</v>
      </c>
      <c r="G1913" s="41" t="s">
        <v>937</v>
      </c>
      <c r="H1913" s="41" t="s">
        <v>1542</v>
      </c>
      <c r="I1913" s="41" t="s">
        <v>939</v>
      </c>
      <c r="J1913" s="41" t="s">
        <v>188</v>
      </c>
      <c r="K1913" s="41"/>
      <c r="L1913" s="42"/>
    </row>
    <row r="1914">
      <c r="A1914" s="15">
        <v>1913.0</v>
      </c>
      <c r="B1914" s="39">
        <v>45946.0</v>
      </c>
      <c r="C1914" s="40" t="s">
        <v>3253</v>
      </c>
      <c r="D1914" s="41"/>
      <c r="E1914" s="41" t="s">
        <v>401</v>
      </c>
      <c r="F1914" s="18" t="s">
        <v>622</v>
      </c>
      <c r="G1914" s="41" t="s">
        <v>937</v>
      </c>
      <c r="H1914" s="41" t="s">
        <v>1542</v>
      </c>
      <c r="I1914" s="41" t="s">
        <v>939</v>
      </c>
      <c r="J1914" s="41" t="s">
        <v>188</v>
      </c>
      <c r="K1914" s="41"/>
      <c r="L1914" s="42"/>
    </row>
    <row r="1915">
      <c r="A1915" s="15">
        <v>1914.0</v>
      </c>
      <c r="B1915" s="39">
        <v>45946.0</v>
      </c>
      <c r="C1915" s="40" t="s">
        <v>3254</v>
      </c>
      <c r="D1915" s="41"/>
      <c r="E1915" s="41" t="s">
        <v>401</v>
      </c>
      <c r="F1915" s="18" t="s">
        <v>622</v>
      </c>
      <c r="G1915" s="41" t="s">
        <v>937</v>
      </c>
      <c r="H1915" s="41" t="s">
        <v>1542</v>
      </c>
      <c r="I1915" s="41" t="s">
        <v>939</v>
      </c>
      <c r="J1915" s="41" t="s">
        <v>188</v>
      </c>
      <c r="K1915" s="41"/>
      <c r="L1915" s="42"/>
    </row>
    <row r="1916">
      <c r="A1916" s="15">
        <v>1915.0</v>
      </c>
      <c r="B1916" s="39">
        <v>45946.0</v>
      </c>
      <c r="C1916" s="54" t="s">
        <v>3255</v>
      </c>
      <c r="D1916" s="41"/>
      <c r="E1916" s="41" t="s">
        <v>401</v>
      </c>
      <c r="F1916" s="18" t="s">
        <v>622</v>
      </c>
      <c r="G1916" s="41" t="s">
        <v>937</v>
      </c>
      <c r="H1916" s="41" t="s">
        <v>1542</v>
      </c>
      <c r="I1916" s="41" t="s">
        <v>939</v>
      </c>
      <c r="J1916" s="41" t="s">
        <v>188</v>
      </c>
      <c r="K1916" s="41"/>
      <c r="L1916" s="42"/>
    </row>
    <row r="1917">
      <c r="A1917" s="15">
        <v>1916.0</v>
      </c>
      <c r="B1917" s="39">
        <v>45946.0</v>
      </c>
      <c r="C1917" s="40" t="s">
        <v>3256</v>
      </c>
      <c r="D1917" s="41"/>
      <c r="E1917" s="41" t="s">
        <v>401</v>
      </c>
      <c r="F1917" s="18" t="s">
        <v>622</v>
      </c>
      <c r="G1917" s="41" t="s">
        <v>937</v>
      </c>
      <c r="H1917" s="41" t="s">
        <v>1542</v>
      </c>
      <c r="I1917" s="41" t="s">
        <v>939</v>
      </c>
      <c r="J1917" s="41" t="s">
        <v>188</v>
      </c>
      <c r="K1917" s="41"/>
      <c r="L1917" s="42"/>
    </row>
    <row r="1918">
      <c r="A1918" s="15">
        <v>1917.0</v>
      </c>
      <c r="B1918" s="39">
        <v>45946.0</v>
      </c>
      <c r="C1918" s="40" t="s">
        <v>3257</v>
      </c>
      <c r="D1918" s="41"/>
      <c r="E1918" s="41" t="s">
        <v>577</v>
      </c>
      <c r="F1918" s="18" t="s">
        <v>622</v>
      </c>
      <c r="G1918" s="41" t="s">
        <v>3258</v>
      </c>
      <c r="H1918" s="41" t="s">
        <v>410</v>
      </c>
      <c r="I1918" s="41"/>
      <c r="J1918" s="41"/>
      <c r="K1918" s="41"/>
      <c r="L1918" s="42"/>
    </row>
    <row r="1919">
      <c r="A1919" s="15">
        <v>1918.0</v>
      </c>
      <c r="B1919" s="55"/>
      <c r="C1919" s="40"/>
      <c r="D1919" s="41"/>
      <c r="E1919" s="41"/>
      <c r="F1919" s="18" t="b">
        <v>0</v>
      </c>
      <c r="G1919" s="41"/>
      <c r="H1919" s="41"/>
      <c r="I1919" s="41"/>
      <c r="J1919" s="41"/>
      <c r="K1919" s="41"/>
      <c r="L1919" s="42"/>
    </row>
    <row r="1920">
      <c r="A1920" s="15">
        <v>1919.0</v>
      </c>
      <c r="B1920" s="39">
        <v>45946.0</v>
      </c>
      <c r="C1920" s="40" t="s">
        <v>3259</v>
      </c>
      <c r="D1920" s="41"/>
      <c r="E1920" s="41" t="s">
        <v>577</v>
      </c>
      <c r="F1920" s="18" t="s">
        <v>702</v>
      </c>
      <c r="G1920" s="41" t="s">
        <v>3260</v>
      </c>
      <c r="H1920" s="41" t="s">
        <v>410</v>
      </c>
      <c r="I1920" s="41"/>
      <c r="J1920" s="41"/>
      <c r="K1920" s="41"/>
      <c r="L1920" s="42"/>
    </row>
    <row r="1921">
      <c r="A1921" s="15">
        <v>1920.0</v>
      </c>
      <c r="B1921" s="55"/>
      <c r="C1921" s="40"/>
      <c r="D1921" s="41"/>
      <c r="E1921" s="41"/>
      <c r="F1921" s="18" t="b">
        <v>0</v>
      </c>
      <c r="G1921" s="41"/>
      <c r="H1921" s="41"/>
      <c r="I1921" s="41"/>
      <c r="J1921" s="41"/>
      <c r="K1921" s="41"/>
      <c r="L1921" s="42"/>
    </row>
    <row r="1922">
      <c r="A1922" s="15">
        <v>1921.0</v>
      </c>
      <c r="B1922" s="39">
        <v>45946.0</v>
      </c>
      <c r="C1922" s="40" t="s">
        <v>3261</v>
      </c>
      <c r="D1922" s="41"/>
      <c r="E1922" s="41" t="s">
        <v>577</v>
      </c>
      <c r="F1922" s="18" t="s">
        <v>702</v>
      </c>
      <c r="G1922" s="41" t="s">
        <v>3262</v>
      </c>
      <c r="H1922" s="41" t="s">
        <v>410</v>
      </c>
      <c r="I1922" s="41"/>
      <c r="J1922" s="41"/>
      <c r="K1922" s="41"/>
      <c r="L1922" s="42"/>
    </row>
    <row r="1923">
      <c r="A1923" s="15">
        <v>1922.0</v>
      </c>
      <c r="B1923" s="55"/>
      <c r="C1923" s="40"/>
      <c r="D1923" s="41"/>
      <c r="E1923" s="41"/>
      <c r="F1923" s="18" t="b">
        <v>0</v>
      </c>
      <c r="G1923" s="41"/>
      <c r="H1923" s="41"/>
      <c r="I1923" s="41"/>
      <c r="J1923" s="41"/>
      <c r="K1923" s="41"/>
      <c r="L1923" s="42"/>
    </row>
    <row r="1924">
      <c r="A1924" s="15">
        <v>1923.0</v>
      </c>
      <c r="B1924" s="39">
        <v>45947.0</v>
      </c>
      <c r="C1924" s="40" t="s">
        <v>3263</v>
      </c>
      <c r="D1924" s="41"/>
      <c r="E1924" s="41" t="s">
        <v>1146</v>
      </c>
      <c r="F1924" s="18" t="s">
        <v>405</v>
      </c>
      <c r="G1924" s="41" t="s">
        <v>3264</v>
      </c>
      <c r="H1924" s="41"/>
      <c r="I1924" s="41"/>
      <c r="J1924" s="41" t="s">
        <v>188</v>
      </c>
      <c r="K1924" s="41" t="s">
        <v>1611</v>
      </c>
      <c r="L1924" s="42"/>
    </row>
    <row r="1925">
      <c r="A1925" s="15">
        <v>1924.0</v>
      </c>
      <c r="B1925" s="39">
        <v>45947.0</v>
      </c>
      <c r="C1925" s="40" t="s">
        <v>3265</v>
      </c>
      <c r="D1925" s="41"/>
      <c r="E1925" s="41" t="s">
        <v>197</v>
      </c>
      <c r="F1925" s="18" t="s">
        <v>405</v>
      </c>
      <c r="G1925" s="41" t="s">
        <v>3266</v>
      </c>
      <c r="H1925" s="41"/>
      <c r="I1925" s="41"/>
      <c r="J1925" s="41" t="s">
        <v>188</v>
      </c>
      <c r="K1925" s="41" t="s">
        <v>1611</v>
      </c>
      <c r="L1925" s="42"/>
    </row>
    <row r="1926">
      <c r="A1926" s="15">
        <v>1925.0</v>
      </c>
      <c r="B1926" s="39">
        <v>45947.0</v>
      </c>
      <c r="C1926" s="40" t="s">
        <v>3267</v>
      </c>
      <c r="D1926" s="41"/>
      <c r="E1926" s="41" t="s">
        <v>197</v>
      </c>
      <c r="F1926" s="18" t="s">
        <v>405</v>
      </c>
      <c r="G1926" s="41" t="s">
        <v>3268</v>
      </c>
      <c r="H1926" s="41"/>
      <c r="I1926" s="41"/>
      <c r="J1926" s="41" t="s">
        <v>188</v>
      </c>
      <c r="K1926" s="41" t="s">
        <v>1611</v>
      </c>
      <c r="L1926" s="42"/>
    </row>
    <row r="1927">
      <c r="A1927" s="15">
        <v>1926.0</v>
      </c>
      <c r="B1927" s="39">
        <v>45947.0</v>
      </c>
      <c r="C1927" s="40" t="s">
        <v>3269</v>
      </c>
      <c r="D1927" s="41"/>
      <c r="E1927" s="41" t="s">
        <v>197</v>
      </c>
      <c r="F1927" s="18" t="s">
        <v>405</v>
      </c>
      <c r="G1927" s="41" t="s">
        <v>3270</v>
      </c>
      <c r="H1927" s="41"/>
      <c r="I1927" s="41"/>
      <c r="J1927" s="41" t="s">
        <v>188</v>
      </c>
      <c r="K1927" s="41" t="s">
        <v>1611</v>
      </c>
      <c r="L1927" s="42"/>
    </row>
    <row r="1928">
      <c r="A1928" s="15">
        <v>1927.0</v>
      </c>
      <c r="B1928" s="39">
        <v>45947.0</v>
      </c>
      <c r="C1928" s="40" t="s">
        <v>3271</v>
      </c>
      <c r="D1928" s="41"/>
      <c r="E1928" s="41" t="s">
        <v>197</v>
      </c>
      <c r="F1928" s="18" t="s">
        <v>405</v>
      </c>
      <c r="G1928" s="41" t="s">
        <v>3272</v>
      </c>
      <c r="H1928" s="41"/>
      <c r="I1928" s="41"/>
      <c r="J1928" s="41" t="s">
        <v>188</v>
      </c>
      <c r="K1928" s="41" t="s">
        <v>1611</v>
      </c>
      <c r="L1928" s="42"/>
    </row>
    <row r="1929">
      <c r="A1929" s="15">
        <v>1928.0</v>
      </c>
      <c r="B1929" s="39">
        <v>45947.0</v>
      </c>
      <c r="C1929" s="40" t="s">
        <v>3273</v>
      </c>
      <c r="D1929" s="41"/>
      <c r="E1929" s="41" t="s">
        <v>197</v>
      </c>
      <c r="F1929" s="18" t="s">
        <v>405</v>
      </c>
      <c r="G1929" s="41" t="s">
        <v>3274</v>
      </c>
      <c r="H1929" s="41"/>
      <c r="I1929" s="41"/>
      <c r="J1929" s="41" t="s">
        <v>188</v>
      </c>
      <c r="K1929" s="41" t="s">
        <v>1611</v>
      </c>
      <c r="L1929" s="42"/>
    </row>
    <row r="1930">
      <c r="A1930" s="15">
        <v>1929.0</v>
      </c>
      <c r="B1930" s="39">
        <v>45947.0</v>
      </c>
      <c r="C1930" s="40" t="s">
        <v>3275</v>
      </c>
      <c r="D1930" s="41"/>
      <c r="E1930" s="41" t="s">
        <v>197</v>
      </c>
      <c r="F1930" s="18" t="s">
        <v>622</v>
      </c>
      <c r="G1930" s="41" t="s">
        <v>3276</v>
      </c>
      <c r="H1930" s="41"/>
      <c r="I1930" s="41"/>
      <c r="J1930" s="41" t="s">
        <v>188</v>
      </c>
      <c r="K1930" s="41"/>
      <c r="L1930" s="42"/>
    </row>
    <row r="1931">
      <c r="A1931" s="15">
        <v>1930.0</v>
      </c>
      <c r="B1931" s="39">
        <v>45947.0</v>
      </c>
      <c r="C1931" s="40" t="s">
        <v>3277</v>
      </c>
      <c r="D1931" s="41"/>
      <c r="E1931" s="41" t="s">
        <v>197</v>
      </c>
      <c r="F1931" s="18" t="s">
        <v>622</v>
      </c>
      <c r="G1931" s="41" t="s">
        <v>3278</v>
      </c>
      <c r="H1931" s="41"/>
      <c r="I1931" s="41"/>
      <c r="J1931" s="41" t="s">
        <v>188</v>
      </c>
      <c r="K1931" s="41"/>
      <c r="L1931" s="42"/>
    </row>
    <row r="1932">
      <c r="A1932" s="15">
        <v>1931.0</v>
      </c>
      <c r="B1932" s="39">
        <v>45947.0</v>
      </c>
      <c r="C1932" s="40" t="s">
        <v>3277</v>
      </c>
      <c r="D1932" s="41"/>
      <c r="E1932" s="41" t="s">
        <v>197</v>
      </c>
      <c r="F1932" s="18" t="s">
        <v>622</v>
      </c>
      <c r="G1932" s="41" t="s">
        <v>3279</v>
      </c>
      <c r="H1932" s="41"/>
      <c r="I1932" s="41"/>
      <c r="J1932" s="41" t="s">
        <v>188</v>
      </c>
      <c r="K1932" s="41"/>
      <c r="L1932" s="42"/>
    </row>
    <row r="1933">
      <c r="A1933" s="15">
        <v>1932.0</v>
      </c>
      <c r="B1933" s="39">
        <v>45947.0</v>
      </c>
      <c r="C1933" s="40" t="s">
        <v>3280</v>
      </c>
      <c r="D1933" s="41"/>
      <c r="E1933" s="41" t="s">
        <v>197</v>
      </c>
      <c r="F1933" s="18" t="s">
        <v>622</v>
      </c>
      <c r="G1933" s="41" t="s">
        <v>3281</v>
      </c>
      <c r="H1933" s="41"/>
      <c r="I1933" s="41"/>
      <c r="J1933" s="41" t="s">
        <v>188</v>
      </c>
      <c r="K1933" s="41"/>
      <c r="L1933" s="42"/>
    </row>
    <row r="1934">
      <c r="A1934" s="15">
        <v>1933.0</v>
      </c>
      <c r="B1934" s="39">
        <v>45947.0</v>
      </c>
      <c r="C1934" s="40" t="s">
        <v>3282</v>
      </c>
      <c r="D1934" s="41"/>
      <c r="E1934" s="41" t="s">
        <v>197</v>
      </c>
      <c r="F1934" s="18" t="s">
        <v>622</v>
      </c>
      <c r="G1934" s="41" t="s">
        <v>3283</v>
      </c>
      <c r="H1934" s="41"/>
      <c r="I1934" s="41"/>
      <c r="J1934" s="41" t="s">
        <v>188</v>
      </c>
      <c r="K1934" s="41"/>
      <c r="L1934" s="42"/>
    </row>
    <row r="1935">
      <c r="A1935" s="15">
        <v>1934.0</v>
      </c>
      <c r="B1935" s="39">
        <v>45947.0</v>
      </c>
      <c r="C1935" s="40" t="s">
        <v>3284</v>
      </c>
      <c r="D1935" s="41"/>
      <c r="E1935" s="41" t="s">
        <v>197</v>
      </c>
      <c r="F1935" s="18" t="s">
        <v>622</v>
      </c>
      <c r="G1935" s="41" t="s">
        <v>3285</v>
      </c>
      <c r="H1935" s="41"/>
      <c r="I1935" s="41"/>
      <c r="J1935" s="41" t="s">
        <v>188</v>
      </c>
      <c r="K1935" s="41"/>
      <c r="L1935" s="42"/>
    </row>
    <row r="1936">
      <c r="A1936" s="15">
        <v>1935.0</v>
      </c>
      <c r="B1936" s="39">
        <v>45947.0</v>
      </c>
      <c r="C1936" s="40" t="s">
        <v>3286</v>
      </c>
      <c r="D1936" s="41"/>
      <c r="E1936" s="41" t="s">
        <v>1146</v>
      </c>
      <c r="F1936" s="18" t="s">
        <v>686</v>
      </c>
      <c r="G1936" s="41" t="s">
        <v>3287</v>
      </c>
      <c r="H1936" s="41"/>
      <c r="I1936" s="41"/>
      <c r="J1936" s="41" t="s">
        <v>188</v>
      </c>
      <c r="K1936" s="41"/>
      <c r="L1936" s="42"/>
    </row>
    <row r="1937">
      <c r="A1937" s="15">
        <v>1936.0</v>
      </c>
      <c r="B1937" s="39">
        <v>45947.0</v>
      </c>
      <c r="C1937" s="40" t="s">
        <v>3288</v>
      </c>
      <c r="D1937" s="41"/>
      <c r="E1937" s="41" t="s">
        <v>557</v>
      </c>
      <c r="F1937" s="18" t="s">
        <v>686</v>
      </c>
      <c r="G1937" s="41" t="s">
        <v>3289</v>
      </c>
      <c r="H1937" s="41"/>
      <c r="I1937" s="41"/>
      <c r="J1937" s="41" t="s">
        <v>188</v>
      </c>
      <c r="K1937" s="41"/>
      <c r="L1937" s="42"/>
    </row>
    <row r="1938">
      <c r="A1938" s="15">
        <v>1937.0</v>
      </c>
      <c r="B1938" s="39">
        <v>45947.0</v>
      </c>
      <c r="C1938" s="40" t="s">
        <v>3290</v>
      </c>
      <c r="D1938" s="41"/>
      <c r="E1938" s="41" t="s">
        <v>401</v>
      </c>
      <c r="F1938" s="18" t="s">
        <v>622</v>
      </c>
      <c r="G1938" s="41" t="s">
        <v>937</v>
      </c>
      <c r="H1938" s="41" t="s">
        <v>1542</v>
      </c>
      <c r="I1938" s="41" t="s">
        <v>939</v>
      </c>
      <c r="J1938" s="41" t="s">
        <v>188</v>
      </c>
      <c r="K1938" s="41"/>
      <c r="L1938" s="42"/>
    </row>
    <row r="1939">
      <c r="A1939" s="15">
        <v>1938.0</v>
      </c>
      <c r="B1939" s="39">
        <v>45947.0</v>
      </c>
      <c r="C1939" s="40" t="s">
        <v>3291</v>
      </c>
      <c r="D1939" s="41"/>
      <c r="E1939" s="41" t="s">
        <v>401</v>
      </c>
      <c r="F1939" s="18" t="s">
        <v>622</v>
      </c>
      <c r="G1939" s="41" t="s">
        <v>937</v>
      </c>
      <c r="H1939" s="41" t="s">
        <v>1542</v>
      </c>
      <c r="I1939" s="41" t="s">
        <v>939</v>
      </c>
      <c r="J1939" s="41" t="s">
        <v>188</v>
      </c>
      <c r="K1939" s="41"/>
      <c r="L1939" s="42"/>
    </row>
    <row r="1940">
      <c r="A1940" s="15">
        <v>1939.0</v>
      </c>
      <c r="B1940" s="39">
        <v>45947.0</v>
      </c>
      <c r="C1940" s="40" t="s">
        <v>3292</v>
      </c>
      <c r="D1940" s="41"/>
      <c r="E1940" s="41" t="s">
        <v>401</v>
      </c>
      <c r="F1940" s="18" t="s">
        <v>622</v>
      </c>
      <c r="G1940" s="41" t="s">
        <v>937</v>
      </c>
      <c r="H1940" s="41" t="s">
        <v>1542</v>
      </c>
      <c r="I1940" s="41" t="s">
        <v>939</v>
      </c>
      <c r="J1940" s="41" t="s">
        <v>188</v>
      </c>
      <c r="K1940" s="41"/>
      <c r="L1940" s="42"/>
    </row>
    <row r="1941">
      <c r="A1941" s="15">
        <v>1940.0</v>
      </c>
      <c r="B1941" s="39">
        <v>45947.0</v>
      </c>
      <c r="C1941" s="40" t="s">
        <v>3293</v>
      </c>
      <c r="D1941" s="41"/>
      <c r="E1941" s="41" t="s">
        <v>401</v>
      </c>
      <c r="F1941" s="18" t="s">
        <v>622</v>
      </c>
      <c r="G1941" s="41" t="s">
        <v>937</v>
      </c>
      <c r="H1941" s="41" t="s">
        <v>1542</v>
      </c>
      <c r="I1941" s="41" t="s">
        <v>939</v>
      </c>
      <c r="J1941" s="41" t="s">
        <v>188</v>
      </c>
      <c r="K1941" s="41"/>
      <c r="L1941" s="42"/>
    </row>
    <row r="1942">
      <c r="A1942" s="15">
        <v>1941.0</v>
      </c>
      <c r="B1942" s="39">
        <v>45947.0</v>
      </c>
      <c r="C1942" s="40" t="s">
        <v>3294</v>
      </c>
      <c r="D1942" s="41"/>
      <c r="E1942" s="41" t="s">
        <v>401</v>
      </c>
      <c r="F1942" s="18" t="s">
        <v>622</v>
      </c>
      <c r="G1942" s="41" t="s">
        <v>937</v>
      </c>
      <c r="H1942" s="41" t="s">
        <v>1542</v>
      </c>
      <c r="I1942" s="41" t="s">
        <v>939</v>
      </c>
      <c r="J1942" s="41" t="s">
        <v>188</v>
      </c>
      <c r="K1942" s="41"/>
      <c r="L1942" s="42"/>
    </row>
    <row r="1943">
      <c r="A1943" s="15">
        <v>1942.0</v>
      </c>
      <c r="B1943" s="39">
        <v>45947.0</v>
      </c>
      <c r="C1943" s="40" t="s">
        <v>3295</v>
      </c>
      <c r="D1943" s="41"/>
      <c r="E1943" s="41" t="s">
        <v>401</v>
      </c>
      <c r="F1943" s="18" t="s">
        <v>622</v>
      </c>
      <c r="G1943" s="41" t="s">
        <v>937</v>
      </c>
      <c r="H1943" s="41" t="s">
        <v>1542</v>
      </c>
      <c r="I1943" s="41" t="s">
        <v>939</v>
      </c>
      <c r="J1943" s="41" t="s">
        <v>188</v>
      </c>
      <c r="K1943" s="41"/>
      <c r="L1943" s="42"/>
    </row>
    <row r="1944">
      <c r="A1944" s="15">
        <v>1943.0</v>
      </c>
      <c r="B1944" s="39">
        <v>45948.0</v>
      </c>
      <c r="C1944" s="40" t="s">
        <v>3296</v>
      </c>
      <c r="D1944" s="41"/>
      <c r="E1944" s="41" t="s">
        <v>197</v>
      </c>
      <c r="F1944" s="18" t="s">
        <v>405</v>
      </c>
      <c r="G1944" s="41" t="s">
        <v>3297</v>
      </c>
      <c r="H1944" s="41" t="s">
        <v>3298</v>
      </c>
      <c r="I1944" s="41" t="s">
        <v>1782</v>
      </c>
      <c r="J1944" s="41" t="s">
        <v>535</v>
      </c>
      <c r="K1944" s="41" t="s">
        <v>188</v>
      </c>
      <c r="L1944" s="42"/>
    </row>
    <row r="1945">
      <c r="A1945" s="15">
        <v>1944.0</v>
      </c>
      <c r="B1945" s="39">
        <v>45948.0</v>
      </c>
      <c r="C1945" s="40" t="s">
        <v>3299</v>
      </c>
      <c r="D1945" s="41"/>
      <c r="E1945" s="41" t="s">
        <v>197</v>
      </c>
      <c r="F1945" s="18" t="s">
        <v>405</v>
      </c>
      <c r="G1945" s="41" t="s">
        <v>3300</v>
      </c>
      <c r="H1945" s="41" t="s">
        <v>3301</v>
      </c>
      <c r="I1945" s="41"/>
      <c r="J1945" s="41"/>
      <c r="K1945" s="41" t="s">
        <v>188</v>
      </c>
      <c r="L1945" s="42"/>
    </row>
    <row r="1946">
      <c r="A1946" s="15">
        <v>1945.0</v>
      </c>
      <c r="B1946" s="39">
        <v>45948.0</v>
      </c>
      <c r="C1946" s="40" t="s">
        <v>3302</v>
      </c>
      <c r="D1946" s="41"/>
      <c r="E1946" s="41" t="s">
        <v>197</v>
      </c>
      <c r="F1946" s="18" t="s">
        <v>405</v>
      </c>
      <c r="G1946" s="41" t="s">
        <v>3303</v>
      </c>
      <c r="H1946" s="41" t="s">
        <v>3304</v>
      </c>
      <c r="I1946" s="41"/>
      <c r="J1946" s="41"/>
      <c r="K1946" s="41" t="s">
        <v>188</v>
      </c>
      <c r="L1946" s="42"/>
    </row>
    <row r="1947">
      <c r="A1947" s="15">
        <v>1946.0</v>
      </c>
      <c r="B1947" s="39">
        <v>45948.0</v>
      </c>
      <c r="C1947" s="40" t="s">
        <v>3305</v>
      </c>
      <c r="D1947" s="41"/>
      <c r="E1947" s="41" t="s">
        <v>2353</v>
      </c>
      <c r="F1947" s="18" t="s">
        <v>405</v>
      </c>
      <c r="G1947" s="41" t="s">
        <v>3306</v>
      </c>
      <c r="H1947" s="41" t="s">
        <v>3307</v>
      </c>
      <c r="I1947" s="41"/>
      <c r="J1947" s="41"/>
      <c r="K1947" s="41" t="s">
        <v>188</v>
      </c>
      <c r="L1947" s="42"/>
    </row>
    <row r="1948">
      <c r="A1948" s="15">
        <v>1947.0</v>
      </c>
      <c r="B1948" s="39">
        <v>45948.0</v>
      </c>
      <c r="C1948" s="40" t="s">
        <v>3308</v>
      </c>
      <c r="D1948" s="41"/>
      <c r="E1948" s="41" t="s">
        <v>2353</v>
      </c>
      <c r="F1948" s="18" t="s">
        <v>405</v>
      </c>
      <c r="G1948" s="41" t="s">
        <v>3306</v>
      </c>
      <c r="H1948" s="41" t="s">
        <v>3309</v>
      </c>
      <c r="I1948" s="41"/>
      <c r="J1948" s="41"/>
      <c r="K1948" s="41" t="s">
        <v>188</v>
      </c>
      <c r="L1948" s="42"/>
    </row>
    <row r="1949">
      <c r="A1949" s="15">
        <v>1948.0</v>
      </c>
      <c r="B1949" s="39">
        <v>45948.0</v>
      </c>
      <c r="C1949" s="40" t="s">
        <v>3310</v>
      </c>
      <c r="D1949" s="41"/>
      <c r="E1949" s="41" t="s">
        <v>197</v>
      </c>
      <c r="F1949" s="18" t="s">
        <v>405</v>
      </c>
      <c r="G1949" s="41" t="s">
        <v>3303</v>
      </c>
      <c r="H1949" s="41" t="s">
        <v>3311</v>
      </c>
      <c r="I1949" s="41"/>
      <c r="J1949" s="41"/>
      <c r="K1949" s="41" t="s">
        <v>188</v>
      </c>
      <c r="L1949" s="42"/>
    </row>
    <row r="1950">
      <c r="A1950" s="15">
        <v>1949.0</v>
      </c>
      <c r="B1950" s="39">
        <v>45948.0</v>
      </c>
      <c r="C1950" s="40" t="s">
        <v>3312</v>
      </c>
      <c r="D1950" s="41"/>
      <c r="E1950" s="41" t="s">
        <v>197</v>
      </c>
      <c r="F1950" s="18" t="s">
        <v>405</v>
      </c>
      <c r="G1950" s="41" t="s">
        <v>3303</v>
      </c>
      <c r="H1950" s="41" t="s">
        <v>3313</v>
      </c>
      <c r="I1950" s="41"/>
      <c r="J1950" s="41"/>
      <c r="K1950" s="41" t="s">
        <v>188</v>
      </c>
      <c r="L1950" s="42"/>
    </row>
    <row r="1951">
      <c r="A1951" s="15">
        <v>1950.0</v>
      </c>
      <c r="B1951" s="39">
        <v>45948.0</v>
      </c>
      <c r="C1951" s="40" t="s">
        <v>3314</v>
      </c>
      <c r="D1951" s="41"/>
      <c r="E1951" s="41" t="s">
        <v>197</v>
      </c>
      <c r="F1951" s="18" t="s">
        <v>622</v>
      </c>
      <c r="G1951" s="41" t="s">
        <v>3315</v>
      </c>
      <c r="H1951" s="41" t="s">
        <v>3316</v>
      </c>
      <c r="I1951" s="41"/>
      <c r="J1951" s="41"/>
      <c r="K1951" s="41" t="s">
        <v>188</v>
      </c>
      <c r="L1951" s="42"/>
    </row>
    <row r="1952">
      <c r="A1952" s="15">
        <v>1951.0</v>
      </c>
      <c r="B1952" s="39">
        <v>45948.0</v>
      </c>
      <c r="C1952" s="40" t="s">
        <v>3317</v>
      </c>
      <c r="D1952" s="41"/>
      <c r="E1952" s="41" t="s">
        <v>197</v>
      </c>
      <c r="F1952" s="18" t="s">
        <v>622</v>
      </c>
      <c r="G1952" s="41" t="s">
        <v>3300</v>
      </c>
      <c r="H1952" s="41" t="s">
        <v>3301</v>
      </c>
      <c r="I1952" s="41"/>
      <c r="J1952" s="41"/>
      <c r="K1952" s="41" t="s">
        <v>188</v>
      </c>
      <c r="L1952" s="42"/>
    </row>
    <row r="1953">
      <c r="A1953" s="15">
        <v>1952.0</v>
      </c>
      <c r="B1953" s="39">
        <v>45948.0</v>
      </c>
      <c r="C1953" s="40" t="s">
        <v>3318</v>
      </c>
      <c r="D1953" s="41"/>
      <c r="E1953" s="41" t="s">
        <v>197</v>
      </c>
      <c r="F1953" s="18" t="s">
        <v>622</v>
      </c>
      <c r="G1953" s="41" t="s">
        <v>3319</v>
      </c>
      <c r="H1953" s="41" t="s">
        <v>3320</v>
      </c>
      <c r="I1953" s="41"/>
      <c r="J1953" s="41"/>
      <c r="K1953" s="41" t="s">
        <v>188</v>
      </c>
      <c r="L1953" s="42"/>
    </row>
    <row r="1954">
      <c r="A1954" s="15">
        <v>1953.0</v>
      </c>
      <c r="B1954" s="39">
        <v>45948.0</v>
      </c>
      <c r="C1954" s="40" t="s">
        <v>3321</v>
      </c>
      <c r="D1954" s="41"/>
      <c r="E1954" s="41" t="s">
        <v>197</v>
      </c>
      <c r="F1954" s="18" t="s">
        <v>622</v>
      </c>
      <c r="G1954" s="41" t="s">
        <v>3303</v>
      </c>
      <c r="H1954" s="41" t="s">
        <v>3322</v>
      </c>
      <c r="I1954" s="41"/>
      <c r="J1954" s="41"/>
      <c r="K1954" s="41" t="s">
        <v>188</v>
      </c>
      <c r="L1954" s="42"/>
    </row>
    <row r="1955">
      <c r="A1955" s="15">
        <v>1954.0</v>
      </c>
      <c r="B1955" s="39">
        <v>45948.0</v>
      </c>
      <c r="C1955" s="40" t="s">
        <v>3323</v>
      </c>
      <c r="D1955" s="41"/>
      <c r="E1955" s="41" t="s">
        <v>197</v>
      </c>
      <c r="F1955" s="18" t="s">
        <v>622</v>
      </c>
      <c r="G1955" s="41" t="s">
        <v>3297</v>
      </c>
      <c r="H1955" s="41" t="s">
        <v>3324</v>
      </c>
      <c r="I1955" s="41"/>
      <c r="J1955" s="41"/>
      <c r="K1955" s="41" t="s">
        <v>188</v>
      </c>
      <c r="L1955" s="42"/>
    </row>
    <row r="1956">
      <c r="A1956" s="15">
        <v>1955.0</v>
      </c>
      <c r="B1956" s="39">
        <v>45948.0</v>
      </c>
      <c r="C1956" s="40" t="s">
        <v>3325</v>
      </c>
      <c r="D1956" s="41"/>
      <c r="E1956" s="41" t="s">
        <v>197</v>
      </c>
      <c r="F1956" s="18" t="s">
        <v>686</v>
      </c>
      <c r="G1956" s="41" t="s">
        <v>3326</v>
      </c>
      <c r="H1956" s="41" t="s">
        <v>3327</v>
      </c>
      <c r="I1956" s="41"/>
      <c r="J1956" s="41"/>
      <c r="K1956" s="41" t="s">
        <v>188</v>
      </c>
      <c r="L1956" s="42"/>
    </row>
    <row r="1957">
      <c r="A1957" s="15">
        <v>1956.0</v>
      </c>
      <c r="B1957" s="39">
        <v>45948.0</v>
      </c>
      <c r="C1957" s="40" t="s">
        <v>3328</v>
      </c>
      <c r="D1957" s="41"/>
      <c r="E1957" s="41" t="s">
        <v>3329</v>
      </c>
      <c r="F1957" s="18" t="s">
        <v>702</v>
      </c>
      <c r="G1957" s="41" t="s">
        <v>3306</v>
      </c>
      <c r="H1957" s="41" t="s">
        <v>3309</v>
      </c>
      <c r="I1957" s="41"/>
      <c r="J1957" s="41"/>
      <c r="K1957" s="41" t="s">
        <v>188</v>
      </c>
      <c r="L1957" s="42"/>
    </row>
    <row r="1958">
      <c r="A1958" s="15">
        <v>1957.0</v>
      </c>
      <c r="B1958" s="39">
        <v>45948.0</v>
      </c>
      <c r="C1958" s="40" t="s">
        <v>3330</v>
      </c>
      <c r="D1958" s="41"/>
      <c r="E1958" s="41" t="s">
        <v>3329</v>
      </c>
      <c r="F1958" s="18" t="s">
        <v>686</v>
      </c>
      <c r="G1958" s="41" t="s">
        <v>3306</v>
      </c>
      <c r="H1958" s="41" t="s">
        <v>3309</v>
      </c>
      <c r="I1958" s="41"/>
      <c r="J1958" s="41"/>
      <c r="K1958" s="41" t="s">
        <v>188</v>
      </c>
      <c r="L1958" s="42"/>
    </row>
    <row r="1959">
      <c r="A1959" s="15">
        <v>1958.0</v>
      </c>
      <c r="B1959" s="39">
        <v>45948.0</v>
      </c>
      <c r="C1959" s="40" t="s">
        <v>3331</v>
      </c>
      <c r="D1959" s="41"/>
      <c r="E1959" s="41" t="s">
        <v>3329</v>
      </c>
      <c r="F1959" s="18" t="s">
        <v>686</v>
      </c>
      <c r="G1959" s="41" t="s">
        <v>3306</v>
      </c>
      <c r="H1959" s="41" t="s">
        <v>3309</v>
      </c>
      <c r="I1959" s="41"/>
      <c r="J1959" s="41"/>
      <c r="K1959" s="41" t="s">
        <v>188</v>
      </c>
      <c r="L1959" s="42"/>
    </row>
    <row r="1960">
      <c r="A1960" s="15">
        <v>1959.0</v>
      </c>
      <c r="B1960" s="39">
        <v>45948.0</v>
      </c>
      <c r="C1960" s="40" t="s">
        <v>3332</v>
      </c>
      <c r="D1960" s="41"/>
      <c r="E1960" s="41" t="s">
        <v>197</v>
      </c>
      <c r="F1960" s="18" t="s">
        <v>405</v>
      </c>
      <c r="G1960" s="41" t="s">
        <v>3333</v>
      </c>
      <c r="H1960" s="41" t="s">
        <v>3334</v>
      </c>
      <c r="I1960" s="41"/>
      <c r="J1960" s="41"/>
      <c r="K1960" s="41" t="s">
        <v>188</v>
      </c>
      <c r="L1960" s="42"/>
    </row>
    <row r="1961">
      <c r="A1961" s="15">
        <v>1960.0</v>
      </c>
      <c r="B1961" s="39">
        <v>45949.0</v>
      </c>
      <c r="C1961" s="40" t="s">
        <v>3335</v>
      </c>
      <c r="D1961" s="41"/>
      <c r="E1961" s="41" t="s">
        <v>197</v>
      </c>
      <c r="F1961" s="18" t="s">
        <v>686</v>
      </c>
      <c r="G1961" s="41" t="s">
        <v>3336</v>
      </c>
      <c r="H1961" s="41" t="s">
        <v>3337</v>
      </c>
      <c r="I1961" s="41" t="s">
        <v>535</v>
      </c>
      <c r="J1961" s="41" t="s">
        <v>188</v>
      </c>
      <c r="K1961" s="41"/>
      <c r="L1961" s="42"/>
    </row>
    <row r="1962">
      <c r="A1962" s="15">
        <v>1961.0</v>
      </c>
      <c r="B1962" s="39">
        <v>45949.0</v>
      </c>
      <c r="C1962" s="40" t="s">
        <v>3338</v>
      </c>
      <c r="D1962" s="41"/>
      <c r="E1962" s="41" t="s">
        <v>197</v>
      </c>
      <c r="F1962" s="18" t="s">
        <v>686</v>
      </c>
      <c r="G1962" s="41" t="s">
        <v>3336</v>
      </c>
      <c r="H1962" s="41"/>
      <c r="I1962" s="41"/>
      <c r="J1962" s="41" t="s">
        <v>188</v>
      </c>
      <c r="K1962" s="41"/>
      <c r="L1962" s="42"/>
    </row>
    <row r="1963">
      <c r="A1963" s="15">
        <v>1962.0</v>
      </c>
      <c r="B1963" s="39">
        <v>45949.0</v>
      </c>
      <c r="C1963" s="40" t="s">
        <v>3339</v>
      </c>
      <c r="D1963" s="41"/>
      <c r="E1963" s="41" t="s">
        <v>197</v>
      </c>
      <c r="F1963" s="18" t="s">
        <v>686</v>
      </c>
      <c r="G1963" s="41" t="s">
        <v>3336</v>
      </c>
      <c r="H1963" s="41"/>
      <c r="I1963" s="41"/>
      <c r="J1963" s="41" t="s">
        <v>188</v>
      </c>
      <c r="K1963" s="41"/>
      <c r="L1963" s="42"/>
    </row>
    <row r="1964">
      <c r="A1964" s="15">
        <v>1963.0</v>
      </c>
      <c r="B1964" s="39">
        <v>45949.0</v>
      </c>
      <c r="C1964" s="40" t="s">
        <v>3340</v>
      </c>
      <c r="D1964" s="41"/>
      <c r="E1964" s="41" t="s">
        <v>197</v>
      </c>
      <c r="F1964" s="18" t="s">
        <v>686</v>
      </c>
      <c r="G1964" s="41" t="s">
        <v>3336</v>
      </c>
      <c r="H1964" s="41"/>
      <c r="I1964" s="41"/>
      <c r="J1964" s="41" t="s">
        <v>188</v>
      </c>
      <c r="K1964" s="41"/>
      <c r="L1964" s="42"/>
    </row>
    <row r="1965">
      <c r="A1965" s="15">
        <v>1964.0</v>
      </c>
      <c r="B1965" s="39">
        <v>45949.0</v>
      </c>
      <c r="C1965" s="40" t="s">
        <v>3341</v>
      </c>
      <c r="D1965" s="41"/>
      <c r="E1965" s="41" t="s">
        <v>197</v>
      </c>
      <c r="F1965" s="18" t="s">
        <v>686</v>
      </c>
      <c r="G1965" s="41" t="s">
        <v>3336</v>
      </c>
      <c r="H1965" s="41"/>
      <c r="I1965" s="41"/>
      <c r="J1965" s="41" t="s">
        <v>188</v>
      </c>
      <c r="K1965" s="41"/>
      <c r="L1965" s="42"/>
    </row>
    <row r="1966">
      <c r="A1966" s="15">
        <v>1965.0</v>
      </c>
      <c r="B1966" s="39">
        <v>45949.0</v>
      </c>
      <c r="C1966" s="40" t="s">
        <v>3342</v>
      </c>
      <c r="D1966" s="41"/>
      <c r="E1966" s="41" t="s">
        <v>197</v>
      </c>
      <c r="F1966" s="18" t="s">
        <v>686</v>
      </c>
      <c r="G1966" s="41" t="s">
        <v>3336</v>
      </c>
      <c r="H1966" s="41"/>
      <c r="I1966" s="41"/>
      <c r="J1966" s="41" t="s">
        <v>188</v>
      </c>
      <c r="K1966" s="41"/>
      <c r="L1966" s="42"/>
    </row>
    <row r="1967">
      <c r="A1967" s="15">
        <v>1966.0</v>
      </c>
      <c r="B1967" s="39">
        <v>45949.0</v>
      </c>
      <c r="C1967" s="40" t="s">
        <v>3343</v>
      </c>
      <c r="D1967" s="41"/>
      <c r="E1967" s="41" t="s">
        <v>197</v>
      </c>
      <c r="F1967" s="18" t="s">
        <v>686</v>
      </c>
      <c r="G1967" s="41" t="s">
        <v>3344</v>
      </c>
      <c r="H1967" s="41"/>
      <c r="I1967" s="41"/>
      <c r="J1967" s="41" t="s">
        <v>188</v>
      </c>
      <c r="K1967" s="41"/>
      <c r="L1967" s="42"/>
    </row>
    <row r="1968">
      <c r="A1968" s="15">
        <v>1967.0</v>
      </c>
      <c r="B1968" s="39">
        <v>45949.0</v>
      </c>
      <c r="C1968" s="40" t="s">
        <v>3345</v>
      </c>
      <c r="D1968" s="41"/>
      <c r="E1968" s="41" t="s">
        <v>197</v>
      </c>
      <c r="F1968" s="18" t="s">
        <v>686</v>
      </c>
      <c r="G1968" s="41" t="s">
        <v>3344</v>
      </c>
      <c r="H1968" s="41"/>
      <c r="I1968" s="41"/>
      <c r="J1968" s="41" t="s">
        <v>188</v>
      </c>
      <c r="K1968" s="41"/>
      <c r="L1968" s="42"/>
    </row>
    <row r="1969">
      <c r="A1969" s="15">
        <v>1968.0</v>
      </c>
      <c r="B1969" s="39">
        <v>45949.0</v>
      </c>
      <c r="C1969" s="40" t="s">
        <v>3346</v>
      </c>
      <c r="D1969" s="41"/>
      <c r="E1969" s="41" t="s">
        <v>197</v>
      </c>
      <c r="F1969" s="18" t="s">
        <v>686</v>
      </c>
      <c r="G1969" s="41" t="s">
        <v>3347</v>
      </c>
      <c r="H1969" s="41"/>
      <c r="I1969" s="41"/>
      <c r="J1969" s="41" t="s">
        <v>188</v>
      </c>
      <c r="K1969" s="41"/>
      <c r="L1969" s="42"/>
    </row>
    <row r="1970">
      <c r="A1970" s="15">
        <v>1969.0</v>
      </c>
      <c r="B1970" s="39">
        <v>45949.0</v>
      </c>
      <c r="C1970" s="40" t="s">
        <v>3348</v>
      </c>
      <c r="D1970" s="41"/>
      <c r="E1970" s="41" t="s">
        <v>197</v>
      </c>
      <c r="F1970" s="18" t="s">
        <v>686</v>
      </c>
      <c r="G1970" s="41" t="s">
        <v>3349</v>
      </c>
      <c r="H1970" s="41"/>
      <c r="I1970" s="41"/>
      <c r="J1970" s="41" t="s">
        <v>188</v>
      </c>
      <c r="K1970" s="41"/>
      <c r="L1970" s="42"/>
    </row>
    <row r="1971">
      <c r="A1971" s="15">
        <v>1970.0</v>
      </c>
      <c r="B1971" s="39">
        <v>45949.0</v>
      </c>
      <c r="C1971" s="40" t="s">
        <v>3350</v>
      </c>
      <c r="D1971" s="41"/>
      <c r="E1971" s="41" t="s">
        <v>197</v>
      </c>
      <c r="F1971" s="18" t="s">
        <v>686</v>
      </c>
      <c r="G1971" s="41" t="s">
        <v>3351</v>
      </c>
      <c r="H1971" s="41"/>
      <c r="I1971" s="41"/>
      <c r="J1971" s="41" t="s">
        <v>188</v>
      </c>
      <c r="K1971" s="41"/>
      <c r="L1971" s="42"/>
    </row>
    <row r="1972">
      <c r="A1972" s="15">
        <v>1971.0</v>
      </c>
      <c r="B1972" s="39">
        <v>45949.0</v>
      </c>
      <c r="C1972" s="40" t="s">
        <v>3352</v>
      </c>
      <c r="D1972" s="41"/>
      <c r="E1972" s="41" t="s">
        <v>197</v>
      </c>
      <c r="F1972" s="18" t="s">
        <v>686</v>
      </c>
      <c r="G1972" s="41" t="s">
        <v>3353</v>
      </c>
      <c r="H1972" s="41"/>
      <c r="I1972" s="41"/>
      <c r="J1972" s="41" t="s">
        <v>188</v>
      </c>
      <c r="K1972" s="41"/>
      <c r="L1972" s="42"/>
    </row>
    <row r="1973">
      <c r="A1973" s="15">
        <v>1972.0</v>
      </c>
      <c r="B1973" s="39">
        <v>45949.0</v>
      </c>
      <c r="C1973" s="40" t="s">
        <v>3354</v>
      </c>
      <c r="D1973" s="41"/>
      <c r="E1973" s="41" t="s">
        <v>197</v>
      </c>
      <c r="F1973" s="18" t="s">
        <v>622</v>
      </c>
      <c r="G1973" s="41" t="s">
        <v>3355</v>
      </c>
      <c r="H1973" s="41"/>
      <c r="I1973" s="41"/>
      <c r="J1973" s="41" t="s">
        <v>188</v>
      </c>
      <c r="K1973" s="41"/>
      <c r="L1973" s="42"/>
    </row>
    <row r="1974">
      <c r="A1974" s="15">
        <v>1973.0</v>
      </c>
      <c r="B1974" s="39">
        <v>45949.0</v>
      </c>
      <c r="C1974" s="40" t="s">
        <v>3356</v>
      </c>
      <c r="D1974" s="41"/>
      <c r="E1974" s="41" t="s">
        <v>197</v>
      </c>
      <c r="F1974" s="18" t="s">
        <v>686</v>
      </c>
      <c r="G1974" s="41" t="s">
        <v>3357</v>
      </c>
      <c r="H1974" s="41"/>
      <c r="I1974" s="41"/>
      <c r="J1974" s="41" t="s">
        <v>188</v>
      </c>
      <c r="K1974" s="41"/>
      <c r="L1974" s="42"/>
    </row>
    <row r="1975">
      <c r="A1975" s="15">
        <v>1974.0</v>
      </c>
      <c r="B1975" s="39">
        <v>45949.0</v>
      </c>
      <c r="C1975" s="40" t="s">
        <v>3358</v>
      </c>
      <c r="D1975" s="41"/>
      <c r="E1975" s="41" t="s">
        <v>197</v>
      </c>
      <c r="F1975" s="18" t="s">
        <v>686</v>
      </c>
      <c r="G1975" s="41" t="s">
        <v>3351</v>
      </c>
      <c r="H1975" s="41"/>
      <c r="I1975" s="41"/>
      <c r="J1975" s="41" t="s">
        <v>188</v>
      </c>
      <c r="K1975" s="41"/>
      <c r="L1975" s="42"/>
    </row>
    <row r="1976">
      <c r="A1976" s="15">
        <v>1975.0</v>
      </c>
      <c r="B1976" s="39">
        <v>45949.0</v>
      </c>
      <c r="C1976" s="40" t="s">
        <v>3359</v>
      </c>
      <c r="D1976" s="41"/>
      <c r="E1976" s="41" t="s">
        <v>197</v>
      </c>
      <c r="F1976" s="18" t="s">
        <v>622</v>
      </c>
      <c r="G1976" s="41" t="s">
        <v>3360</v>
      </c>
      <c r="H1976" s="41"/>
      <c r="I1976" s="41"/>
      <c r="J1976" s="41" t="s">
        <v>188</v>
      </c>
      <c r="K1976" s="41"/>
      <c r="L1976" s="42"/>
    </row>
    <row r="1977">
      <c r="A1977" s="15">
        <v>1976.0</v>
      </c>
      <c r="B1977" s="39">
        <v>45949.0</v>
      </c>
      <c r="C1977" s="40" t="s">
        <v>3361</v>
      </c>
      <c r="D1977" s="41"/>
      <c r="E1977" s="41" t="s">
        <v>197</v>
      </c>
      <c r="F1977" s="18" t="s">
        <v>686</v>
      </c>
      <c r="G1977" s="41" t="s">
        <v>3362</v>
      </c>
      <c r="H1977" s="41"/>
      <c r="I1977" s="41"/>
      <c r="J1977" s="41" t="s">
        <v>188</v>
      </c>
      <c r="K1977" s="41"/>
      <c r="L1977" s="42"/>
    </row>
    <row r="1978">
      <c r="A1978" s="15">
        <v>1977.0</v>
      </c>
      <c r="B1978" s="39">
        <v>45949.0</v>
      </c>
      <c r="C1978" s="40" t="s">
        <v>3363</v>
      </c>
      <c r="D1978" s="41"/>
      <c r="E1978" s="41" t="s">
        <v>197</v>
      </c>
      <c r="F1978" s="18" t="s">
        <v>622</v>
      </c>
      <c r="G1978" s="41" t="s">
        <v>3364</v>
      </c>
      <c r="H1978" s="41"/>
      <c r="I1978" s="41"/>
      <c r="J1978" s="41" t="s">
        <v>188</v>
      </c>
      <c r="K1978" s="41"/>
      <c r="L1978" s="42"/>
    </row>
    <row r="1979">
      <c r="A1979" s="15">
        <v>1978.0</v>
      </c>
      <c r="B1979" s="39">
        <v>45950.0</v>
      </c>
      <c r="C1979" s="40" t="s">
        <v>3365</v>
      </c>
      <c r="D1979" s="41"/>
      <c r="E1979" s="41" t="s">
        <v>184</v>
      </c>
      <c r="F1979" s="18" t="s">
        <v>686</v>
      </c>
      <c r="G1979" s="41" t="s">
        <v>3366</v>
      </c>
      <c r="H1979" s="41" t="s">
        <v>779</v>
      </c>
      <c r="I1979" s="41" t="s">
        <v>535</v>
      </c>
      <c r="J1979" s="41" t="s">
        <v>188</v>
      </c>
      <c r="K1979" s="41" t="s">
        <v>1611</v>
      </c>
      <c r="L1979" s="42"/>
    </row>
    <row r="1980">
      <c r="A1980" s="15">
        <v>1979.0</v>
      </c>
      <c r="B1980" s="39">
        <v>45950.0</v>
      </c>
      <c r="C1980" s="40" t="s">
        <v>3367</v>
      </c>
      <c r="D1980" s="41"/>
      <c r="E1980" s="41" t="s">
        <v>184</v>
      </c>
      <c r="F1980" s="18" t="s">
        <v>686</v>
      </c>
      <c r="G1980" s="41" t="s">
        <v>3366</v>
      </c>
      <c r="H1980" s="41"/>
      <c r="I1980" s="41"/>
      <c r="J1980" s="41" t="s">
        <v>188</v>
      </c>
      <c r="K1980" s="41" t="s">
        <v>1611</v>
      </c>
      <c r="L1980" s="42"/>
    </row>
    <row r="1981">
      <c r="A1981" s="15">
        <v>1980.0</v>
      </c>
      <c r="B1981" s="39">
        <v>45950.0</v>
      </c>
      <c r="C1981" s="40" t="s">
        <v>3368</v>
      </c>
      <c r="D1981" s="41"/>
      <c r="E1981" s="41" t="s">
        <v>184</v>
      </c>
      <c r="F1981" s="18" t="s">
        <v>686</v>
      </c>
      <c r="G1981" s="41" t="s">
        <v>3366</v>
      </c>
      <c r="H1981" s="41"/>
      <c r="I1981" s="41"/>
      <c r="J1981" s="41" t="s">
        <v>188</v>
      </c>
      <c r="K1981" s="41" t="s">
        <v>1611</v>
      </c>
      <c r="L1981" s="42"/>
    </row>
    <row r="1982">
      <c r="A1982" s="15">
        <v>1981.0</v>
      </c>
      <c r="B1982" s="39">
        <v>45950.0</v>
      </c>
      <c r="C1982" s="40" t="s">
        <v>3369</v>
      </c>
      <c r="D1982" s="41"/>
      <c r="E1982" s="41" t="s">
        <v>184</v>
      </c>
      <c r="F1982" s="18" t="s">
        <v>686</v>
      </c>
      <c r="G1982" s="41" t="s">
        <v>3366</v>
      </c>
      <c r="H1982" s="41"/>
      <c r="I1982" s="41"/>
      <c r="J1982" s="41" t="s">
        <v>188</v>
      </c>
      <c r="K1982" s="41" t="s">
        <v>1611</v>
      </c>
      <c r="L1982" s="42"/>
    </row>
    <row r="1983">
      <c r="A1983" s="15">
        <v>1982.0</v>
      </c>
      <c r="B1983" s="39">
        <v>45950.0</v>
      </c>
      <c r="C1983" s="40" t="s">
        <v>3370</v>
      </c>
      <c r="D1983" s="41"/>
      <c r="E1983" s="41" t="s">
        <v>184</v>
      </c>
      <c r="F1983" s="18" t="s">
        <v>686</v>
      </c>
      <c r="G1983" s="41" t="s">
        <v>3366</v>
      </c>
      <c r="H1983" s="41"/>
      <c r="I1983" s="41"/>
      <c r="J1983" s="41" t="s">
        <v>188</v>
      </c>
      <c r="K1983" s="41" t="s">
        <v>1611</v>
      </c>
      <c r="L1983" s="42"/>
    </row>
    <row r="1984">
      <c r="A1984" s="15">
        <v>1983.0</v>
      </c>
      <c r="B1984" s="39">
        <v>45950.0</v>
      </c>
      <c r="C1984" s="40" t="s">
        <v>3371</v>
      </c>
      <c r="D1984" s="41"/>
      <c r="E1984" s="41" t="s">
        <v>184</v>
      </c>
      <c r="F1984" s="18" t="s">
        <v>686</v>
      </c>
      <c r="G1984" s="41" t="s">
        <v>3366</v>
      </c>
      <c r="H1984" s="41"/>
      <c r="I1984" s="41"/>
      <c r="J1984" s="41" t="s">
        <v>188</v>
      </c>
      <c r="K1984" s="41" t="s">
        <v>1611</v>
      </c>
      <c r="L1984" s="42"/>
    </row>
    <row r="1985">
      <c r="A1985" s="15">
        <v>1984.0</v>
      </c>
      <c r="B1985" s="39">
        <v>45950.0</v>
      </c>
      <c r="C1985" s="40"/>
      <c r="D1985" s="41"/>
      <c r="E1985" s="41" t="s">
        <v>184</v>
      </c>
      <c r="F1985" s="18" t="b">
        <v>0</v>
      </c>
      <c r="G1985" s="41" t="s">
        <v>3372</v>
      </c>
      <c r="H1985" s="41"/>
      <c r="I1985" s="41"/>
      <c r="J1985" s="41" t="s">
        <v>188</v>
      </c>
      <c r="K1985" s="41"/>
      <c r="L1985" s="42"/>
    </row>
    <row r="1986">
      <c r="A1986" s="15">
        <v>1985.0</v>
      </c>
      <c r="B1986" s="39">
        <v>45950.0</v>
      </c>
      <c r="C1986" s="40" t="s">
        <v>3373</v>
      </c>
      <c r="D1986" s="41"/>
      <c r="E1986" s="41" t="s">
        <v>197</v>
      </c>
      <c r="F1986" s="18" t="s">
        <v>686</v>
      </c>
      <c r="G1986" s="41" t="s">
        <v>3374</v>
      </c>
      <c r="H1986" s="41"/>
      <c r="I1986" s="41"/>
      <c r="J1986" s="41" t="s">
        <v>188</v>
      </c>
      <c r="K1986" s="41"/>
      <c r="L1986" s="42"/>
    </row>
    <row r="1987">
      <c r="A1987" s="15">
        <v>1986.0</v>
      </c>
      <c r="B1987" s="39">
        <v>45950.0</v>
      </c>
      <c r="C1987" s="40" t="s">
        <v>3375</v>
      </c>
      <c r="D1987" s="41"/>
      <c r="E1987" s="41" t="s">
        <v>747</v>
      </c>
      <c r="F1987" s="18" t="s">
        <v>622</v>
      </c>
      <c r="G1987" s="41" t="s">
        <v>3376</v>
      </c>
      <c r="H1987" s="41"/>
      <c r="I1987" s="41"/>
      <c r="J1987" s="41" t="s">
        <v>188</v>
      </c>
      <c r="K1987" s="41"/>
      <c r="L1987" s="42"/>
    </row>
    <row r="1988">
      <c r="A1988" s="15">
        <v>1987.0</v>
      </c>
      <c r="B1988" s="39">
        <v>45950.0</v>
      </c>
      <c r="C1988" s="40" t="s">
        <v>3377</v>
      </c>
      <c r="D1988" s="41"/>
      <c r="E1988" s="41" t="s">
        <v>197</v>
      </c>
      <c r="F1988" s="18" t="s">
        <v>622</v>
      </c>
      <c r="G1988" s="41" t="s">
        <v>3378</v>
      </c>
      <c r="H1988" s="41"/>
      <c r="I1988" s="41"/>
      <c r="J1988" s="41" t="s">
        <v>188</v>
      </c>
      <c r="K1988" s="41"/>
      <c r="L1988" s="42"/>
    </row>
    <row r="1989">
      <c r="A1989" s="15">
        <v>1988.0</v>
      </c>
      <c r="B1989" s="39">
        <v>45950.0</v>
      </c>
      <c r="C1989" s="40" t="s">
        <v>3379</v>
      </c>
      <c r="D1989" s="41"/>
      <c r="E1989" s="41" t="s">
        <v>197</v>
      </c>
      <c r="F1989" s="18" t="s">
        <v>622</v>
      </c>
      <c r="G1989" s="41" t="s">
        <v>3378</v>
      </c>
      <c r="H1989" s="41"/>
      <c r="I1989" s="41"/>
      <c r="J1989" s="41" t="s">
        <v>188</v>
      </c>
      <c r="K1989" s="41"/>
      <c r="L1989" s="42"/>
    </row>
    <row r="1990">
      <c r="A1990" s="15">
        <v>1989.0</v>
      </c>
      <c r="B1990" s="39">
        <v>45950.0</v>
      </c>
      <c r="C1990" s="40" t="s">
        <v>3380</v>
      </c>
      <c r="D1990" s="41"/>
      <c r="E1990" s="41" t="s">
        <v>747</v>
      </c>
      <c r="F1990" s="18" t="s">
        <v>622</v>
      </c>
      <c r="G1990" s="41" t="s">
        <v>3381</v>
      </c>
      <c r="H1990" s="41"/>
      <c r="I1990" s="41"/>
      <c r="J1990" s="41" t="s">
        <v>188</v>
      </c>
      <c r="K1990" s="41"/>
      <c r="L1990" s="42"/>
    </row>
    <row r="1991">
      <c r="A1991" s="15">
        <v>1990.0</v>
      </c>
      <c r="B1991" s="39">
        <v>45950.0</v>
      </c>
      <c r="C1991" s="40" t="s">
        <v>3363</v>
      </c>
      <c r="D1991" s="41"/>
      <c r="E1991" s="41" t="s">
        <v>747</v>
      </c>
      <c r="F1991" s="18" t="s">
        <v>622</v>
      </c>
      <c r="G1991" s="41" t="s">
        <v>3376</v>
      </c>
      <c r="H1991" s="41"/>
      <c r="I1991" s="41"/>
      <c r="J1991" s="41" t="s">
        <v>188</v>
      </c>
      <c r="K1991" s="41"/>
      <c r="L1991" s="42"/>
    </row>
    <row r="1992">
      <c r="A1992" s="15">
        <v>1991.0</v>
      </c>
      <c r="B1992" s="39">
        <v>45950.0</v>
      </c>
      <c r="C1992" s="40" t="s">
        <v>3382</v>
      </c>
      <c r="D1992" s="41"/>
      <c r="E1992" s="41" t="s">
        <v>747</v>
      </c>
      <c r="F1992" s="18" t="s">
        <v>622</v>
      </c>
      <c r="G1992" s="41" t="s">
        <v>3376</v>
      </c>
      <c r="H1992" s="41"/>
      <c r="I1992" s="41"/>
      <c r="J1992" s="41" t="s">
        <v>188</v>
      </c>
      <c r="K1992" s="41"/>
      <c r="L1992" s="42"/>
    </row>
    <row r="1993">
      <c r="A1993" s="15">
        <v>1992.0</v>
      </c>
      <c r="B1993" s="39">
        <v>45950.0</v>
      </c>
      <c r="C1993" s="40" t="s">
        <v>3383</v>
      </c>
      <c r="D1993" s="41"/>
      <c r="E1993" s="41" t="s">
        <v>197</v>
      </c>
      <c r="F1993" s="18" t="s">
        <v>622</v>
      </c>
      <c r="G1993" s="41" t="s">
        <v>3384</v>
      </c>
      <c r="H1993" s="41"/>
      <c r="I1993" s="41"/>
      <c r="J1993" s="41" t="s">
        <v>188</v>
      </c>
      <c r="K1993" s="41"/>
      <c r="L1993" s="42"/>
    </row>
    <row r="1994">
      <c r="A1994" s="15">
        <v>1993.0</v>
      </c>
      <c r="B1994" s="39">
        <v>45950.0</v>
      </c>
      <c r="C1994" s="40" t="s">
        <v>3385</v>
      </c>
      <c r="D1994" s="41"/>
      <c r="E1994" s="41" t="s">
        <v>197</v>
      </c>
      <c r="F1994" s="18" t="s">
        <v>622</v>
      </c>
      <c r="G1994" s="41" t="s">
        <v>3384</v>
      </c>
      <c r="H1994" s="41"/>
      <c r="I1994" s="41"/>
      <c r="J1994" s="41" t="s">
        <v>188</v>
      </c>
      <c r="K1994" s="41"/>
      <c r="L1994" s="42"/>
    </row>
    <row r="1995">
      <c r="A1995" s="15">
        <v>1994.0</v>
      </c>
      <c r="B1995" s="39">
        <v>45950.0</v>
      </c>
      <c r="C1995" s="40" t="s">
        <v>3386</v>
      </c>
      <c r="D1995" s="41"/>
      <c r="E1995" s="41" t="s">
        <v>752</v>
      </c>
      <c r="F1995" s="18" t="s">
        <v>622</v>
      </c>
      <c r="G1995" s="41" t="s">
        <v>3387</v>
      </c>
      <c r="H1995" s="41"/>
      <c r="I1995" s="41"/>
      <c r="J1995" s="41" t="s">
        <v>188</v>
      </c>
      <c r="K1995" s="41"/>
      <c r="L1995" s="42"/>
    </row>
    <row r="1996">
      <c r="A1996" s="15">
        <v>1995.0</v>
      </c>
      <c r="B1996" s="39">
        <v>45950.0</v>
      </c>
      <c r="C1996" s="40" t="s">
        <v>3388</v>
      </c>
      <c r="D1996" s="41"/>
      <c r="E1996" s="41" t="s">
        <v>401</v>
      </c>
      <c r="F1996" s="18" t="s">
        <v>622</v>
      </c>
      <c r="G1996" s="41" t="s">
        <v>937</v>
      </c>
      <c r="H1996" s="41" t="s">
        <v>1542</v>
      </c>
      <c r="I1996" s="41" t="s">
        <v>939</v>
      </c>
      <c r="J1996" s="41" t="s">
        <v>188</v>
      </c>
      <c r="K1996" s="41"/>
      <c r="L1996" s="42"/>
    </row>
    <row r="1997">
      <c r="A1997" s="15">
        <v>1996.0</v>
      </c>
      <c r="B1997" s="39">
        <v>45950.0</v>
      </c>
      <c r="C1997" s="40" t="s">
        <v>3389</v>
      </c>
      <c r="D1997" s="41"/>
      <c r="E1997" s="41" t="s">
        <v>401</v>
      </c>
      <c r="F1997" s="18" t="s">
        <v>622</v>
      </c>
      <c r="G1997" s="41" t="s">
        <v>937</v>
      </c>
      <c r="H1997" s="41" t="s">
        <v>1542</v>
      </c>
      <c r="I1997" s="41" t="s">
        <v>939</v>
      </c>
      <c r="J1997" s="41" t="s">
        <v>188</v>
      </c>
      <c r="K1997" s="41"/>
      <c r="L1997" s="42"/>
    </row>
    <row r="1998">
      <c r="A1998" s="15">
        <v>1997.0</v>
      </c>
      <c r="B1998" s="39">
        <v>45950.0</v>
      </c>
      <c r="C1998" s="40" t="s">
        <v>3390</v>
      </c>
      <c r="D1998" s="41"/>
      <c r="E1998" s="41" t="s">
        <v>401</v>
      </c>
      <c r="F1998" s="18" t="s">
        <v>622</v>
      </c>
      <c r="G1998" s="41" t="s">
        <v>937</v>
      </c>
      <c r="H1998" s="41" t="s">
        <v>1542</v>
      </c>
      <c r="I1998" s="41" t="s">
        <v>939</v>
      </c>
      <c r="J1998" s="41" t="s">
        <v>188</v>
      </c>
      <c r="K1998" s="41"/>
      <c r="L1998" s="42"/>
    </row>
    <row r="1999">
      <c r="A1999" s="15">
        <v>1998.0</v>
      </c>
      <c r="B1999" s="39">
        <v>45950.0</v>
      </c>
      <c r="C1999" s="40" t="s">
        <v>3391</v>
      </c>
      <c r="D1999" s="41"/>
      <c r="E1999" s="41" t="s">
        <v>401</v>
      </c>
      <c r="F1999" s="18" t="s">
        <v>622</v>
      </c>
      <c r="G1999" s="41" t="s">
        <v>937</v>
      </c>
      <c r="H1999" s="41" t="s">
        <v>1542</v>
      </c>
      <c r="I1999" s="41" t="s">
        <v>939</v>
      </c>
      <c r="J1999" s="41" t="s">
        <v>188</v>
      </c>
      <c r="K1999" s="41"/>
      <c r="L1999" s="42"/>
    </row>
    <row r="2000">
      <c r="A2000" s="15">
        <v>1999.0</v>
      </c>
      <c r="B2000" s="39">
        <v>45950.0</v>
      </c>
      <c r="C2000" s="40" t="s">
        <v>3392</v>
      </c>
      <c r="D2000" s="41"/>
      <c r="E2000" s="41" t="s">
        <v>401</v>
      </c>
      <c r="F2000" s="18" t="s">
        <v>622</v>
      </c>
      <c r="G2000" s="41" t="s">
        <v>937</v>
      </c>
      <c r="H2000" s="41" t="s">
        <v>1542</v>
      </c>
      <c r="I2000" s="41" t="s">
        <v>939</v>
      </c>
      <c r="J2000" s="41" t="s">
        <v>188</v>
      </c>
      <c r="K2000" s="41"/>
      <c r="L2000" s="42"/>
    </row>
    <row r="2001">
      <c r="A2001" s="15">
        <v>2000.0</v>
      </c>
      <c r="B2001" s="39">
        <v>45950.0</v>
      </c>
      <c r="C2001" s="53" t="s">
        <v>3393</v>
      </c>
      <c r="D2001" s="41"/>
      <c r="E2001" s="52" t="s">
        <v>184</v>
      </c>
      <c r="F2001" s="18" t="s">
        <v>622</v>
      </c>
      <c r="G2001" s="52" t="s">
        <v>3394</v>
      </c>
      <c r="H2001" s="52" t="s">
        <v>407</v>
      </c>
      <c r="I2001" s="41"/>
      <c r="J2001" s="52" t="s">
        <v>422</v>
      </c>
      <c r="K2001" s="52" t="s">
        <v>479</v>
      </c>
      <c r="L2001" s="42"/>
    </row>
    <row r="2002">
      <c r="A2002" s="15">
        <v>2001.0</v>
      </c>
      <c r="B2002" s="39">
        <v>45950.0</v>
      </c>
      <c r="C2002" s="53" t="s">
        <v>3395</v>
      </c>
      <c r="D2002" s="41"/>
      <c r="E2002" s="52" t="s">
        <v>184</v>
      </c>
      <c r="F2002" s="18" t="s">
        <v>622</v>
      </c>
      <c r="G2002" s="52" t="s">
        <v>3396</v>
      </c>
      <c r="H2002" s="52" t="s">
        <v>407</v>
      </c>
      <c r="I2002" s="41"/>
      <c r="J2002" s="52" t="s">
        <v>422</v>
      </c>
      <c r="K2002" s="52" t="s">
        <v>479</v>
      </c>
      <c r="L2002" s="42"/>
    </row>
    <row r="2003">
      <c r="A2003" s="15">
        <v>2002.0</v>
      </c>
      <c r="B2003" s="39">
        <v>45950.0</v>
      </c>
      <c r="C2003" s="53" t="s">
        <v>3397</v>
      </c>
      <c r="D2003" s="41"/>
      <c r="E2003" s="52" t="s">
        <v>184</v>
      </c>
      <c r="F2003" s="18" t="s">
        <v>622</v>
      </c>
      <c r="G2003" s="52" t="s">
        <v>3398</v>
      </c>
      <c r="H2003" s="52" t="s">
        <v>407</v>
      </c>
      <c r="I2003" s="41"/>
      <c r="J2003" s="52" t="s">
        <v>422</v>
      </c>
      <c r="K2003" s="52" t="s">
        <v>479</v>
      </c>
      <c r="L2003" s="42"/>
    </row>
    <row r="2004">
      <c r="A2004" s="15">
        <v>2003.0</v>
      </c>
      <c r="B2004" s="39">
        <v>45950.0</v>
      </c>
      <c r="C2004" s="53" t="s">
        <v>3399</v>
      </c>
      <c r="D2004" s="41"/>
      <c r="E2004" s="52" t="s">
        <v>184</v>
      </c>
      <c r="F2004" s="18" t="s">
        <v>622</v>
      </c>
      <c r="G2004" s="52" t="s">
        <v>3400</v>
      </c>
      <c r="H2004" s="52" t="s">
        <v>407</v>
      </c>
      <c r="I2004" s="41"/>
      <c r="J2004" s="52" t="s">
        <v>422</v>
      </c>
      <c r="K2004" s="52" t="s">
        <v>479</v>
      </c>
      <c r="L2004" s="42"/>
    </row>
    <row r="2005">
      <c r="A2005" s="15">
        <v>2004.0</v>
      </c>
      <c r="B2005" s="39">
        <v>45950.0</v>
      </c>
      <c r="C2005" s="53" t="s">
        <v>3401</v>
      </c>
      <c r="D2005" s="41"/>
      <c r="E2005" s="52" t="s">
        <v>184</v>
      </c>
      <c r="F2005" s="18" t="s">
        <v>622</v>
      </c>
      <c r="G2005" s="52" t="s">
        <v>3402</v>
      </c>
      <c r="H2005" s="52" t="s">
        <v>407</v>
      </c>
      <c r="I2005" s="41"/>
      <c r="J2005" s="52" t="s">
        <v>422</v>
      </c>
      <c r="K2005" s="52" t="s">
        <v>479</v>
      </c>
      <c r="L2005" s="42"/>
    </row>
    <row r="2006">
      <c r="A2006" s="15">
        <v>2005.0</v>
      </c>
      <c r="B2006" s="39">
        <v>45950.0</v>
      </c>
      <c r="C2006" s="53" t="s">
        <v>3403</v>
      </c>
      <c r="D2006" s="41"/>
      <c r="E2006" s="52" t="s">
        <v>184</v>
      </c>
      <c r="F2006" s="18" t="s">
        <v>702</v>
      </c>
      <c r="G2006" s="52" t="s">
        <v>3404</v>
      </c>
      <c r="H2006" s="52" t="s">
        <v>407</v>
      </c>
      <c r="I2006" s="41"/>
      <c r="J2006" s="52" t="s">
        <v>422</v>
      </c>
      <c r="K2006" s="52" t="s">
        <v>479</v>
      </c>
      <c r="L2006" s="42"/>
    </row>
    <row r="2007">
      <c r="A2007" s="15">
        <v>2006.0</v>
      </c>
      <c r="B2007" s="39">
        <v>45950.0</v>
      </c>
      <c r="C2007" s="53" t="s">
        <v>3405</v>
      </c>
      <c r="D2007" s="41"/>
      <c r="E2007" s="52" t="s">
        <v>184</v>
      </c>
      <c r="F2007" s="18" t="s">
        <v>702</v>
      </c>
      <c r="G2007" s="52" t="s">
        <v>3406</v>
      </c>
      <c r="H2007" s="52" t="s">
        <v>407</v>
      </c>
      <c r="I2007" s="41"/>
      <c r="J2007" s="52" t="s">
        <v>422</v>
      </c>
      <c r="K2007" s="52" t="s">
        <v>479</v>
      </c>
      <c r="L2007" s="42"/>
    </row>
    <row r="2008">
      <c r="A2008" s="15">
        <v>2007.0</v>
      </c>
      <c r="B2008" s="39">
        <v>45950.0</v>
      </c>
      <c r="C2008" s="53" t="s">
        <v>3407</v>
      </c>
      <c r="D2008" s="41"/>
      <c r="E2008" s="52" t="s">
        <v>184</v>
      </c>
      <c r="F2008" s="18" t="s">
        <v>702</v>
      </c>
      <c r="G2008" s="52" t="s">
        <v>3408</v>
      </c>
      <c r="H2008" s="52" t="s">
        <v>407</v>
      </c>
      <c r="I2008" s="41"/>
      <c r="J2008" s="52" t="s">
        <v>422</v>
      </c>
      <c r="K2008" s="52" t="s">
        <v>479</v>
      </c>
      <c r="L2008" s="42"/>
    </row>
    <row r="2009">
      <c r="A2009" s="15">
        <v>2008.0</v>
      </c>
      <c r="B2009" s="39">
        <v>45950.0</v>
      </c>
      <c r="C2009" s="54" t="s">
        <v>3409</v>
      </c>
      <c r="D2009" s="41"/>
      <c r="E2009" s="52" t="s">
        <v>184</v>
      </c>
      <c r="F2009" s="18" t="s">
        <v>702</v>
      </c>
      <c r="G2009" s="52" t="s">
        <v>3410</v>
      </c>
      <c r="H2009" s="52" t="s">
        <v>407</v>
      </c>
      <c r="I2009" s="41"/>
      <c r="J2009" s="52" t="s">
        <v>422</v>
      </c>
      <c r="K2009" s="52" t="s">
        <v>479</v>
      </c>
      <c r="L2009" s="42"/>
    </row>
    <row r="2010">
      <c r="A2010" s="15">
        <v>2009.0</v>
      </c>
      <c r="B2010" s="39">
        <v>45950.0</v>
      </c>
      <c r="C2010" s="53" t="s">
        <v>3411</v>
      </c>
      <c r="D2010" s="41"/>
      <c r="E2010" s="52" t="s">
        <v>184</v>
      </c>
      <c r="F2010" s="18" t="s">
        <v>702</v>
      </c>
      <c r="G2010" s="52" t="s">
        <v>1833</v>
      </c>
      <c r="H2010" s="52" t="s">
        <v>407</v>
      </c>
      <c r="I2010" s="41"/>
      <c r="J2010" s="52" t="s">
        <v>422</v>
      </c>
      <c r="K2010" s="52" t="s">
        <v>479</v>
      </c>
      <c r="L2010" s="42"/>
    </row>
    <row r="2011">
      <c r="A2011" s="15">
        <v>2010.0</v>
      </c>
      <c r="B2011" s="39">
        <v>45951.0</v>
      </c>
      <c r="C2011" s="40" t="s">
        <v>3412</v>
      </c>
      <c r="D2011" s="41"/>
      <c r="E2011" s="41" t="s">
        <v>197</v>
      </c>
      <c r="F2011" s="18" t="s">
        <v>686</v>
      </c>
      <c r="G2011" s="41" t="s">
        <v>3413</v>
      </c>
      <c r="H2011" s="41"/>
      <c r="I2011" s="41"/>
      <c r="J2011" s="41" t="s">
        <v>188</v>
      </c>
      <c r="K2011" s="41"/>
      <c r="L2011" s="42"/>
    </row>
    <row r="2012">
      <c r="A2012" s="15">
        <v>2011.0</v>
      </c>
      <c r="B2012" s="39">
        <v>45951.0</v>
      </c>
      <c r="C2012" s="40" t="s">
        <v>3414</v>
      </c>
      <c r="D2012" s="41"/>
      <c r="E2012" s="41" t="s">
        <v>197</v>
      </c>
      <c r="F2012" s="18" t="s">
        <v>622</v>
      </c>
      <c r="G2012" s="41" t="s">
        <v>3415</v>
      </c>
      <c r="H2012" s="41"/>
      <c r="I2012" s="41"/>
      <c r="J2012" s="41" t="s">
        <v>188</v>
      </c>
      <c r="K2012" s="41"/>
      <c r="L2012" s="42"/>
    </row>
    <row r="2013">
      <c r="A2013" s="15">
        <v>2012.0</v>
      </c>
      <c r="B2013" s="39">
        <v>45951.0</v>
      </c>
      <c r="C2013" s="40" t="s">
        <v>3416</v>
      </c>
      <c r="D2013" s="41"/>
      <c r="E2013" s="41" t="s">
        <v>197</v>
      </c>
      <c r="F2013" s="18" t="s">
        <v>405</v>
      </c>
      <c r="G2013" s="41" t="s">
        <v>3417</v>
      </c>
      <c r="H2013" s="41"/>
      <c r="I2013" s="41"/>
      <c r="J2013" s="41" t="s">
        <v>188</v>
      </c>
      <c r="K2013" s="41"/>
      <c r="L2013" s="42"/>
    </row>
    <row r="2014">
      <c r="A2014" s="15">
        <v>2013.0</v>
      </c>
      <c r="B2014" s="39">
        <v>45951.0</v>
      </c>
      <c r="C2014" s="40" t="s">
        <v>3418</v>
      </c>
      <c r="D2014" s="41"/>
      <c r="E2014" s="41" t="s">
        <v>197</v>
      </c>
      <c r="F2014" s="18" t="s">
        <v>686</v>
      </c>
      <c r="G2014" s="41" t="s">
        <v>3419</v>
      </c>
      <c r="H2014" s="41"/>
      <c r="I2014" s="41"/>
      <c r="J2014" s="41" t="s">
        <v>188</v>
      </c>
      <c r="K2014" s="41"/>
      <c r="L2014" s="42"/>
    </row>
    <row r="2015">
      <c r="A2015" s="15">
        <v>2014.0</v>
      </c>
      <c r="B2015" s="39">
        <v>45951.0</v>
      </c>
      <c r="C2015" s="40" t="s">
        <v>3420</v>
      </c>
      <c r="D2015" s="41"/>
      <c r="E2015" s="41" t="s">
        <v>197</v>
      </c>
      <c r="F2015" s="18" t="s">
        <v>405</v>
      </c>
      <c r="G2015" s="41" t="s">
        <v>3421</v>
      </c>
      <c r="H2015" s="41"/>
      <c r="I2015" s="41"/>
      <c r="J2015" s="41" t="s">
        <v>188</v>
      </c>
      <c r="K2015" s="41"/>
      <c r="L2015" s="42"/>
    </row>
    <row r="2016">
      <c r="A2016" s="15">
        <v>2015.0</v>
      </c>
      <c r="B2016" s="39">
        <v>45952.0</v>
      </c>
      <c r="C2016" s="40" t="s">
        <v>3422</v>
      </c>
      <c r="D2016" s="41"/>
      <c r="E2016" s="41" t="s">
        <v>3423</v>
      </c>
      <c r="F2016" s="18" t="s">
        <v>686</v>
      </c>
      <c r="G2016" s="41" t="s">
        <v>3424</v>
      </c>
      <c r="H2016" s="52" t="s">
        <v>779</v>
      </c>
      <c r="I2016" s="52" t="s">
        <v>535</v>
      </c>
      <c r="J2016" s="52" t="s">
        <v>188</v>
      </c>
      <c r="K2016" s="52" t="s">
        <v>1611</v>
      </c>
      <c r="L2016" s="42"/>
    </row>
    <row r="2017">
      <c r="A2017" s="15">
        <v>2016.0</v>
      </c>
      <c r="B2017" s="39">
        <v>45952.0</v>
      </c>
      <c r="C2017" s="40" t="s">
        <v>3425</v>
      </c>
      <c r="D2017" s="41"/>
      <c r="E2017" s="41" t="s">
        <v>184</v>
      </c>
      <c r="F2017" s="18" t="s">
        <v>686</v>
      </c>
      <c r="G2017" s="41" t="s">
        <v>3426</v>
      </c>
      <c r="H2017" s="41"/>
      <c r="I2017" s="41"/>
      <c r="J2017" s="52" t="s">
        <v>188</v>
      </c>
      <c r="K2017" s="52" t="s">
        <v>1611</v>
      </c>
      <c r="L2017" s="42"/>
    </row>
    <row r="2018">
      <c r="A2018" s="15">
        <v>2017.0</v>
      </c>
      <c r="B2018" s="39">
        <v>45952.0</v>
      </c>
      <c r="C2018" s="40" t="s">
        <v>3427</v>
      </c>
      <c r="D2018" s="41"/>
      <c r="E2018" s="41" t="s">
        <v>3428</v>
      </c>
      <c r="F2018" s="18" t="s">
        <v>686</v>
      </c>
      <c r="G2018" s="41" t="s">
        <v>3429</v>
      </c>
      <c r="H2018" s="41"/>
      <c r="I2018" s="41"/>
      <c r="J2018" s="52" t="s">
        <v>188</v>
      </c>
      <c r="K2018" s="52" t="s">
        <v>1611</v>
      </c>
      <c r="L2018" s="42"/>
    </row>
    <row r="2019">
      <c r="A2019" s="15">
        <v>2018.0</v>
      </c>
      <c r="B2019" s="39">
        <v>45952.0</v>
      </c>
      <c r="C2019" s="40" t="s">
        <v>3430</v>
      </c>
      <c r="D2019" s="41"/>
      <c r="E2019" s="41" t="s">
        <v>3428</v>
      </c>
      <c r="F2019" s="18" t="s">
        <v>686</v>
      </c>
      <c r="G2019" s="41" t="s">
        <v>3429</v>
      </c>
      <c r="H2019" s="41"/>
      <c r="I2019" s="41"/>
      <c r="J2019" s="52" t="s">
        <v>188</v>
      </c>
      <c r="K2019" s="52" t="s">
        <v>1611</v>
      </c>
      <c r="L2019" s="42"/>
    </row>
    <row r="2020">
      <c r="A2020" s="15">
        <v>2019.0</v>
      </c>
      <c r="B2020" s="39">
        <v>45952.0</v>
      </c>
      <c r="C2020" s="40" t="s">
        <v>3431</v>
      </c>
      <c r="D2020" s="41"/>
      <c r="E2020" s="41" t="s">
        <v>3428</v>
      </c>
      <c r="F2020" s="18" t="s">
        <v>686</v>
      </c>
      <c r="G2020" s="41" t="s">
        <v>3432</v>
      </c>
      <c r="H2020" s="41"/>
      <c r="I2020" s="41"/>
      <c r="J2020" s="52" t="s">
        <v>188</v>
      </c>
      <c r="K2020" s="52" t="s">
        <v>1611</v>
      </c>
      <c r="L2020" s="42"/>
    </row>
    <row r="2021">
      <c r="A2021" s="15">
        <v>2020.0</v>
      </c>
      <c r="B2021" s="39">
        <v>45952.0</v>
      </c>
      <c r="C2021" s="40" t="s">
        <v>3433</v>
      </c>
      <c r="D2021" s="41"/>
      <c r="E2021" s="41" t="s">
        <v>3428</v>
      </c>
      <c r="F2021" s="18" t="s">
        <v>686</v>
      </c>
      <c r="G2021" s="41" t="s">
        <v>3434</v>
      </c>
      <c r="H2021" s="41"/>
      <c r="I2021" s="41"/>
      <c r="J2021" s="52" t="s">
        <v>188</v>
      </c>
      <c r="K2021" s="52" t="s">
        <v>1611</v>
      </c>
      <c r="L2021" s="42"/>
    </row>
    <row r="2022">
      <c r="A2022" s="15">
        <v>2021.0</v>
      </c>
      <c r="B2022" s="39">
        <v>45952.0</v>
      </c>
      <c r="C2022" s="40" t="s">
        <v>3435</v>
      </c>
      <c r="D2022" s="41"/>
      <c r="E2022" s="41" t="s">
        <v>184</v>
      </c>
      <c r="F2022" s="18" t="s">
        <v>405</v>
      </c>
      <c r="G2022" s="41" t="s">
        <v>3436</v>
      </c>
      <c r="H2022" s="41"/>
      <c r="I2022" s="41"/>
      <c r="J2022" s="52" t="s">
        <v>188</v>
      </c>
      <c r="K2022" s="52" t="s">
        <v>1611</v>
      </c>
      <c r="L2022" s="42"/>
    </row>
    <row r="2023">
      <c r="A2023" s="15">
        <v>2022.0</v>
      </c>
      <c r="B2023" s="39">
        <v>45952.0</v>
      </c>
      <c r="C2023" s="40" t="s">
        <v>3437</v>
      </c>
      <c r="D2023" s="41"/>
      <c r="E2023" s="41" t="s">
        <v>401</v>
      </c>
      <c r="F2023" s="18" t="s">
        <v>622</v>
      </c>
      <c r="G2023" s="41" t="s">
        <v>937</v>
      </c>
      <c r="H2023" s="41" t="s">
        <v>1542</v>
      </c>
      <c r="I2023" s="41" t="s">
        <v>939</v>
      </c>
      <c r="J2023" s="41" t="s">
        <v>188</v>
      </c>
      <c r="K2023" s="41"/>
      <c r="L2023" s="42"/>
    </row>
    <row r="2024">
      <c r="A2024" s="15">
        <v>2023.0</v>
      </c>
      <c r="B2024" s="39">
        <v>45952.0</v>
      </c>
      <c r="C2024" s="40" t="s">
        <v>3438</v>
      </c>
      <c r="D2024" s="41"/>
      <c r="E2024" s="41" t="s">
        <v>401</v>
      </c>
      <c r="F2024" s="18" t="s">
        <v>622</v>
      </c>
      <c r="G2024" s="41" t="s">
        <v>937</v>
      </c>
      <c r="H2024" s="41" t="s">
        <v>1542</v>
      </c>
      <c r="I2024" s="41" t="s">
        <v>939</v>
      </c>
      <c r="J2024" s="41" t="s">
        <v>188</v>
      </c>
      <c r="K2024" s="41"/>
      <c r="L2024" s="42"/>
    </row>
    <row r="2025">
      <c r="A2025" s="15">
        <v>2024.0</v>
      </c>
      <c r="B2025" s="39">
        <v>45952.0</v>
      </c>
      <c r="C2025" s="40" t="s">
        <v>3295</v>
      </c>
      <c r="D2025" s="41"/>
      <c r="E2025" s="41" t="s">
        <v>401</v>
      </c>
      <c r="F2025" s="18" t="s">
        <v>622</v>
      </c>
      <c r="G2025" s="41" t="s">
        <v>937</v>
      </c>
      <c r="H2025" s="41" t="s">
        <v>1542</v>
      </c>
      <c r="I2025" s="41" t="s">
        <v>939</v>
      </c>
      <c r="J2025" s="41" t="s">
        <v>188</v>
      </c>
      <c r="K2025" s="41"/>
      <c r="L2025" s="42"/>
    </row>
    <row r="2026">
      <c r="A2026" s="15">
        <v>2025.0</v>
      </c>
      <c r="B2026" s="39">
        <v>45952.0</v>
      </c>
      <c r="C2026" s="40" t="s">
        <v>3439</v>
      </c>
      <c r="D2026" s="41"/>
      <c r="E2026" s="41" t="s">
        <v>401</v>
      </c>
      <c r="F2026" s="18" t="s">
        <v>622</v>
      </c>
      <c r="G2026" s="41" t="s">
        <v>937</v>
      </c>
      <c r="H2026" s="41" t="s">
        <v>1542</v>
      </c>
      <c r="I2026" s="41" t="s">
        <v>939</v>
      </c>
      <c r="J2026" s="41" t="s">
        <v>188</v>
      </c>
      <c r="K2026" s="41"/>
      <c r="L2026" s="42"/>
    </row>
    <row r="2027">
      <c r="A2027" s="15">
        <v>2026.0</v>
      </c>
      <c r="B2027" s="39">
        <v>45952.0</v>
      </c>
      <c r="C2027" s="40" t="s">
        <v>3440</v>
      </c>
      <c r="D2027" s="41"/>
      <c r="E2027" s="41" t="s">
        <v>401</v>
      </c>
      <c r="F2027" s="18" t="s">
        <v>622</v>
      </c>
      <c r="G2027" s="41" t="s">
        <v>937</v>
      </c>
      <c r="H2027" s="41" t="s">
        <v>1542</v>
      </c>
      <c r="I2027" s="41" t="s">
        <v>939</v>
      </c>
      <c r="J2027" s="41" t="s">
        <v>188</v>
      </c>
      <c r="K2027" s="41"/>
      <c r="L2027" s="42"/>
    </row>
    <row r="2028">
      <c r="A2028" s="15">
        <v>2027.0</v>
      </c>
      <c r="B2028" s="39">
        <v>45952.0</v>
      </c>
      <c r="C2028" s="40" t="s">
        <v>3441</v>
      </c>
      <c r="D2028" s="41"/>
      <c r="E2028" s="41" t="s">
        <v>401</v>
      </c>
      <c r="F2028" s="18" t="s">
        <v>622</v>
      </c>
      <c r="G2028" s="41" t="s">
        <v>937</v>
      </c>
      <c r="H2028" s="41" t="s">
        <v>1542</v>
      </c>
      <c r="I2028" s="41" t="s">
        <v>939</v>
      </c>
      <c r="J2028" s="41" t="s">
        <v>188</v>
      </c>
      <c r="K2028" s="41"/>
      <c r="L2028" s="42"/>
    </row>
    <row r="2029">
      <c r="A2029" s="15">
        <v>2028.0</v>
      </c>
      <c r="B2029" s="39">
        <v>45952.0</v>
      </c>
      <c r="C2029" s="53" t="s">
        <v>3442</v>
      </c>
      <c r="D2029" s="41"/>
      <c r="E2029" s="52" t="s">
        <v>184</v>
      </c>
      <c r="F2029" s="18" t="s">
        <v>702</v>
      </c>
      <c r="G2029" s="52" t="s">
        <v>3443</v>
      </c>
      <c r="H2029" s="52" t="s">
        <v>407</v>
      </c>
      <c r="I2029" s="41"/>
      <c r="J2029" s="41" t="s">
        <v>188</v>
      </c>
      <c r="K2029" s="41"/>
      <c r="L2029" s="42"/>
    </row>
    <row r="2030">
      <c r="A2030" s="15">
        <v>2029.0</v>
      </c>
      <c r="B2030" s="39">
        <v>45952.0</v>
      </c>
      <c r="C2030" s="53" t="s">
        <v>3444</v>
      </c>
      <c r="D2030" s="41"/>
      <c r="E2030" s="52" t="s">
        <v>184</v>
      </c>
      <c r="F2030" s="18" t="s">
        <v>622</v>
      </c>
      <c r="G2030" s="52" t="s">
        <v>3445</v>
      </c>
      <c r="H2030" s="52" t="s">
        <v>407</v>
      </c>
      <c r="I2030" s="41"/>
      <c r="J2030" s="41" t="s">
        <v>188</v>
      </c>
      <c r="K2030" s="41"/>
      <c r="L2030" s="42"/>
    </row>
    <row r="2031">
      <c r="A2031" s="15">
        <v>2030.0</v>
      </c>
      <c r="B2031" s="39">
        <v>45952.0</v>
      </c>
      <c r="C2031" s="53" t="s">
        <v>3446</v>
      </c>
      <c r="D2031" s="41"/>
      <c r="E2031" s="52" t="s">
        <v>184</v>
      </c>
      <c r="F2031" s="18" t="s">
        <v>622</v>
      </c>
      <c r="G2031" s="52" t="s">
        <v>3447</v>
      </c>
      <c r="H2031" s="52" t="s">
        <v>407</v>
      </c>
      <c r="I2031" s="41"/>
      <c r="J2031" s="41" t="s">
        <v>188</v>
      </c>
      <c r="K2031" s="41"/>
      <c r="L2031" s="42"/>
    </row>
    <row r="2032">
      <c r="A2032" s="15">
        <v>2031.0</v>
      </c>
      <c r="B2032" s="39">
        <v>45953.0</v>
      </c>
      <c r="C2032" s="40" t="s">
        <v>3448</v>
      </c>
      <c r="D2032" s="41"/>
      <c r="E2032" s="41" t="s">
        <v>197</v>
      </c>
      <c r="F2032" s="18" t="s">
        <v>622</v>
      </c>
      <c r="G2032" s="41" t="s">
        <v>3449</v>
      </c>
      <c r="H2032" s="41" t="s">
        <v>2006</v>
      </c>
      <c r="I2032" s="41" t="s">
        <v>535</v>
      </c>
      <c r="J2032" s="41" t="s">
        <v>188</v>
      </c>
      <c r="K2032" s="41"/>
      <c r="L2032" s="42"/>
    </row>
    <row r="2033">
      <c r="A2033" s="15">
        <v>2032.0</v>
      </c>
      <c r="B2033" s="39">
        <v>45953.0</v>
      </c>
      <c r="C2033" s="40" t="s">
        <v>3450</v>
      </c>
      <c r="D2033" s="41"/>
      <c r="E2033" s="41" t="s">
        <v>197</v>
      </c>
      <c r="F2033" s="18" t="s">
        <v>622</v>
      </c>
      <c r="G2033" s="41" t="s">
        <v>3451</v>
      </c>
      <c r="H2033" s="41" t="s">
        <v>2006</v>
      </c>
      <c r="I2033" s="41" t="s">
        <v>535</v>
      </c>
      <c r="J2033" s="41" t="s">
        <v>188</v>
      </c>
      <c r="K2033" s="41"/>
      <c r="L2033" s="42"/>
    </row>
    <row r="2034">
      <c r="A2034" s="15">
        <v>2033.0</v>
      </c>
      <c r="B2034" s="39">
        <v>45953.0</v>
      </c>
      <c r="C2034" s="40" t="s">
        <v>3452</v>
      </c>
      <c r="D2034" s="41"/>
      <c r="E2034" s="41" t="s">
        <v>197</v>
      </c>
      <c r="F2034" s="18" t="s">
        <v>622</v>
      </c>
      <c r="G2034" s="41" t="s">
        <v>3453</v>
      </c>
      <c r="H2034" s="41" t="s">
        <v>2006</v>
      </c>
      <c r="I2034" s="41" t="s">
        <v>535</v>
      </c>
      <c r="J2034" s="41" t="s">
        <v>188</v>
      </c>
      <c r="K2034" s="41"/>
      <c r="L2034" s="42"/>
    </row>
    <row r="2035">
      <c r="A2035" s="15">
        <v>2034.0</v>
      </c>
      <c r="B2035" s="39">
        <v>45953.0</v>
      </c>
      <c r="C2035" s="40" t="s">
        <v>3454</v>
      </c>
      <c r="D2035" s="41"/>
      <c r="E2035" s="41" t="s">
        <v>197</v>
      </c>
      <c r="F2035" s="18" t="s">
        <v>622</v>
      </c>
      <c r="G2035" s="41" t="s">
        <v>3455</v>
      </c>
      <c r="H2035" s="41" t="s">
        <v>2006</v>
      </c>
      <c r="I2035" s="41" t="s">
        <v>535</v>
      </c>
      <c r="J2035" s="41" t="s">
        <v>188</v>
      </c>
      <c r="K2035" s="41"/>
      <c r="L2035" s="42"/>
    </row>
    <row r="2036">
      <c r="A2036" s="15">
        <v>2035.0</v>
      </c>
      <c r="B2036" s="39">
        <v>45953.0</v>
      </c>
      <c r="C2036" s="40" t="s">
        <v>3456</v>
      </c>
      <c r="D2036" s="41"/>
      <c r="E2036" s="41" t="s">
        <v>197</v>
      </c>
      <c r="F2036" s="18" t="s">
        <v>622</v>
      </c>
      <c r="G2036" s="41" t="s">
        <v>3457</v>
      </c>
      <c r="H2036" s="41" t="s">
        <v>2006</v>
      </c>
      <c r="I2036" s="41" t="s">
        <v>535</v>
      </c>
      <c r="J2036" s="41" t="s">
        <v>188</v>
      </c>
      <c r="K2036" s="41"/>
      <c r="L2036" s="42"/>
    </row>
    <row r="2037">
      <c r="A2037" s="15">
        <v>2036.0</v>
      </c>
      <c r="B2037" s="39">
        <v>45953.0</v>
      </c>
      <c r="C2037" s="40" t="s">
        <v>3458</v>
      </c>
      <c r="D2037" s="41"/>
      <c r="E2037" s="41" t="s">
        <v>197</v>
      </c>
      <c r="F2037" s="18" t="s">
        <v>622</v>
      </c>
      <c r="G2037" s="41" t="s">
        <v>3459</v>
      </c>
      <c r="H2037" s="41" t="s">
        <v>2006</v>
      </c>
      <c r="I2037" s="41" t="s">
        <v>535</v>
      </c>
      <c r="J2037" s="41" t="s">
        <v>188</v>
      </c>
      <c r="K2037" s="41"/>
      <c r="L2037" s="42"/>
    </row>
    <row r="2038">
      <c r="A2038" s="15">
        <v>2037.0</v>
      </c>
      <c r="B2038" s="39">
        <v>45953.0</v>
      </c>
      <c r="C2038" s="40" t="s">
        <v>3460</v>
      </c>
      <c r="D2038" s="41"/>
      <c r="E2038" s="41" t="s">
        <v>197</v>
      </c>
      <c r="F2038" s="18" t="s">
        <v>622</v>
      </c>
      <c r="G2038" s="41" t="s">
        <v>3461</v>
      </c>
      <c r="H2038" s="41" t="s">
        <v>2006</v>
      </c>
      <c r="I2038" s="41" t="s">
        <v>535</v>
      </c>
      <c r="J2038" s="41" t="s">
        <v>188</v>
      </c>
      <c r="K2038" s="41"/>
      <c r="L2038" s="42"/>
    </row>
    <row r="2039">
      <c r="A2039" s="15">
        <v>2038.0</v>
      </c>
      <c r="B2039" s="39">
        <v>45953.0</v>
      </c>
      <c r="C2039" s="40" t="s">
        <v>3462</v>
      </c>
      <c r="D2039" s="41"/>
      <c r="E2039" s="41" t="s">
        <v>197</v>
      </c>
      <c r="F2039" s="18" t="s">
        <v>622</v>
      </c>
      <c r="G2039" s="41" t="s">
        <v>3463</v>
      </c>
      <c r="H2039" s="41" t="s">
        <v>2006</v>
      </c>
      <c r="I2039" s="41" t="s">
        <v>535</v>
      </c>
      <c r="J2039" s="41" t="s">
        <v>188</v>
      </c>
      <c r="K2039" s="41"/>
      <c r="L2039" s="42"/>
    </row>
    <row r="2040">
      <c r="A2040" s="15">
        <v>2039.0</v>
      </c>
      <c r="B2040" s="39">
        <v>45953.0</v>
      </c>
      <c r="C2040" s="40" t="s">
        <v>3464</v>
      </c>
      <c r="D2040" s="41"/>
      <c r="E2040" s="41" t="s">
        <v>197</v>
      </c>
      <c r="F2040" s="18" t="s">
        <v>686</v>
      </c>
      <c r="G2040" s="41" t="s">
        <v>3465</v>
      </c>
      <c r="H2040" s="41" t="s">
        <v>2006</v>
      </c>
      <c r="I2040" s="41" t="s">
        <v>535</v>
      </c>
      <c r="J2040" s="41" t="s">
        <v>188</v>
      </c>
      <c r="K2040" s="41"/>
      <c r="L2040" s="42"/>
    </row>
    <row r="2041">
      <c r="A2041" s="15">
        <v>2040.0</v>
      </c>
      <c r="B2041" s="39">
        <v>45953.0</v>
      </c>
      <c r="C2041" s="40" t="s">
        <v>3466</v>
      </c>
      <c r="D2041" s="41"/>
      <c r="E2041" s="41" t="s">
        <v>197</v>
      </c>
      <c r="F2041" s="18" t="s">
        <v>686</v>
      </c>
      <c r="G2041" s="41" t="s">
        <v>3467</v>
      </c>
      <c r="H2041" s="41" t="s">
        <v>2006</v>
      </c>
      <c r="I2041" s="41" t="s">
        <v>535</v>
      </c>
      <c r="J2041" s="41" t="s">
        <v>188</v>
      </c>
      <c r="K2041" s="41"/>
      <c r="L2041" s="42"/>
    </row>
    <row r="2042">
      <c r="A2042" s="15">
        <v>2041.0</v>
      </c>
      <c r="B2042" s="39">
        <v>45953.0</v>
      </c>
      <c r="C2042" s="40" t="s">
        <v>3468</v>
      </c>
      <c r="D2042" s="41"/>
      <c r="E2042" s="41" t="s">
        <v>197</v>
      </c>
      <c r="F2042" s="18" t="s">
        <v>686</v>
      </c>
      <c r="G2042" s="41" t="s">
        <v>3467</v>
      </c>
      <c r="H2042" s="41" t="s">
        <v>2006</v>
      </c>
      <c r="I2042" s="41" t="s">
        <v>535</v>
      </c>
      <c r="J2042" s="41" t="s">
        <v>188</v>
      </c>
      <c r="K2042" s="41" t="s">
        <v>3469</v>
      </c>
      <c r="L2042" s="42"/>
    </row>
    <row r="2043">
      <c r="A2043" s="15">
        <v>2042.0</v>
      </c>
      <c r="B2043" s="39">
        <v>45953.0</v>
      </c>
      <c r="C2043" s="40" t="s">
        <v>3470</v>
      </c>
      <c r="D2043" s="41"/>
      <c r="E2043" s="41" t="s">
        <v>197</v>
      </c>
      <c r="F2043" s="18" t="s">
        <v>686</v>
      </c>
      <c r="G2043" s="41" t="s">
        <v>3467</v>
      </c>
      <c r="H2043" s="41" t="s">
        <v>2006</v>
      </c>
      <c r="I2043" s="41" t="s">
        <v>535</v>
      </c>
      <c r="J2043" s="41" t="s">
        <v>188</v>
      </c>
      <c r="K2043" s="41"/>
      <c r="L2043" s="42"/>
    </row>
    <row r="2044">
      <c r="A2044" s="15">
        <v>2043.0</v>
      </c>
      <c r="B2044" s="39">
        <v>45953.0</v>
      </c>
      <c r="C2044" s="40" t="s">
        <v>3471</v>
      </c>
      <c r="D2044" s="41"/>
      <c r="E2044" s="41" t="s">
        <v>197</v>
      </c>
      <c r="F2044" s="18" t="s">
        <v>686</v>
      </c>
      <c r="G2044" s="41" t="s">
        <v>3467</v>
      </c>
      <c r="H2044" s="41" t="s">
        <v>2006</v>
      </c>
      <c r="I2044" s="41" t="s">
        <v>535</v>
      </c>
      <c r="J2044" s="41" t="s">
        <v>188</v>
      </c>
      <c r="K2044" s="41" t="s">
        <v>3472</v>
      </c>
      <c r="L2044" s="42"/>
    </row>
    <row r="2045">
      <c r="A2045" s="15">
        <v>2044.0</v>
      </c>
      <c r="B2045" s="39">
        <v>45953.0</v>
      </c>
      <c r="C2045" s="40" t="s">
        <v>3473</v>
      </c>
      <c r="D2045" s="41"/>
      <c r="E2045" s="41" t="s">
        <v>401</v>
      </c>
      <c r="F2045" s="18" t="s">
        <v>622</v>
      </c>
      <c r="G2045" s="41" t="s">
        <v>937</v>
      </c>
      <c r="H2045" s="41" t="s">
        <v>1542</v>
      </c>
      <c r="I2045" s="41" t="s">
        <v>939</v>
      </c>
      <c r="J2045" s="41" t="s">
        <v>188</v>
      </c>
      <c r="K2045" s="41"/>
      <c r="L2045" s="42"/>
    </row>
    <row r="2046">
      <c r="A2046" s="15">
        <v>2045.0</v>
      </c>
      <c r="B2046" s="39">
        <v>45953.0</v>
      </c>
      <c r="C2046" s="40" t="s">
        <v>3474</v>
      </c>
      <c r="D2046" s="41"/>
      <c r="E2046" s="41" t="s">
        <v>401</v>
      </c>
      <c r="F2046" s="18" t="s">
        <v>622</v>
      </c>
      <c r="G2046" s="41" t="s">
        <v>937</v>
      </c>
      <c r="H2046" s="41" t="s">
        <v>1542</v>
      </c>
      <c r="I2046" s="41" t="s">
        <v>939</v>
      </c>
      <c r="J2046" s="41" t="s">
        <v>188</v>
      </c>
      <c r="K2046" s="41"/>
      <c r="L2046" s="42"/>
    </row>
    <row r="2047">
      <c r="A2047" s="15">
        <v>2046.0</v>
      </c>
      <c r="B2047" s="39">
        <v>45953.0</v>
      </c>
      <c r="C2047" s="40" t="s">
        <v>3475</v>
      </c>
      <c r="D2047" s="41"/>
      <c r="E2047" s="41" t="s">
        <v>401</v>
      </c>
      <c r="F2047" s="18" t="s">
        <v>622</v>
      </c>
      <c r="G2047" s="41" t="s">
        <v>937</v>
      </c>
      <c r="H2047" s="41" t="s">
        <v>1542</v>
      </c>
      <c r="I2047" s="41" t="s">
        <v>939</v>
      </c>
      <c r="J2047" s="41" t="s">
        <v>188</v>
      </c>
      <c r="K2047" s="41"/>
      <c r="L2047" s="42"/>
    </row>
    <row r="2048">
      <c r="A2048" s="15">
        <v>2047.0</v>
      </c>
      <c r="B2048" s="39">
        <v>45953.0</v>
      </c>
      <c r="C2048" s="40" t="s">
        <v>3476</v>
      </c>
      <c r="D2048" s="41"/>
      <c r="E2048" s="41" t="s">
        <v>401</v>
      </c>
      <c r="F2048" s="18" t="s">
        <v>622</v>
      </c>
      <c r="G2048" s="41" t="s">
        <v>937</v>
      </c>
      <c r="H2048" s="41" t="s">
        <v>1542</v>
      </c>
      <c r="I2048" s="41" t="s">
        <v>939</v>
      </c>
      <c r="J2048" s="41" t="s">
        <v>188</v>
      </c>
      <c r="K2048" s="41"/>
      <c r="L2048" s="42"/>
    </row>
    <row r="2049">
      <c r="A2049" s="15">
        <v>2048.0</v>
      </c>
      <c r="B2049" s="39">
        <v>45953.0</v>
      </c>
      <c r="C2049" s="40" t="s">
        <v>3477</v>
      </c>
      <c r="D2049" s="41"/>
      <c r="E2049" s="41" t="s">
        <v>401</v>
      </c>
      <c r="F2049" s="18" t="s">
        <v>622</v>
      </c>
      <c r="G2049" s="41" t="s">
        <v>937</v>
      </c>
      <c r="H2049" s="41" t="s">
        <v>1542</v>
      </c>
      <c r="I2049" s="41" t="s">
        <v>939</v>
      </c>
      <c r="J2049" s="41" t="s">
        <v>188</v>
      </c>
      <c r="K2049" s="41"/>
      <c r="L2049" s="42"/>
    </row>
    <row r="2050">
      <c r="A2050" s="15">
        <v>2049.0</v>
      </c>
      <c r="B2050" s="39">
        <v>45953.0</v>
      </c>
      <c r="C2050" s="40" t="s">
        <v>3478</v>
      </c>
      <c r="D2050" s="41"/>
      <c r="E2050" s="41" t="s">
        <v>401</v>
      </c>
      <c r="F2050" s="18" t="s">
        <v>622</v>
      </c>
      <c r="G2050" s="41" t="s">
        <v>937</v>
      </c>
      <c r="H2050" s="41" t="s">
        <v>1542</v>
      </c>
      <c r="I2050" s="41" t="s">
        <v>939</v>
      </c>
      <c r="J2050" s="41" t="s">
        <v>188</v>
      </c>
      <c r="K2050" s="41"/>
      <c r="L2050" s="42"/>
    </row>
    <row r="2051">
      <c r="A2051" s="15">
        <v>2050.0</v>
      </c>
      <c r="B2051" s="39">
        <v>45953.0</v>
      </c>
      <c r="C2051" s="40" t="s">
        <v>3479</v>
      </c>
      <c r="D2051" s="41"/>
      <c r="E2051" s="41" t="s">
        <v>401</v>
      </c>
      <c r="F2051" s="18" t="s">
        <v>622</v>
      </c>
      <c r="G2051" s="41" t="s">
        <v>937</v>
      </c>
      <c r="H2051" s="41" t="s">
        <v>1542</v>
      </c>
      <c r="I2051" s="41" t="s">
        <v>939</v>
      </c>
      <c r="J2051" s="41" t="s">
        <v>188</v>
      </c>
      <c r="K2051" s="41"/>
      <c r="L2051" s="42"/>
    </row>
    <row r="2052">
      <c r="A2052" s="15">
        <v>2051.0</v>
      </c>
      <c r="B2052" s="39">
        <v>45953.0</v>
      </c>
      <c r="C2052" s="40" t="s">
        <v>3480</v>
      </c>
      <c r="D2052" s="41"/>
      <c r="E2052" s="41" t="s">
        <v>401</v>
      </c>
      <c r="F2052" s="18" t="s">
        <v>622</v>
      </c>
      <c r="G2052" s="41" t="s">
        <v>937</v>
      </c>
      <c r="H2052" s="41" t="s">
        <v>1542</v>
      </c>
      <c r="I2052" s="41" t="s">
        <v>939</v>
      </c>
      <c r="J2052" s="41" t="s">
        <v>188</v>
      </c>
      <c r="K2052" s="41"/>
      <c r="L2052" s="42"/>
    </row>
    <row r="2053">
      <c r="A2053" s="15">
        <v>2052.0</v>
      </c>
      <c r="B2053" s="39">
        <v>45953.0</v>
      </c>
      <c r="C2053" s="40" t="s">
        <v>3481</v>
      </c>
      <c r="D2053" s="41"/>
      <c r="E2053" s="41" t="s">
        <v>401</v>
      </c>
      <c r="F2053" s="18" t="s">
        <v>622</v>
      </c>
      <c r="G2053" s="41" t="s">
        <v>937</v>
      </c>
      <c r="H2053" s="41" t="s">
        <v>1542</v>
      </c>
      <c r="I2053" s="41" t="s">
        <v>939</v>
      </c>
      <c r="J2053" s="41" t="s">
        <v>188</v>
      </c>
      <c r="K2053" s="41"/>
      <c r="L2053" s="42"/>
    </row>
    <row r="2054">
      <c r="A2054" s="15">
        <v>2053.0</v>
      </c>
      <c r="B2054" s="39">
        <v>45953.0</v>
      </c>
      <c r="C2054" s="40" t="s">
        <v>3482</v>
      </c>
      <c r="D2054" s="41"/>
      <c r="E2054" s="41" t="s">
        <v>401</v>
      </c>
      <c r="F2054" s="18" t="s">
        <v>622</v>
      </c>
      <c r="G2054" s="41" t="s">
        <v>937</v>
      </c>
      <c r="H2054" s="41" t="s">
        <v>1542</v>
      </c>
      <c r="I2054" s="41" t="s">
        <v>939</v>
      </c>
      <c r="J2054" s="41" t="s">
        <v>188</v>
      </c>
      <c r="K2054" s="41"/>
      <c r="L2054" s="42"/>
    </row>
    <row r="2055">
      <c r="A2055" s="15">
        <v>2054.0</v>
      </c>
      <c r="B2055" s="39">
        <v>45953.0</v>
      </c>
      <c r="C2055" s="40" t="s">
        <v>3483</v>
      </c>
      <c r="D2055" s="41"/>
      <c r="E2055" s="41" t="s">
        <v>401</v>
      </c>
      <c r="F2055" s="18" t="s">
        <v>622</v>
      </c>
      <c r="G2055" s="41" t="s">
        <v>937</v>
      </c>
      <c r="H2055" s="41" t="s">
        <v>1542</v>
      </c>
      <c r="I2055" s="41" t="s">
        <v>939</v>
      </c>
      <c r="J2055" s="41" t="s">
        <v>188</v>
      </c>
      <c r="K2055" s="41"/>
      <c r="L2055" s="42"/>
    </row>
    <row r="2056">
      <c r="A2056" s="15">
        <v>2055.0</v>
      </c>
      <c r="B2056" s="39">
        <v>45953.0</v>
      </c>
      <c r="C2056" s="40" t="s">
        <v>3484</v>
      </c>
      <c r="D2056" s="41"/>
      <c r="E2056" s="41" t="s">
        <v>401</v>
      </c>
      <c r="F2056" s="18" t="s">
        <v>622</v>
      </c>
      <c r="G2056" s="41" t="s">
        <v>937</v>
      </c>
      <c r="H2056" s="41" t="s">
        <v>1542</v>
      </c>
      <c r="I2056" s="41" t="s">
        <v>939</v>
      </c>
      <c r="J2056" s="41" t="s">
        <v>188</v>
      </c>
      <c r="K2056" s="41"/>
      <c r="L2056" s="42"/>
    </row>
    <row r="2057">
      <c r="A2057" s="15">
        <v>2056.0</v>
      </c>
      <c r="B2057" s="39">
        <v>45953.0</v>
      </c>
      <c r="C2057" s="40" t="s">
        <v>3485</v>
      </c>
      <c r="D2057" s="41"/>
      <c r="E2057" s="41" t="s">
        <v>401</v>
      </c>
      <c r="F2057" s="18" t="s">
        <v>622</v>
      </c>
      <c r="G2057" s="41" t="s">
        <v>937</v>
      </c>
      <c r="H2057" s="41" t="s">
        <v>1542</v>
      </c>
      <c r="I2057" s="41" t="s">
        <v>939</v>
      </c>
      <c r="J2057" s="41" t="s">
        <v>188</v>
      </c>
      <c r="K2057" s="41"/>
      <c r="L2057" s="42"/>
    </row>
    <row r="2058">
      <c r="A2058" s="15">
        <v>2057.0</v>
      </c>
      <c r="B2058" s="39">
        <v>45953.0</v>
      </c>
      <c r="C2058" s="40" t="s">
        <v>3486</v>
      </c>
      <c r="D2058" s="41"/>
      <c r="E2058" s="41" t="s">
        <v>401</v>
      </c>
      <c r="F2058" s="18" t="s">
        <v>622</v>
      </c>
      <c r="G2058" s="41" t="s">
        <v>937</v>
      </c>
      <c r="H2058" s="41" t="s">
        <v>1542</v>
      </c>
      <c r="I2058" s="41" t="s">
        <v>939</v>
      </c>
      <c r="J2058" s="41" t="s">
        <v>188</v>
      </c>
      <c r="K2058" s="41"/>
      <c r="L2058" s="42"/>
    </row>
    <row r="2059">
      <c r="A2059" s="15">
        <v>2058.0</v>
      </c>
      <c r="B2059" s="39">
        <v>45953.0</v>
      </c>
      <c r="C2059" s="40" t="s">
        <v>3487</v>
      </c>
      <c r="D2059" s="41"/>
      <c r="E2059" s="41" t="s">
        <v>401</v>
      </c>
      <c r="F2059" s="18" t="s">
        <v>622</v>
      </c>
      <c r="G2059" s="41" t="s">
        <v>937</v>
      </c>
      <c r="H2059" s="41" t="s">
        <v>1542</v>
      </c>
      <c r="I2059" s="41" t="s">
        <v>939</v>
      </c>
      <c r="J2059" s="41" t="s">
        <v>188</v>
      </c>
      <c r="K2059" s="41"/>
      <c r="L2059" s="42"/>
    </row>
    <row r="2060">
      <c r="A2060" s="15">
        <v>2059.0</v>
      </c>
      <c r="B2060" s="39">
        <v>45953.0</v>
      </c>
      <c r="C2060" s="40" t="s">
        <v>3488</v>
      </c>
      <c r="D2060" s="41"/>
      <c r="E2060" s="41" t="s">
        <v>184</v>
      </c>
      <c r="F2060" s="18" t="s">
        <v>622</v>
      </c>
      <c r="G2060" s="41" t="s">
        <v>3443</v>
      </c>
      <c r="H2060" s="41" t="s">
        <v>407</v>
      </c>
      <c r="I2060" s="41" t="s">
        <v>3489</v>
      </c>
      <c r="J2060" s="41" t="s">
        <v>188</v>
      </c>
      <c r="K2060" s="41" t="s">
        <v>3490</v>
      </c>
      <c r="L2060" s="42"/>
    </row>
    <row r="2061">
      <c r="A2061" s="15">
        <v>2060.0</v>
      </c>
      <c r="B2061" s="39">
        <v>45953.0</v>
      </c>
      <c r="C2061" s="40" t="s">
        <v>3491</v>
      </c>
      <c r="D2061" s="41"/>
      <c r="E2061" s="41" t="s">
        <v>184</v>
      </c>
      <c r="F2061" s="18" t="s">
        <v>702</v>
      </c>
      <c r="G2061" s="41" t="s">
        <v>3443</v>
      </c>
      <c r="H2061" s="41" t="s">
        <v>407</v>
      </c>
      <c r="I2061" s="41" t="s">
        <v>1833</v>
      </c>
      <c r="J2061" s="41" t="s">
        <v>188</v>
      </c>
      <c r="K2061" s="41" t="s">
        <v>3490</v>
      </c>
      <c r="L2061" s="42"/>
    </row>
    <row r="2062">
      <c r="A2062" s="15">
        <v>2061.0</v>
      </c>
      <c r="B2062" s="39">
        <v>45954.0</v>
      </c>
      <c r="C2062" s="40" t="s">
        <v>3492</v>
      </c>
      <c r="D2062" s="41"/>
      <c r="E2062" s="41" t="s">
        <v>197</v>
      </c>
      <c r="F2062" s="18" t="s">
        <v>622</v>
      </c>
      <c r="G2062" s="41" t="s">
        <v>3493</v>
      </c>
      <c r="H2062" s="41" t="s">
        <v>2006</v>
      </c>
      <c r="I2062" s="41" t="s">
        <v>535</v>
      </c>
      <c r="J2062" s="41" t="s">
        <v>188</v>
      </c>
      <c r="K2062" s="41" t="s">
        <v>1611</v>
      </c>
      <c r="L2062" s="42"/>
    </row>
    <row r="2063">
      <c r="A2063" s="15">
        <v>2062.0</v>
      </c>
      <c r="B2063" s="39">
        <v>45954.0</v>
      </c>
      <c r="C2063" s="40" t="s">
        <v>3494</v>
      </c>
      <c r="D2063" s="41"/>
      <c r="E2063" s="41" t="s">
        <v>197</v>
      </c>
      <c r="F2063" s="18" t="s">
        <v>622</v>
      </c>
      <c r="G2063" s="41" t="s">
        <v>3495</v>
      </c>
      <c r="H2063" s="41"/>
      <c r="I2063" s="41"/>
      <c r="J2063" s="41" t="s">
        <v>188</v>
      </c>
      <c r="K2063" s="41" t="s">
        <v>1611</v>
      </c>
      <c r="L2063" s="42"/>
    </row>
    <row r="2064">
      <c r="A2064" s="15">
        <v>2063.0</v>
      </c>
      <c r="B2064" s="39">
        <v>45954.0</v>
      </c>
      <c r="C2064" s="40" t="s">
        <v>3496</v>
      </c>
      <c r="D2064" s="41"/>
      <c r="E2064" s="41" t="s">
        <v>197</v>
      </c>
      <c r="F2064" s="18" t="s">
        <v>622</v>
      </c>
      <c r="G2064" s="41" t="s">
        <v>3495</v>
      </c>
      <c r="H2064" s="41"/>
      <c r="I2064" s="41"/>
      <c r="J2064" s="41" t="s">
        <v>188</v>
      </c>
      <c r="K2064" s="41" t="s">
        <v>1611</v>
      </c>
      <c r="L2064" s="42"/>
    </row>
    <row r="2065">
      <c r="A2065" s="15">
        <v>2064.0</v>
      </c>
      <c r="B2065" s="39">
        <v>45954.0</v>
      </c>
      <c r="C2065" s="40" t="s">
        <v>3497</v>
      </c>
      <c r="D2065" s="41"/>
      <c r="E2065" s="41" t="s">
        <v>197</v>
      </c>
      <c r="F2065" s="18" t="s">
        <v>622</v>
      </c>
      <c r="G2065" s="41" t="s">
        <v>3495</v>
      </c>
      <c r="H2065" s="41"/>
      <c r="I2065" s="41"/>
      <c r="J2065" s="41" t="s">
        <v>188</v>
      </c>
      <c r="K2065" s="41" t="s">
        <v>1611</v>
      </c>
      <c r="L2065" s="42"/>
    </row>
    <row r="2066">
      <c r="A2066" s="15">
        <v>2065.0</v>
      </c>
      <c r="B2066" s="39">
        <v>45954.0</v>
      </c>
      <c r="C2066" s="40" t="s">
        <v>3498</v>
      </c>
      <c r="D2066" s="41"/>
      <c r="E2066" s="41" t="s">
        <v>197</v>
      </c>
      <c r="F2066" s="18" t="s">
        <v>686</v>
      </c>
      <c r="G2066" s="41" t="s">
        <v>3499</v>
      </c>
      <c r="H2066" s="41"/>
      <c r="I2066" s="41"/>
      <c r="J2066" s="41" t="s">
        <v>188</v>
      </c>
      <c r="K2066" s="41"/>
      <c r="L2066" s="42"/>
    </row>
    <row r="2067">
      <c r="A2067" s="15">
        <v>2066.0</v>
      </c>
      <c r="B2067" s="39">
        <v>45954.0</v>
      </c>
      <c r="C2067" s="40" t="s">
        <v>3500</v>
      </c>
      <c r="D2067" s="41"/>
      <c r="E2067" s="41" t="s">
        <v>197</v>
      </c>
      <c r="F2067" s="18" t="s">
        <v>686</v>
      </c>
      <c r="G2067" s="41" t="s">
        <v>3499</v>
      </c>
      <c r="H2067" s="41"/>
      <c r="I2067" s="41"/>
      <c r="J2067" s="41" t="s">
        <v>188</v>
      </c>
      <c r="K2067" s="41"/>
      <c r="L2067" s="42"/>
    </row>
    <row r="2068">
      <c r="A2068" s="15">
        <v>2067.0</v>
      </c>
      <c r="B2068" s="39">
        <v>45954.0</v>
      </c>
      <c r="C2068" s="40" t="s">
        <v>3501</v>
      </c>
      <c r="D2068" s="41"/>
      <c r="E2068" s="41" t="s">
        <v>197</v>
      </c>
      <c r="F2068" s="18" t="s">
        <v>686</v>
      </c>
      <c r="G2068" s="41" t="s">
        <v>3499</v>
      </c>
      <c r="H2068" s="41"/>
      <c r="I2068" s="41"/>
      <c r="J2068" s="41" t="s">
        <v>188</v>
      </c>
      <c r="K2068" s="41"/>
      <c r="L2068" s="42"/>
    </row>
    <row r="2069">
      <c r="A2069" s="15">
        <v>2068.0</v>
      </c>
      <c r="B2069" s="39">
        <v>45954.0</v>
      </c>
      <c r="C2069" s="40" t="s">
        <v>3502</v>
      </c>
      <c r="D2069" s="41"/>
      <c r="E2069" s="41" t="s">
        <v>401</v>
      </c>
      <c r="F2069" s="18" t="s">
        <v>622</v>
      </c>
      <c r="G2069" s="41" t="s">
        <v>937</v>
      </c>
      <c r="H2069" s="41" t="s">
        <v>1542</v>
      </c>
      <c r="I2069" s="41" t="s">
        <v>939</v>
      </c>
      <c r="J2069" s="41" t="s">
        <v>188</v>
      </c>
      <c r="K2069" s="41"/>
      <c r="L2069" s="42"/>
    </row>
    <row r="2070">
      <c r="A2070" s="15">
        <v>2069.0</v>
      </c>
      <c r="B2070" s="39">
        <v>45954.0</v>
      </c>
      <c r="C2070" s="40" t="s">
        <v>3503</v>
      </c>
      <c r="D2070" s="41"/>
      <c r="E2070" s="41" t="s">
        <v>401</v>
      </c>
      <c r="F2070" s="18" t="s">
        <v>622</v>
      </c>
      <c r="G2070" s="41" t="s">
        <v>937</v>
      </c>
      <c r="H2070" s="41" t="s">
        <v>1542</v>
      </c>
      <c r="I2070" s="41" t="s">
        <v>939</v>
      </c>
      <c r="J2070" s="41" t="s">
        <v>188</v>
      </c>
      <c r="K2070" s="41"/>
      <c r="L2070" s="42"/>
    </row>
    <row r="2071">
      <c r="A2071" s="15">
        <v>2070.0</v>
      </c>
      <c r="B2071" s="39">
        <v>45954.0</v>
      </c>
      <c r="C2071" s="40" t="s">
        <v>3504</v>
      </c>
      <c r="D2071" s="41"/>
      <c r="E2071" s="41" t="s">
        <v>184</v>
      </c>
      <c r="F2071" s="18" t="s">
        <v>622</v>
      </c>
      <c r="G2071" s="41" t="s">
        <v>3505</v>
      </c>
      <c r="H2071" s="41" t="s">
        <v>407</v>
      </c>
      <c r="I2071" s="41" t="s">
        <v>1914</v>
      </c>
      <c r="J2071" s="41" t="s">
        <v>188</v>
      </c>
      <c r="K2071" s="41" t="s">
        <v>3490</v>
      </c>
      <c r="L2071" s="42"/>
    </row>
    <row r="2072">
      <c r="A2072" s="15">
        <v>2071.0</v>
      </c>
      <c r="B2072" s="39">
        <v>45954.0</v>
      </c>
      <c r="C2072" s="40" t="s">
        <v>3506</v>
      </c>
      <c r="D2072" s="41"/>
      <c r="E2072" s="41" t="s">
        <v>184</v>
      </c>
      <c r="F2072" s="18" t="s">
        <v>622</v>
      </c>
      <c r="G2072" s="41" t="s">
        <v>1778</v>
      </c>
      <c r="H2072" s="41" t="s">
        <v>407</v>
      </c>
      <c r="I2072" s="41" t="s">
        <v>3489</v>
      </c>
      <c r="J2072" s="41" t="s">
        <v>188</v>
      </c>
      <c r="K2072" s="41" t="s">
        <v>3490</v>
      </c>
      <c r="L2072" s="42"/>
    </row>
    <row r="2073">
      <c r="A2073" s="15">
        <v>2072.0</v>
      </c>
      <c r="B2073" s="39">
        <v>45954.0</v>
      </c>
      <c r="C2073" s="40" t="s">
        <v>3507</v>
      </c>
      <c r="D2073" s="41"/>
      <c r="E2073" s="41" t="s">
        <v>184</v>
      </c>
      <c r="F2073" s="18" t="s">
        <v>702</v>
      </c>
      <c r="G2073" s="41" t="s">
        <v>3508</v>
      </c>
      <c r="H2073" s="41" t="s">
        <v>407</v>
      </c>
      <c r="I2073" s="41" t="s">
        <v>1833</v>
      </c>
      <c r="J2073" s="41" t="s">
        <v>188</v>
      </c>
      <c r="K2073" s="41" t="s">
        <v>3490</v>
      </c>
      <c r="L2073" s="42"/>
    </row>
    <row r="2074">
      <c r="A2074" s="15">
        <v>2073.0</v>
      </c>
      <c r="B2074" s="39">
        <v>45954.0</v>
      </c>
      <c r="C2074" s="40" t="s">
        <v>3509</v>
      </c>
      <c r="D2074" s="41"/>
      <c r="E2074" s="41" t="s">
        <v>184</v>
      </c>
      <c r="F2074" s="18" t="s">
        <v>702</v>
      </c>
      <c r="G2074" s="41" t="s">
        <v>1833</v>
      </c>
      <c r="H2074" s="41" t="s">
        <v>407</v>
      </c>
      <c r="I2074" s="41" t="s">
        <v>1833</v>
      </c>
      <c r="J2074" s="41" t="s">
        <v>188</v>
      </c>
      <c r="K2074" s="41" t="s">
        <v>3490</v>
      </c>
      <c r="L2074" s="42"/>
    </row>
    <row r="2075">
      <c r="A2075" s="15">
        <v>2074.0</v>
      </c>
      <c r="B2075" s="39">
        <v>45955.0</v>
      </c>
      <c r="C2075" s="40" t="s">
        <v>3510</v>
      </c>
      <c r="D2075" s="41"/>
      <c r="E2075" s="41" t="s">
        <v>197</v>
      </c>
      <c r="F2075" s="18" t="s">
        <v>405</v>
      </c>
      <c r="G2075" s="41" t="s">
        <v>3511</v>
      </c>
      <c r="H2075" s="52" t="s">
        <v>1782</v>
      </c>
      <c r="I2075" s="52" t="s">
        <v>535</v>
      </c>
      <c r="J2075" s="41" t="s">
        <v>188</v>
      </c>
      <c r="K2075" s="41"/>
      <c r="L2075" s="42"/>
    </row>
    <row r="2076">
      <c r="A2076" s="15">
        <v>2075.0</v>
      </c>
      <c r="B2076" s="39">
        <v>45955.0</v>
      </c>
      <c r="C2076" s="40" t="s">
        <v>3512</v>
      </c>
      <c r="D2076" s="41"/>
      <c r="E2076" s="41" t="s">
        <v>197</v>
      </c>
      <c r="F2076" s="18" t="s">
        <v>405</v>
      </c>
      <c r="G2076" s="41" t="s">
        <v>3513</v>
      </c>
      <c r="H2076" s="41"/>
      <c r="I2076" s="41"/>
      <c r="J2076" s="41" t="s">
        <v>188</v>
      </c>
      <c r="K2076" s="41"/>
      <c r="L2076" s="42"/>
    </row>
    <row r="2077">
      <c r="A2077" s="15">
        <v>2076.0</v>
      </c>
      <c r="B2077" s="39">
        <v>45955.0</v>
      </c>
      <c r="C2077" s="40" t="s">
        <v>3514</v>
      </c>
      <c r="D2077" s="41"/>
      <c r="E2077" s="41" t="s">
        <v>197</v>
      </c>
      <c r="F2077" s="18" t="s">
        <v>405</v>
      </c>
      <c r="G2077" s="41" t="s">
        <v>3515</v>
      </c>
      <c r="H2077" s="41"/>
      <c r="I2077" s="41"/>
      <c r="J2077" s="41" t="s">
        <v>188</v>
      </c>
      <c r="K2077" s="41"/>
      <c r="L2077" s="42"/>
    </row>
    <row r="2078">
      <c r="A2078" s="15">
        <v>2077.0</v>
      </c>
      <c r="B2078" s="39">
        <v>45955.0</v>
      </c>
      <c r="C2078" s="40" t="s">
        <v>3516</v>
      </c>
      <c r="D2078" s="41"/>
      <c r="E2078" s="41" t="s">
        <v>372</v>
      </c>
      <c r="F2078" s="18" t="s">
        <v>622</v>
      </c>
      <c r="G2078" s="41" t="s">
        <v>3517</v>
      </c>
      <c r="H2078" s="41"/>
      <c r="I2078" s="41"/>
      <c r="J2078" s="41" t="s">
        <v>188</v>
      </c>
      <c r="K2078" s="41"/>
      <c r="L2078" s="42"/>
    </row>
    <row r="2079">
      <c r="A2079" s="15">
        <v>2078.0</v>
      </c>
      <c r="B2079" s="39">
        <v>45955.0</v>
      </c>
      <c r="C2079" s="40" t="s">
        <v>3518</v>
      </c>
      <c r="D2079" s="41"/>
      <c r="E2079" s="41" t="s">
        <v>1146</v>
      </c>
      <c r="F2079" s="18" t="s">
        <v>405</v>
      </c>
      <c r="G2079" s="41" t="s">
        <v>3519</v>
      </c>
      <c r="H2079" s="41"/>
      <c r="I2079" s="41"/>
      <c r="J2079" s="41" t="s">
        <v>188</v>
      </c>
      <c r="K2079" s="41"/>
      <c r="L2079" s="42"/>
    </row>
    <row r="2080">
      <c r="A2080" s="15">
        <v>2079.0</v>
      </c>
      <c r="B2080" s="39">
        <v>45955.0</v>
      </c>
      <c r="C2080" s="40" t="s">
        <v>3520</v>
      </c>
      <c r="D2080" s="41"/>
      <c r="E2080" s="41" t="s">
        <v>197</v>
      </c>
      <c r="F2080" s="18" t="s">
        <v>622</v>
      </c>
      <c r="G2080" s="41" t="s">
        <v>3521</v>
      </c>
      <c r="H2080" s="41"/>
      <c r="I2080" s="41"/>
      <c r="J2080" s="41" t="s">
        <v>188</v>
      </c>
      <c r="K2080" s="41"/>
      <c r="L2080" s="42"/>
    </row>
    <row r="2081">
      <c r="A2081" s="15">
        <v>2080.0</v>
      </c>
      <c r="B2081" s="39">
        <v>45955.0</v>
      </c>
      <c r="C2081" s="40" t="s">
        <v>3522</v>
      </c>
      <c r="D2081" s="41"/>
      <c r="E2081" s="41" t="s">
        <v>197</v>
      </c>
      <c r="F2081" s="18" t="s">
        <v>622</v>
      </c>
      <c r="G2081" s="41" t="s">
        <v>3523</v>
      </c>
      <c r="H2081" s="41"/>
      <c r="I2081" s="41"/>
      <c r="J2081" s="41" t="s">
        <v>188</v>
      </c>
      <c r="K2081" s="41"/>
      <c r="L2081" s="42"/>
    </row>
    <row r="2082">
      <c r="A2082" s="15">
        <v>2081.0</v>
      </c>
      <c r="B2082" s="39">
        <v>45955.0</v>
      </c>
      <c r="C2082" s="40" t="s">
        <v>3524</v>
      </c>
      <c r="D2082" s="41"/>
      <c r="E2082" s="41" t="s">
        <v>557</v>
      </c>
      <c r="F2082" s="18" t="s">
        <v>622</v>
      </c>
      <c r="G2082" s="41" t="s">
        <v>3525</v>
      </c>
      <c r="H2082" s="41"/>
      <c r="I2082" s="41"/>
      <c r="J2082" s="41" t="s">
        <v>188</v>
      </c>
      <c r="K2082" s="41"/>
      <c r="L2082" s="42"/>
    </row>
    <row r="2083">
      <c r="A2083" s="15">
        <v>2082.0</v>
      </c>
      <c r="B2083" s="39">
        <v>45955.0</v>
      </c>
      <c r="C2083" s="40" t="s">
        <v>3526</v>
      </c>
      <c r="D2083" s="41"/>
      <c r="E2083" s="41" t="s">
        <v>557</v>
      </c>
      <c r="F2083" s="18" t="s">
        <v>622</v>
      </c>
      <c r="G2083" s="41" t="s">
        <v>3525</v>
      </c>
      <c r="H2083" s="41"/>
      <c r="I2083" s="41"/>
      <c r="J2083" s="41" t="s">
        <v>188</v>
      </c>
      <c r="K2083" s="41"/>
      <c r="L2083" s="42"/>
    </row>
    <row r="2084">
      <c r="A2084" s="15">
        <v>2083.0</v>
      </c>
      <c r="B2084" s="39">
        <v>45955.0</v>
      </c>
      <c r="C2084" s="53" t="s">
        <v>3527</v>
      </c>
      <c r="D2084" s="41"/>
      <c r="E2084" s="52" t="s">
        <v>3528</v>
      </c>
      <c r="F2084" s="18" t="s">
        <v>622</v>
      </c>
      <c r="G2084" s="52" t="s">
        <v>3529</v>
      </c>
      <c r="H2084" s="52" t="s">
        <v>3530</v>
      </c>
      <c r="I2084" s="52" t="s">
        <v>3531</v>
      </c>
      <c r="J2084" s="52" t="s">
        <v>422</v>
      </c>
      <c r="K2084" s="52" t="s">
        <v>3532</v>
      </c>
      <c r="L2084" s="42"/>
    </row>
    <row r="2085">
      <c r="A2085" s="15">
        <v>2084.0</v>
      </c>
      <c r="B2085" s="39">
        <v>45955.0</v>
      </c>
      <c r="C2085" s="53" t="s">
        <v>3533</v>
      </c>
      <c r="D2085" s="41"/>
      <c r="E2085" s="52" t="s">
        <v>3528</v>
      </c>
      <c r="F2085" s="18" t="s">
        <v>622</v>
      </c>
      <c r="G2085" s="52" t="s">
        <v>3529</v>
      </c>
      <c r="H2085" s="41"/>
      <c r="I2085" s="41"/>
      <c r="J2085" s="52" t="s">
        <v>422</v>
      </c>
      <c r="K2085" s="52" t="s">
        <v>3532</v>
      </c>
      <c r="L2085" s="42"/>
    </row>
    <row r="2086">
      <c r="A2086" s="15">
        <v>2085.0</v>
      </c>
      <c r="B2086" s="39">
        <v>45955.0</v>
      </c>
      <c r="C2086" s="53" t="s">
        <v>3534</v>
      </c>
      <c r="D2086" s="41"/>
      <c r="E2086" s="52" t="s">
        <v>3528</v>
      </c>
      <c r="F2086" s="18" t="s">
        <v>702</v>
      </c>
      <c r="G2086" s="52" t="s">
        <v>3529</v>
      </c>
      <c r="H2086" s="41"/>
      <c r="I2086" s="41"/>
      <c r="J2086" s="52" t="s">
        <v>422</v>
      </c>
      <c r="K2086" s="52" t="s">
        <v>3535</v>
      </c>
      <c r="L2086" s="42"/>
    </row>
    <row r="2087">
      <c r="A2087" s="15">
        <v>2086.0</v>
      </c>
      <c r="B2087" s="39">
        <v>45955.0</v>
      </c>
      <c r="C2087" s="53" t="s">
        <v>3536</v>
      </c>
      <c r="D2087" s="41"/>
      <c r="E2087" s="52" t="s">
        <v>3528</v>
      </c>
      <c r="F2087" s="18" t="s">
        <v>702</v>
      </c>
      <c r="G2087" s="52" t="s">
        <v>3529</v>
      </c>
      <c r="H2087" s="41"/>
      <c r="I2087" s="41"/>
      <c r="J2087" s="52" t="s">
        <v>422</v>
      </c>
      <c r="K2087" s="52" t="s">
        <v>3532</v>
      </c>
      <c r="L2087" s="42"/>
    </row>
    <row r="2088">
      <c r="A2088" s="15">
        <v>2087.0</v>
      </c>
      <c r="B2088" s="39">
        <v>45956.0</v>
      </c>
      <c r="C2088" s="40" t="s">
        <v>3537</v>
      </c>
      <c r="D2088" s="41"/>
      <c r="E2088" s="41" t="s">
        <v>197</v>
      </c>
      <c r="F2088" s="18" t="s">
        <v>405</v>
      </c>
      <c r="G2088" s="41" t="s">
        <v>3538</v>
      </c>
      <c r="H2088" s="52" t="s">
        <v>1782</v>
      </c>
      <c r="I2088" s="52" t="s">
        <v>535</v>
      </c>
      <c r="J2088" s="52" t="s">
        <v>188</v>
      </c>
      <c r="K2088" s="52" t="s">
        <v>1611</v>
      </c>
      <c r="L2088" s="42"/>
    </row>
    <row r="2089">
      <c r="A2089" s="15">
        <v>2088.0</v>
      </c>
      <c r="B2089" s="39">
        <v>45956.0</v>
      </c>
      <c r="C2089" s="40" t="s">
        <v>3539</v>
      </c>
      <c r="D2089" s="41"/>
      <c r="E2089" s="41" t="s">
        <v>197</v>
      </c>
      <c r="F2089" s="18" t="s">
        <v>405</v>
      </c>
      <c r="G2089" s="41" t="s">
        <v>3540</v>
      </c>
      <c r="H2089" s="41"/>
      <c r="I2089" s="41"/>
      <c r="J2089" s="52" t="s">
        <v>188</v>
      </c>
      <c r="K2089" s="52" t="s">
        <v>1611</v>
      </c>
      <c r="L2089" s="42"/>
    </row>
    <row r="2090">
      <c r="A2090" s="15">
        <v>2089.0</v>
      </c>
      <c r="B2090" s="39">
        <v>45956.0</v>
      </c>
      <c r="C2090" s="40" t="s">
        <v>3541</v>
      </c>
      <c r="D2090" s="41"/>
      <c r="E2090" s="41" t="s">
        <v>197</v>
      </c>
      <c r="F2090" s="18" t="s">
        <v>405</v>
      </c>
      <c r="G2090" s="41" t="s">
        <v>3542</v>
      </c>
      <c r="H2090" s="41"/>
      <c r="I2090" s="41"/>
      <c r="J2090" s="52" t="s">
        <v>188</v>
      </c>
      <c r="K2090" s="52" t="s">
        <v>1611</v>
      </c>
      <c r="L2090" s="42"/>
    </row>
    <row r="2091">
      <c r="A2091" s="15">
        <v>2090.0</v>
      </c>
      <c r="B2091" s="39">
        <v>45956.0</v>
      </c>
      <c r="C2091" s="40" t="s">
        <v>3543</v>
      </c>
      <c r="D2091" s="41"/>
      <c r="E2091" s="41" t="s">
        <v>197</v>
      </c>
      <c r="F2091" s="18" t="s">
        <v>405</v>
      </c>
      <c r="G2091" s="41" t="s">
        <v>3544</v>
      </c>
      <c r="H2091" s="41"/>
      <c r="I2091" s="41"/>
      <c r="J2091" s="52" t="s">
        <v>188</v>
      </c>
      <c r="K2091" s="52" t="s">
        <v>1611</v>
      </c>
      <c r="L2091" s="42"/>
    </row>
    <row r="2092">
      <c r="A2092" s="15">
        <v>2091.0</v>
      </c>
      <c r="B2092" s="39">
        <v>45956.0</v>
      </c>
      <c r="C2092" s="40" t="s">
        <v>3545</v>
      </c>
      <c r="D2092" s="41"/>
      <c r="E2092" s="41" t="s">
        <v>197</v>
      </c>
      <c r="F2092" s="18" t="s">
        <v>622</v>
      </c>
      <c r="G2092" s="41" t="s">
        <v>3546</v>
      </c>
      <c r="H2092" s="41"/>
      <c r="I2092" s="41"/>
      <c r="J2092" s="52" t="s">
        <v>188</v>
      </c>
      <c r="K2092" s="52" t="s">
        <v>1611</v>
      </c>
      <c r="L2092" s="42"/>
    </row>
    <row r="2093">
      <c r="A2093" s="15">
        <v>2092.0</v>
      </c>
      <c r="B2093" s="39">
        <v>45956.0</v>
      </c>
      <c r="C2093" s="40" t="s">
        <v>3547</v>
      </c>
      <c r="D2093" s="41"/>
      <c r="E2093" s="41" t="s">
        <v>197</v>
      </c>
      <c r="F2093" s="18" t="s">
        <v>622</v>
      </c>
      <c r="G2093" s="41" t="s">
        <v>3548</v>
      </c>
      <c r="H2093" s="41"/>
      <c r="I2093" s="41"/>
      <c r="J2093" s="52" t="s">
        <v>188</v>
      </c>
      <c r="K2093" s="52" t="s">
        <v>1611</v>
      </c>
      <c r="L2093" s="42"/>
    </row>
    <row r="2094">
      <c r="A2094" s="15">
        <v>2093.0</v>
      </c>
      <c r="B2094" s="39">
        <v>45956.0</v>
      </c>
      <c r="C2094" s="40" t="s">
        <v>3549</v>
      </c>
      <c r="D2094" s="41"/>
      <c r="E2094" s="41" t="s">
        <v>1450</v>
      </c>
      <c r="F2094" s="18" t="s">
        <v>622</v>
      </c>
      <c r="G2094" s="41" t="s">
        <v>3550</v>
      </c>
      <c r="H2094" s="41"/>
      <c r="I2094" s="41"/>
      <c r="J2094" s="52" t="s">
        <v>188</v>
      </c>
      <c r="K2094" s="52" t="s">
        <v>1611</v>
      </c>
      <c r="L2094" s="42"/>
    </row>
    <row r="2095">
      <c r="A2095" s="15">
        <v>2094.0</v>
      </c>
      <c r="B2095" s="39">
        <v>45956.0</v>
      </c>
      <c r="C2095" s="40" t="s">
        <v>3551</v>
      </c>
      <c r="D2095" s="41"/>
      <c r="E2095" s="41" t="s">
        <v>197</v>
      </c>
      <c r="F2095" s="18" t="s">
        <v>405</v>
      </c>
      <c r="G2095" s="41" t="s">
        <v>3552</v>
      </c>
      <c r="H2095" s="41"/>
      <c r="I2095" s="41"/>
      <c r="J2095" s="52" t="s">
        <v>188</v>
      </c>
      <c r="K2095" s="52" t="s">
        <v>1611</v>
      </c>
      <c r="L2095" s="42"/>
    </row>
    <row r="2096">
      <c r="A2096" s="15">
        <v>2095.0</v>
      </c>
      <c r="B2096" s="39">
        <v>45956.0</v>
      </c>
      <c r="C2096" s="40" t="s">
        <v>3553</v>
      </c>
      <c r="D2096" s="41"/>
      <c r="E2096" s="41" t="s">
        <v>197</v>
      </c>
      <c r="F2096" s="18" t="s">
        <v>405</v>
      </c>
      <c r="G2096" s="41" t="s">
        <v>3554</v>
      </c>
      <c r="H2096" s="41"/>
      <c r="I2096" s="41"/>
      <c r="J2096" s="52" t="s">
        <v>188</v>
      </c>
      <c r="K2096" s="52" t="s">
        <v>1611</v>
      </c>
      <c r="L2096" s="42"/>
    </row>
    <row r="2097">
      <c r="A2097" s="15">
        <v>2096.0</v>
      </c>
      <c r="B2097" s="39">
        <v>45956.0</v>
      </c>
      <c r="C2097" s="40" t="s">
        <v>3555</v>
      </c>
      <c r="D2097" s="41"/>
      <c r="E2097" s="41" t="s">
        <v>197</v>
      </c>
      <c r="F2097" s="18" t="s">
        <v>405</v>
      </c>
      <c r="G2097" s="41" t="s">
        <v>3556</v>
      </c>
      <c r="H2097" s="41"/>
      <c r="I2097" s="41"/>
      <c r="J2097" s="52" t="s">
        <v>188</v>
      </c>
      <c r="K2097" s="52" t="s">
        <v>1611</v>
      </c>
      <c r="L2097" s="42"/>
    </row>
    <row r="2098">
      <c r="A2098" s="15">
        <v>2097.0</v>
      </c>
      <c r="B2098" s="39">
        <v>45956.0</v>
      </c>
      <c r="C2098" s="53" t="s">
        <v>3557</v>
      </c>
      <c r="D2098" s="41"/>
      <c r="E2098" s="52" t="s">
        <v>184</v>
      </c>
      <c r="F2098" s="18" t="s">
        <v>622</v>
      </c>
      <c r="G2098" s="52" t="s">
        <v>3558</v>
      </c>
      <c r="H2098" s="52" t="s">
        <v>3559</v>
      </c>
      <c r="I2098" s="41"/>
      <c r="J2098" s="52" t="s">
        <v>422</v>
      </c>
      <c r="K2098" s="52" t="s">
        <v>3532</v>
      </c>
      <c r="L2098" s="42"/>
    </row>
    <row r="2099">
      <c r="A2099" s="15">
        <v>2098.0</v>
      </c>
      <c r="B2099" s="39">
        <v>45956.0</v>
      </c>
      <c r="C2099" s="53" t="s">
        <v>3560</v>
      </c>
      <c r="D2099" s="41"/>
      <c r="E2099" s="52" t="s">
        <v>184</v>
      </c>
      <c r="F2099" s="18" t="s">
        <v>622</v>
      </c>
      <c r="G2099" s="52" t="s">
        <v>3561</v>
      </c>
      <c r="H2099" s="41"/>
      <c r="I2099" s="41"/>
      <c r="J2099" s="52" t="s">
        <v>422</v>
      </c>
      <c r="K2099" s="52" t="s">
        <v>1611</v>
      </c>
      <c r="L2099" s="42"/>
    </row>
    <row r="2100">
      <c r="A2100" s="15">
        <v>2099.0</v>
      </c>
      <c r="B2100" s="39">
        <v>45956.0</v>
      </c>
      <c r="C2100" s="53" t="s">
        <v>3562</v>
      </c>
      <c r="D2100" s="41"/>
      <c r="E2100" s="52" t="s">
        <v>184</v>
      </c>
      <c r="F2100" s="18" t="s">
        <v>702</v>
      </c>
      <c r="G2100" s="52" t="s">
        <v>1833</v>
      </c>
      <c r="H2100" s="41"/>
      <c r="I2100" s="41"/>
      <c r="J2100" s="52" t="s">
        <v>422</v>
      </c>
      <c r="K2100" s="52" t="s">
        <v>1611</v>
      </c>
      <c r="L2100" s="42"/>
    </row>
    <row r="2101">
      <c r="A2101" s="15">
        <v>2100.0</v>
      </c>
      <c r="B2101" s="39">
        <v>45957.0</v>
      </c>
      <c r="C2101" s="40" t="s">
        <v>3563</v>
      </c>
      <c r="D2101" s="41"/>
      <c r="E2101" s="41" t="s">
        <v>197</v>
      </c>
      <c r="F2101" s="18" t="s">
        <v>686</v>
      </c>
      <c r="G2101" s="41" t="s">
        <v>3564</v>
      </c>
      <c r="H2101" s="41" t="s">
        <v>779</v>
      </c>
      <c r="I2101" s="41" t="s">
        <v>535</v>
      </c>
      <c r="J2101" s="41" t="s">
        <v>188</v>
      </c>
      <c r="K2101" s="41"/>
      <c r="L2101" s="42"/>
    </row>
    <row r="2102">
      <c r="A2102" s="15">
        <v>2101.0</v>
      </c>
      <c r="B2102" s="39">
        <v>45957.0</v>
      </c>
      <c r="C2102" s="40" t="s">
        <v>3565</v>
      </c>
      <c r="D2102" s="41"/>
      <c r="E2102" s="41" t="s">
        <v>197</v>
      </c>
      <c r="F2102" s="18" t="s">
        <v>686</v>
      </c>
      <c r="G2102" s="41" t="s">
        <v>3564</v>
      </c>
      <c r="H2102" s="41"/>
      <c r="I2102" s="41" t="s">
        <v>535</v>
      </c>
      <c r="J2102" s="41" t="s">
        <v>188</v>
      </c>
      <c r="K2102" s="41"/>
      <c r="L2102" s="42"/>
    </row>
    <row r="2103">
      <c r="A2103" s="15">
        <v>2102.0</v>
      </c>
      <c r="B2103" s="39">
        <v>45957.0</v>
      </c>
      <c r="C2103" s="40" t="s">
        <v>3566</v>
      </c>
      <c r="D2103" s="41"/>
      <c r="E2103" s="41" t="s">
        <v>197</v>
      </c>
      <c r="F2103" s="18" t="s">
        <v>686</v>
      </c>
      <c r="G2103" s="41" t="s">
        <v>3564</v>
      </c>
      <c r="H2103" s="41"/>
      <c r="I2103" s="41" t="s">
        <v>535</v>
      </c>
      <c r="J2103" s="41" t="s">
        <v>188</v>
      </c>
      <c r="K2103" s="41"/>
      <c r="L2103" s="42"/>
    </row>
    <row r="2104">
      <c r="A2104" s="15">
        <v>2103.0</v>
      </c>
      <c r="B2104" s="39">
        <v>45957.0</v>
      </c>
      <c r="C2104" s="40" t="s">
        <v>3567</v>
      </c>
      <c r="D2104" s="41"/>
      <c r="E2104" s="41" t="s">
        <v>197</v>
      </c>
      <c r="F2104" s="18" t="s">
        <v>686</v>
      </c>
      <c r="G2104" s="41" t="s">
        <v>3568</v>
      </c>
      <c r="H2104" s="41"/>
      <c r="I2104" s="41" t="s">
        <v>535</v>
      </c>
      <c r="J2104" s="41" t="s">
        <v>188</v>
      </c>
      <c r="K2104" s="41"/>
      <c r="L2104" s="42"/>
    </row>
    <row r="2105">
      <c r="A2105" s="15">
        <v>2104.0</v>
      </c>
      <c r="B2105" s="39">
        <v>45957.0</v>
      </c>
      <c r="C2105" s="40" t="s">
        <v>3569</v>
      </c>
      <c r="D2105" s="41"/>
      <c r="E2105" s="41" t="s">
        <v>197</v>
      </c>
      <c r="F2105" s="18" t="s">
        <v>622</v>
      </c>
      <c r="G2105" s="41" t="s">
        <v>3570</v>
      </c>
      <c r="H2105" s="41" t="s">
        <v>779</v>
      </c>
      <c r="I2105" s="41" t="s">
        <v>535</v>
      </c>
      <c r="J2105" s="41" t="s">
        <v>188</v>
      </c>
      <c r="K2105" s="41"/>
      <c r="L2105" s="42"/>
    </row>
    <row r="2106">
      <c r="A2106" s="15">
        <v>2105.0</v>
      </c>
      <c r="B2106" s="39">
        <v>45957.0</v>
      </c>
      <c r="C2106" s="40" t="s">
        <v>3571</v>
      </c>
      <c r="D2106" s="41"/>
      <c r="E2106" s="41" t="s">
        <v>197</v>
      </c>
      <c r="F2106" s="18" t="s">
        <v>622</v>
      </c>
      <c r="G2106" s="41" t="s">
        <v>3570</v>
      </c>
      <c r="H2106" s="41"/>
      <c r="I2106" s="41" t="s">
        <v>535</v>
      </c>
      <c r="J2106" s="41" t="s">
        <v>188</v>
      </c>
      <c r="K2106" s="41"/>
      <c r="L2106" s="42"/>
    </row>
    <row r="2107">
      <c r="A2107" s="15">
        <v>2106.0</v>
      </c>
      <c r="B2107" s="39">
        <v>45957.0</v>
      </c>
      <c r="C2107" s="40" t="s">
        <v>3572</v>
      </c>
      <c r="D2107" s="41"/>
      <c r="E2107" s="41" t="s">
        <v>197</v>
      </c>
      <c r="F2107" s="18" t="s">
        <v>622</v>
      </c>
      <c r="G2107" s="41" t="s">
        <v>3570</v>
      </c>
      <c r="H2107" s="41"/>
      <c r="I2107" s="41" t="s">
        <v>535</v>
      </c>
      <c r="J2107" s="41" t="s">
        <v>188</v>
      </c>
      <c r="K2107" s="41"/>
      <c r="L2107" s="42"/>
    </row>
    <row r="2108">
      <c r="A2108" s="15">
        <v>2107.0</v>
      </c>
      <c r="B2108" s="39">
        <v>45957.0</v>
      </c>
      <c r="C2108" s="40" t="s">
        <v>3573</v>
      </c>
      <c r="D2108" s="41"/>
      <c r="E2108" s="41" t="s">
        <v>197</v>
      </c>
      <c r="F2108" s="18" t="s">
        <v>622</v>
      </c>
      <c r="G2108" s="41" t="s">
        <v>3570</v>
      </c>
      <c r="H2108" s="41"/>
      <c r="I2108" s="41" t="s">
        <v>535</v>
      </c>
      <c r="J2108" s="41" t="s">
        <v>188</v>
      </c>
      <c r="K2108" s="41"/>
      <c r="L2108" s="42"/>
    </row>
    <row r="2109">
      <c r="A2109" s="15">
        <v>2108.0</v>
      </c>
      <c r="B2109" s="39">
        <v>45957.0</v>
      </c>
      <c r="C2109" s="40" t="s">
        <v>3574</v>
      </c>
      <c r="D2109" s="41"/>
      <c r="E2109" s="41" t="s">
        <v>197</v>
      </c>
      <c r="F2109" s="18" t="s">
        <v>622</v>
      </c>
      <c r="G2109" s="41" t="s">
        <v>3575</v>
      </c>
      <c r="H2109" s="41"/>
      <c r="I2109" s="41" t="s">
        <v>535</v>
      </c>
      <c r="J2109" s="41" t="s">
        <v>188</v>
      </c>
      <c r="K2109" s="41"/>
      <c r="L2109" s="42"/>
    </row>
    <row r="2110">
      <c r="A2110" s="15">
        <v>2109.0</v>
      </c>
      <c r="B2110" s="39">
        <v>45957.0</v>
      </c>
      <c r="C2110" s="40" t="s">
        <v>3576</v>
      </c>
      <c r="D2110" s="41"/>
      <c r="E2110" s="41" t="s">
        <v>401</v>
      </c>
      <c r="F2110" s="18" t="s">
        <v>622</v>
      </c>
      <c r="G2110" s="41" t="s">
        <v>937</v>
      </c>
      <c r="H2110" s="41" t="s">
        <v>1542</v>
      </c>
      <c r="I2110" s="41" t="s">
        <v>939</v>
      </c>
      <c r="J2110" s="41" t="s">
        <v>188</v>
      </c>
      <c r="K2110" s="41"/>
      <c r="L2110" s="42"/>
    </row>
    <row r="2111">
      <c r="A2111" s="15">
        <v>2110.0</v>
      </c>
      <c r="B2111" s="39">
        <v>45957.0</v>
      </c>
      <c r="C2111" s="40" t="s">
        <v>3577</v>
      </c>
      <c r="D2111" s="41"/>
      <c r="E2111" s="41" t="s">
        <v>401</v>
      </c>
      <c r="F2111" s="18" t="s">
        <v>622</v>
      </c>
      <c r="G2111" s="41" t="s">
        <v>937</v>
      </c>
      <c r="H2111" s="41" t="s">
        <v>1542</v>
      </c>
      <c r="I2111" s="41" t="s">
        <v>939</v>
      </c>
      <c r="J2111" s="41" t="s">
        <v>188</v>
      </c>
      <c r="K2111" s="41"/>
      <c r="L2111" s="42"/>
    </row>
    <row r="2112">
      <c r="A2112" s="15">
        <v>2111.0</v>
      </c>
      <c r="B2112" s="39">
        <v>45957.0</v>
      </c>
      <c r="C2112" s="40" t="s">
        <v>3578</v>
      </c>
      <c r="D2112" s="41"/>
      <c r="E2112" s="41" t="s">
        <v>401</v>
      </c>
      <c r="F2112" s="18" t="s">
        <v>622</v>
      </c>
      <c r="G2112" s="41" t="s">
        <v>937</v>
      </c>
      <c r="H2112" s="41" t="s">
        <v>1542</v>
      </c>
      <c r="I2112" s="41" t="s">
        <v>939</v>
      </c>
      <c r="J2112" s="41" t="s">
        <v>188</v>
      </c>
      <c r="K2112" s="41"/>
      <c r="L2112" s="42"/>
    </row>
    <row r="2113">
      <c r="A2113" s="15">
        <v>2112.0</v>
      </c>
      <c r="B2113" s="39">
        <v>45957.0</v>
      </c>
      <c r="C2113" s="40" t="s">
        <v>3579</v>
      </c>
      <c r="D2113" s="41"/>
      <c r="E2113" s="41" t="s">
        <v>401</v>
      </c>
      <c r="F2113" s="18" t="s">
        <v>622</v>
      </c>
      <c r="G2113" s="41" t="s">
        <v>937</v>
      </c>
      <c r="H2113" s="41" t="s">
        <v>1542</v>
      </c>
      <c r="I2113" s="41" t="s">
        <v>939</v>
      </c>
      <c r="J2113" s="41" t="s">
        <v>188</v>
      </c>
      <c r="K2113" s="41"/>
      <c r="L2113" s="42"/>
    </row>
    <row r="2114">
      <c r="A2114" s="15">
        <v>2113.0</v>
      </c>
      <c r="B2114" s="39">
        <v>45957.0</v>
      </c>
      <c r="C2114" s="40" t="s">
        <v>3580</v>
      </c>
      <c r="D2114" s="41"/>
      <c r="E2114" s="41" t="s">
        <v>401</v>
      </c>
      <c r="F2114" s="18" t="s">
        <v>622</v>
      </c>
      <c r="G2114" s="41" t="s">
        <v>937</v>
      </c>
      <c r="H2114" s="41" t="s">
        <v>1542</v>
      </c>
      <c r="I2114" s="41" t="s">
        <v>939</v>
      </c>
      <c r="J2114" s="41" t="s">
        <v>188</v>
      </c>
      <c r="K2114" s="41"/>
      <c r="L2114" s="42"/>
    </row>
    <row r="2115">
      <c r="A2115" s="15">
        <v>2114.0</v>
      </c>
      <c r="B2115" s="39">
        <v>45957.0</v>
      </c>
      <c r="C2115" s="40" t="s">
        <v>3581</v>
      </c>
      <c r="D2115" s="41"/>
      <c r="E2115" s="41" t="s">
        <v>401</v>
      </c>
      <c r="F2115" s="18" t="s">
        <v>622</v>
      </c>
      <c r="G2115" s="41" t="s">
        <v>937</v>
      </c>
      <c r="H2115" s="41" t="s">
        <v>1542</v>
      </c>
      <c r="I2115" s="41" t="s">
        <v>939</v>
      </c>
      <c r="J2115" s="41" t="s">
        <v>188</v>
      </c>
      <c r="K2115" s="41"/>
      <c r="L2115" s="42"/>
    </row>
    <row r="2116">
      <c r="A2116" s="15">
        <v>2115.0</v>
      </c>
      <c r="B2116" s="39">
        <v>45957.0</v>
      </c>
      <c r="C2116" s="40" t="s">
        <v>3582</v>
      </c>
      <c r="D2116" s="41"/>
      <c r="E2116" s="41" t="s">
        <v>401</v>
      </c>
      <c r="F2116" s="18" t="s">
        <v>622</v>
      </c>
      <c r="G2116" s="41" t="s">
        <v>937</v>
      </c>
      <c r="H2116" s="41" t="s">
        <v>1542</v>
      </c>
      <c r="I2116" s="41" t="s">
        <v>939</v>
      </c>
      <c r="J2116" s="41" t="s">
        <v>188</v>
      </c>
      <c r="K2116" s="41"/>
      <c r="L2116" s="42"/>
    </row>
    <row r="2117">
      <c r="A2117" s="15">
        <v>2116.0</v>
      </c>
      <c r="B2117" s="39">
        <v>45957.0</v>
      </c>
      <c r="C2117" s="40" t="s">
        <v>3583</v>
      </c>
      <c r="D2117" s="41"/>
      <c r="E2117" s="41" t="s">
        <v>401</v>
      </c>
      <c r="F2117" s="18" t="s">
        <v>622</v>
      </c>
      <c r="G2117" s="41" t="s">
        <v>937</v>
      </c>
      <c r="H2117" s="41" t="s">
        <v>1542</v>
      </c>
      <c r="I2117" s="41" t="s">
        <v>939</v>
      </c>
      <c r="J2117" s="41" t="s">
        <v>188</v>
      </c>
      <c r="K2117" s="41"/>
      <c r="L2117" s="42"/>
    </row>
    <row r="2118">
      <c r="A2118" s="15">
        <v>2117.0</v>
      </c>
      <c r="B2118" s="39">
        <v>45957.0</v>
      </c>
      <c r="C2118" s="40" t="s">
        <v>3584</v>
      </c>
      <c r="D2118" s="41"/>
      <c r="E2118" s="41" t="s">
        <v>401</v>
      </c>
      <c r="F2118" s="18" t="s">
        <v>622</v>
      </c>
      <c r="G2118" s="41" t="s">
        <v>937</v>
      </c>
      <c r="H2118" s="41" t="s">
        <v>1542</v>
      </c>
      <c r="I2118" s="41" t="s">
        <v>939</v>
      </c>
      <c r="J2118" s="41" t="s">
        <v>188</v>
      </c>
      <c r="K2118" s="41"/>
      <c r="L2118" s="42"/>
    </row>
    <row r="2119">
      <c r="A2119" s="15">
        <v>2118.0</v>
      </c>
      <c r="B2119" s="39">
        <v>45958.0</v>
      </c>
      <c r="C2119" s="40" t="s">
        <v>3585</v>
      </c>
      <c r="D2119" s="41"/>
      <c r="E2119" s="41" t="s">
        <v>197</v>
      </c>
      <c r="F2119" s="18" t="s">
        <v>686</v>
      </c>
      <c r="G2119" s="41" t="s">
        <v>3586</v>
      </c>
      <c r="H2119" s="41"/>
      <c r="I2119" s="41" t="s">
        <v>535</v>
      </c>
      <c r="J2119" s="41" t="s">
        <v>188</v>
      </c>
      <c r="K2119" s="41"/>
      <c r="L2119" s="42"/>
    </row>
    <row r="2120">
      <c r="A2120" s="15">
        <v>2119.0</v>
      </c>
      <c r="B2120" s="39">
        <v>45958.0</v>
      </c>
      <c r="C2120" s="40" t="s">
        <v>3587</v>
      </c>
      <c r="D2120" s="41"/>
      <c r="E2120" s="41" t="s">
        <v>197</v>
      </c>
      <c r="F2120" s="18" t="s">
        <v>622</v>
      </c>
      <c r="G2120" s="41" t="s">
        <v>3564</v>
      </c>
      <c r="H2120" s="41"/>
      <c r="I2120" s="41" t="s">
        <v>535</v>
      </c>
      <c r="J2120" s="41" t="s">
        <v>188</v>
      </c>
      <c r="K2120" s="41"/>
      <c r="L2120" s="42"/>
    </row>
    <row r="2121">
      <c r="A2121" s="15">
        <v>2120.0</v>
      </c>
      <c r="B2121" s="39">
        <v>45958.0</v>
      </c>
      <c r="C2121" s="40" t="s">
        <v>3588</v>
      </c>
      <c r="D2121" s="41"/>
      <c r="E2121" s="41" t="s">
        <v>197</v>
      </c>
      <c r="F2121" s="18" t="s">
        <v>622</v>
      </c>
      <c r="G2121" s="41" t="s">
        <v>3564</v>
      </c>
      <c r="H2121" s="41"/>
      <c r="I2121" s="41" t="s">
        <v>535</v>
      </c>
      <c r="J2121" s="41" t="s">
        <v>188</v>
      </c>
      <c r="K2121" s="41"/>
      <c r="L2121" s="42"/>
    </row>
    <row r="2122">
      <c r="A2122" s="15">
        <v>2121.0</v>
      </c>
      <c r="B2122" s="39">
        <v>45958.0</v>
      </c>
      <c r="C2122" s="40" t="s">
        <v>3589</v>
      </c>
      <c r="D2122" s="41"/>
      <c r="E2122" s="41" t="s">
        <v>197</v>
      </c>
      <c r="F2122" s="18" t="s">
        <v>622</v>
      </c>
      <c r="G2122" s="41" t="s">
        <v>3590</v>
      </c>
      <c r="H2122" s="41" t="s">
        <v>1945</v>
      </c>
      <c r="I2122" s="41" t="s">
        <v>535</v>
      </c>
      <c r="J2122" s="41" t="s">
        <v>188</v>
      </c>
      <c r="K2122" s="41"/>
      <c r="L2122" s="42"/>
    </row>
    <row r="2123">
      <c r="A2123" s="15">
        <v>2122.0</v>
      </c>
      <c r="B2123" s="39">
        <v>45958.0</v>
      </c>
      <c r="C2123" s="40" t="s">
        <v>3591</v>
      </c>
      <c r="D2123" s="41"/>
      <c r="E2123" s="41" t="s">
        <v>197</v>
      </c>
      <c r="F2123" s="18" t="s">
        <v>622</v>
      </c>
      <c r="G2123" s="41" t="s">
        <v>3592</v>
      </c>
      <c r="H2123" s="41"/>
      <c r="I2123" s="41" t="s">
        <v>535</v>
      </c>
      <c r="J2123" s="41" t="s">
        <v>188</v>
      </c>
      <c r="K2123" s="41"/>
      <c r="L2123" s="42"/>
    </row>
    <row r="2124">
      <c r="A2124" s="15">
        <v>2123.0</v>
      </c>
      <c r="B2124" s="39">
        <v>45958.0</v>
      </c>
      <c r="C2124" s="40" t="s">
        <v>3593</v>
      </c>
      <c r="D2124" s="41"/>
      <c r="E2124" s="41" t="s">
        <v>197</v>
      </c>
      <c r="F2124" s="18" t="s">
        <v>622</v>
      </c>
      <c r="G2124" s="41" t="s">
        <v>3594</v>
      </c>
      <c r="H2124" s="41"/>
      <c r="I2124" s="41" t="s">
        <v>535</v>
      </c>
      <c r="J2124" s="41" t="s">
        <v>188</v>
      </c>
      <c r="K2124" s="41"/>
      <c r="L2124" s="42"/>
    </row>
    <row r="2125">
      <c r="A2125" s="15">
        <v>2124.0</v>
      </c>
      <c r="B2125" s="39">
        <v>45958.0</v>
      </c>
      <c r="C2125" s="40" t="s">
        <v>3595</v>
      </c>
      <c r="D2125" s="41"/>
      <c r="E2125" s="41" t="s">
        <v>197</v>
      </c>
      <c r="F2125" s="18" t="s">
        <v>622</v>
      </c>
      <c r="G2125" s="41" t="s">
        <v>3596</v>
      </c>
      <c r="H2125" s="41"/>
      <c r="I2125" s="41" t="s">
        <v>535</v>
      </c>
      <c r="J2125" s="41" t="s">
        <v>188</v>
      </c>
      <c r="K2125" s="41"/>
      <c r="L2125" s="42"/>
    </row>
    <row r="2126">
      <c r="A2126" s="15">
        <v>2125.0</v>
      </c>
      <c r="B2126" s="39">
        <v>45958.0</v>
      </c>
      <c r="C2126" s="40" t="s">
        <v>3597</v>
      </c>
      <c r="D2126" s="41"/>
      <c r="E2126" s="41" t="s">
        <v>197</v>
      </c>
      <c r="F2126" s="18" t="s">
        <v>622</v>
      </c>
      <c r="G2126" s="41" t="s">
        <v>3598</v>
      </c>
      <c r="H2126" s="41"/>
      <c r="I2126" s="41" t="s">
        <v>535</v>
      </c>
      <c r="J2126" s="41" t="s">
        <v>188</v>
      </c>
      <c r="K2126" s="41"/>
      <c r="L2126" s="42"/>
    </row>
    <row r="2127">
      <c r="A2127" s="15">
        <v>2126.0</v>
      </c>
      <c r="B2127" s="39">
        <v>45958.0</v>
      </c>
      <c r="C2127" s="53" t="s">
        <v>3599</v>
      </c>
      <c r="D2127" s="41"/>
      <c r="E2127" s="52" t="s">
        <v>184</v>
      </c>
      <c r="F2127" s="18" t="s">
        <v>622</v>
      </c>
      <c r="G2127" s="52" t="s">
        <v>3600</v>
      </c>
      <c r="H2127" s="52" t="s">
        <v>3601</v>
      </c>
      <c r="I2127" s="52" t="s">
        <v>3531</v>
      </c>
      <c r="J2127" s="41" t="s">
        <v>188</v>
      </c>
      <c r="K2127" s="41"/>
      <c r="L2127" s="42"/>
    </row>
    <row r="2128">
      <c r="A2128" s="15">
        <v>2127.0</v>
      </c>
      <c r="B2128" s="39">
        <v>45958.0</v>
      </c>
      <c r="C2128" s="53" t="s">
        <v>3602</v>
      </c>
      <c r="D2128" s="41"/>
      <c r="E2128" s="52" t="s">
        <v>184</v>
      </c>
      <c r="F2128" s="18" t="s">
        <v>622</v>
      </c>
      <c r="G2128" s="52" t="s">
        <v>3600</v>
      </c>
      <c r="H2128" s="41"/>
      <c r="I2128" s="41"/>
      <c r="J2128" s="41" t="s">
        <v>188</v>
      </c>
      <c r="K2128" s="41"/>
      <c r="L2128" s="42"/>
    </row>
    <row r="2129">
      <c r="A2129" s="15">
        <v>2128.0</v>
      </c>
      <c r="B2129" s="39">
        <v>45958.0</v>
      </c>
      <c r="C2129" s="53" t="s">
        <v>3603</v>
      </c>
      <c r="D2129" s="41"/>
      <c r="E2129" s="52" t="s">
        <v>184</v>
      </c>
      <c r="F2129" s="18" t="s">
        <v>622</v>
      </c>
      <c r="G2129" s="52" t="s">
        <v>822</v>
      </c>
      <c r="H2129" s="41"/>
      <c r="I2129" s="41"/>
      <c r="J2129" s="41" t="s">
        <v>188</v>
      </c>
      <c r="K2129" s="41"/>
      <c r="L2129" s="42"/>
    </row>
    <row r="2130">
      <c r="A2130" s="15">
        <v>2129.0</v>
      </c>
      <c r="B2130" s="39">
        <v>45958.0</v>
      </c>
      <c r="C2130" s="53" t="s">
        <v>3604</v>
      </c>
      <c r="D2130" s="41"/>
      <c r="E2130" s="52" t="s">
        <v>184</v>
      </c>
      <c r="F2130" s="18" t="s">
        <v>622</v>
      </c>
      <c r="G2130" s="52" t="s">
        <v>3029</v>
      </c>
      <c r="H2130" s="41"/>
      <c r="I2130" s="41"/>
      <c r="J2130" s="41" t="s">
        <v>188</v>
      </c>
      <c r="K2130" s="41"/>
      <c r="L2130" s="42"/>
    </row>
    <row r="2131">
      <c r="A2131" s="15">
        <v>2130.0</v>
      </c>
      <c r="B2131" s="39">
        <v>45958.0</v>
      </c>
      <c r="C2131" s="53" t="s">
        <v>3605</v>
      </c>
      <c r="D2131" s="41"/>
      <c r="E2131" s="52" t="s">
        <v>184</v>
      </c>
      <c r="F2131" s="18" t="s">
        <v>702</v>
      </c>
      <c r="G2131" s="52" t="s">
        <v>3600</v>
      </c>
      <c r="H2131" s="41"/>
      <c r="I2131" s="41"/>
      <c r="J2131" s="41" t="s">
        <v>188</v>
      </c>
      <c r="K2131" s="41"/>
      <c r="L2131" s="42"/>
    </row>
    <row r="2132">
      <c r="A2132" s="15">
        <v>2131.0</v>
      </c>
      <c r="B2132" s="39">
        <v>45958.0</v>
      </c>
      <c r="C2132" s="53" t="s">
        <v>3606</v>
      </c>
      <c r="D2132" s="41"/>
      <c r="E2132" s="52" t="s">
        <v>184</v>
      </c>
      <c r="F2132" s="18" t="s">
        <v>702</v>
      </c>
      <c r="G2132" s="52" t="s">
        <v>3600</v>
      </c>
      <c r="H2132" s="41"/>
      <c r="I2132" s="41"/>
      <c r="J2132" s="41" t="s">
        <v>188</v>
      </c>
      <c r="K2132" s="41"/>
      <c r="L2132" s="42"/>
    </row>
    <row r="2133">
      <c r="A2133" s="15">
        <v>2132.0</v>
      </c>
      <c r="B2133" s="39">
        <v>45958.0</v>
      </c>
      <c r="C2133" s="53" t="s">
        <v>3607</v>
      </c>
      <c r="D2133" s="41"/>
      <c r="E2133" s="52" t="s">
        <v>184</v>
      </c>
      <c r="F2133" s="18" t="s">
        <v>702</v>
      </c>
      <c r="G2133" s="52" t="s">
        <v>3029</v>
      </c>
      <c r="H2133" s="41"/>
      <c r="I2133" s="41"/>
      <c r="J2133" s="41" t="s">
        <v>188</v>
      </c>
      <c r="K2133" s="41"/>
      <c r="L2133" s="42"/>
    </row>
    <row r="2134">
      <c r="A2134" s="15">
        <v>2133.0</v>
      </c>
      <c r="B2134" s="39">
        <v>45958.0</v>
      </c>
      <c r="C2134" s="53" t="s">
        <v>3608</v>
      </c>
      <c r="D2134" s="41"/>
      <c r="E2134" s="52" t="s">
        <v>184</v>
      </c>
      <c r="F2134" s="18" t="s">
        <v>702</v>
      </c>
      <c r="G2134" s="52" t="s">
        <v>3029</v>
      </c>
      <c r="H2134" s="41"/>
      <c r="I2134" s="41"/>
      <c r="J2134" s="41" t="s">
        <v>188</v>
      </c>
      <c r="K2134" s="41"/>
      <c r="L2134" s="42"/>
    </row>
    <row r="2135">
      <c r="A2135" s="15">
        <v>2134.0</v>
      </c>
      <c r="B2135" s="39">
        <v>45959.0</v>
      </c>
      <c r="C2135" s="40" t="s">
        <v>3609</v>
      </c>
      <c r="D2135" s="41"/>
      <c r="E2135" s="41" t="s">
        <v>197</v>
      </c>
      <c r="F2135" s="18" t="s">
        <v>405</v>
      </c>
      <c r="G2135" s="41" t="s">
        <v>3610</v>
      </c>
      <c r="H2135" s="52" t="s">
        <v>1782</v>
      </c>
      <c r="I2135" s="52" t="s">
        <v>535</v>
      </c>
      <c r="J2135" s="41" t="s">
        <v>188</v>
      </c>
      <c r="K2135" s="41"/>
      <c r="L2135" s="42"/>
    </row>
    <row r="2136">
      <c r="A2136" s="15">
        <v>2135.0</v>
      </c>
      <c r="B2136" s="39">
        <v>45959.0</v>
      </c>
      <c r="C2136" s="40" t="s">
        <v>3611</v>
      </c>
      <c r="D2136" s="41"/>
      <c r="E2136" s="41" t="s">
        <v>3612</v>
      </c>
      <c r="F2136" s="18" t="s">
        <v>405</v>
      </c>
      <c r="G2136" s="41" t="s">
        <v>3613</v>
      </c>
      <c r="H2136" s="41"/>
      <c r="I2136" s="41"/>
      <c r="J2136" s="41" t="s">
        <v>188</v>
      </c>
      <c r="K2136" s="41"/>
      <c r="L2136" s="42"/>
    </row>
    <row r="2137">
      <c r="A2137" s="15">
        <v>2136.0</v>
      </c>
      <c r="B2137" s="39">
        <v>45959.0</v>
      </c>
      <c r="C2137" s="40" t="s">
        <v>3614</v>
      </c>
      <c r="D2137" s="41"/>
      <c r="E2137" s="41" t="s">
        <v>197</v>
      </c>
      <c r="F2137" s="18" t="s">
        <v>405</v>
      </c>
      <c r="G2137" s="41" t="s">
        <v>3615</v>
      </c>
      <c r="H2137" s="41"/>
      <c r="I2137" s="41"/>
      <c r="J2137" s="41" t="s">
        <v>188</v>
      </c>
      <c r="K2137" s="41"/>
      <c r="L2137" s="42"/>
    </row>
    <row r="2138">
      <c r="A2138" s="15">
        <v>2137.0</v>
      </c>
      <c r="B2138" s="39">
        <v>45959.0</v>
      </c>
      <c r="C2138" s="40" t="s">
        <v>3616</v>
      </c>
      <c r="D2138" s="41"/>
      <c r="E2138" s="41" t="s">
        <v>197</v>
      </c>
      <c r="F2138" s="18" t="s">
        <v>622</v>
      </c>
      <c r="G2138" s="41" t="s">
        <v>3617</v>
      </c>
      <c r="H2138" s="41"/>
      <c r="I2138" s="41"/>
      <c r="J2138" s="41" t="s">
        <v>188</v>
      </c>
      <c r="K2138" s="41"/>
      <c r="L2138" s="42"/>
    </row>
    <row r="2139">
      <c r="A2139" s="15">
        <v>2138.0</v>
      </c>
      <c r="B2139" s="39">
        <v>45959.0</v>
      </c>
      <c r="C2139" s="40" t="s">
        <v>3618</v>
      </c>
      <c r="D2139" s="41"/>
      <c r="E2139" s="41" t="s">
        <v>372</v>
      </c>
      <c r="F2139" s="18" t="s">
        <v>622</v>
      </c>
      <c r="G2139" s="41" t="s">
        <v>3619</v>
      </c>
      <c r="H2139" s="41"/>
      <c r="I2139" s="41"/>
      <c r="J2139" s="41" t="s">
        <v>188</v>
      </c>
      <c r="K2139" s="41"/>
      <c r="L2139" s="42"/>
    </row>
    <row r="2140">
      <c r="A2140" s="15">
        <v>2139.0</v>
      </c>
      <c r="B2140" s="39">
        <v>45959.0</v>
      </c>
      <c r="C2140" s="40" t="s">
        <v>3620</v>
      </c>
      <c r="D2140" s="41"/>
      <c r="E2140" s="41" t="s">
        <v>197</v>
      </c>
      <c r="F2140" s="18" t="s">
        <v>405</v>
      </c>
      <c r="G2140" s="41" t="s">
        <v>3621</v>
      </c>
      <c r="H2140" s="41"/>
      <c r="I2140" s="41"/>
      <c r="J2140" s="41" t="s">
        <v>188</v>
      </c>
      <c r="K2140" s="41"/>
      <c r="L2140" s="42"/>
    </row>
    <row r="2141">
      <c r="A2141" s="15">
        <v>2140.0</v>
      </c>
      <c r="B2141" s="39">
        <v>45959.0</v>
      </c>
      <c r="C2141" s="40" t="s">
        <v>3622</v>
      </c>
      <c r="D2141" s="41"/>
      <c r="E2141" s="41" t="s">
        <v>197</v>
      </c>
      <c r="F2141" s="18" t="s">
        <v>405</v>
      </c>
      <c r="G2141" s="41" t="s">
        <v>3623</v>
      </c>
      <c r="H2141" s="41"/>
      <c r="I2141" s="41"/>
      <c r="J2141" s="41" t="s">
        <v>188</v>
      </c>
      <c r="K2141" s="41"/>
      <c r="L2141" s="42"/>
    </row>
    <row r="2142">
      <c r="A2142" s="15">
        <v>2141.0</v>
      </c>
      <c r="B2142" s="39">
        <v>45959.0</v>
      </c>
      <c r="C2142" s="40" t="s">
        <v>3624</v>
      </c>
      <c r="D2142" s="41"/>
      <c r="E2142" s="41" t="s">
        <v>197</v>
      </c>
      <c r="F2142" s="18" t="s">
        <v>405</v>
      </c>
      <c r="G2142" s="41" t="s">
        <v>3625</v>
      </c>
      <c r="H2142" s="41"/>
      <c r="I2142" s="41"/>
      <c r="J2142" s="41" t="s">
        <v>188</v>
      </c>
      <c r="K2142" s="41"/>
      <c r="L2142" s="42"/>
    </row>
    <row r="2143">
      <c r="A2143" s="15">
        <v>2142.0</v>
      </c>
      <c r="B2143" s="39">
        <v>45959.0</v>
      </c>
      <c r="C2143" s="40" t="s">
        <v>3626</v>
      </c>
      <c r="D2143" s="41"/>
      <c r="E2143" s="41" t="s">
        <v>197</v>
      </c>
      <c r="F2143" s="18" t="s">
        <v>405</v>
      </c>
      <c r="G2143" s="41" t="s">
        <v>3627</v>
      </c>
      <c r="H2143" s="41"/>
      <c r="I2143" s="41"/>
      <c r="J2143" s="41" t="s">
        <v>188</v>
      </c>
      <c r="K2143" s="41"/>
      <c r="L2143" s="42"/>
    </row>
    <row r="2144">
      <c r="A2144" s="15">
        <v>2143.0</v>
      </c>
      <c r="B2144" s="39">
        <v>45959.0</v>
      </c>
      <c r="C2144" s="40" t="s">
        <v>3628</v>
      </c>
      <c r="D2144" s="41"/>
      <c r="E2144" s="41" t="s">
        <v>1146</v>
      </c>
      <c r="F2144" s="18" t="s">
        <v>622</v>
      </c>
      <c r="G2144" s="41" t="s">
        <v>3629</v>
      </c>
      <c r="H2144" s="41"/>
      <c r="I2144" s="41"/>
      <c r="J2144" s="41" t="s">
        <v>188</v>
      </c>
      <c r="K2144" s="41"/>
      <c r="L2144" s="42"/>
    </row>
    <row r="2145">
      <c r="A2145" s="15">
        <v>2144.0</v>
      </c>
      <c r="B2145" s="39">
        <v>45959.0</v>
      </c>
      <c r="C2145" s="40" t="s">
        <v>3630</v>
      </c>
      <c r="D2145" s="41"/>
      <c r="E2145" s="41" t="s">
        <v>401</v>
      </c>
      <c r="F2145" s="18" t="s">
        <v>622</v>
      </c>
      <c r="G2145" s="41" t="s">
        <v>937</v>
      </c>
      <c r="H2145" s="41" t="s">
        <v>1542</v>
      </c>
      <c r="I2145" s="41" t="s">
        <v>939</v>
      </c>
      <c r="J2145" s="41" t="s">
        <v>188</v>
      </c>
      <c r="K2145" s="41"/>
      <c r="L2145" s="42"/>
    </row>
    <row r="2146">
      <c r="A2146" s="15">
        <v>2145.0</v>
      </c>
      <c r="B2146" s="39">
        <v>45959.0</v>
      </c>
      <c r="C2146" s="40" t="s">
        <v>3631</v>
      </c>
      <c r="D2146" s="41"/>
      <c r="E2146" s="41" t="s">
        <v>401</v>
      </c>
      <c r="F2146" s="18" t="s">
        <v>622</v>
      </c>
      <c r="G2146" s="41" t="s">
        <v>937</v>
      </c>
      <c r="H2146" s="41" t="s">
        <v>1542</v>
      </c>
      <c r="I2146" s="41" t="s">
        <v>939</v>
      </c>
      <c r="J2146" s="41" t="s">
        <v>188</v>
      </c>
      <c r="K2146" s="41"/>
      <c r="L2146" s="42"/>
    </row>
    <row r="2147">
      <c r="A2147" s="15">
        <v>2146.0</v>
      </c>
      <c r="B2147" s="39">
        <v>45959.0</v>
      </c>
      <c r="C2147" s="40" t="s">
        <v>3632</v>
      </c>
      <c r="D2147" s="41"/>
      <c r="E2147" s="41" t="s">
        <v>401</v>
      </c>
      <c r="F2147" s="18" t="s">
        <v>622</v>
      </c>
      <c r="G2147" s="41" t="s">
        <v>937</v>
      </c>
      <c r="H2147" s="41" t="s">
        <v>1542</v>
      </c>
      <c r="I2147" s="41" t="s">
        <v>939</v>
      </c>
      <c r="J2147" s="41" t="s">
        <v>188</v>
      </c>
      <c r="K2147" s="41"/>
      <c r="L2147" s="42"/>
    </row>
    <row r="2148">
      <c r="A2148" s="15">
        <v>2147.0</v>
      </c>
      <c r="B2148" s="39">
        <v>45959.0</v>
      </c>
      <c r="C2148" s="40" t="s">
        <v>3633</v>
      </c>
      <c r="D2148" s="41"/>
      <c r="E2148" s="41" t="s">
        <v>401</v>
      </c>
      <c r="F2148" s="18" t="s">
        <v>622</v>
      </c>
      <c r="G2148" s="41" t="s">
        <v>937</v>
      </c>
      <c r="H2148" s="41" t="s">
        <v>1542</v>
      </c>
      <c r="I2148" s="41" t="s">
        <v>939</v>
      </c>
      <c r="J2148" s="41" t="s">
        <v>188</v>
      </c>
      <c r="K2148" s="41"/>
      <c r="L2148" s="42"/>
    </row>
    <row r="2149">
      <c r="A2149" s="15">
        <v>2148.0</v>
      </c>
      <c r="B2149" s="39">
        <v>45959.0</v>
      </c>
      <c r="C2149" s="40" t="s">
        <v>3634</v>
      </c>
      <c r="D2149" s="41"/>
      <c r="E2149" s="41" t="s">
        <v>401</v>
      </c>
      <c r="F2149" s="18" t="s">
        <v>622</v>
      </c>
      <c r="G2149" s="41" t="s">
        <v>937</v>
      </c>
      <c r="H2149" s="41" t="s">
        <v>1542</v>
      </c>
      <c r="I2149" s="41" t="s">
        <v>939</v>
      </c>
      <c r="J2149" s="41" t="s">
        <v>188</v>
      </c>
      <c r="K2149" s="41"/>
      <c r="L2149" s="42"/>
    </row>
    <row r="2150">
      <c r="A2150" s="15">
        <v>2149.0</v>
      </c>
      <c r="B2150" s="39">
        <v>45959.0</v>
      </c>
      <c r="C2150" s="40" t="s">
        <v>3635</v>
      </c>
      <c r="D2150" s="41"/>
      <c r="E2150" s="41" t="s">
        <v>401</v>
      </c>
      <c r="F2150" s="18" t="s">
        <v>622</v>
      </c>
      <c r="G2150" s="41" t="s">
        <v>937</v>
      </c>
      <c r="H2150" s="41" t="s">
        <v>1542</v>
      </c>
      <c r="I2150" s="41" t="s">
        <v>939</v>
      </c>
      <c r="J2150" s="41" t="s">
        <v>188</v>
      </c>
      <c r="K2150" s="41"/>
      <c r="L2150" s="42"/>
    </row>
    <row r="2151">
      <c r="A2151" s="15">
        <v>2150.0</v>
      </c>
      <c r="B2151" s="39">
        <v>45959.0</v>
      </c>
      <c r="C2151" s="40" t="s">
        <v>3636</v>
      </c>
      <c r="D2151" s="41"/>
      <c r="E2151" s="41" t="s">
        <v>401</v>
      </c>
      <c r="F2151" s="18" t="s">
        <v>622</v>
      </c>
      <c r="G2151" s="41" t="s">
        <v>937</v>
      </c>
      <c r="H2151" s="41" t="s">
        <v>1542</v>
      </c>
      <c r="I2151" s="41" t="s">
        <v>939</v>
      </c>
      <c r="J2151" s="41" t="s">
        <v>188</v>
      </c>
      <c r="K2151" s="41"/>
      <c r="L2151" s="42"/>
    </row>
    <row r="2152">
      <c r="A2152" s="15">
        <v>2151.0</v>
      </c>
      <c r="B2152" s="39">
        <v>45959.0</v>
      </c>
      <c r="C2152" s="40" t="s">
        <v>3637</v>
      </c>
      <c r="D2152" s="41"/>
      <c r="E2152" s="41" t="s">
        <v>401</v>
      </c>
      <c r="F2152" s="18" t="s">
        <v>622</v>
      </c>
      <c r="G2152" s="41" t="s">
        <v>937</v>
      </c>
      <c r="H2152" s="41" t="s">
        <v>1542</v>
      </c>
      <c r="I2152" s="41" t="s">
        <v>939</v>
      </c>
      <c r="J2152" s="41" t="s">
        <v>188</v>
      </c>
      <c r="K2152" s="41"/>
      <c r="L2152" s="42"/>
    </row>
    <row r="2153">
      <c r="A2153" s="15">
        <v>2152.0</v>
      </c>
      <c r="B2153" s="39">
        <v>45959.0</v>
      </c>
      <c r="C2153" s="53" t="s">
        <v>3638</v>
      </c>
      <c r="D2153" s="41"/>
      <c r="E2153" s="52" t="s">
        <v>184</v>
      </c>
      <c r="F2153" s="18" t="s">
        <v>702</v>
      </c>
      <c r="G2153" s="52" t="s">
        <v>2980</v>
      </c>
      <c r="H2153" s="52" t="s">
        <v>3559</v>
      </c>
      <c r="I2153" s="52" t="s">
        <v>3531</v>
      </c>
      <c r="J2153" s="41" t="s">
        <v>188</v>
      </c>
      <c r="K2153" s="41"/>
      <c r="L2153" s="42"/>
    </row>
    <row r="2154">
      <c r="A2154" s="15">
        <v>2153.0</v>
      </c>
      <c r="B2154" s="39">
        <v>45959.0</v>
      </c>
      <c r="C2154" s="53" t="s">
        <v>3639</v>
      </c>
      <c r="D2154" s="41"/>
      <c r="E2154" s="52" t="s">
        <v>184</v>
      </c>
      <c r="F2154" s="18" t="s">
        <v>622</v>
      </c>
      <c r="G2154" s="52" t="s">
        <v>3640</v>
      </c>
      <c r="H2154" s="41"/>
      <c r="I2154" s="41"/>
      <c r="J2154" s="41" t="s">
        <v>188</v>
      </c>
      <c r="K2154" s="41"/>
      <c r="L2154" s="42"/>
    </row>
    <row r="2155">
      <c r="A2155" s="15">
        <v>2154.0</v>
      </c>
      <c r="B2155" s="39">
        <v>45959.0</v>
      </c>
      <c r="C2155" s="53" t="s">
        <v>3641</v>
      </c>
      <c r="D2155" s="41"/>
      <c r="E2155" s="52" t="s">
        <v>184</v>
      </c>
      <c r="F2155" s="18" t="s">
        <v>622</v>
      </c>
      <c r="G2155" s="52" t="s">
        <v>822</v>
      </c>
      <c r="H2155" s="41"/>
      <c r="I2155" s="41"/>
      <c r="J2155" s="41" t="s">
        <v>188</v>
      </c>
      <c r="K2155" s="41"/>
      <c r="L2155" s="42"/>
    </row>
    <row r="2156">
      <c r="A2156" s="15">
        <v>2155.0</v>
      </c>
      <c r="B2156" s="39">
        <v>45960.0</v>
      </c>
      <c r="C2156" s="40" t="s">
        <v>3642</v>
      </c>
      <c r="D2156" s="41"/>
      <c r="E2156" s="41" t="s">
        <v>197</v>
      </c>
      <c r="F2156" s="18" t="s">
        <v>405</v>
      </c>
      <c r="G2156" s="41" t="s">
        <v>3643</v>
      </c>
      <c r="H2156" s="41" t="s">
        <v>1782</v>
      </c>
      <c r="I2156" s="41" t="s">
        <v>535</v>
      </c>
      <c r="J2156" s="41" t="s">
        <v>188</v>
      </c>
      <c r="K2156" s="41" t="s">
        <v>3644</v>
      </c>
      <c r="L2156" s="42"/>
    </row>
    <row r="2157">
      <c r="A2157" s="15">
        <v>2156.0</v>
      </c>
      <c r="B2157" s="39">
        <v>45960.0</v>
      </c>
      <c r="C2157" s="40" t="s">
        <v>3645</v>
      </c>
      <c r="D2157" s="41"/>
      <c r="E2157" s="41" t="s">
        <v>197</v>
      </c>
      <c r="F2157" s="18" t="s">
        <v>405</v>
      </c>
      <c r="G2157" s="41" t="s">
        <v>3646</v>
      </c>
      <c r="H2157" s="41" t="s">
        <v>1782</v>
      </c>
      <c r="I2157" s="41" t="s">
        <v>535</v>
      </c>
      <c r="J2157" s="41" t="s">
        <v>188</v>
      </c>
      <c r="K2157" s="41" t="s">
        <v>3644</v>
      </c>
      <c r="L2157" s="42"/>
    </row>
    <row r="2158">
      <c r="A2158" s="15">
        <v>2157.0</v>
      </c>
      <c r="B2158" s="39">
        <v>45960.0</v>
      </c>
      <c r="C2158" s="40" t="s">
        <v>3647</v>
      </c>
      <c r="D2158" s="41"/>
      <c r="E2158" s="41" t="s">
        <v>197</v>
      </c>
      <c r="F2158" s="18" t="s">
        <v>405</v>
      </c>
      <c r="G2158" s="41" t="s">
        <v>3648</v>
      </c>
      <c r="H2158" s="41" t="s">
        <v>1782</v>
      </c>
      <c r="I2158" s="41" t="s">
        <v>535</v>
      </c>
      <c r="J2158" s="41" t="s">
        <v>188</v>
      </c>
      <c r="K2158" s="41" t="s">
        <v>3644</v>
      </c>
      <c r="L2158" s="42"/>
    </row>
    <row r="2159">
      <c r="A2159" s="15">
        <v>2158.0</v>
      </c>
      <c r="B2159" s="39">
        <v>45960.0</v>
      </c>
      <c r="C2159" s="40" t="s">
        <v>3649</v>
      </c>
      <c r="D2159" s="41"/>
      <c r="E2159" s="41" t="s">
        <v>197</v>
      </c>
      <c r="F2159" s="18" t="s">
        <v>405</v>
      </c>
      <c r="G2159" s="41" t="s">
        <v>3650</v>
      </c>
      <c r="H2159" s="41" t="s">
        <v>1782</v>
      </c>
      <c r="I2159" s="41" t="s">
        <v>535</v>
      </c>
      <c r="J2159" s="41" t="s">
        <v>188</v>
      </c>
      <c r="K2159" s="41" t="s">
        <v>3644</v>
      </c>
      <c r="L2159" s="42"/>
    </row>
    <row r="2160">
      <c r="A2160" s="15">
        <v>2159.0</v>
      </c>
      <c r="B2160" s="39">
        <v>45960.0</v>
      </c>
      <c r="C2160" s="40" t="s">
        <v>3651</v>
      </c>
      <c r="D2160" s="41"/>
      <c r="E2160" s="41" t="s">
        <v>197</v>
      </c>
      <c r="F2160" s="18" t="s">
        <v>405</v>
      </c>
      <c r="G2160" s="41" t="s">
        <v>3650</v>
      </c>
      <c r="H2160" s="41" t="s">
        <v>1782</v>
      </c>
      <c r="I2160" s="41" t="s">
        <v>535</v>
      </c>
      <c r="J2160" s="41" t="s">
        <v>188</v>
      </c>
      <c r="K2160" s="41" t="s">
        <v>3644</v>
      </c>
      <c r="L2160" s="42"/>
    </row>
    <row r="2161">
      <c r="A2161" s="15">
        <v>2160.0</v>
      </c>
      <c r="B2161" s="39">
        <v>45960.0</v>
      </c>
      <c r="C2161" s="40" t="s">
        <v>3652</v>
      </c>
      <c r="D2161" s="41"/>
      <c r="E2161" s="41" t="s">
        <v>197</v>
      </c>
      <c r="F2161" s="18" t="s">
        <v>405</v>
      </c>
      <c r="G2161" s="41" t="s">
        <v>3653</v>
      </c>
      <c r="H2161" s="41" t="s">
        <v>1782</v>
      </c>
      <c r="I2161" s="41" t="s">
        <v>535</v>
      </c>
      <c r="J2161" s="41" t="s">
        <v>188</v>
      </c>
      <c r="K2161" s="41" t="s">
        <v>3644</v>
      </c>
      <c r="L2161" s="42"/>
    </row>
    <row r="2162">
      <c r="A2162" s="15">
        <v>2161.0</v>
      </c>
      <c r="B2162" s="39">
        <v>45960.0</v>
      </c>
      <c r="C2162" s="40" t="s">
        <v>3654</v>
      </c>
      <c r="D2162" s="41"/>
      <c r="E2162" s="41" t="s">
        <v>197</v>
      </c>
      <c r="F2162" s="18" t="s">
        <v>405</v>
      </c>
      <c r="G2162" s="41" t="s">
        <v>3655</v>
      </c>
      <c r="H2162" s="41" t="s">
        <v>1782</v>
      </c>
      <c r="I2162" s="41" t="s">
        <v>535</v>
      </c>
      <c r="J2162" s="41" t="s">
        <v>188</v>
      </c>
      <c r="K2162" s="41" t="s">
        <v>3644</v>
      </c>
      <c r="L2162" s="42"/>
    </row>
    <row r="2163">
      <c r="A2163" s="15">
        <v>2162.0</v>
      </c>
      <c r="B2163" s="39">
        <v>45960.0</v>
      </c>
      <c r="C2163" s="40" t="s">
        <v>3656</v>
      </c>
      <c r="D2163" s="41"/>
      <c r="E2163" s="41" t="s">
        <v>197</v>
      </c>
      <c r="F2163" s="18" t="s">
        <v>405</v>
      </c>
      <c r="G2163" s="41" t="s">
        <v>3657</v>
      </c>
      <c r="H2163" s="41" t="s">
        <v>1782</v>
      </c>
      <c r="I2163" s="41" t="s">
        <v>535</v>
      </c>
      <c r="J2163" s="41" t="s">
        <v>188</v>
      </c>
      <c r="K2163" s="41" t="s">
        <v>3644</v>
      </c>
      <c r="L2163" s="42"/>
    </row>
    <row r="2164">
      <c r="A2164" s="15">
        <v>2163.0</v>
      </c>
      <c r="B2164" s="39">
        <v>45960.0</v>
      </c>
      <c r="C2164" s="40" t="s">
        <v>3658</v>
      </c>
      <c r="D2164" s="41"/>
      <c r="E2164" s="41" t="s">
        <v>197</v>
      </c>
      <c r="F2164" s="18" t="s">
        <v>622</v>
      </c>
      <c r="G2164" s="41" t="s">
        <v>3657</v>
      </c>
      <c r="H2164" s="41" t="s">
        <v>1782</v>
      </c>
      <c r="I2164" s="41" t="s">
        <v>535</v>
      </c>
      <c r="J2164" s="41" t="s">
        <v>188</v>
      </c>
      <c r="K2164" s="41" t="s">
        <v>3644</v>
      </c>
      <c r="L2164" s="42"/>
    </row>
    <row r="2165">
      <c r="A2165" s="15">
        <v>2164.0</v>
      </c>
      <c r="B2165" s="39">
        <v>45960.0</v>
      </c>
      <c r="C2165" s="40" t="s">
        <v>3659</v>
      </c>
      <c r="D2165" s="41"/>
      <c r="E2165" s="41" t="s">
        <v>197</v>
      </c>
      <c r="F2165" s="18" t="s">
        <v>622</v>
      </c>
      <c r="G2165" s="41" t="s">
        <v>3657</v>
      </c>
      <c r="H2165" s="41" t="s">
        <v>1782</v>
      </c>
      <c r="I2165" s="41" t="s">
        <v>535</v>
      </c>
      <c r="J2165" s="41" t="s">
        <v>188</v>
      </c>
      <c r="K2165" s="41" t="s">
        <v>3644</v>
      </c>
      <c r="L2165" s="42"/>
    </row>
    <row r="2166">
      <c r="A2166" s="15">
        <v>2165.0</v>
      </c>
      <c r="B2166" s="39">
        <v>45960.0</v>
      </c>
      <c r="C2166" s="40" t="s">
        <v>3660</v>
      </c>
      <c r="D2166" s="41"/>
      <c r="E2166" s="41" t="s">
        <v>197</v>
      </c>
      <c r="F2166" s="18" t="s">
        <v>622</v>
      </c>
      <c r="G2166" s="41" t="s">
        <v>3661</v>
      </c>
      <c r="H2166" s="41" t="s">
        <v>1782</v>
      </c>
      <c r="I2166" s="41" t="s">
        <v>535</v>
      </c>
      <c r="J2166" s="41" t="s">
        <v>188</v>
      </c>
      <c r="K2166" s="41" t="s">
        <v>3644</v>
      </c>
      <c r="L2166" s="42"/>
    </row>
    <row r="2167">
      <c r="A2167" s="15">
        <v>2166.0</v>
      </c>
      <c r="B2167" s="39">
        <v>45960.0</v>
      </c>
      <c r="C2167" s="40" t="s">
        <v>3662</v>
      </c>
      <c r="D2167" s="41"/>
      <c r="E2167" s="41" t="s">
        <v>1146</v>
      </c>
      <c r="F2167" s="18" t="s">
        <v>622</v>
      </c>
      <c r="G2167" s="41" t="s">
        <v>3663</v>
      </c>
      <c r="H2167" s="41" t="s">
        <v>1782</v>
      </c>
      <c r="I2167" s="41" t="s">
        <v>535</v>
      </c>
      <c r="J2167" s="41" t="s">
        <v>188</v>
      </c>
      <c r="K2167" s="41" t="s">
        <v>3644</v>
      </c>
      <c r="L2167" s="42"/>
    </row>
    <row r="2168">
      <c r="A2168" s="15">
        <v>2167.0</v>
      </c>
      <c r="B2168" s="39">
        <v>45960.0</v>
      </c>
      <c r="C2168" s="40" t="s">
        <v>3664</v>
      </c>
      <c r="D2168" s="41"/>
      <c r="E2168" s="41" t="s">
        <v>401</v>
      </c>
      <c r="F2168" s="18" t="s">
        <v>622</v>
      </c>
      <c r="G2168" s="41" t="s">
        <v>937</v>
      </c>
      <c r="H2168" s="41" t="s">
        <v>1542</v>
      </c>
      <c r="I2168" s="41" t="s">
        <v>939</v>
      </c>
      <c r="J2168" s="41" t="s">
        <v>188</v>
      </c>
      <c r="K2168" s="41"/>
      <c r="L2168" s="42"/>
    </row>
    <row r="2169">
      <c r="A2169" s="15">
        <v>2168.0</v>
      </c>
      <c r="B2169" s="39">
        <v>45960.0</v>
      </c>
      <c r="C2169" s="40" t="s">
        <v>3665</v>
      </c>
      <c r="D2169" s="41"/>
      <c r="E2169" s="41" t="s">
        <v>401</v>
      </c>
      <c r="F2169" s="18" t="s">
        <v>622</v>
      </c>
      <c r="G2169" s="41" t="s">
        <v>937</v>
      </c>
      <c r="H2169" s="41" t="s">
        <v>1542</v>
      </c>
      <c r="I2169" s="41" t="s">
        <v>939</v>
      </c>
      <c r="J2169" s="41" t="s">
        <v>188</v>
      </c>
      <c r="K2169" s="41"/>
      <c r="L2169" s="42"/>
    </row>
    <row r="2170">
      <c r="A2170" s="15">
        <v>2169.0</v>
      </c>
      <c r="B2170" s="39">
        <v>45960.0</v>
      </c>
      <c r="C2170" s="40" t="s">
        <v>3666</v>
      </c>
      <c r="D2170" s="41"/>
      <c r="E2170" s="41" t="s">
        <v>401</v>
      </c>
      <c r="F2170" s="18" t="s">
        <v>622</v>
      </c>
      <c r="G2170" s="41" t="s">
        <v>937</v>
      </c>
      <c r="H2170" s="41" t="s">
        <v>1542</v>
      </c>
      <c r="I2170" s="41" t="s">
        <v>939</v>
      </c>
      <c r="J2170" s="41" t="s">
        <v>188</v>
      </c>
      <c r="K2170" s="41"/>
      <c r="L2170" s="42"/>
    </row>
    <row r="2171">
      <c r="A2171" s="15">
        <v>2170.0</v>
      </c>
      <c r="B2171" s="39">
        <v>45960.0</v>
      </c>
      <c r="C2171" s="40" t="s">
        <v>3667</v>
      </c>
      <c r="D2171" s="41"/>
      <c r="E2171" s="41" t="s">
        <v>401</v>
      </c>
      <c r="F2171" s="18" t="s">
        <v>622</v>
      </c>
      <c r="G2171" s="41" t="s">
        <v>937</v>
      </c>
      <c r="H2171" s="41" t="s">
        <v>1542</v>
      </c>
      <c r="I2171" s="41" t="s">
        <v>939</v>
      </c>
      <c r="J2171" s="41" t="s">
        <v>188</v>
      </c>
      <c r="K2171" s="41"/>
      <c r="L2171" s="42"/>
    </row>
    <row r="2172">
      <c r="A2172" s="15">
        <v>2171.0</v>
      </c>
      <c r="B2172" s="39">
        <v>45961.0</v>
      </c>
      <c r="C2172" s="53" t="s">
        <v>3668</v>
      </c>
      <c r="D2172" s="41"/>
      <c r="E2172" s="52" t="s">
        <v>184</v>
      </c>
      <c r="F2172" s="18" t="s">
        <v>405</v>
      </c>
      <c r="G2172" s="52" t="s">
        <v>3669</v>
      </c>
      <c r="H2172" s="52" t="s">
        <v>407</v>
      </c>
      <c r="I2172" s="52" t="s">
        <v>1914</v>
      </c>
      <c r="J2172" s="52" t="s">
        <v>188</v>
      </c>
      <c r="K2172" s="41"/>
      <c r="L2172" s="42"/>
    </row>
    <row r="2173">
      <c r="A2173" s="15">
        <v>2172.0</v>
      </c>
      <c r="B2173" s="39">
        <v>45961.0</v>
      </c>
      <c r="C2173" s="53" t="s">
        <v>3670</v>
      </c>
      <c r="D2173" s="41"/>
      <c r="E2173" s="52" t="s">
        <v>184</v>
      </c>
      <c r="F2173" s="18" t="s">
        <v>622</v>
      </c>
      <c r="G2173" s="52" t="s">
        <v>822</v>
      </c>
      <c r="H2173" s="52" t="s">
        <v>407</v>
      </c>
      <c r="I2173" s="52" t="s">
        <v>1914</v>
      </c>
      <c r="J2173" s="52" t="s">
        <v>188</v>
      </c>
      <c r="K2173" s="41"/>
      <c r="L2173" s="42"/>
    </row>
    <row r="2174">
      <c r="A2174" s="15">
        <v>2173.0</v>
      </c>
      <c r="B2174" s="39">
        <v>45985.0</v>
      </c>
      <c r="C2174" s="56" t="s">
        <v>3671</v>
      </c>
      <c r="D2174" s="41"/>
      <c r="E2174" s="41" t="s">
        <v>2018</v>
      </c>
      <c r="F2174" s="18" t="str">
        <f>IFERROR(__xludf.DUMMYFUNCTION("if(REGEXMATCH(C2174,""x.com"")=TRUE,""Twitter"",if(REGEXMATCH(C2174,""facebook"")=TRUE,""Facebook"",if(REGEXMATCH(C2174,""instagram"")=TRUE,""Instagram"",if(REGEXMATCH(C2174,""youtube"")=TRUE,""Youtube"",if(REGEXMATCH(C2174,""tiktok"")=TRUE,""Tiktok"",if("&amp;"REGEXMATCH(C2174,""threads"")=TRUE,""Threads""))))))"),"Facebook")</f>
        <v>Facebook</v>
      </c>
      <c r="G2174" s="44" t="s">
        <v>3672</v>
      </c>
      <c r="H2174" s="18" t="s">
        <v>2020</v>
      </c>
      <c r="I2174" s="41"/>
      <c r="J2174" s="41" t="s">
        <v>188</v>
      </c>
      <c r="K2174" s="41"/>
      <c r="L2174" s="42"/>
    </row>
    <row r="2175">
      <c r="A2175" s="15">
        <v>2174.0</v>
      </c>
      <c r="B2175" s="39">
        <v>45985.0</v>
      </c>
      <c r="C2175" s="40" t="s">
        <v>3673</v>
      </c>
      <c r="D2175" s="41"/>
      <c r="E2175" s="41" t="s">
        <v>2018</v>
      </c>
      <c r="F2175" s="18" t="str">
        <f>IFERROR(__xludf.DUMMYFUNCTION("if(REGEXMATCH(C2175,""x.com"")=TRUE,""Twitter"",if(REGEXMATCH(C2175,""facebook"")=TRUE,""Facebook"",if(REGEXMATCH(C2175,""instagram"")=TRUE,""Instagram"",if(REGEXMATCH(C2175,""youtube"")=TRUE,""Youtube"",if(REGEXMATCH(C2175,""tiktok"")=TRUE,""Tiktok"",if("&amp;"REGEXMATCH(C2175,""threads"")=TRUE,""Threads""))))))"),"Facebook")</f>
        <v>Facebook</v>
      </c>
      <c r="G2175" s="18" t="s">
        <v>3674</v>
      </c>
      <c r="H2175" s="18" t="s">
        <v>3675</v>
      </c>
      <c r="I2175" s="18"/>
      <c r="J2175" s="41" t="s">
        <v>188</v>
      </c>
      <c r="K2175" s="41"/>
      <c r="L2175" s="42"/>
    </row>
    <row r="2176">
      <c r="A2176" s="15">
        <v>2175.0</v>
      </c>
      <c r="B2176" s="39">
        <v>45985.0</v>
      </c>
      <c r="C2176" s="40" t="s">
        <v>3676</v>
      </c>
      <c r="D2176" s="41"/>
      <c r="E2176" s="41" t="s">
        <v>401</v>
      </c>
      <c r="F2176" s="18" t="str">
        <f>IFERROR(__xludf.DUMMYFUNCTION("if(REGEXMATCH(C2176,""x.com"")=TRUE,""Twitter"",if(REGEXMATCH(C2176,""facebook"")=TRUE,""Facebook"",if(REGEXMATCH(C2176,""instagram"")=TRUE,""Instagram"",if(REGEXMATCH(C2176,""youtube"")=TRUE,""Youtube"",if(REGEXMATCH(C2176,""tiktok"")=TRUE,""Tiktok"",if("&amp;"REGEXMATCH(C2176,""threads"")=TRUE,""Threads""))))))"),"Facebook")</f>
        <v>Facebook</v>
      </c>
      <c r="G2176" s="41" t="s">
        <v>937</v>
      </c>
      <c r="H2176" s="41" t="s">
        <v>1542</v>
      </c>
      <c r="I2176" s="41" t="s">
        <v>939</v>
      </c>
      <c r="J2176" s="41" t="s">
        <v>188</v>
      </c>
      <c r="K2176" s="41"/>
      <c r="L2176" s="42"/>
    </row>
    <row r="2177">
      <c r="A2177" s="15">
        <v>2176.0</v>
      </c>
      <c r="B2177" s="39">
        <v>45985.0</v>
      </c>
      <c r="C2177" s="40" t="s">
        <v>3677</v>
      </c>
      <c r="D2177" s="41"/>
      <c r="E2177" s="41" t="s">
        <v>401</v>
      </c>
      <c r="F2177" s="18" t="str">
        <f>IFERROR(__xludf.DUMMYFUNCTION("if(REGEXMATCH(C2177,""x.com"")=TRUE,""Twitter"",if(REGEXMATCH(C2177,""facebook"")=TRUE,""Facebook"",if(REGEXMATCH(C2177,""instagram"")=TRUE,""Instagram"",if(REGEXMATCH(C2177,""youtube"")=TRUE,""Youtube"",if(REGEXMATCH(C2177,""tiktok"")=TRUE,""Tiktok"",if("&amp;"REGEXMATCH(C2177,""threads"")=TRUE,""Threads""))))))"),"Facebook")</f>
        <v>Facebook</v>
      </c>
      <c r="G2177" s="41" t="s">
        <v>937</v>
      </c>
      <c r="H2177" s="41" t="s">
        <v>1542</v>
      </c>
      <c r="I2177" s="41" t="s">
        <v>939</v>
      </c>
      <c r="J2177" s="41" t="s">
        <v>188</v>
      </c>
      <c r="K2177" s="41"/>
      <c r="L2177" s="42"/>
    </row>
    <row r="2178">
      <c r="A2178" s="15">
        <v>2177.0</v>
      </c>
      <c r="B2178" s="39">
        <v>45985.0</v>
      </c>
      <c r="C2178" s="40" t="s">
        <v>3678</v>
      </c>
      <c r="D2178" s="41"/>
      <c r="E2178" s="41" t="s">
        <v>401</v>
      </c>
      <c r="F2178" s="18" t="str">
        <f>IFERROR(__xludf.DUMMYFUNCTION("if(REGEXMATCH(C2178,""x.com"")=TRUE,""Twitter"",if(REGEXMATCH(C2178,""facebook"")=TRUE,""Facebook"",if(REGEXMATCH(C2178,""instagram"")=TRUE,""Instagram"",if(REGEXMATCH(C2178,""youtube"")=TRUE,""Youtube"",if(REGEXMATCH(C2178,""tiktok"")=TRUE,""Tiktok"",if("&amp;"REGEXMATCH(C2178,""threads"")=TRUE,""Threads""))))))"),"Facebook")</f>
        <v>Facebook</v>
      </c>
      <c r="G2178" s="41" t="s">
        <v>937</v>
      </c>
      <c r="H2178" s="41" t="s">
        <v>1542</v>
      </c>
      <c r="I2178" s="41" t="s">
        <v>939</v>
      </c>
      <c r="J2178" s="41" t="s">
        <v>188</v>
      </c>
      <c r="K2178" s="41"/>
      <c r="L2178" s="42"/>
    </row>
    <row r="2179">
      <c r="A2179" s="15">
        <v>2178.0</v>
      </c>
      <c r="B2179" s="39">
        <v>45985.0</v>
      </c>
      <c r="C2179" s="40" t="s">
        <v>3679</v>
      </c>
      <c r="D2179" s="41"/>
      <c r="E2179" s="41" t="s">
        <v>401</v>
      </c>
      <c r="F2179" s="18" t="str">
        <f>IFERROR(__xludf.DUMMYFUNCTION("if(REGEXMATCH(C2179,""x.com"")=TRUE,""Twitter"",if(REGEXMATCH(C2179,""facebook"")=TRUE,""Facebook"",if(REGEXMATCH(C2179,""instagram"")=TRUE,""Instagram"",if(REGEXMATCH(C2179,""youtube"")=TRUE,""Youtube"",if(REGEXMATCH(C2179,""tiktok"")=TRUE,""Tiktok"",if("&amp;"REGEXMATCH(C2179,""threads"")=TRUE,""Threads""))))))"),"Facebook")</f>
        <v>Facebook</v>
      </c>
      <c r="G2179" s="41" t="s">
        <v>937</v>
      </c>
      <c r="H2179" s="41" t="s">
        <v>1542</v>
      </c>
      <c r="I2179" s="41" t="s">
        <v>939</v>
      </c>
      <c r="J2179" s="41" t="s">
        <v>188</v>
      </c>
      <c r="K2179" s="41"/>
      <c r="L2179" s="42"/>
    </row>
    <row r="2180">
      <c r="A2180" s="15">
        <v>2179.0</v>
      </c>
      <c r="B2180" s="39">
        <v>45985.0</v>
      </c>
      <c r="C2180" s="40" t="s">
        <v>3680</v>
      </c>
      <c r="D2180" s="41"/>
      <c r="E2180" s="41" t="s">
        <v>401</v>
      </c>
      <c r="F2180" s="18" t="str">
        <f>IFERROR(__xludf.DUMMYFUNCTION("if(REGEXMATCH(C2180,""x.com"")=TRUE,""Twitter"",if(REGEXMATCH(C2180,""facebook"")=TRUE,""Facebook"",if(REGEXMATCH(C2180,""instagram"")=TRUE,""Instagram"",if(REGEXMATCH(C2180,""youtube"")=TRUE,""Youtube"",if(REGEXMATCH(C2180,""tiktok"")=TRUE,""Tiktok"",if("&amp;"REGEXMATCH(C2180,""threads"")=TRUE,""Threads""))))))"),"Facebook")</f>
        <v>Facebook</v>
      </c>
      <c r="G2180" s="41" t="s">
        <v>937</v>
      </c>
      <c r="H2180" s="41" t="s">
        <v>1542</v>
      </c>
      <c r="I2180" s="41" t="s">
        <v>939</v>
      </c>
      <c r="J2180" s="41" t="s">
        <v>188</v>
      </c>
      <c r="K2180" s="41"/>
      <c r="L2180" s="42"/>
    </row>
    <row r="2181">
      <c r="A2181" s="15">
        <v>2180.0</v>
      </c>
      <c r="B2181" s="39">
        <v>45985.0</v>
      </c>
      <c r="C2181" s="40" t="s">
        <v>3681</v>
      </c>
      <c r="D2181" s="41"/>
      <c r="E2181" s="41" t="s">
        <v>401</v>
      </c>
      <c r="F2181" s="18" t="str">
        <f>IFERROR(__xludf.DUMMYFUNCTION("if(REGEXMATCH(C2181,""x.com"")=TRUE,""Twitter"",if(REGEXMATCH(C2181,""facebook"")=TRUE,""Facebook"",if(REGEXMATCH(C2181,""instagram"")=TRUE,""Instagram"",if(REGEXMATCH(C2181,""youtube"")=TRUE,""Youtube"",if(REGEXMATCH(C2181,""tiktok"")=TRUE,""Tiktok"",if("&amp;"REGEXMATCH(C2181,""threads"")=TRUE,""Threads""))))))"),"Facebook")</f>
        <v>Facebook</v>
      </c>
      <c r="G2181" s="41" t="s">
        <v>937</v>
      </c>
      <c r="H2181" s="41" t="s">
        <v>1542</v>
      </c>
      <c r="I2181" s="41" t="s">
        <v>939</v>
      </c>
      <c r="J2181" s="41" t="s">
        <v>188</v>
      </c>
      <c r="K2181" s="41"/>
      <c r="L2181" s="42"/>
    </row>
    <row r="2182">
      <c r="A2182" s="15">
        <v>2181.0</v>
      </c>
      <c r="B2182" s="39">
        <v>45986.0</v>
      </c>
      <c r="C2182" s="40" t="s">
        <v>3682</v>
      </c>
      <c r="D2182" s="40" t="s">
        <v>3683</v>
      </c>
      <c r="E2182" s="41" t="s">
        <v>3684</v>
      </c>
      <c r="F2182" s="18" t="str">
        <f>IFERROR(__xludf.DUMMYFUNCTION("if(REGEXMATCH(C2182,""x.com"")=TRUE,""Twitter"",if(REGEXMATCH(C2182,""facebook"")=TRUE,""Facebook"",if(REGEXMATCH(C2182,""instagram"")=TRUE,""Instagram"",if(REGEXMATCH(C2182,""youtube"")=TRUE,""Youtube"",if(REGEXMATCH(C2182,""tiktok"")=TRUE,""Tiktok"",if("&amp;"REGEXMATCH(C2182,""threads"")=TRUE,""Threads""))))))"),"Facebook")</f>
        <v>Facebook</v>
      </c>
      <c r="G2182" s="41" t="s">
        <v>3685</v>
      </c>
      <c r="H2182" s="18" t="s">
        <v>2023</v>
      </c>
      <c r="I2182" s="41"/>
      <c r="J2182" s="41" t="s">
        <v>188</v>
      </c>
      <c r="K2182" s="41"/>
      <c r="L2182" s="42"/>
    </row>
    <row r="2183">
      <c r="A2183" s="15">
        <v>2182.0</v>
      </c>
      <c r="B2183" s="39">
        <v>45986.0</v>
      </c>
      <c r="C2183" s="40" t="s">
        <v>3686</v>
      </c>
      <c r="D2183" s="40" t="s">
        <v>3687</v>
      </c>
      <c r="E2183" s="18" t="s">
        <v>3684</v>
      </c>
      <c r="F2183" s="18" t="str">
        <f>IFERROR(__xludf.DUMMYFUNCTION("if(REGEXMATCH(C2183,""x.com"")=TRUE,""Twitter"",if(REGEXMATCH(C2183,""facebook"")=TRUE,""Facebook"",if(REGEXMATCH(C2183,""instagram"")=TRUE,""Instagram"",if(REGEXMATCH(C2183,""youtube"")=TRUE,""Youtube"",if(REGEXMATCH(C2183,""tiktok"")=TRUE,""Tiktok"",if("&amp;"REGEXMATCH(C2183,""threads"")=TRUE,""Threads""))))))"),"Facebook")</f>
        <v>Facebook</v>
      </c>
      <c r="G2183" s="18" t="s">
        <v>3685</v>
      </c>
      <c r="H2183" s="18" t="s">
        <v>2023</v>
      </c>
      <c r="I2183" s="18"/>
      <c r="J2183" s="41" t="s">
        <v>188</v>
      </c>
      <c r="K2183" s="41"/>
      <c r="L2183" s="42"/>
    </row>
    <row r="2184">
      <c r="A2184" s="15">
        <v>2183.0</v>
      </c>
      <c r="B2184" s="39">
        <v>45986.0</v>
      </c>
      <c r="C2184" s="44" t="s">
        <v>3688</v>
      </c>
      <c r="D2184" s="41"/>
      <c r="E2184" s="41" t="s">
        <v>401</v>
      </c>
      <c r="F2184" s="18" t="str">
        <f>IFERROR(__xludf.DUMMYFUNCTION("if(REGEXMATCH(C2184,""x.com"")=TRUE,""Twitter"",if(REGEXMATCH(C2184,""facebook"")=TRUE,""Facebook"",if(REGEXMATCH(C2184,""instagram"")=TRUE,""Instagram"",if(REGEXMATCH(C2184,""youtube"")=TRUE,""Youtube"",if(REGEXMATCH(C2184,""tiktok"")=TRUE,""Tiktok"",if("&amp;"REGEXMATCH(C2184,""threads"")=TRUE,""Threads""))))))"),"Facebook")</f>
        <v>Facebook</v>
      </c>
      <c r="G2184" s="41" t="s">
        <v>937</v>
      </c>
      <c r="H2184" s="41" t="s">
        <v>1542</v>
      </c>
      <c r="I2184" s="41" t="s">
        <v>939</v>
      </c>
      <c r="J2184" s="41" t="s">
        <v>188</v>
      </c>
      <c r="K2184" s="41"/>
      <c r="L2184" s="42"/>
    </row>
    <row r="2185">
      <c r="A2185" s="15">
        <v>2184.0</v>
      </c>
      <c r="B2185" s="39">
        <v>45986.0</v>
      </c>
      <c r="C2185" s="40" t="s">
        <v>3689</v>
      </c>
      <c r="D2185" s="41"/>
      <c r="E2185" s="41" t="s">
        <v>401</v>
      </c>
      <c r="F2185" s="18" t="str">
        <f>IFERROR(__xludf.DUMMYFUNCTION("if(REGEXMATCH(C2185,""x.com"")=TRUE,""Twitter"",if(REGEXMATCH(C2185,""facebook"")=TRUE,""Facebook"",if(REGEXMATCH(C2185,""instagram"")=TRUE,""Instagram"",if(REGEXMATCH(C2185,""youtube"")=TRUE,""Youtube"",if(REGEXMATCH(C2185,""tiktok"")=TRUE,""Tiktok"",if("&amp;"REGEXMATCH(C2185,""threads"")=TRUE,""Threads""))))))"),"Facebook")</f>
        <v>Facebook</v>
      </c>
      <c r="G2185" s="41" t="s">
        <v>937</v>
      </c>
      <c r="H2185" s="41" t="s">
        <v>1542</v>
      </c>
      <c r="I2185" s="41" t="s">
        <v>939</v>
      </c>
      <c r="J2185" s="41" t="s">
        <v>188</v>
      </c>
      <c r="K2185" s="41"/>
      <c r="L2185" s="42"/>
    </row>
    <row r="2186">
      <c r="A2186" s="15">
        <v>2185.0</v>
      </c>
      <c r="B2186" s="39">
        <v>45986.0</v>
      </c>
      <c r="C2186" s="44" t="s">
        <v>3690</v>
      </c>
      <c r="D2186" s="41"/>
      <c r="E2186" s="41" t="s">
        <v>401</v>
      </c>
      <c r="F2186" s="18" t="str">
        <f>IFERROR(__xludf.DUMMYFUNCTION("if(REGEXMATCH(C2186,""x.com"")=TRUE,""Twitter"",if(REGEXMATCH(C2186,""facebook"")=TRUE,""Facebook"",if(REGEXMATCH(C2186,""instagram"")=TRUE,""Instagram"",if(REGEXMATCH(C2186,""youtube"")=TRUE,""Youtube"",if(REGEXMATCH(C2186,""tiktok"")=TRUE,""Tiktok"",if("&amp;"REGEXMATCH(C2186,""threads"")=TRUE,""Threads""))))))"),"Facebook")</f>
        <v>Facebook</v>
      </c>
      <c r="G2186" s="41" t="s">
        <v>937</v>
      </c>
      <c r="H2186" s="41" t="s">
        <v>1542</v>
      </c>
      <c r="I2186" s="41" t="s">
        <v>939</v>
      </c>
      <c r="J2186" s="41" t="s">
        <v>188</v>
      </c>
      <c r="K2186" s="41"/>
      <c r="L2186" s="42"/>
    </row>
    <row r="2187">
      <c r="A2187" s="15">
        <v>2186.0</v>
      </c>
      <c r="B2187" s="39">
        <v>45986.0</v>
      </c>
      <c r="C2187" s="40" t="s">
        <v>3691</v>
      </c>
      <c r="D2187" s="41"/>
      <c r="E2187" s="41" t="s">
        <v>401</v>
      </c>
      <c r="F2187" s="18" t="str">
        <f>IFERROR(__xludf.DUMMYFUNCTION("if(REGEXMATCH(C2187,""x.com"")=TRUE,""Twitter"",if(REGEXMATCH(C2187,""facebook"")=TRUE,""Facebook"",if(REGEXMATCH(C2187,""instagram"")=TRUE,""Instagram"",if(REGEXMATCH(C2187,""youtube"")=TRUE,""Youtube"",if(REGEXMATCH(C2187,""tiktok"")=TRUE,""Tiktok"",if("&amp;"REGEXMATCH(C2187,""threads"")=TRUE,""Threads""))))))"),"Facebook")</f>
        <v>Facebook</v>
      </c>
      <c r="G2187" s="41" t="s">
        <v>937</v>
      </c>
      <c r="H2187" s="41" t="s">
        <v>1542</v>
      </c>
      <c r="I2187" s="41" t="s">
        <v>939</v>
      </c>
      <c r="J2187" s="41" t="s">
        <v>188</v>
      </c>
      <c r="K2187" s="41"/>
      <c r="L2187" s="42"/>
    </row>
    <row r="2188">
      <c r="A2188" s="15">
        <v>2187.0</v>
      </c>
      <c r="B2188" s="39">
        <v>45986.0</v>
      </c>
      <c r="C2188" s="40" t="s">
        <v>3692</v>
      </c>
      <c r="D2188" s="41"/>
      <c r="E2188" s="41" t="s">
        <v>401</v>
      </c>
      <c r="F2188" s="18" t="str">
        <f>IFERROR(__xludf.DUMMYFUNCTION("if(REGEXMATCH(C2188,""x.com"")=TRUE,""Twitter"",if(REGEXMATCH(C2188,""facebook"")=TRUE,""Facebook"",if(REGEXMATCH(C2188,""instagram"")=TRUE,""Instagram"",if(REGEXMATCH(C2188,""youtube"")=TRUE,""Youtube"",if(REGEXMATCH(C2188,""tiktok"")=TRUE,""Tiktok"",if("&amp;"REGEXMATCH(C2188,""threads"")=TRUE,""Threads""))))))"),"Facebook")</f>
        <v>Facebook</v>
      </c>
      <c r="G2188" s="41" t="s">
        <v>937</v>
      </c>
      <c r="H2188" s="41" t="s">
        <v>1542</v>
      </c>
      <c r="I2188" s="41" t="s">
        <v>939</v>
      </c>
      <c r="J2188" s="41" t="s">
        <v>188</v>
      </c>
      <c r="K2188" s="41"/>
      <c r="L2188" s="42"/>
    </row>
    <row r="2189">
      <c r="A2189" s="15">
        <v>2188.0</v>
      </c>
      <c r="B2189" s="39">
        <v>45986.0</v>
      </c>
      <c r="C2189" s="40" t="s">
        <v>3693</v>
      </c>
      <c r="D2189" s="41"/>
      <c r="E2189" s="41" t="s">
        <v>401</v>
      </c>
      <c r="F2189" s="18" t="str">
        <f>IFERROR(__xludf.DUMMYFUNCTION("if(REGEXMATCH(C2189,""x.com"")=TRUE,""Twitter"",if(REGEXMATCH(C2189,""facebook"")=TRUE,""Facebook"",if(REGEXMATCH(C2189,""instagram"")=TRUE,""Instagram"",if(REGEXMATCH(C2189,""youtube"")=TRUE,""Youtube"",if(REGEXMATCH(C2189,""tiktok"")=TRUE,""Tiktok"",if("&amp;"REGEXMATCH(C2189,""threads"")=TRUE,""Threads""))))))"),"Facebook")</f>
        <v>Facebook</v>
      </c>
      <c r="G2189" s="41" t="s">
        <v>937</v>
      </c>
      <c r="H2189" s="41" t="s">
        <v>1542</v>
      </c>
      <c r="I2189" s="41" t="s">
        <v>939</v>
      </c>
      <c r="J2189" s="41" t="s">
        <v>188</v>
      </c>
      <c r="K2189" s="41"/>
      <c r="L2189" s="42"/>
    </row>
    <row r="2190">
      <c r="A2190" s="15">
        <v>2189.0</v>
      </c>
      <c r="B2190" s="39">
        <v>45986.0</v>
      </c>
      <c r="C2190" s="40" t="s">
        <v>3694</v>
      </c>
      <c r="D2190" s="41"/>
      <c r="E2190" s="41" t="s">
        <v>401</v>
      </c>
      <c r="F2190" s="18" t="str">
        <f>IFERROR(__xludf.DUMMYFUNCTION("if(REGEXMATCH(C2190,""x.com"")=TRUE,""Twitter"",if(REGEXMATCH(C2190,""facebook"")=TRUE,""Facebook"",if(REGEXMATCH(C2190,""instagram"")=TRUE,""Instagram"",if(REGEXMATCH(C2190,""youtube"")=TRUE,""Youtube"",if(REGEXMATCH(C2190,""tiktok"")=TRUE,""Tiktok"",if("&amp;"REGEXMATCH(C2190,""threads"")=TRUE,""Threads""))))))"),"Facebook")</f>
        <v>Facebook</v>
      </c>
      <c r="G2190" s="41" t="s">
        <v>937</v>
      </c>
      <c r="H2190" s="41" t="s">
        <v>1542</v>
      </c>
      <c r="I2190" s="41" t="s">
        <v>939</v>
      </c>
      <c r="J2190" s="41" t="s">
        <v>188</v>
      </c>
      <c r="K2190" s="18"/>
      <c r="L2190" s="42"/>
    </row>
    <row r="2191">
      <c r="A2191" s="15">
        <v>2190.0</v>
      </c>
      <c r="B2191" s="39">
        <v>45986.0</v>
      </c>
      <c r="C2191" s="40" t="s">
        <v>3695</v>
      </c>
      <c r="D2191" s="41"/>
      <c r="E2191" s="41" t="s">
        <v>197</v>
      </c>
      <c r="F2191" s="18" t="str">
        <f>IFERROR(__xludf.DUMMYFUNCTION("if(REGEXMATCH(C2191,""x.com"")=TRUE,""Twitter"",if(REGEXMATCH(C2191,""facebook"")=TRUE,""Facebook"",if(REGEXMATCH(C2191,""instagram"")=TRUE,""Instagram"",if(REGEXMATCH(C2191,""youtube"")=TRUE,""Youtube"",if(REGEXMATCH(C2191,""tiktok"")=TRUE,""Tiktok"",if("&amp;"REGEXMATCH(C2191,""threads"")=TRUE,""Threads""))))))"),"Facebook")</f>
        <v>Facebook</v>
      </c>
      <c r="G2191" s="41" t="s">
        <v>3696</v>
      </c>
      <c r="H2191" s="43" t="s">
        <v>1782</v>
      </c>
      <c r="I2191" s="43" t="s">
        <v>535</v>
      </c>
      <c r="J2191" s="41" t="s">
        <v>188</v>
      </c>
      <c r="K2191" s="41" t="s">
        <v>1611</v>
      </c>
      <c r="L2191" s="42"/>
    </row>
    <row r="2192">
      <c r="A2192" s="15">
        <v>2191.0</v>
      </c>
      <c r="B2192" s="39">
        <v>45986.0</v>
      </c>
      <c r="C2192" s="40" t="s">
        <v>3697</v>
      </c>
      <c r="D2192" s="41"/>
      <c r="E2192" s="41" t="s">
        <v>197</v>
      </c>
      <c r="F2192" s="18" t="str">
        <f>IFERROR(__xludf.DUMMYFUNCTION("if(REGEXMATCH(C2192,""x.com"")=TRUE,""Twitter"",if(REGEXMATCH(C2192,""facebook"")=TRUE,""Facebook"",if(REGEXMATCH(C2192,""instagram"")=TRUE,""Instagram"",if(REGEXMATCH(C2192,""youtube"")=TRUE,""Youtube"",if(REGEXMATCH(C2192,""tiktok"")=TRUE,""Tiktok"",if("&amp;"REGEXMATCH(C2192,""threads"")=TRUE,""Threads""))))))"),"Facebook")</f>
        <v>Facebook</v>
      </c>
      <c r="G2192" s="41" t="s">
        <v>3698</v>
      </c>
      <c r="H2192" s="36"/>
      <c r="I2192" s="36"/>
      <c r="J2192" s="41" t="s">
        <v>188</v>
      </c>
      <c r="K2192" s="41" t="s">
        <v>1611</v>
      </c>
      <c r="L2192" s="42"/>
    </row>
    <row r="2193">
      <c r="A2193" s="15">
        <v>2192.0</v>
      </c>
      <c r="B2193" s="39">
        <v>45986.0</v>
      </c>
      <c r="C2193" s="40" t="s">
        <v>3699</v>
      </c>
      <c r="D2193" s="41"/>
      <c r="E2193" s="41" t="s">
        <v>1146</v>
      </c>
      <c r="F2193" s="18" t="str">
        <f>IFERROR(__xludf.DUMMYFUNCTION("if(REGEXMATCH(C2193,""x.com"")=TRUE,""Twitter"",if(REGEXMATCH(C2193,""facebook"")=TRUE,""Facebook"",if(REGEXMATCH(C2193,""instagram"")=TRUE,""Instagram"",if(REGEXMATCH(C2193,""youtube"")=TRUE,""Youtube"",if(REGEXMATCH(C2193,""tiktok"")=TRUE,""Tiktok"",if("&amp;"REGEXMATCH(C2193,""threads"")=TRUE,""Threads""))))))"),"Twitter")</f>
        <v>Twitter</v>
      </c>
      <c r="G2193" s="41" t="s">
        <v>3700</v>
      </c>
      <c r="H2193" s="36"/>
      <c r="I2193" s="36"/>
      <c r="J2193" s="41" t="s">
        <v>188</v>
      </c>
      <c r="K2193" s="41" t="s">
        <v>1611</v>
      </c>
      <c r="L2193" s="42"/>
    </row>
    <row r="2194">
      <c r="A2194" s="15">
        <v>2193.0</v>
      </c>
      <c r="B2194" s="39">
        <v>45986.0</v>
      </c>
      <c r="C2194" s="40" t="s">
        <v>3701</v>
      </c>
      <c r="D2194" s="41"/>
      <c r="E2194" s="41" t="s">
        <v>1146</v>
      </c>
      <c r="F2194" s="18" t="str">
        <f>IFERROR(__xludf.DUMMYFUNCTION("if(REGEXMATCH(C2194,""x.com"")=TRUE,""Twitter"",if(REGEXMATCH(C2194,""facebook"")=TRUE,""Facebook"",if(REGEXMATCH(C2194,""instagram"")=TRUE,""Instagram"",if(REGEXMATCH(C2194,""youtube"")=TRUE,""Youtube"",if(REGEXMATCH(C2194,""tiktok"")=TRUE,""Tiktok"",if("&amp;"REGEXMATCH(C2194,""threads"")=TRUE,""Threads""))))))"),"Twitter")</f>
        <v>Twitter</v>
      </c>
      <c r="G2194" s="41" t="s">
        <v>3702</v>
      </c>
      <c r="H2194" s="36"/>
      <c r="I2194" s="36"/>
      <c r="J2194" s="41" t="s">
        <v>188</v>
      </c>
      <c r="K2194" s="41" t="s">
        <v>1611</v>
      </c>
      <c r="L2194" s="42"/>
    </row>
    <row r="2195">
      <c r="A2195" s="15">
        <v>2194.0</v>
      </c>
      <c r="B2195" s="39">
        <v>45986.0</v>
      </c>
      <c r="C2195" s="57" t="s">
        <v>3703</v>
      </c>
      <c r="D2195" s="41"/>
      <c r="E2195" s="58" t="s">
        <v>557</v>
      </c>
      <c r="F2195" s="18" t="str">
        <f>IFERROR(__xludf.DUMMYFUNCTION("if(REGEXMATCH(C2195,""x.com"")=TRUE,""Twitter"",if(REGEXMATCH(C2195,""facebook"")=TRUE,""Facebook"",if(REGEXMATCH(C2195,""instagram"")=TRUE,""Instagram"",if(REGEXMATCH(C2195,""youtube"")=TRUE,""Youtube"",if(REGEXMATCH(C2195,""tiktok"")=TRUE,""Tiktok"",if("&amp;"REGEXMATCH(C2195,""threads"")=TRUE,""Threads""))))))"),"Twitter")</f>
        <v>Twitter</v>
      </c>
      <c r="G2195" s="58" t="s">
        <v>3704</v>
      </c>
      <c r="H2195" s="36"/>
      <c r="I2195" s="36"/>
      <c r="J2195" s="41" t="s">
        <v>188</v>
      </c>
      <c r="K2195" s="58" t="s">
        <v>1611</v>
      </c>
      <c r="L2195" s="42"/>
    </row>
    <row r="2196">
      <c r="A2196" s="15">
        <v>2195.0</v>
      </c>
      <c r="B2196" s="39">
        <v>45986.0</v>
      </c>
      <c r="C2196" s="40" t="s">
        <v>3705</v>
      </c>
      <c r="D2196" s="41"/>
      <c r="E2196" s="41" t="s">
        <v>557</v>
      </c>
      <c r="F2196" s="18" t="str">
        <f>IFERROR(__xludf.DUMMYFUNCTION("if(REGEXMATCH(C2196,""x.com"")=TRUE,""Twitter"",if(REGEXMATCH(C2196,""facebook"")=TRUE,""Facebook"",if(REGEXMATCH(C2196,""instagram"")=TRUE,""Instagram"",if(REGEXMATCH(C2196,""youtube"")=TRUE,""Youtube"",if(REGEXMATCH(C2196,""tiktok"")=TRUE,""Tiktok"",if("&amp;"REGEXMATCH(C2196,""threads"")=TRUE,""Threads""))))))"),"Facebook")</f>
        <v>Facebook</v>
      </c>
      <c r="G2196" s="41" t="s">
        <v>3706</v>
      </c>
      <c r="H2196" s="36"/>
      <c r="I2196" s="36"/>
      <c r="J2196" s="41" t="s">
        <v>188</v>
      </c>
      <c r="K2196" s="41" t="s">
        <v>1611</v>
      </c>
      <c r="L2196" s="42"/>
    </row>
    <row r="2197">
      <c r="A2197" s="15">
        <v>2196.0</v>
      </c>
      <c r="B2197" s="39">
        <v>45986.0</v>
      </c>
      <c r="C2197" s="40" t="s">
        <v>3707</v>
      </c>
      <c r="D2197" s="41"/>
      <c r="E2197" s="41" t="s">
        <v>557</v>
      </c>
      <c r="F2197" s="18" t="str">
        <f>IFERROR(__xludf.DUMMYFUNCTION("if(REGEXMATCH(C2197,""x.com"")=TRUE,""Twitter"",if(REGEXMATCH(C2197,""facebook"")=TRUE,""Facebook"",if(REGEXMATCH(C2197,""instagram"")=TRUE,""Instagram"",if(REGEXMATCH(C2197,""youtube"")=TRUE,""Youtube"",if(REGEXMATCH(C2197,""tiktok"")=TRUE,""Tiktok"",if("&amp;"REGEXMATCH(C2197,""threads"")=TRUE,""Threads""))))))"),"Facebook")</f>
        <v>Facebook</v>
      </c>
      <c r="G2197" s="41" t="s">
        <v>3708</v>
      </c>
      <c r="H2197" s="36"/>
      <c r="I2197" s="36"/>
      <c r="J2197" s="41" t="s">
        <v>188</v>
      </c>
      <c r="K2197" s="41" t="s">
        <v>1611</v>
      </c>
      <c r="L2197" s="42"/>
    </row>
    <row r="2198">
      <c r="A2198" s="15">
        <v>2197.0</v>
      </c>
      <c r="B2198" s="39">
        <v>45986.0</v>
      </c>
      <c r="C2198" s="40" t="s">
        <v>3709</v>
      </c>
      <c r="D2198" s="41"/>
      <c r="E2198" s="41" t="s">
        <v>557</v>
      </c>
      <c r="F2198" s="18" t="str">
        <f>IFERROR(__xludf.DUMMYFUNCTION("if(REGEXMATCH(C2198,""x.com"")=TRUE,""Twitter"",if(REGEXMATCH(C2198,""facebook"")=TRUE,""Facebook"",if(REGEXMATCH(C2198,""instagram"")=TRUE,""Instagram"",if(REGEXMATCH(C2198,""youtube"")=TRUE,""Youtube"",if(REGEXMATCH(C2198,""tiktok"")=TRUE,""Tiktok"",if("&amp;"REGEXMATCH(C2198,""threads"")=TRUE,""Threads""))))))"),"Facebook")</f>
        <v>Facebook</v>
      </c>
      <c r="G2198" s="41" t="s">
        <v>3710</v>
      </c>
      <c r="H2198" s="36"/>
      <c r="I2198" s="36"/>
      <c r="J2198" s="41" t="s">
        <v>188</v>
      </c>
      <c r="K2198" s="41" t="s">
        <v>1611</v>
      </c>
      <c r="L2198" s="42"/>
    </row>
    <row r="2199">
      <c r="A2199" s="15">
        <v>2198.0</v>
      </c>
      <c r="B2199" s="39">
        <v>45986.0</v>
      </c>
      <c r="C2199" s="57" t="s">
        <v>3711</v>
      </c>
      <c r="D2199" s="41"/>
      <c r="E2199" s="58" t="s">
        <v>1146</v>
      </c>
      <c r="F2199" s="18" t="str">
        <f>IFERROR(__xludf.DUMMYFUNCTION("if(REGEXMATCH(C2199,""x.com"")=TRUE,""Twitter"",if(REGEXMATCH(C2199,""facebook"")=TRUE,""Facebook"",if(REGEXMATCH(C2199,""instagram"")=TRUE,""Instagram"",if(REGEXMATCH(C2199,""youtube"")=TRUE,""Youtube"",if(REGEXMATCH(C2199,""tiktok"")=TRUE,""Tiktok"",if("&amp;"REGEXMATCH(C2199,""threads"")=TRUE,""Threads""))))))"),"Facebook")</f>
        <v>Facebook</v>
      </c>
      <c r="G2199" s="58" t="s">
        <v>3712</v>
      </c>
      <c r="H2199" s="35"/>
      <c r="I2199" s="36"/>
      <c r="J2199" s="41" t="s">
        <v>188</v>
      </c>
      <c r="K2199" s="58"/>
      <c r="L2199" s="42"/>
    </row>
    <row r="2200">
      <c r="A2200" s="15">
        <v>2199.0</v>
      </c>
      <c r="B2200" s="39">
        <v>45986.0</v>
      </c>
      <c r="C2200" s="40" t="s">
        <v>3713</v>
      </c>
      <c r="D2200" s="41"/>
      <c r="E2200" s="41" t="s">
        <v>3714</v>
      </c>
      <c r="F2200" s="18" t="str">
        <f>IFERROR(__xludf.DUMMYFUNCTION("if(REGEXMATCH(C2200,""x.com"")=TRUE,""Twitter"",if(REGEXMATCH(C2200,""facebook"")=TRUE,""Facebook"",if(REGEXMATCH(C2200,""instagram"")=TRUE,""Instagram"",if(REGEXMATCH(C2200,""youtube"")=TRUE,""Youtube"",if(REGEXMATCH(C2200,""tiktok"")=TRUE,""Tiktok"",if("&amp;"REGEXMATCH(C2200,""threads"")=TRUE,""Threads""))))))"),"Facebook")</f>
        <v>Facebook</v>
      </c>
      <c r="G2200" s="41" t="s">
        <v>3715</v>
      </c>
      <c r="H2200" s="41"/>
      <c r="I2200" s="36"/>
      <c r="J2200" s="41" t="s">
        <v>188</v>
      </c>
      <c r="K2200" s="41"/>
      <c r="L2200" s="42"/>
    </row>
    <row r="2201">
      <c r="A2201" s="15">
        <v>2200.0</v>
      </c>
      <c r="B2201" s="39">
        <v>45986.0</v>
      </c>
      <c r="C2201" s="40" t="s">
        <v>3716</v>
      </c>
      <c r="D2201" s="41"/>
      <c r="E2201" s="41" t="s">
        <v>197</v>
      </c>
      <c r="F2201" s="18" t="str">
        <f>IFERROR(__xludf.DUMMYFUNCTION("if(REGEXMATCH(C2201,""x.com"")=TRUE,""Twitter"",if(REGEXMATCH(C2201,""facebook"")=TRUE,""Facebook"",if(REGEXMATCH(C2201,""instagram"")=TRUE,""Instagram"",if(REGEXMATCH(C2201,""youtube"")=TRUE,""Youtube"",if(REGEXMATCH(C2201,""tiktok"")=TRUE,""Tiktok"",if("&amp;"REGEXMATCH(C2201,""threads"")=TRUE,""Threads""))))))"),"Twitter")</f>
        <v>Twitter</v>
      </c>
      <c r="G2201" s="41" t="s">
        <v>3717</v>
      </c>
      <c r="H2201" s="41"/>
      <c r="I2201" s="36"/>
      <c r="J2201" s="41" t="s">
        <v>188</v>
      </c>
      <c r="K2201" s="41"/>
      <c r="L2201" s="42"/>
    </row>
    <row r="2202">
      <c r="A2202" s="15">
        <v>2201.0</v>
      </c>
      <c r="B2202" s="39">
        <v>45986.0</v>
      </c>
      <c r="C2202" s="40" t="s">
        <v>3718</v>
      </c>
      <c r="D2202" s="41"/>
      <c r="E2202" s="41" t="s">
        <v>197</v>
      </c>
      <c r="F2202" s="18" t="str">
        <f>IFERROR(__xludf.DUMMYFUNCTION("if(REGEXMATCH(C2202,""x.com"")=TRUE,""Twitter"",if(REGEXMATCH(C2202,""facebook"")=TRUE,""Facebook"",if(REGEXMATCH(C2202,""instagram"")=TRUE,""Instagram"",if(REGEXMATCH(C2202,""youtube"")=TRUE,""Youtube"",if(REGEXMATCH(C2202,""tiktok"")=TRUE,""Tiktok"",if("&amp;"REGEXMATCH(C2202,""threads"")=TRUE,""Threads""))))))"),"Twitter")</f>
        <v>Twitter</v>
      </c>
      <c r="G2202" s="41" t="s">
        <v>3719</v>
      </c>
      <c r="H2202" s="41"/>
      <c r="I2202" s="36"/>
      <c r="J2202" s="41" t="s">
        <v>188</v>
      </c>
      <c r="K2202" s="41"/>
      <c r="L2202" s="42"/>
    </row>
    <row r="2203">
      <c r="A2203" s="15">
        <v>2202.0</v>
      </c>
      <c r="B2203" s="39">
        <v>45986.0</v>
      </c>
      <c r="C2203" s="40" t="s">
        <v>3720</v>
      </c>
      <c r="D2203" s="41"/>
      <c r="E2203" s="41" t="s">
        <v>197</v>
      </c>
      <c r="F2203" s="18" t="str">
        <f>IFERROR(__xludf.DUMMYFUNCTION("if(REGEXMATCH(C2203,""x.com"")=TRUE,""Twitter"",if(REGEXMATCH(C2203,""facebook"")=TRUE,""Facebook"",if(REGEXMATCH(C2203,""instagram"")=TRUE,""Instagram"",if(REGEXMATCH(C2203,""youtube"")=TRUE,""Youtube"",if(REGEXMATCH(C2203,""tiktok"")=TRUE,""Tiktok"",if("&amp;"REGEXMATCH(C2203,""threads"")=TRUE,""Threads""))))))"),"Twitter")</f>
        <v>Twitter</v>
      </c>
      <c r="G2203" s="41" t="s">
        <v>3721</v>
      </c>
      <c r="H2203" s="41"/>
      <c r="I2203" s="36"/>
      <c r="J2203" s="41" t="s">
        <v>188</v>
      </c>
      <c r="K2203" s="41"/>
      <c r="L2203" s="42"/>
    </row>
    <row r="2204">
      <c r="A2204" s="15">
        <v>2203.0</v>
      </c>
      <c r="B2204" s="39">
        <v>45986.0</v>
      </c>
      <c r="C2204" s="40" t="s">
        <v>3722</v>
      </c>
      <c r="D2204" s="41"/>
      <c r="E2204" s="41" t="s">
        <v>197</v>
      </c>
      <c r="F2204" s="18" t="str">
        <f>IFERROR(__xludf.DUMMYFUNCTION("if(REGEXMATCH(C2204,""x.com"")=TRUE,""Twitter"",if(REGEXMATCH(C2204,""facebook"")=TRUE,""Facebook"",if(REGEXMATCH(C2204,""instagram"")=TRUE,""Instagram"",if(REGEXMATCH(C2204,""youtube"")=TRUE,""Youtube"",if(REGEXMATCH(C2204,""tiktok"")=TRUE,""Tiktok"",if("&amp;"REGEXMATCH(C2204,""threads"")=TRUE,""Threads""))))))"),"Twitter")</f>
        <v>Twitter</v>
      </c>
      <c r="G2204" s="41" t="s">
        <v>3723</v>
      </c>
      <c r="H2204" s="41"/>
      <c r="I2204" s="36"/>
      <c r="J2204" s="41" t="s">
        <v>188</v>
      </c>
      <c r="K2204" s="41"/>
      <c r="L2204" s="42"/>
    </row>
    <row r="2205">
      <c r="A2205" s="15">
        <v>2204.0</v>
      </c>
      <c r="B2205" s="39">
        <v>45986.0</v>
      </c>
      <c r="C2205" s="40" t="s">
        <v>3724</v>
      </c>
      <c r="D2205" s="41"/>
      <c r="E2205" s="41" t="s">
        <v>197</v>
      </c>
      <c r="F2205" s="18" t="str">
        <f>IFERROR(__xludf.DUMMYFUNCTION("if(REGEXMATCH(C2205,""x.com"")=TRUE,""Twitter"",if(REGEXMATCH(C2205,""facebook"")=TRUE,""Facebook"",if(REGEXMATCH(C2205,""instagram"")=TRUE,""Instagram"",if(REGEXMATCH(C2205,""youtube"")=TRUE,""Youtube"",if(REGEXMATCH(C2205,""tiktok"")=TRUE,""Tiktok"",if("&amp;"REGEXMATCH(C2205,""threads"")=TRUE,""Threads""))))))"),"Twitter")</f>
        <v>Twitter</v>
      </c>
      <c r="G2205" s="41" t="s">
        <v>3725</v>
      </c>
      <c r="H2205" s="41"/>
      <c r="I2205" s="35"/>
      <c r="J2205" s="41" t="s">
        <v>188</v>
      </c>
      <c r="K2205" s="41"/>
      <c r="L2205" s="42"/>
    </row>
    <row r="2206">
      <c r="A2206" s="15">
        <v>2205.0</v>
      </c>
      <c r="B2206" s="39">
        <v>45986.0</v>
      </c>
      <c r="C2206" s="40" t="s">
        <v>3726</v>
      </c>
      <c r="D2206" s="41"/>
      <c r="E2206" s="41" t="s">
        <v>197</v>
      </c>
      <c r="F2206" s="18" t="str">
        <f>IFERROR(__xludf.DUMMYFUNCTION("if(REGEXMATCH(C2206,""x.com"")=TRUE,""Twitter"",if(REGEXMATCH(C2206,""facebook"")=TRUE,""Facebook"",if(REGEXMATCH(C2206,""instagram"")=TRUE,""Instagram"",if(REGEXMATCH(C2206,""youtube"")=TRUE,""Youtube"",if(REGEXMATCH(C2206,""tiktok"")=TRUE,""Tiktok"",if("&amp;"REGEXMATCH(C2206,""threads"")=TRUE,""Threads""))))))"),"Twitter")</f>
        <v>Twitter</v>
      </c>
      <c r="G2206" s="41" t="s">
        <v>3727</v>
      </c>
      <c r="H2206" s="41"/>
      <c r="I2206" s="41"/>
      <c r="J2206" s="41" t="s">
        <v>188</v>
      </c>
      <c r="K2206" s="41"/>
      <c r="L2206" s="42"/>
    </row>
    <row r="2207">
      <c r="A2207" s="15">
        <v>2206.0</v>
      </c>
      <c r="B2207" s="39">
        <v>45986.0</v>
      </c>
      <c r="C2207" s="40" t="s">
        <v>3728</v>
      </c>
      <c r="D2207" s="41"/>
      <c r="E2207" s="41" t="s">
        <v>197</v>
      </c>
      <c r="F2207" s="18" t="str">
        <f>IFERROR(__xludf.DUMMYFUNCTION("if(REGEXMATCH(C2207,""x.com"")=TRUE,""Twitter"",if(REGEXMATCH(C2207,""facebook"")=TRUE,""Facebook"",if(REGEXMATCH(C2207,""instagram"")=TRUE,""Instagram"",if(REGEXMATCH(C2207,""youtube"")=TRUE,""Youtube"",if(REGEXMATCH(C2207,""tiktok"")=TRUE,""Tiktok"",if("&amp;"REGEXMATCH(C2207,""threads"")=TRUE,""Threads""))))))"),"Twitter")</f>
        <v>Twitter</v>
      </c>
      <c r="G2207" s="41" t="s">
        <v>3729</v>
      </c>
      <c r="H2207" s="41"/>
      <c r="I2207" s="41"/>
      <c r="J2207" s="41" t="s">
        <v>188</v>
      </c>
      <c r="K2207" s="41"/>
      <c r="L2207" s="42"/>
    </row>
    <row r="2208">
      <c r="A2208" s="15">
        <v>2207.0</v>
      </c>
      <c r="B2208" s="39">
        <v>45986.0</v>
      </c>
      <c r="C2208" s="40" t="s">
        <v>3730</v>
      </c>
      <c r="D2208" s="41"/>
      <c r="E2208" s="41" t="s">
        <v>197</v>
      </c>
      <c r="F2208" s="18" t="str">
        <f>IFERROR(__xludf.DUMMYFUNCTION("if(REGEXMATCH(C2208,""x.com"")=TRUE,""Twitter"",if(REGEXMATCH(C2208,""facebook"")=TRUE,""Facebook"",if(REGEXMATCH(C2208,""instagram"")=TRUE,""Instagram"",if(REGEXMATCH(C2208,""youtube"")=TRUE,""Youtube"",if(REGEXMATCH(C2208,""tiktok"")=TRUE,""Tiktok"",if("&amp;"REGEXMATCH(C2208,""threads"")=TRUE,""Threads""))))))"),"Twitter")</f>
        <v>Twitter</v>
      </c>
      <c r="G2208" s="41" t="s">
        <v>3725</v>
      </c>
      <c r="H2208" s="41"/>
      <c r="I2208" s="41"/>
      <c r="J2208" s="41" t="s">
        <v>188</v>
      </c>
      <c r="K2208" s="41"/>
      <c r="L2208" s="42"/>
    </row>
    <row r="2209">
      <c r="A2209" s="15">
        <v>2208.0</v>
      </c>
      <c r="B2209" s="39">
        <v>45986.0</v>
      </c>
      <c r="C2209" s="40" t="s">
        <v>3731</v>
      </c>
      <c r="D2209" s="41"/>
      <c r="E2209" s="41" t="s">
        <v>197</v>
      </c>
      <c r="F2209" s="18" t="str">
        <f>IFERROR(__xludf.DUMMYFUNCTION("if(REGEXMATCH(C2209,""x.com"")=TRUE,""Twitter"",if(REGEXMATCH(C2209,""facebook"")=TRUE,""Facebook"",if(REGEXMATCH(C2209,""instagram"")=TRUE,""Instagram"",if(REGEXMATCH(C2209,""youtube"")=TRUE,""Youtube"",if(REGEXMATCH(C2209,""tiktok"")=TRUE,""Tiktok"",if("&amp;"REGEXMATCH(C2209,""threads"")=TRUE,""Threads""))))))"),"Twitter")</f>
        <v>Twitter</v>
      </c>
      <c r="G2209" s="41" t="s">
        <v>3732</v>
      </c>
      <c r="H2209" s="41"/>
      <c r="I2209" s="41"/>
      <c r="J2209" s="41" t="s">
        <v>188</v>
      </c>
      <c r="K2209" s="41"/>
      <c r="L2209" s="42"/>
    </row>
    <row r="2210">
      <c r="A2210" s="15">
        <v>2209.0</v>
      </c>
      <c r="B2210" s="39">
        <v>45986.0</v>
      </c>
      <c r="C2210" s="40" t="s">
        <v>3733</v>
      </c>
      <c r="D2210" s="41"/>
      <c r="E2210" s="41" t="s">
        <v>197</v>
      </c>
      <c r="F2210" s="18" t="str">
        <f>IFERROR(__xludf.DUMMYFUNCTION("if(REGEXMATCH(C2210,""x.com"")=TRUE,""Twitter"",if(REGEXMATCH(C2210,""facebook"")=TRUE,""Facebook"",if(REGEXMATCH(C2210,""instagram"")=TRUE,""Instagram"",if(REGEXMATCH(C2210,""youtube"")=TRUE,""Youtube"",if(REGEXMATCH(C2210,""tiktok"")=TRUE,""Tiktok"",if("&amp;"REGEXMATCH(C2210,""threads"")=TRUE,""Threads""))))))"),"Twitter")</f>
        <v>Twitter</v>
      </c>
      <c r="G2210" s="41" t="s">
        <v>3734</v>
      </c>
      <c r="H2210" s="41"/>
      <c r="I2210" s="41"/>
      <c r="J2210" s="41" t="s">
        <v>188</v>
      </c>
      <c r="K2210" s="41"/>
      <c r="L2210" s="42"/>
    </row>
    <row r="2211">
      <c r="A2211" s="15">
        <v>2210.0</v>
      </c>
      <c r="B2211" s="39">
        <v>45986.0</v>
      </c>
      <c r="C2211" s="59" t="s">
        <v>3735</v>
      </c>
      <c r="D2211" s="41"/>
      <c r="E2211" s="41" t="s">
        <v>557</v>
      </c>
      <c r="F2211" s="18" t="str">
        <f>IFERROR(__xludf.DUMMYFUNCTION("if(REGEXMATCH(C2211,""x.com"")=TRUE,""Twitter"",if(REGEXMATCH(C2211,""facebook"")=TRUE,""Facebook"",if(REGEXMATCH(C2211,""instagram"")=TRUE,""Instagram"",if(REGEXMATCH(C2211,""youtube"")=TRUE,""Youtube"",if(REGEXMATCH(C2211,""tiktok"")=TRUE,""Tiktok"",if("&amp;"REGEXMATCH(C2211,""threads"")=TRUE,""Threads""))))))"),"Twitter")</f>
        <v>Twitter</v>
      </c>
      <c r="G2211" s="41" t="s">
        <v>3736</v>
      </c>
      <c r="H2211" s="41"/>
      <c r="I2211" s="41"/>
      <c r="J2211" s="41" t="s">
        <v>422</v>
      </c>
      <c r="K2211" s="41"/>
      <c r="L2211" s="42"/>
    </row>
    <row r="2212">
      <c r="A2212" s="15">
        <v>2211.0</v>
      </c>
      <c r="B2212" s="39">
        <v>45986.0</v>
      </c>
      <c r="C2212" s="59" t="s">
        <v>3737</v>
      </c>
      <c r="D2212" s="41"/>
      <c r="E2212" s="41" t="s">
        <v>202</v>
      </c>
      <c r="F2212" s="18" t="str">
        <f>IFERROR(__xludf.DUMMYFUNCTION("if(REGEXMATCH(C2212,""x.com"")=TRUE,""Twitter"",if(REGEXMATCH(C2212,""facebook"")=TRUE,""Facebook"",if(REGEXMATCH(C2212,""instagram"")=TRUE,""Instagram"",if(REGEXMATCH(C2212,""youtube"")=TRUE,""Youtube"",if(REGEXMATCH(C2212,""tiktok"")=TRUE,""Tiktok"",if("&amp;"REGEXMATCH(C2212,""threads"")=TRUE,""Threads""))))))"),"Twitter")</f>
        <v>Twitter</v>
      </c>
      <c r="G2212" s="41" t="s">
        <v>3738</v>
      </c>
      <c r="H2212" s="41"/>
      <c r="I2212" s="41"/>
      <c r="J2212" s="41" t="s">
        <v>422</v>
      </c>
      <c r="K2212" s="41"/>
      <c r="L2212" s="42"/>
    </row>
    <row r="2213">
      <c r="A2213" s="15">
        <v>2212.0</v>
      </c>
      <c r="B2213" s="39">
        <v>45986.0</v>
      </c>
      <c r="C2213" s="59" t="s">
        <v>3739</v>
      </c>
      <c r="D2213" s="41"/>
      <c r="E2213" s="41" t="s">
        <v>1363</v>
      </c>
      <c r="F2213" s="18" t="str">
        <f>IFERROR(__xludf.DUMMYFUNCTION("if(REGEXMATCH(C2213,""x.com"")=TRUE,""Twitter"",if(REGEXMATCH(C2213,""facebook"")=TRUE,""Facebook"",if(REGEXMATCH(C2213,""instagram"")=TRUE,""Instagram"",if(REGEXMATCH(C2213,""youtube"")=TRUE,""Youtube"",if(REGEXMATCH(C2213,""tiktok"")=TRUE,""Tiktok"",if("&amp;"REGEXMATCH(C2213,""threads"")=TRUE,""Threads""))))))"),"Twitter")</f>
        <v>Twitter</v>
      </c>
      <c r="G2213" s="41" t="s">
        <v>3740</v>
      </c>
      <c r="H2213" s="41"/>
      <c r="I2213" s="41"/>
      <c r="J2213" s="41" t="s">
        <v>422</v>
      </c>
      <c r="K2213" s="41"/>
      <c r="L2213" s="42"/>
    </row>
    <row r="2214">
      <c r="A2214" s="15">
        <v>2213.0</v>
      </c>
      <c r="B2214" s="39">
        <v>45986.0</v>
      </c>
      <c r="C2214" s="59" t="s">
        <v>3741</v>
      </c>
      <c r="D2214" s="41"/>
      <c r="E2214" s="41" t="s">
        <v>429</v>
      </c>
      <c r="F2214" s="18" t="str">
        <f>IFERROR(__xludf.DUMMYFUNCTION("if(REGEXMATCH(C2214,""x.com"")=TRUE,""Twitter"",if(REGEXMATCH(C2214,""facebook"")=TRUE,""Facebook"",if(REGEXMATCH(C2214,""instagram"")=TRUE,""Instagram"",if(REGEXMATCH(C2214,""youtube"")=TRUE,""Youtube"",if(REGEXMATCH(C2214,""tiktok"")=TRUE,""Tiktok"",if("&amp;"REGEXMATCH(C2214,""threads"")=TRUE,""Threads""))))))"),"Twitter")</f>
        <v>Twitter</v>
      </c>
      <c r="G2214" s="41" t="s">
        <v>3742</v>
      </c>
      <c r="H2214" s="41"/>
      <c r="I2214" s="41"/>
      <c r="J2214" s="41" t="s">
        <v>422</v>
      </c>
      <c r="K2214" s="41"/>
      <c r="L2214" s="42"/>
    </row>
    <row r="2215">
      <c r="A2215" s="15">
        <v>2214.0</v>
      </c>
      <c r="B2215" s="39">
        <v>45986.0</v>
      </c>
      <c r="C2215" s="59" t="s">
        <v>3743</v>
      </c>
      <c r="D2215" s="41"/>
      <c r="E2215" s="41" t="s">
        <v>429</v>
      </c>
      <c r="F2215" s="18" t="str">
        <f>IFERROR(__xludf.DUMMYFUNCTION("if(REGEXMATCH(C2215,""x.com"")=TRUE,""Twitter"",if(REGEXMATCH(C2215,""facebook"")=TRUE,""Facebook"",if(REGEXMATCH(C2215,""instagram"")=TRUE,""Instagram"",if(REGEXMATCH(C2215,""youtube"")=TRUE,""Youtube"",if(REGEXMATCH(C2215,""tiktok"")=TRUE,""Tiktok"",if("&amp;"REGEXMATCH(C2215,""threads"")=TRUE,""Threads""))))))"),"Twitter")</f>
        <v>Twitter</v>
      </c>
      <c r="G2215" s="41" t="s">
        <v>3744</v>
      </c>
      <c r="H2215" s="41"/>
      <c r="I2215" s="41"/>
      <c r="J2215" s="41" t="s">
        <v>422</v>
      </c>
      <c r="K2215" s="41"/>
      <c r="L2215" s="42"/>
    </row>
    <row r="2216">
      <c r="A2216" s="15">
        <v>2215.0</v>
      </c>
      <c r="B2216" s="39">
        <v>45986.0</v>
      </c>
      <c r="C2216" s="59" t="s">
        <v>3745</v>
      </c>
      <c r="D2216" s="41"/>
      <c r="E2216" s="41" t="s">
        <v>202</v>
      </c>
      <c r="F2216" s="18" t="str">
        <f>IFERROR(__xludf.DUMMYFUNCTION("if(REGEXMATCH(C2216,""x.com"")=TRUE,""Twitter"",if(REGEXMATCH(C2216,""facebook"")=TRUE,""Facebook"",if(REGEXMATCH(C2216,""instagram"")=TRUE,""Instagram"",if(REGEXMATCH(C2216,""youtube"")=TRUE,""Youtube"",if(REGEXMATCH(C2216,""tiktok"")=TRUE,""Tiktok"",if("&amp;"REGEXMATCH(C2216,""threads"")=TRUE,""Threads""))))))"),"Twitter")</f>
        <v>Twitter</v>
      </c>
      <c r="G2216" s="41" t="s">
        <v>3746</v>
      </c>
      <c r="H2216" s="41"/>
      <c r="I2216" s="41"/>
      <c r="J2216" s="41" t="s">
        <v>422</v>
      </c>
      <c r="K2216" s="41"/>
      <c r="L2216" s="42"/>
    </row>
    <row r="2217">
      <c r="A2217" s="15">
        <v>2216.0</v>
      </c>
      <c r="B2217" s="39">
        <v>45986.0</v>
      </c>
      <c r="C2217" s="59" t="s">
        <v>3747</v>
      </c>
      <c r="D2217" s="41"/>
      <c r="E2217" s="41" t="s">
        <v>202</v>
      </c>
      <c r="F2217" s="18" t="str">
        <f>IFERROR(__xludf.DUMMYFUNCTION("if(REGEXMATCH(C2217,""x.com"")=TRUE,""Twitter"",if(REGEXMATCH(C2217,""facebook"")=TRUE,""Facebook"",if(REGEXMATCH(C2217,""instagram"")=TRUE,""Instagram"",if(REGEXMATCH(C2217,""youtube"")=TRUE,""Youtube"",if(REGEXMATCH(C2217,""tiktok"")=TRUE,""Tiktok"",if("&amp;"REGEXMATCH(C2217,""threads"")=TRUE,""Threads""))))))"),"Twitter")</f>
        <v>Twitter</v>
      </c>
      <c r="G2217" s="41" t="s">
        <v>3748</v>
      </c>
      <c r="H2217" s="41"/>
      <c r="I2217" s="41"/>
      <c r="J2217" s="41" t="s">
        <v>422</v>
      </c>
      <c r="K2217" s="41"/>
      <c r="L2217" s="42"/>
    </row>
    <row r="2218">
      <c r="A2218" s="15">
        <v>2217.0</v>
      </c>
      <c r="B2218" s="39">
        <v>45987.0</v>
      </c>
      <c r="C2218" s="44" t="s">
        <v>3749</v>
      </c>
      <c r="D2218" s="41"/>
      <c r="E2218" s="41" t="s">
        <v>401</v>
      </c>
      <c r="F2218" s="18" t="str">
        <f>IFERROR(__xludf.DUMMYFUNCTION("if(REGEXMATCH(C2218,""x.com"")=TRUE,""Twitter"",if(REGEXMATCH(C2218,""facebook"")=TRUE,""Facebook"",if(REGEXMATCH(C2218,""instagram"")=TRUE,""Instagram"",if(REGEXMATCH(C2218,""youtube"")=TRUE,""Youtube"",if(REGEXMATCH(C2218,""tiktok"")=TRUE,""Tiktok"",if("&amp;"REGEXMATCH(C2218,""threads"")=TRUE,""Threads""))))))"),"Facebook")</f>
        <v>Facebook</v>
      </c>
      <c r="G2218" s="41" t="s">
        <v>937</v>
      </c>
      <c r="H2218" s="41" t="s">
        <v>1542</v>
      </c>
      <c r="I2218" s="41" t="s">
        <v>939</v>
      </c>
      <c r="J2218" s="41" t="s">
        <v>188</v>
      </c>
      <c r="K2218" s="41"/>
      <c r="L2218" s="42"/>
    </row>
    <row r="2219">
      <c r="A2219" s="15">
        <v>2218.0</v>
      </c>
      <c r="B2219" s="39">
        <v>45987.0</v>
      </c>
      <c r="C2219" s="44" t="s">
        <v>3750</v>
      </c>
      <c r="D2219" s="41"/>
      <c r="E2219" s="41" t="s">
        <v>401</v>
      </c>
      <c r="F2219" s="18" t="str">
        <f>IFERROR(__xludf.DUMMYFUNCTION("if(REGEXMATCH(C2219,""x.com"")=TRUE,""Twitter"",if(REGEXMATCH(C2219,""facebook"")=TRUE,""Facebook"",if(REGEXMATCH(C2219,""instagram"")=TRUE,""Instagram"",if(REGEXMATCH(C2219,""youtube"")=TRUE,""Youtube"",if(REGEXMATCH(C2219,""tiktok"")=TRUE,""Tiktok"",if("&amp;"REGEXMATCH(C2219,""threads"")=TRUE,""Threads""))))))"),"Facebook")</f>
        <v>Facebook</v>
      </c>
      <c r="G2219" s="41" t="s">
        <v>937</v>
      </c>
      <c r="H2219" s="41" t="s">
        <v>1542</v>
      </c>
      <c r="I2219" s="41" t="s">
        <v>939</v>
      </c>
      <c r="J2219" s="41" t="s">
        <v>188</v>
      </c>
      <c r="K2219" s="41" t="s">
        <v>3751</v>
      </c>
      <c r="L2219" s="42"/>
    </row>
    <row r="2220">
      <c r="A2220" s="15">
        <v>2219.0</v>
      </c>
      <c r="B2220" s="39">
        <v>45987.0</v>
      </c>
      <c r="C2220" s="44" t="s">
        <v>3752</v>
      </c>
      <c r="D2220" s="41"/>
      <c r="E2220" s="41" t="s">
        <v>401</v>
      </c>
      <c r="F2220" s="18" t="str">
        <f>IFERROR(__xludf.DUMMYFUNCTION("if(REGEXMATCH(C2220,""x.com"")=TRUE,""Twitter"",if(REGEXMATCH(C2220,""facebook"")=TRUE,""Facebook"",if(REGEXMATCH(C2220,""instagram"")=TRUE,""Instagram"",if(REGEXMATCH(C2220,""youtube"")=TRUE,""Youtube"",if(REGEXMATCH(C2220,""tiktok"")=TRUE,""Tiktok"",if("&amp;"REGEXMATCH(C2220,""threads"")=TRUE,""Threads""))))))"),"Facebook")</f>
        <v>Facebook</v>
      </c>
      <c r="G2220" s="41" t="s">
        <v>937</v>
      </c>
      <c r="H2220" s="41" t="s">
        <v>1542</v>
      </c>
      <c r="I2220" s="41" t="s">
        <v>939</v>
      </c>
      <c r="J2220" s="41" t="s">
        <v>188</v>
      </c>
      <c r="K2220" s="41"/>
      <c r="L2220" s="42"/>
    </row>
    <row r="2221">
      <c r="A2221" s="15">
        <v>2220.0</v>
      </c>
      <c r="B2221" s="39">
        <v>45987.0</v>
      </c>
      <c r="C2221" s="44" t="s">
        <v>3753</v>
      </c>
      <c r="D2221" s="41"/>
      <c r="E2221" s="41" t="s">
        <v>401</v>
      </c>
      <c r="F2221" s="18" t="str">
        <f>IFERROR(__xludf.DUMMYFUNCTION("if(REGEXMATCH(C2221,""x.com"")=TRUE,""Twitter"",if(REGEXMATCH(C2221,""facebook"")=TRUE,""Facebook"",if(REGEXMATCH(C2221,""instagram"")=TRUE,""Instagram"",if(REGEXMATCH(C2221,""youtube"")=TRUE,""Youtube"",if(REGEXMATCH(C2221,""tiktok"")=TRUE,""Tiktok"",if("&amp;"REGEXMATCH(C2221,""threads"")=TRUE,""Threads""))))))"),"Facebook")</f>
        <v>Facebook</v>
      </c>
      <c r="G2221" s="41" t="s">
        <v>937</v>
      </c>
      <c r="H2221" s="41" t="s">
        <v>1542</v>
      </c>
      <c r="I2221" s="41" t="s">
        <v>939</v>
      </c>
      <c r="J2221" s="41" t="s">
        <v>188</v>
      </c>
      <c r="K2221" s="41"/>
      <c r="L2221" s="42"/>
    </row>
    <row r="2222">
      <c r="A2222" s="15">
        <v>2221.0</v>
      </c>
      <c r="B2222" s="39">
        <v>45987.0</v>
      </c>
      <c r="C2222" s="44" t="s">
        <v>3754</v>
      </c>
      <c r="D2222" s="41"/>
      <c r="E2222" s="41" t="s">
        <v>401</v>
      </c>
      <c r="F2222" s="18" t="str">
        <f>IFERROR(__xludf.DUMMYFUNCTION("if(REGEXMATCH(C2222,""x.com"")=TRUE,""Twitter"",if(REGEXMATCH(C2222,""facebook"")=TRUE,""Facebook"",if(REGEXMATCH(C2222,""instagram"")=TRUE,""Instagram"",if(REGEXMATCH(C2222,""youtube"")=TRUE,""Youtube"",if(REGEXMATCH(C2222,""tiktok"")=TRUE,""Tiktok"",if("&amp;"REGEXMATCH(C2222,""threads"")=TRUE,""Threads""))))))"),"Facebook")</f>
        <v>Facebook</v>
      </c>
      <c r="G2222" s="41" t="s">
        <v>937</v>
      </c>
      <c r="H2222" s="41" t="s">
        <v>1542</v>
      </c>
      <c r="I2222" s="41" t="s">
        <v>939</v>
      </c>
      <c r="J2222" s="41" t="s">
        <v>188</v>
      </c>
      <c r="K2222" s="41"/>
      <c r="L2222" s="42"/>
    </row>
    <row r="2223">
      <c r="A2223" s="15">
        <v>2222.0</v>
      </c>
      <c r="B2223" s="39">
        <v>45987.0</v>
      </c>
      <c r="C2223" s="44" t="s">
        <v>3755</v>
      </c>
      <c r="D2223" s="41"/>
      <c r="E2223" s="41" t="s">
        <v>401</v>
      </c>
      <c r="F2223" s="18" t="str">
        <f>IFERROR(__xludf.DUMMYFUNCTION("if(REGEXMATCH(C2223,""x.com"")=TRUE,""Twitter"",if(REGEXMATCH(C2223,""facebook"")=TRUE,""Facebook"",if(REGEXMATCH(C2223,""instagram"")=TRUE,""Instagram"",if(REGEXMATCH(C2223,""youtube"")=TRUE,""Youtube"",if(REGEXMATCH(C2223,""tiktok"")=TRUE,""Tiktok"",if("&amp;"REGEXMATCH(C2223,""threads"")=TRUE,""Threads""))))))"),"Facebook")</f>
        <v>Facebook</v>
      </c>
      <c r="G2223" s="41" t="s">
        <v>937</v>
      </c>
      <c r="H2223" s="41" t="s">
        <v>1542</v>
      </c>
      <c r="I2223" s="41" t="s">
        <v>939</v>
      </c>
      <c r="J2223" s="41" t="s">
        <v>188</v>
      </c>
      <c r="K2223" s="41"/>
      <c r="L2223" s="42"/>
    </row>
    <row r="2224">
      <c r="A2224" s="15">
        <v>2223.0</v>
      </c>
      <c r="B2224" s="39">
        <v>45987.0</v>
      </c>
      <c r="C2224" s="49" t="s">
        <v>3756</v>
      </c>
      <c r="D2224" s="41"/>
      <c r="E2224" s="41" t="s">
        <v>401</v>
      </c>
      <c r="F2224" s="18" t="str">
        <f>IFERROR(__xludf.DUMMYFUNCTION("if(REGEXMATCH(C2224,""x.com"")=TRUE,""Twitter"",if(REGEXMATCH(C2224,""facebook"")=TRUE,""Facebook"",if(REGEXMATCH(C2224,""instagram"")=TRUE,""Instagram"",if(REGEXMATCH(C2224,""youtube"")=TRUE,""Youtube"",if(REGEXMATCH(C2224,""tiktok"")=TRUE,""Tiktok"",if("&amp;"REGEXMATCH(C2224,""threads"")=TRUE,""Threads""))))))"),"Facebook")</f>
        <v>Facebook</v>
      </c>
      <c r="G2224" s="41" t="s">
        <v>937</v>
      </c>
      <c r="H2224" s="41" t="s">
        <v>1542</v>
      </c>
      <c r="I2224" s="41" t="s">
        <v>939</v>
      </c>
      <c r="J2224" s="41" t="s">
        <v>188</v>
      </c>
      <c r="K2224" s="18"/>
      <c r="L2224" s="42"/>
    </row>
    <row r="2225">
      <c r="A2225" s="15">
        <v>2224.0</v>
      </c>
      <c r="B2225" s="39">
        <v>45987.0</v>
      </c>
      <c r="C2225" s="48" t="s">
        <v>3757</v>
      </c>
      <c r="D2225" s="41"/>
      <c r="E2225" s="41" t="s">
        <v>401</v>
      </c>
      <c r="F2225" s="18" t="str">
        <f>IFERROR(__xludf.DUMMYFUNCTION("if(REGEXMATCH(C2225,""x.com"")=TRUE,""Twitter"",if(REGEXMATCH(C2225,""facebook"")=TRUE,""Facebook"",if(REGEXMATCH(C2225,""instagram"")=TRUE,""Instagram"",if(REGEXMATCH(C2225,""youtube"")=TRUE,""Youtube"",if(REGEXMATCH(C2225,""tiktok"")=TRUE,""Tiktok"",if("&amp;"REGEXMATCH(C2225,""threads"")=TRUE,""Threads""))))))"),"Facebook")</f>
        <v>Facebook</v>
      </c>
      <c r="G2225" s="41" t="s">
        <v>937</v>
      </c>
      <c r="H2225" s="41" t="s">
        <v>1542</v>
      </c>
      <c r="I2225" s="41" t="s">
        <v>939</v>
      </c>
      <c r="J2225" s="41" t="s">
        <v>188</v>
      </c>
      <c r="K2225" s="41"/>
      <c r="L2225" s="42"/>
    </row>
    <row r="2226">
      <c r="A2226" s="15">
        <v>2225.0</v>
      </c>
      <c r="B2226" s="39">
        <v>45987.0</v>
      </c>
      <c r="C2226" s="48" t="s">
        <v>3758</v>
      </c>
      <c r="D2226" s="41"/>
      <c r="E2226" s="41" t="s">
        <v>401</v>
      </c>
      <c r="F2226" s="18" t="str">
        <f>IFERROR(__xludf.DUMMYFUNCTION("if(REGEXMATCH(C2226,""x.com"")=TRUE,""Twitter"",if(REGEXMATCH(C2226,""facebook"")=TRUE,""Facebook"",if(REGEXMATCH(C2226,""instagram"")=TRUE,""Instagram"",if(REGEXMATCH(C2226,""youtube"")=TRUE,""Youtube"",if(REGEXMATCH(C2226,""tiktok"")=TRUE,""Tiktok"",if("&amp;"REGEXMATCH(C2226,""threads"")=TRUE,""Threads""))))))"),"Facebook")</f>
        <v>Facebook</v>
      </c>
      <c r="G2226" s="41" t="s">
        <v>937</v>
      </c>
      <c r="H2226" s="41" t="s">
        <v>1542</v>
      </c>
      <c r="I2226" s="41" t="s">
        <v>939</v>
      </c>
      <c r="J2226" s="41" t="s">
        <v>188</v>
      </c>
      <c r="K2226" s="41"/>
      <c r="L2226" s="42"/>
    </row>
    <row r="2227">
      <c r="A2227" s="15">
        <v>2226.0</v>
      </c>
      <c r="B2227" s="39">
        <v>45987.0</v>
      </c>
      <c r="C2227" s="40" t="s">
        <v>3759</v>
      </c>
      <c r="D2227" s="41"/>
      <c r="E2227" s="41" t="s">
        <v>401</v>
      </c>
      <c r="F2227" s="18" t="str">
        <f>IFERROR(__xludf.DUMMYFUNCTION("if(REGEXMATCH(C2227,""x.com"")=TRUE,""Twitter"",if(REGEXMATCH(C2227,""facebook"")=TRUE,""Facebook"",if(REGEXMATCH(C2227,""instagram"")=TRUE,""Instagram"",if(REGEXMATCH(C2227,""youtube"")=TRUE,""Youtube"",if(REGEXMATCH(C2227,""tiktok"")=TRUE,""Tiktok"",if("&amp;"REGEXMATCH(C2227,""threads"")=TRUE,""Threads""))))))"),"Facebook")</f>
        <v>Facebook</v>
      </c>
      <c r="G2227" s="41" t="s">
        <v>937</v>
      </c>
      <c r="H2227" s="41" t="s">
        <v>1542</v>
      </c>
      <c r="I2227" s="41" t="s">
        <v>939</v>
      </c>
      <c r="J2227" s="41" t="s">
        <v>188</v>
      </c>
      <c r="K2227" s="41"/>
      <c r="L2227" s="42"/>
    </row>
    <row r="2228">
      <c r="A2228" s="15">
        <v>2227.0</v>
      </c>
      <c r="B2228" s="39">
        <v>45987.0</v>
      </c>
      <c r="C2228" s="44" t="s">
        <v>3760</v>
      </c>
      <c r="D2228" s="41"/>
      <c r="E2228" s="41" t="s">
        <v>401</v>
      </c>
      <c r="F2228" s="18" t="str">
        <f>IFERROR(__xludf.DUMMYFUNCTION("if(REGEXMATCH(C2228,""x.com"")=TRUE,""Twitter"",if(REGEXMATCH(C2228,""facebook"")=TRUE,""Facebook"",if(REGEXMATCH(C2228,""instagram"")=TRUE,""Instagram"",if(REGEXMATCH(C2228,""youtube"")=TRUE,""Youtube"",if(REGEXMATCH(C2228,""tiktok"")=TRUE,""Tiktok"",if("&amp;"REGEXMATCH(C2228,""threads"")=TRUE,""Threads""))))))"),"Facebook")</f>
        <v>Facebook</v>
      </c>
      <c r="G2228" s="41" t="s">
        <v>937</v>
      </c>
      <c r="H2228" s="41" t="s">
        <v>1542</v>
      </c>
      <c r="I2228" s="41" t="s">
        <v>939</v>
      </c>
      <c r="J2228" s="41" t="s">
        <v>188</v>
      </c>
      <c r="K2228" s="41"/>
      <c r="L2228" s="42"/>
    </row>
    <row r="2229">
      <c r="A2229" s="15">
        <v>2228.0</v>
      </c>
      <c r="B2229" s="39">
        <v>45987.0</v>
      </c>
      <c r="C2229" s="49" t="s">
        <v>3761</v>
      </c>
      <c r="D2229" s="41"/>
      <c r="E2229" s="41" t="s">
        <v>401</v>
      </c>
      <c r="F2229" s="18" t="str">
        <f>IFERROR(__xludf.DUMMYFUNCTION("if(REGEXMATCH(C2229,""x.com"")=TRUE,""Twitter"",if(REGEXMATCH(C2229,""facebook"")=TRUE,""Facebook"",if(REGEXMATCH(C2229,""instagram"")=TRUE,""Instagram"",if(REGEXMATCH(C2229,""youtube"")=TRUE,""Youtube"",if(REGEXMATCH(C2229,""tiktok"")=TRUE,""Tiktok"",if("&amp;"REGEXMATCH(C2229,""threads"")=TRUE,""Threads""))))))"),"Facebook")</f>
        <v>Facebook</v>
      </c>
      <c r="G2229" s="41" t="s">
        <v>937</v>
      </c>
      <c r="H2229" s="41" t="s">
        <v>1542</v>
      </c>
      <c r="I2229" s="41" t="s">
        <v>939</v>
      </c>
      <c r="J2229" s="41" t="s">
        <v>188</v>
      </c>
      <c r="K2229" s="41"/>
      <c r="L2229" s="42"/>
    </row>
    <row r="2230">
      <c r="A2230" s="15">
        <v>2229.0</v>
      </c>
      <c r="B2230" s="39">
        <v>45987.0</v>
      </c>
      <c r="C2230" s="48" t="s">
        <v>3762</v>
      </c>
      <c r="D2230" s="41"/>
      <c r="E2230" s="41" t="s">
        <v>401</v>
      </c>
      <c r="F2230" s="18" t="str">
        <f>IFERROR(__xludf.DUMMYFUNCTION("if(REGEXMATCH(C2230,""x.com"")=TRUE,""Twitter"",if(REGEXMATCH(C2230,""facebook"")=TRUE,""Facebook"",if(REGEXMATCH(C2230,""instagram"")=TRUE,""Instagram"",if(REGEXMATCH(C2230,""youtube"")=TRUE,""Youtube"",if(REGEXMATCH(C2230,""tiktok"")=TRUE,""Tiktok"",if("&amp;"REGEXMATCH(C2230,""threads"")=TRUE,""Threads""))))))"),"Facebook")</f>
        <v>Facebook</v>
      </c>
      <c r="G2230" s="41" t="s">
        <v>937</v>
      </c>
      <c r="H2230" s="41" t="s">
        <v>1542</v>
      </c>
      <c r="I2230" s="41" t="s">
        <v>939</v>
      </c>
      <c r="J2230" s="41" t="s">
        <v>188</v>
      </c>
      <c r="K2230" s="41"/>
      <c r="L2230" s="42"/>
    </row>
    <row r="2231">
      <c r="A2231" s="15">
        <v>2230.0</v>
      </c>
      <c r="B2231" s="39">
        <v>45987.0</v>
      </c>
      <c r="C2231" s="48" t="s">
        <v>3763</v>
      </c>
      <c r="D2231" s="41"/>
      <c r="E2231" s="41" t="s">
        <v>401</v>
      </c>
      <c r="F2231" s="18" t="str">
        <f>IFERROR(__xludf.DUMMYFUNCTION("if(REGEXMATCH(C2231,""x.com"")=TRUE,""Twitter"",if(REGEXMATCH(C2231,""facebook"")=TRUE,""Facebook"",if(REGEXMATCH(C2231,""instagram"")=TRUE,""Instagram"",if(REGEXMATCH(C2231,""youtube"")=TRUE,""Youtube"",if(REGEXMATCH(C2231,""tiktok"")=TRUE,""Tiktok"",if("&amp;"REGEXMATCH(C2231,""threads"")=TRUE,""Threads""))))))"),"Facebook")</f>
        <v>Facebook</v>
      </c>
      <c r="G2231" s="41" t="s">
        <v>937</v>
      </c>
      <c r="H2231" s="41" t="s">
        <v>1542</v>
      </c>
      <c r="I2231" s="41" t="s">
        <v>939</v>
      </c>
      <c r="J2231" s="41" t="s">
        <v>188</v>
      </c>
      <c r="K2231" s="41"/>
      <c r="L2231" s="42"/>
    </row>
    <row r="2232">
      <c r="A2232" s="15">
        <v>2231.0</v>
      </c>
      <c r="B2232" s="39">
        <v>45987.0</v>
      </c>
      <c r="C2232" s="48" t="s">
        <v>3764</v>
      </c>
      <c r="D2232" s="41"/>
      <c r="E2232" s="41" t="s">
        <v>401</v>
      </c>
      <c r="F2232" s="18" t="str">
        <f>IFERROR(__xludf.DUMMYFUNCTION("if(REGEXMATCH(C2232,""x.com"")=TRUE,""Twitter"",if(REGEXMATCH(C2232,""facebook"")=TRUE,""Facebook"",if(REGEXMATCH(C2232,""instagram"")=TRUE,""Instagram"",if(REGEXMATCH(C2232,""youtube"")=TRUE,""Youtube"",if(REGEXMATCH(C2232,""tiktok"")=TRUE,""Tiktok"",if("&amp;"REGEXMATCH(C2232,""threads"")=TRUE,""Threads""))))))"),"Facebook")</f>
        <v>Facebook</v>
      </c>
      <c r="G2232" s="41" t="s">
        <v>937</v>
      </c>
      <c r="H2232" s="41" t="s">
        <v>1542</v>
      </c>
      <c r="I2232" s="41" t="s">
        <v>939</v>
      </c>
      <c r="J2232" s="41" t="s">
        <v>188</v>
      </c>
      <c r="K2232" s="18"/>
      <c r="L2232" s="42"/>
    </row>
    <row r="2233">
      <c r="A2233" s="15">
        <v>2232.0</v>
      </c>
      <c r="B2233" s="39">
        <v>45987.0</v>
      </c>
      <c r="C2233" s="40" t="s">
        <v>3765</v>
      </c>
      <c r="D2233" s="41"/>
      <c r="E2233" s="41" t="s">
        <v>197</v>
      </c>
      <c r="F2233" s="18" t="str">
        <f>IFERROR(__xludf.DUMMYFUNCTION("if(REGEXMATCH(C2233,""x.com"")=TRUE,""Twitter"",if(REGEXMATCH(C2233,""facebook"")=TRUE,""Facebook"",if(REGEXMATCH(C2233,""instagram"")=TRUE,""Instagram"",if(REGEXMATCH(C2233,""youtube"")=TRUE,""Youtube"",if(REGEXMATCH(C2233,""tiktok"")=TRUE,""Tiktok"",if("&amp;"REGEXMATCH(C2233,""threads"")=TRUE,""Threads""))))))"),"Facebook")</f>
        <v>Facebook</v>
      </c>
      <c r="G2233" s="41" t="s">
        <v>3766</v>
      </c>
      <c r="H2233" s="43" t="s">
        <v>1782</v>
      </c>
      <c r="I2233" s="43" t="s">
        <v>535</v>
      </c>
      <c r="J2233" s="41" t="s">
        <v>188</v>
      </c>
      <c r="K2233" s="41" t="s">
        <v>1611</v>
      </c>
      <c r="L2233" s="42"/>
    </row>
    <row r="2234">
      <c r="A2234" s="15">
        <v>2233.0</v>
      </c>
      <c r="B2234" s="39">
        <v>45987.0</v>
      </c>
      <c r="C2234" s="40" t="s">
        <v>3767</v>
      </c>
      <c r="D2234" s="41"/>
      <c r="E2234" s="41" t="s">
        <v>1146</v>
      </c>
      <c r="F2234" s="18" t="str">
        <f>IFERROR(__xludf.DUMMYFUNCTION("if(REGEXMATCH(C2234,""x.com"")=TRUE,""Twitter"",if(REGEXMATCH(C2234,""facebook"")=TRUE,""Facebook"",if(REGEXMATCH(C2234,""instagram"")=TRUE,""Instagram"",if(REGEXMATCH(C2234,""youtube"")=TRUE,""Youtube"",if(REGEXMATCH(C2234,""tiktok"")=TRUE,""Tiktok"",if("&amp;"REGEXMATCH(C2234,""threads"")=TRUE,""Threads""))))))"),"Facebook")</f>
        <v>Facebook</v>
      </c>
      <c r="G2234" s="41" t="s">
        <v>3768</v>
      </c>
      <c r="H2234" s="36"/>
      <c r="I2234" s="36"/>
      <c r="J2234" s="41" t="s">
        <v>188</v>
      </c>
      <c r="K2234" s="41" t="s">
        <v>1611</v>
      </c>
      <c r="L2234" s="42"/>
    </row>
    <row r="2235">
      <c r="A2235" s="15">
        <v>2234.0</v>
      </c>
      <c r="B2235" s="39">
        <v>45987.0</v>
      </c>
      <c r="C2235" s="40" t="s">
        <v>3769</v>
      </c>
      <c r="D2235" s="41"/>
      <c r="E2235" s="41" t="s">
        <v>1146</v>
      </c>
      <c r="F2235" s="18" t="str">
        <f>IFERROR(__xludf.DUMMYFUNCTION("if(REGEXMATCH(C2235,""x.com"")=TRUE,""Twitter"",if(REGEXMATCH(C2235,""facebook"")=TRUE,""Facebook"",if(REGEXMATCH(C2235,""instagram"")=TRUE,""Instagram"",if(REGEXMATCH(C2235,""youtube"")=TRUE,""Youtube"",if(REGEXMATCH(C2235,""tiktok"")=TRUE,""Tiktok"",if("&amp;"REGEXMATCH(C2235,""threads"")=TRUE,""Threads""))))))"),"Facebook")</f>
        <v>Facebook</v>
      </c>
      <c r="G2235" s="41" t="s">
        <v>3770</v>
      </c>
      <c r="H2235" s="36"/>
      <c r="I2235" s="36"/>
      <c r="J2235" s="41" t="s">
        <v>188</v>
      </c>
      <c r="K2235" s="41" t="s">
        <v>1611</v>
      </c>
      <c r="L2235" s="42"/>
    </row>
    <row r="2236">
      <c r="A2236" s="15">
        <v>2235.0</v>
      </c>
      <c r="B2236" s="39">
        <v>45987.0</v>
      </c>
      <c r="C2236" s="40" t="s">
        <v>3771</v>
      </c>
      <c r="D2236" s="41"/>
      <c r="E2236" s="41" t="s">
        <v>1146</v>
      </c>
      <c r="F2236" s="18" t="str">
        <f>IFERROR(__xludf.DUMMYFUNCTION("if(REGEXMATCH(C2236,""x.com"")=TRUE,""Twitter"",if(REGEXMATCH(C2236,""facebook"")=TRUE,""Facebook"",if(REGEXMATCH(C2236,""instagram"")=TRUE,""Instagram"",if(REGEXMATCH(C2236,""youtube"")=TRUE,""Youtube"",if(REGEXMATCH(C2236,""tiktok"")=TRUE,""Tiktok"",if("&amp;"REGEXMATCH(C2236,""threads"")=TRUE,""Threads""))))))"),"Facebook")</f>
        <v>Facebook</v>
      </c>
      <c r="G2236" s="41" t="s">
        <v>3772</v>
      </c>
      <c r="H2236" s="36"/>
      <c r="I2236" s="36"/>
      <c r="J2236" s="41" t="s">
        <v>188</v>
      </c>
      <c r="K2236" s="41" t="s">
        <v>1611</v>
      </c>
      <c r="L2236" s="42"/>
    </row>
    <row r="2237">
      <c r="A2237" s="15">
        <v>2236.0</v>
      </c>
      <c r="B2237" s="39">
        <v>45987.0</v>
      </c>
      <c r="C2237" s="40" t="s">
        <v>3773</v>
      </c>
      <c r="D2237" s="41"/>
      <c r="E2237" s="41" t="s">
        <v>1146</v>
      </c>
      <c r="F2237" s="18" t="str">
        <f>IFERROR(__xludf.DUMMYFUNCTION("if(REGEXMATCH(C2237,""x.com"")=TRUE,""Twitter"",if(REGEXMATCH(C2237,""facebook"")=TRUE,""Facebook"",if(REGEXMATCH(C2237,""instagram"")=TRUE,""Instagram"",if(REGEXMATCH(C2237,""youtube"")=TRUE,""Youtube"",if(REGEXMATCH(C2237,""tiktok"")=TRUE,""Tiktok"",if("&amp;"REGEXMATCH(C2237,""threads"")=TRUE,""Threads""))))))"),"Facebook")</f>
        <v>Facebook</v>
      </c>
      <c r="G2237" s="41" t="s">
        <v>3774</v>
      </c>
      <c r="H2237" s="36"/>
      <c r="I2237" s="36"/>
      <c r="J2237" s="41" t="s">
        <v>188</v>
      </c>
      <c r="K2237" s="41" t="s">
        <v>1611</v>
      </c>
      <c r="L2237" s="42"/>
    </row>
    <row r="2238">
      <c r="A2238" s="15">
        <v>2237.0</v>
      </c>
      <c r="B2238" s="39">
        <v>45987.0</v>
      </c>
      <c r="C2238" s="40" t="s">
        <v>3775</v>
      </c>
      <c r="D2238" s="41"/>
      <c r="E2238" s="41" t="s">
        <v>1146</v>
      </c>
      <c r="F2238" s="18" t="str">
        <f>IFERROR(__xludf.DUMMYFUNCTION("if(REGEXMATCH(C2238,""x.com"")=TRUE,""Twitter"",if(REGEXMATCH(C2238,""facebook"")=TRUE,""Facebook"",if(REGEXMATCH(C2238,""instagram"")=TRUE,""Instagram"",if(REGEXMATCH(C2238,""youtube"")=TRUE,""Youtube"",if(REGEXMATCH(C2238,""tiktok"")=TRUE,""Tiktok"",if("&amp;"REGEXMATCH(C2238,""threads"")=TRUE,""Threads""))))))"),"Facebook")</f>
        <v>Facebook</v>
      </c>
      <c r="G2238" s="41" t="s">
        <v>3712</v>
      </c>
      <c r="H2238" s="36"/>
      <c r="I2238" s="36"/>
      <c r="J2238" s="41" t="s">
        <v>188</v>
      </c>
      <c r="K2238" s="41" t="s">
        <v>1611</v>
      </c>
      <c r="L2238" s="42"/>
    </row>
    <row r="2239">
      <c r="A2239" s="15">
        <v>2238.0</v>
      </c>
      <c r="B2239" s="39">
        <v>45987.0</v>
      </c>
      <c r="C2239" s="40" t="s">
        <v>3776</v>
      </c>
      <c r="D2239" s="41"/>
      <c r="E2239" s="41" t="s">
        <v>1146</v>
      </c>
      <c r="F2239" s="18" t="str">
        <f>IFERROR(__xludf.DUMMYFUNCTION("if(REGEXMATCH(C2239,""x.com"")=TRUE,""Twitter"",if(REGEXMATCH(C2239,""facebook"")=TRUE,""Facebook"",if(REGEXMATCH(C2239,""instagram"")=TRUE,""Instagram"",if(REGEXMATCH(C2239,""youtube"")=TRUE,""Youtube"",if(REGEXMATCH(C2239,""tiktok"")=TRUE,""Tiktok"",if("&amp;"REGEXMATCH(C2239,""threads"")=TRUE,""Threads""))))))"),"Facebook")</f>
        <v>Facebook</v>
      </c>
      <c r="G2239" s="41" t="s">
        <v>3712</v>
      </c>
      <c r="H2239" s="36"/>
      <c r="I2239" s="36"/>
      <c r="J2239" s="41" t="s">
        <v>188</v>
      </c>
      <c r="K2239" s="41" t="s">
        <v>1611</v>
      </c>
      <c r="L2239" s="42"/>
    </row>
    <row r="2240">
      <c r="A2240" s="15">
        <v>2239.0</v>
      </c>
      <c r="B2240" s="39">
        <v>45987.0</v>
      </c>
      <c r="C2240" s="40" t="s">
        <v>3777</v>
      </c>
      <c r="D2240" s="41"/>
      <c r="E2240" s="41" t="s">
        <v>197</v>
      </c>
      <c r="F2240" s="18" t="str">
        <f>IFERROR(__xludf.DUMMYFUNCTION("if(REGEXMATCH(C2240,""x.com"")=TRUE,""Twitter"",if(REGEXMATCH(C2240,""facebook"")=TRUE,""Facebook"",if(REGEXMATCH(C2240,""instagram"")=TRUE,""Instagram"",if(REGEXMATCH(C2240,""youtube"")=TRUE,""Youtube"",if(REGEXMATCH(C2240,""tiktok"")=TRUE,""Tiktok"",if("&amp;"REGEXMATCH(C2240,""threads"")=TRUE,""Threads""))))))"),"Twitter")</f>
        <v>Twitter</v>
      </c>
      <c r="G2240" s="41" t="s">
        <v>3778</v>
      </c>
      <c r="H2240" s="36"/>
      <c r="I2240" s="36"/>
      <c r="J2240" s="41" t="s">
        <v>188</v>
      </c>
      <c r="K2240" s="41" t="s">
        <v>1611</v>
      </c>
      <c r="L2240" s="42"/>
    </row>
    <row r="2241">
      <c r="A2241" s="15">
        <v>2240.0</v>
      </c>
      <c r="B2241" s="39">
        <v>45987.0</v>
      </c>
      <c r="C2241" s="40" t="s">
        <v>3779</v>
      </c>
      <c r="D2241" s="41"/>
      <c r="E2241" s="41" t="s">
        <v>197</v>
      </c>
      <c r="F2241" s="18" t="str">
        <f>IFERROR(__xludf.DUMMYFUNCTION("if(REGEXMATCH(C2241,""x.com"")=TRUE,""Twitter"",if(REGEXMATCH(C2241,""facebook"")=TRUE,""Facebook"",if(REGEXMATCH(C2241,""instagram"")=TRUE,""Instagram"",if(REGEXMATCH(C2241,""youtube"")=TRUE,""Youtube"",if(REGEXMATCH(C2241,""tiktok"")=TRUE,""Tiktok"",if("&amp;"REGEXMATCH(C2241,""threads"")=TRUE,""Threads""))))))"),"Twitter")</f>
        <v>Twitter</v>
      </c>
      <c r="G2241" s="41" t="s">
        <v>3780</v>
      </c>
      <c r="H2241" s="36"/>
      <c r="I2241" s="36"/>
      <c r="J2241" s="41" t="s">
        <v>188</v>
      </c>
      <c r="K2241" s="41"/>
      <c r="L2241" s="42"/>
    </row>
    <row r="2242">
      <c r="A2242" s="15">
        <v>2241.0</v>
      </c>
      <c r="B2242" s="39">
        <v>45987.0</v>
      </c>
      <c r="C2242" s="40" t="s">
        <v>3781</v>
      </c>
      <c r="D2242" s="41"/>
      <c r="E2242" s="41" t="s">
        <v>197</v>
      </c>
      <c r="F2242" s="18" t="str">
        <f>IFERROR(__xludf.DUMMYFUNCTION("if(REGEXMATCH(C2242,""x.com"")=TRUE,""Twitter"",if(REGEXMATCH(C2242,""facebook"")=TRUE,""Facebook"",if(REGEXMATCH(C2242,""instagram"")=TRUE,""Instagram"",if(REGEXMATCH(C2242,""youtube"")=TRUE,""Youtube"",if(REGEXMATCH(C2242,""tiktok"")=TRUE,""Tiktok"",if("&amp;"REGEXMATCH(C2242,""threads"")=TRUE,""Threads""))))))"),"Twitter")</f>
        <v>Twitter</v>
      </c>
      <c r="G2242" s="41" t="s">
        <v>3782</v>
      </c>
      <c r="H2242" s="36"/>
      <c r="I2242" s="36"/>
      <c r="J2242" s="41" t="s">
        <v>188</v>
      </c>
      <c r="K2242" s="41"/>
      <c r="L2242" s="42"/>
    </row>
    <row r="2243">
      <c r="A2243" s="15">
        <v>2242.0</v>
      </c>
      <c r="B2243" s="39">
        <v>45987.0</v>
      </c>
      <c r="C2243" s="40" t="s">
        <v>3783</v>
      </c>
      <c r="D2243" s="41"/>
      <c r="E2243" s="41" t="s">
        <v>197</v>
      </c>
      <c r="F2243" s="18" t="str">
        <f>IFERROR(__xludf.DUMMYFUNCTION("if(REGEXMATCH(C2243,""x.com"")=TRUE,""Twitter"",if(REGEXMATCH(C2243,""facebook"")=TRUE,""Facebook"",if(REGEXMATCH(C2243,""instagram"")=TRUE,""Instagram"",if(REGEXMATCH(C2243,""youtube"")=TRUE,""Youtube"",if(REGEXMATCH(C2243,""tiktok"")=TRUE,""Tiktok"",if("&amp;"REGEXMATCH(C2243,""threads"")=TRUE,""Threads""))))))"),"Twitter")</f>
        <v>Twitter</v>
      </c>
      <c r="G2243" s="41" t="s">
        <v>3784</v>
      </c>
      <c r="H2243" s="35"/>
      <c r="I2243" s="35"/>
      <c r="J2243" s="41" t="s">
        <v>188</v>
      </c>
      <c r="K2243" s="41"/>
      <c r="L2243" s="42"/>
    </row>
    <row r="2244">
      <c r="A2244" s="15">
        <v>2243.0</v>
      </c>
      <c r="B2244" s="39">
        <v>45988.0</v>
      </c>
      <c r="C2244" s="40" t="s">
        <v>3785</v>
      </c>
      <c r="D2244" s="41"/>
      <c r="E2244" s="41" t="s">
        <v>197</v>
      </c>
      <c r="F2244" s="18" t="str">
        <f>IFERROR(__xludf.DUMMYFUNCTION("if(REGEXMATCH(C2244,""x.com"")=TRUE,""Twitter"",if(REGEXMATCH(C2244,""facebook"")=TRUE,""Facebook"",if(REGEXMATCH(C2244,""instagram"")=TRUE,""Instagram"",if(REGEXMATCH(C2244,""youtube"")=TRUE,""Youtube"",if(REGEXMATCH(C2244,""tiktok"")=TRUE,""Tiktok"",if("&amp;"REGEXMATCH(C2244,""threads"")=TRUE,""Threads""))))))"),"Tiktok")</f>
        <v>Tiktok</v>
      </c>
      <c r="G2244" s="41" t="s">
        <v>3786</v>
      </c>
      <c r="H2244" s="41" t="s">
        <v>3787</v>
      </c>
      <c r="I2244" s="41" t="s">
        <v>535</v>
      </c>
      <c r="J2244" s="41" t="s">
        <v>188</v>
      </c>
      <c r="K2244" s="41" t="s">
        <v>1611</v>
      </c>
      <c r="L2244" s="42"/>
    </row>
    <row r="2245">
      <c r="A2245" s="15">
        <v>2244.0</v>
      </c>
      <c r="B2245" s="39">
        <v>45988.0</v>
      </c>
      <c r="C2245" s="44" t="s">
        <v>3788</v>
      </c>
      <c r="D2245" s="41"/>
      <c r="E2245" s="41" t="s">
        <v>197</v>
      </c>
      <c r="F2245" s="18" t="str">
        <f>IFERROR(__xludf.DUMMYFUNCTION("if(REGEXMATCH(C2245,""x.com"")=TRUE,""Twitter"",if(REGEXMATCH(C2245,""facebook"")=TRUE,""Facebook"",if(REGEXMATCH(C2245,""instagram"")=TRUE,""Instagram"",if(REGEXMATCH(C2245,""youtube"")=TRUE,""Youtube"",if(REGEXMATCH(C2245,""tiktok"")=TRUE,""Tiktok"",if("&amp;"REGEXMATCH(C2245,""threads"")=TRUE,""Threads""))))))"),"Twitter")</f>
        <v>Twitter</v>
      </c>
      <c r="G2245" s="41" t="s">
        <v>3789</v>
      </c>
      <c r="H2245" s="52" t="s">
        <v>3790</v>
      </c>
      <c r="I2245" s="41" t="s">
        <v>535</v>
      </c>
      <c r="J2245" s="41" t="s">
        <v>188</v>
      </c>
      <c r="K2245" s="41" t="s">
        <v>1611</v>
      </c>
      <c r="L2245" s="42"/>
    </row>
    <row r="2246">
      <c r="A2246" s="15">
        <v>2245.0</v>
      </c>
      <c r="B2246" s="39">
        <v>45988.0</v>
      </c>
      <c r="C2246" s="44" t="s">
        <v>3791</v>
      </c>
      <c r="D2246" s="41"/>
      <c r="E2246" s="41" t="s">
        <v>3792</v>
      </c>
      <c r="F2246" s="18" t="str">
        <f>IFERROR(__xludf.DUMMYFUNCTION("if(REGEXMATCH(C2246,""x.com"")=TRUE,""Twitter"",if(REGEXMATCH(C2246,""facebook"")=TRUE,""Facebook"",if(REGEXMATCH(C2246,""instagram"")=TRUE,""Instagram"",if(REGEXMATCH(C2246,""youtube"")=TRUE,""Youtube"",if(REGEXMATCH(C2246,""tiktok"")=TRUE,""Tiktok"",if("&amp;"REGEXMATCH(C2246,""threads"")=TRUE,""Threads""))))))"),"Facebook")</f>
        <v>Facebook</v>
      </c>
      <c r="G2246" s="41" t="s">
        <v>3793</v>
      </c>
      <c r="H2246" s="41" t="s">
        <v>2057</v>
      </c>
      <c r="I2246" s="41" t="s">
        <v>535</v>
      </c>
      <c r="J2246" s="41" t="s">
        <v>188</v>
      </c>
      <c r="K2246" s="41" t="s">
        <v>1611</v>
      </c>
      <c r="L2246" s="42"/>
    </row>
    <row r="2247">
      <c r="A2247" s="15">
        <v>2246.0</v>
      </c>
      <c r="B2247" s="39">
        <v>45988.0</v>
      </c>
      <c r="C2247" s="44" t="s">
        <v>3794</v>
      </c>
      <c r="D2247" s="41"/>
      <c r="E2247" s="41" t="s">
        <v>197</v>
      </c>
      <c r="F2247" s="18" t="str">
        <f>IFERROR(__xludf.DUMMYFUNCTION("if(REGEXMATCH(C2247,""x.com"")=TRUE,""Twitter"",if(REGEXMATCH(C2247,""facebook"")=TRUE,""Facebook"",if(REGEXMATCH(C2247,""instagram"")=TRUE,""Instagram"",if(REGEXMATCH(C2247,""youtube"")=TRUE,""Youtube"",if(REGEXMATCH(C2247,""tiktok"")=TRUE,""Tiktok"",if("&amp;"REGEXMATCH(C2247,""threads"")=TRUE,""Threads""))))))"),"Facebook")</f>
        <v>Facebook</v>
      </c>
      <c r="G2247" s="41" t="s">
        <v>3795</v>
      </c>
      <c r="H2247" s="41" t="s">
        <v>3787</v>
      </c>
      <c r="I2247" s="41" t="s">
        <v>535</v>
      </c>
      <c r="J2247" s="41" t="s">
        <v>188</v>
      </c>
      <c r="K2247" s="41" t="s">
        <v>1611</v>
      </c>
      <c r="L2247" s="42"/>
    </row>
    <row r="2248">
      <c r="A2248" s="15">
        <v>2247.0</v>
      </c>
      <c r="B2248" s="39">
        <v>45988.0</v>
      </c>
      <c r="C2248" s="44" t="s">
        <v>3796</v>
      </c>
      <c r="D2248" s="41"/>
      <c r="E2248" s="41" t="s">
        <v>3797</v>
      </c>
      <c r="F2248" s="18" t="str">
        <f>IFERROR(__xludf.DUMMYFUNCTION("if(REGEXMATCH(C2248,""x.com"")=TRUE,""Twitter"",if(REGEXMATCH(C2248,""facebook"")=TRUE,""Facebook"",if(REGEXMATCH(C2248,""instagram"")=TRUE,""Instagram"",if(REGEXMATCH(C2248,""youtube"")=TRUE,""Youtube"",if(REGEXMATCH(C2248,""tiktok"")=TRUE,""Tiktok"",if("&amp;"REGEXMATCH(C2248,""threads"")=TRUE,""Threads""))))))"),"Facebook")</f>
        <v>Facebook</v>
      </c>
      <c r="G2248" s="41" t="s">
        <v>3798</v>
      </c>
      <c r="H2248" s="41" t="s">
        <v>2057</v>
      </c>
      <c r="I2248" s="41" t="s">
        <v>535</v>
      </c>
      <c r="J2248" s="41" t="s">
        <v>188</v>
      </c>
      <c r="K2248" s="41"/>
      <c r="L2248" s="42"/>
    </row>
    <row r="2249">
      <c r="A2249" s="15">
        <v>2248.0</v>
      </c>
      <c r="B2249" s="39">
        <v>45988.0</v>
      </c>
      <c r="C2249" s="44" t="s">
        <v>3799</v>
      </c>
      <c r="D2249" s="41"/>
      <c r="E2249" s="41" t="s">
        <v>197</v>
      </c>
      <c r="F2249" s="18" t="str">
        <f>IFERROR(__xludf.DUMMYFUNCTION("if(REGEXMATCH(C2249,""x.com"")=TRUE,""Twitter"",if(REGEXMATCH(C2249,""facebook"")=TRUE,""Facebook"",if(REGEXMATCH(C2249,""instagram"")=TRUE,""Instagram"",if(REGEXMATCH(C2249,""youtube"")=TRUE,""Youtube"",if(REGEXMATCH(C2249,""tiktok"")=TRUE,""Tiktok"",if("&amp;"REGEXMATCH(C2249,""threads"")=TRUE,""Threads""))))))"),"Facebook")</f>
        <v>Facebook</v>
      </c>
      <c r="G2249" s="41" t="s">
        <v>3800</v>
      </c>
      <c r="H2249" s="41" t="s">
        <v>3787</v>
      </c>
      <c r="I2249" s="41" t="s">
        <v>535</v>
      </c>
      <c r="J2249" s="41" t="s">
        <v>188</v>
      </c>
      <c r="K2249" s="41"/>
      <c r="L2249" s="42"/>
    </row>
    <row r="2250">
      <c r="A2250" s="15">
        <v>2249.0</v>
      </c>
      <c r="B2250" s="39">
        <v>45988.0</v>
      </c>
      <c r="C2250" s="44" t="s">
        <v>3801</v>
      </c>
      <c r="D2250" s="41"/>
      <c r="E2250" s="41" t="s">
        <v>3802</v>
      </c>
      <c r="F2250" s="18" t="str">
        <f>IFERROR(__xludf.DUMMYFUNCTION("if(REGEXMATCH(C2250,""x.com"")=TRUE,""Twitter"",if(REGEXMATCH(C2250,""facebook"")=TRUE,""Facebook"",if(REGEXMATCH(C2250,""instagram"")=TRUE,""Instagram"",if(REGEXMATCH(C2250,""youtube"")=TRUE,""Youtube"",if(REGEXMATCH(C2250,""tiktok"")=TRUE,""Tiktok"",if("&amp;"REGEXMATCH(C2250,""threads"")=TRUE,""Threads""))))))"),"Twitter")</f>
        <v>Twitter</v>
      </c>
      <c r="G2250" s="41" t="s">
        <v>3803</v>
      </c>
      <c r="H2250" s="41" t="s">
        <v>2057</v>
      </c>
      <c r="I2250" s="41" t="s">
        <v>535</v>
      </c>
      <c r="J2250" s="41" t="s">
        <v>188</v>
      </c>
      <c r="K2250" s="41"/>
      <c r="L2250" s="42"/>
    </row>
    <row r="2251">
      <c r="A2251" s="15">
        <v>2250.0</v>
      </c>
      <c r="B2251" s="39">
        <v>45989.0</v>
      </c>
      <c r="C2251" s="40" t="s">
        <v>3804</v>
      </c>
      <c r="D2251" s="41"/>
      <c r="E2251" s="41" t="s">
        <v>197</v>
      </c>
      <c r="F2251" s="18" t="str">
        <f>IFERROR(__xludf.DUMMYFUNCTION("if(REGEXMATCH(C2251,""x.com"")=TRUE,""Twitter"",if(REGEXMATCH(C2251,""facebook"")=TRUE,""Facebook"",if(REGEXMATCH(C2251,""instagram"")=TRUE,""Instagram"",if(REGEXMATCH(C2251,""youtube"")=TRUE,""Youtube"",if(REGEXMATCH(C2251,""tiktok"")=TRUE,""Tiktok"",if("&amp;"REGEXMATCH(C2251,""threads"")=TRUE,""Threads""))))))"),"Tiktok")</f>
        <v>Tiktok</v>
      </c>
      <c r="G2251" s="41" t="s">
        <v>3805</v>
      </c>
      <c r="H2251" s="43" t="s">
        <v>779</v>
      </c>
      <c r="I2251" s="43" t="s">
        <v>535</v>
      </c>
      <c r="J2251" s="41" t="s">
        <v>422</v>
      </c>
      <c r="K2251" s="41"/>
      <c r="L2251" s="42"/>
    </row>
    <row r="2252">
      <c r="A2252" s="15">
        <v>2251.0</v>
      </c>
      <c r="B2252" s="39">
        <v>45989.0</v>
      </c>
      <c r="C2252" s="60" t="s">
        <v>3806</v>
      </c>
      <c r="D2252" s="41"/>
      <c r="E2252" s="61" t="s">
        <v>230</v>
      </c>
      <c r="F2252" s="18" t="str">
        <f>IFERROR(__xludf.DUMMYFUNCTION("if(REGEXMATCH(C2252,""x.com"")=TRUE,""Twitter"",if(REGEXMATCH(C2252,""facebook"")=TRUE,""Facebook"",if(REGEXMATCH(C2252,""instagram"")=TRUE,""Instagram"",if(REGEXMATCH(C2252,""youtube"")=TRUE,""Youtube"",if(REGEXMATCH(C2252,""tiktok"")=TRUE,""Tiktok"",if("&amp;"REGEXMATCH(C2252,""threads"")=TRUE,""Threads""))))))"),"Tiktok")</f>
        <v>Tiktok</v>
      </c>
      <c r="G2252" s="61" t="s">
        <v>3807</v>
      </c>
      <c r="H2252" s="36"/>
      <c r="I2252" s="36"/>
      <c r="J2252" s="41" t="s">
        <v>188</v>
      </c>
      <c r="K2252" s="61" t="s">
        <v>3808</v>
      </c>
      <c r="L2252" s="42"/>
    </row>
    <row r="2253">
      <c r="A2253" s="15">
        <v>2252.0</v>
      </c>
      <c r="B2253" s="39">
        <v>45989.0</v>
      </c>
      <c r="C2253" s="40" t="s">
        <v>3809</v>
      </c>
      <c r="D2253" s="41"/>
      <c r="E2253" s="41" t="s">
        <v>230</v>
      </c>
      <c r="F2253" s="18" t="str">
        <f>IFERROR(__xludf.DUMMYFUNCTION("if(REGEXMATCH(C2253,""x.com"")=TRUE,""Twitter"",if(REGEXMATCH(C2253,""facebook"")=TRUE,""Facebook"",if(REGEXMATCH(C2253,""instagram"")=TRUE,""Instagram"",if(REGEXMATCH(C2253,""youtube"")=TRUE,""Youtube"",if(REGEXMATCH(C2253,""tiktok"")=TRUE,""Tiktok"",if("&amp;"REGEXMATCH(C2253,""threads"")=TRUE,""Threads""))))))"),"Tiktok")</f>
        <v>Tiktok</v>
      </c>
      <c r="G2253" s="41" t="s">
        <v>3810</v>
      </c>
      <c r="H2253" s="36"/>
      <c r="I2253" s="36"/>
      <c r="J2253" s="41" t="s">
        <v>188</v>
      </c>
      <c r="K2253" s="41"/>
      <c r="L2253" s="42"/>
    </row>
    <row r="2254">
      <c r="A2254" s="15">
        <v>2253.0</v>
      </c>
      <c r="B2254" s="39">
        <v>45989.0</v>
      </c>
      <c r="C2254" s="40" t="s">
        <v>3811</v>
      </c>
      <c r="D2254" s="41"/>
      <c r="E2254" s="41" t="s">
        <v>197</v>
      </c>
      <c r="F2254" s="18" t="str">
        <f>IFERROR(__xludf.DUMMYFUNCTION("if(REGEXMATCH(C2254,""x.com"")=TRUE,""Twitter"",if(REGEXMATCH(C2254,""facebook"")=TRUE,""Facebook"",if(REGEXMATCH(C2254,""instagram"")=TRUE,""Instagram"",if(REGEXMATCH(C2254,""youtube"")=TRUE,""Youtube"",if(REGEXMATCH(C2254,""tiktok"")=TRUE,""Tiktok"",if("&amp;"REGEXMATCH(C2254,""threads"")=TRUE,""Threads""))))))"),"Tiktok")</f>
        <v>Tiktok</v>
      </c>
      <c r="G2254" s="41" t="s">
        <v>3812</v>
      </c>
      <c r="H2254" s="36"/>
      <c r="I2254" s="36"/>
      <c r="J2254" s="41" t="s">
        <v>188</v>
      </c>
      <c r="K2254" s="41"/>
      <c r="L2254" s="42"/>
    </row>
    <row r="2255">
      <c r="A2255" s="15">
        <v>2254.0</v>
      </c>
      <c r="B2255" s="39">
        <v>45989.0</v>
      </c>
      <c r="C2255" s="40" t="s">
        <v>3813</v>
      </c>
      <c r="D2255" s="41"/>
      <c r="E2255" s="41" t="s">
        <v>3814</v>
      </c>
      <c r="F2255" s="18" t="str">
        <f>IFERROR(__xludf.DUMMYFUNCTION("if(REGEXMATCH(C2255,""x.com"")=TRUE,""Twitter"",if(REGEXMATCH(C2255,""facebook"")=TRUE,""Facebook"",if(REGEXMATCH(C2255,""instagram"")=TRUE,""Instagram"",if(REGEXMATCH(C2255,""youtube"")=TRUE,""Youtube"",if(REGEXMATCH(C2255,""tiktok"")=TRUE,""Tiktok"",if("&amp;"REGEXMATCH(C2255,""threads"")=TRUE,""Threads""))))))"),"Tiktok")</f>
        <v>Tiktok</v>
      </c>
      <c r="G2255" s="41" t="s">
        <v>3815</v>
      </c>
      <c r="H2255" s="36"/>
      <c r="I2255" s="36"/>
      <c r="J2255" s="41" t="s">
        <v>188</v>
      </c>
      <c r="K2255" s="41"/>
      <c r="L2255" s="42"/>
    </row>
    <row r="2256">
      <c r="A2256" s="15">
        <v>2255.0</v>
      </c>
      <c r="B2256" s="39">
        <v>45989.0</v>
      </c>
      <c r="C2256" s="47" t="s">
        <v>3816</v>
      </c>
      <c r="D2256" s="41"/>
      <c r="E2256" s="41" t="s">
        <v>1178</v>
      </c>
      <c r="F2256" s="18" t="str">
        <f>IFERROR(__xludf.DUMMYFUNCTION("if(REGEXMATCH(C2256,""x.com"")=TRUE,""Twitter"",if(REGEXMATCH(C2256,""facebook"")=TRUE,""Facebook"",if(REGEXMATCH(C2256,""instagram"")=TRUE,""Instagram"",if(REGEXMATCH(C2256,""youtube"")=TRUE,""Youtube"",if(REGEXMATCH(C2256,""tiktok"")=TRUE,""Tiktok"",if("&amp;"REGEXMATCH(C2256,""threads"")=TRUE,""Threads""))))))"),"Twitter")</f>
        <v>Twitter</v>
      </c>
      <c r="G2256" s="41" t="s">
        <v>3817</v>
      </c>
      <c r="H2256" s="36"/>
      <c r="I2256" s="36"/>
      <c r="J2256" s="41" t="s">
        <v>188</v>
      </c>
      <c r="K2256" s="41"/>
      <c r="L2256" s="42"/>
    </row>
    <row r="2257">
      <c r="A2257" s="15">
        <v>2256.0</v>
      </c>
      <c r="B2257" s="39">
        <v>45989.0</v>
      </c>
      <c r="C2257" s="47" t="s">
        <v>3818</v>
      </c>
      <c r="D2257" s="41"/>
      <c r="E2257" s="41" t="s">
        <v>197</v>
      </c>
      <c r="F2257" s="18" t="str">
        <f>IFERROR(__xludf.DUMMYFUNCTION("if(REGEXMATCH(C2257,""x.com"")=TRUE,""Twitter"",if(REGEXMATCH(C2257,""facebook"")=TRUE,""Facebook"",if(REGEXMATCH(C2257,""instagram"")=TRUE,""Instagram"",if(REGEXMATCH(C2257,""youtube"")=TRUE,""Youtube"",if(REGEXMATCH(C2257,""tiktok"")=TRUE,""Tiktok"",if("&amp;"REGEXMATCH(C2257,""threads"")=TRUE,""Threads""))))))"),"Twitter")</f>
        <v>Twitter</v>
      </c>
      <c r="G2257" s="41" t="s">
        <v>3819</v>
      </c>
      <c r="H2257" s="36"/>
      <c r="I2257" s="36"/>
      <c r="J2257" s="41" t="s">
        <v>188</v>
      </c>
      <c r="K2257" s="41"/>
      <c r="L2257" s="42"/>
    </row>
    <row r="2258">
      <c r="A2258" s="15">
        <v>2257.0</v>
      </c>
      <c r="B2258" s="39">
        <v>45989.0</v>
      </c>
      <c r="C2258" s="47" t="s">
        <v>3820</v>
      </c>
      <c r="D2258" s="41"/>
      <c r="E2258" s="41" t="s">
        <v>197</v>
      </c>
      <c r="F2258" s="18" t="str">
        <f>IFERROR(__xludf.DUMMYFUNCTION("if(REGEXMATCH(C2258,""x.com"")=TRUE,""Twitter"",if(REGEXMATCH(C2258,""facebook"")=TRUE,""Facebook"",if(REGEXMATCH(C2258,""instagram"")=TRUE,""Instagram"",if(REGEXMATCH(C2258,""youtube"")=TRUE,""Youtube"",if(REGEXMATCH(C2258,""tiktok"")=TRUE,""Tiktok"",if("&amp;"REGEXMATCH(C2258,""threads"")=TRUE,""Threads""))))))"),"Facebook")</f>
        <v>Facebook</v>
      </c>
      <c r="G2258" s="41" t="s">
        <v>3821</v>
      </c>
      <c r="H2258" s="36"/>
      <c r="I2258" s="36"/>
      <c r="J2258" s="41" t="s">
        <v>188</v>
      </c>
      <c r="K2258" s="41"/>
      <c r="L2258" s="42"/>
    </row>
    <row r="2259">
      <c r="A2259" s="15">
        <v>2258.0</v>
      </c>
      <c r="B2259" s="39">
        <v>45989.0</v>
      </c>
      <c r="C2259" s="47" t="s">
        <v>3822</v>
      </c>
      <c r="D2259" s="41"/>
      <c r="E2259" s="41" t="s">
        <v>197</v>
      </c>
      <c r="F2259" s="18" t="str">
        <f>IFERROR(__xludf.DUMMYFUNCTION("if(REGEXMATCH(C2259,""x.com"")=TRUE,""Twitter"",if(REGEXMATCH(C2259,""facebook"")=TRUE,""Facebook"",if(REGEXMATCH(C2259,""instagram"")=TRUE,""Instagram"",if(REGEXMATCH(C2259,""youtube"")=TRUE,""Youtube"",if(REGEXMATCH(C2259,""tiktok"")=TRUE,""Tiktok"",if("&amp;"REGEXMATCH(C2259,""threads"")=TRUE,""Threads""))))))"),"Facebook")</f>
        <v>Facebook</v>
      </c>
      <c r="G2259" s="41" t="s">
        <v>3823</v>
      </c>
      <c r="H2259" s="36"/>
      <c r="I2259" s="36"/>
      <c r="J2259" s="41" t="s">
        <v>188</v>
      </c>
      <c r="K2259" s="41"/>
      <c r="L2259" s="42"/>
    </row>
    <row r="2260">
      <c r="A2260" s="15">
        <v>2259.0</v>
      </c>
      <c r="B2260" s="39">
        <v>45989.0</v>
      </c>
      <c r="C2260" s="47" t="s">
        <v>3824</v>
      </c>
      <c r="D2260" s="41"/>
      <c r="E2260" s="41" t="s">
        <v>197</v>
      </c>
      <c r="F2260" s="18" t="str">
        <f>IFERROR(__xludf.DUMMYFUNCTION("if(REGEXMATCH(C2260,""x.com"")=TRUE,""Twitter"",if(REGEXMATCH(C2260,""facebook"")=TRUE,""Facebook"",if(REGEXMATCH(C2260,""instagram"")=TRUE,""Instagram"",if(REGEXMATCH(C2260,""youtube"")=TRUE,""Youtube"",if(REGEXMATCH(C2260,""tiktok"")=TRUE,""Tiktok"",if("&amp;"REGEXMATCH(C2260,""threads"")=TRUE,""Threads""))))))"),"Facebook")</f>
        <v>Facebook</v>
      </c>
      <c r="G2260" s="41" t="s">
        <v>3825</v>
      </c>
      <c r="H2260" s="36"/>
      <c r="I2260" s="36"/>
      <c r="J2260" s="41" t="s">
        <v>188</v>
      </c>
      <c r="K2260" s="41"/>
      <c r="L2260" s="42"/>
    </row>
    <row r="2261">
      <c r="A2261" s="15">
        <v>2260.0</v>
      </c>
      <c r="B2261" s="39">
        <v>45989.0</v>
      </c>
      <c r="C2261" s="47" t="s">
        <v>3826</v>
      </c>
      <c r="D2261" s="41"/>
      <c r="E2261" s="41" t="s">
        <v>3827</v>
      </c>
      <c r="F2261" s="18" t="str">
        <f>IFERROR(__xludf.DUMMYFUNCTION("if(REGEXMATCH(C2261,""x.com"")=TRUE,""Twitter"",if(REGEXMATCH(C2261,""facebook"")=TRUE,""Facebook"",if(REGEXMATCH(C2261,""instagram"")=TRUE,""Instagram"",if(REGEXMATCH(C2261,""youtube"")=TRUE,""Youtube"",if(REGEXMATCH(C2261,""tiktok"")=TRUE,""Tiktok"",if("&amp;"REGEXMATCH(C2261,""threads"")=TRUE,""Threads""))))))"),"Facebook")</f>
        <v>Facebook</v>
      </c>
      <c r="G2261" s="41" t="s">
        <v>3828</v>
      </c>
      <c r="H2261" s="35"/>
      <c r="I2261" s="35"/>
      <c r="J2261" s="41" t="s">
        <v>188</v>
      </c>
      <c r="K2261" s="41"/>
      <c r="L2261" s="42"/>
    </row>
    <row r="2262">
      <c r="A2262" s="15">
        <v>2261.0</v>
      </c>
      <c r="B2262" s="39">
        <v>45989.0</v>
      </c>
      <c r="C2262" s="40" t="s">
        <v>3829</v>
      </c>
      <c r="D2262" s="41"/>
      <c r="E2262" s="41" t="s">
        <v>401</v>
      </c>
      <c r="F2262" s="18" t="str">
        <f>IFERROR(__xludf.DUMMYFUNCTION("if(REGEXMATCH(C2262,""x.com"")=TRUE,""Twitter"",if(REGEXMATCH(C2262,""facebook"")=TRUE,""Facebook"",if(REGEXMATCH(C2262,""instagram"")=TRUE,""Instagram"",if(REGEXMATCH(C2262,""youtube"")=TRUE,""Youtube"",if(REGEXMATCH(C2262,""tiktok"")=TRUE,""Tiktok"",if("&amp;"REGEXMATCH(C2262,""threads"")=TRUE,""Threads""))))))"),"Facebook")</f>
        <v>Facebook</v>
      </c>
      <c r="G2262" s="41" t="s">
        <v>937</v>
      </c>
      <c r="H2262" s="41" t="s">
        <v>1542</v>
      </c>
      <c r="I2262" s="41" t="s">
        <v>939</v>
      </c>
      <c r="J2262" s="41" t="s">
        <v>188</v>
      </c>
      <c r="K2262" s="41"/>
      <c r="L2262" s="42"/>
    </row>
    <row r="2263">
      <c r="A2263" s="15">
        <v>2262.0</v>
      </c>
      <c r="B2263" s="39">
        <v>45989.0</v>
      </c>
      <c r="C2263" s="46" t="s">
        <v>3830</v>
      </c>
      <c r="D2263" s="41"/>
      <c r="E2263" s="41" t="s">
        <v>401</v>
      </c>
      <c r="F2263" s="18" t="str">
        <f>IFERROR(__xludf.DUMMYFUNCTION("if(REGEXMATCH(C2263,""x.com"")=TRUE,""Twitter"",if(REGEXMATCH(C2263,""facebook"")=TRUE,""Facebook"",if(REGEXMATCH(C2263,""instagram"")=TRUE,""Instagram"",if(REGEXMATCH(C2263,""youtube"")=TRUE,""Youtube"",if(REGEXMATCH(C2263,""tiktok"")=TRUE,""Tiktok"",if("&amp;"REGEXMATCH(C2263,""threads"")=TRUE,""Threads""))))))"),"Facebook")</f>
        <v>Facebook</v>
      </c>
      <c r="G2263" s="41" t="s">
        <v>937</v>
      </c>
      <c r="H2263" s="41" t="s">
        <v>1542</v>
      </c>
      <c r="I2263" s="41" t="s">
        <v>939</v>
      </c>
      <c r="J2263" s="41" t="s">
        <v>188</v>
      </c>
      <c r="K2263" s="41"/>
      <c r="L2263" s="42"/>
    </row>
    <row r="2264">
      <c r="A2264" s="15">
        <v>2263.0</v>
      </c>
      <c r="B2264" s="39">
        <v>45989.0</v>
      </c>
      <c r="C2264" s="46" t="s">
        <v>3831</v>
      </c>
      <c r="D2264" s="41"/>
      <c r="E2264" s="41" t="s">
        <v>401</v>
      </c>
      <c r="F2264" s="18" t="str">
        <f>IFERROR(__xludf.DUMMYFUNCTION("if(REGEXMATCH(C2264,""x.com"")=TRUE,""Twitter"",if(REGEXMATCH(C2264,""facebook"")=TRUE,""Facebook"",if(REGEXMATCH(C2264,""instagram"")=TRUE,""Instagram"",if(REGEXMATCH(C2264,""youtube"")=TRUE,""Youtube"",if(REGEXMATCH(C2264,""tiktok"")=TRUE,""Tiktok"",if("&amp;"REGEXMATCH(C2264,""threads"")=TRUE,""Threads""))))))"),"Facebook")</f>
        <v>Facebook</v>
      </c>
      <c r="G2264" s="41" t="s">
        <v>937</v>
      </c>
      <c r="H2264" s="41" t="s">
        <v>1542</v>
      </c>
      <c r="I2264" s="41" t="s">
        <v>939</v>
      </c>
      <c r="J2264" s="41" t="s">
        <v>188</v>
      </c>
      <c r="K2264" s="41"/>
      <c r="L2264" s="42"/>
    </row>
    <row r="2265">
      <c r="A2265" s="15">
        <v>2264.0</v>
      </c>
      <c r="B2265" s="39">
        <v>45989.0</v>
      </c>
      <c r="C2265" s="46" t="s">
        <v>3832</v>
      </c>
      <c r="D2265" s="41"/>
      <c r="E2265" s="41" t="s">
        <v>401</v>
      </c>
      <c r="F2265" s="18" t="str">
        <f>IFERROR(__xludf.DUMMYFUNCTION("if(REGEXMATCH(C2265,""x.com"")=TRUE,""Twitter"",if(REGEXMATCH(C2265,""facebook"")=TRUE,""Facebook"",if(REGEXMATCH(C2265,""instagram"")=TRUE,""Instagram"",if(REGEXMATCH(C2265,""youtube"")=TRUE,""Youtube"",if(REGEXMATCH(C2265,""tiktok"")=TRUE,""Tiktok"",if("&amp;"REGEXMATCH(C2265,""threads"")=TRUE,""Threads""))))))"),"Facebook")</f>
        <v>Facebook</v>
      </c>
      <c r="G2265" s="41" t="s">
        <v>937</v>
      </c>
      <c r="H2265" s="41" t="s">
        <v>1542</v>
      </c>
      <c r="I2265" s="41" t="s">
        <v>939</v>
      </c>
      <c r="J2265" s="41" t="s">
        <v>188</v>
      </c>
      <c r="K2265" s="41"/>
      <c r="L2265" s="42"/>
    </row>
    <row r="2266">
      <c r="A2266" s="15">
        <v>2265.0</v>
      </c>
      <c r="B2266" s="39">
        <v>45989.0</v>
      </c>
      <c r="C2266" s="46" t="s">
        <v>3833</v>
      </c>
      <c r="D2266" s="41"/>
      <c r="E2266" s="41" t="s">
        <v>401</v>
      </c>
      <c r="F2266" s="18" t="str">
        <f>IFERROR(__xludf.DUMMYFUNCTION("if(REGEXMATCH(C2266,""x.com"")=TRUE,""Twitter"",if(REGEXMATCH(C2266,""facebook"")=TRUE,""Facebook"",if(REGEXMATCH(C2266,""instagram"")=TRUE,""Instagram"",if(REGEXMATCH(C2266,""youtube"")=TRUE,""Youtube"",if(REGEXMATCH(C2266,""tiktok"")=TRUE,""Tiktok"",if("&amp;"REGEXMATCH(C2266,""threads"")=TRUE,""Threads""))))))"),"Facebook")</f>
        <v>Facebook</v>
      </c>
      <c r="G2266" s="41" t="s">
        <v>937</v>
      </c>
      <c r="H2266" s="41" t="s">
        <v>1542</v>
      </c>
      <c r="I2266" s="41" t="s">
        <v>939</v>
      </c>
      <c r="J2266" s="41" t="s">
        <v>188</v>
      </c>
      <c r="K2266" s="41"/>
      <c r="L2266" s="42"/>
    </row>
    <row r="2267">
      <c r="A2267" s="15">
        <v>2266.0</v>
      </c>
      <c r="B2267" s="39">
        <v>45989.0</v>
      </c>
      <c r="C2267" s="40" t="s">
        <v>3834</v>
      </c>
      <c r="D2267" s="41"/>
      <c r="E2267" s="41" t="s">
        <v>1178</v>
      </c>
      <c r="F2267" s="18" t="str">
        <f>IFERROR(__xludf.DUMMYFUNCTION("if(REGEXMATCH(C2267,""x.com"")=TRUE,""Twitter"",if(REGEXMATCH(C2267,""facebook"")=TRUE,""Facebook"",if(REGEXMATCH(C2267,""instagram"")=TRUE,""Instagram"",if(REGEXMATCH(C2267,""youtube"")=TRUE,""Youtube"",if(REGEXMATCH(C2267,""tiktok"")=TRUE,""Tiktok"",if("&amp;"REGEXMATCH(C2267,""threads"")=TRUE,""Threads""))))))"),"Twitter")</f>
        <v>Twitter</v>
      </c>
      <c r="G2267" s="41" t="s">
        <v>2135</v>
      </c>
      <c r="H2267" s="41" t="s">
        <v>2136</v>
      </c>
      <c r="I2267" s="41" t="s">
        <v>2137</v>
      </c>
      <c r="J2267" s="41" t="s">
        <v>188</v>
      </c>
      <c r="K2267" s="41"/>
      <c r="L2267" s="42"/>
    </row>
    <row r="2268">
      <c r="A2268" s="15">
        <v>2267.0</v>
      </c>
      <c r="B2268" s="39">
        <v>45989.0</v>
      </c>
      <c r="C2268" s="40" t="s">
        <v>3835</v>
      </c>
      <c r="D2268" s="41"/>
      <c r="E2268" s="41" t="s">
        <v>1178</v>
      </c>
      <c r="F2268" s="18" t="str">
        <f>IFERROR(__xludf.DUMMYFUNCTION("if(REGEXMATCH(C2268,""x.com"")=TRUE,""Twitter"",if(REGEXMATCH(C2268,""facebook"")=TRUE,""Facebook"",if(REGEXMATCH(C2268,""instagram"")=TRUE,""Instagram"",if(REGEXMATCH(C2268,""youtube"")=TRUE,""Youtube"",if(REGEXMATCH(C2268,""tiktok"")=TRUE,""Tiktok"",if("&amp;"REGEXMATCH(C2268,""threads"")=TRUE,""Threads""))))))"),"Twitter")</f>
        <v>Twitter</v>
      </c>
      <c r="G2268" s="41" t="s">
        <v>2135</v>
      </c>
      <c r="H2268" s="41" t="s">
        <v>2136</v>
      </c>
      <c r="I2268" s="41" t="s">
        <v>2137</v>
      </c>
      <c r="J2268" s="41" t="s">
        <v>188</v>
      </c>
      <c r="K2268" s="41"/>
      <c r="L2268" s="42"/>
    </row>
    <row r="2269">
      <c r="A2269" s="15">
        <v>2268.0</v>
      </c>
      <c r="B2269" s="39">
        <v>45989.0</v>
      </c>
      <c r="C2269" s="40" t="s">
        <v>2151</v>
      </c>
      <c r="D2269" s="41"/>
      <c r="E2269" s="41" t="s">
        <v>1178</v>
      </c>
      <c r="F2269" s="18" t="str">
        <f>IFERROR(__xludf.DUMMYFUNCTION("if(REGEXMATCH(C2269,""x.com"")=TRUE,""Twitter"",if(REGEXMATCH(C2269,""facebook"")=TRUE,""Facebook"",if(REGEXMATCH(C2269,""instagram"")=TRUE,""Instagram"",if(REGEXMATCH(C2269,""youtube"")=TRUE,""Youtube"",if(REGEXMATCH(C2269,""tiktok"")=TRUE,""Tiktok"",if("&amp;"REGEXMATCH(C2269,""threads"")=TRUE,""Threads""))))))"),"Twitter")</f>
        <v>Twitter</v>
      </c>
      <c r="G2269" s="41" t="s">
        <v>2135</v>
      </c>
      <c r="H2269" s="41" t="s">
        <v>2136</v>
      </c>
      <c r="I2269" s="41" t="s">
        <v>2137</v>
      </c>
      <c r="J2269" s="41" t="s">
        <v>188</v>
      </c>
      <c r="K2269" s="41"/>
      <c r="L2269" s="42"/>
    </row>
    <row r="2270">
      <c r="A2270" s="15">
        <v>2269.0</v>
      </c>
      <c r="B2270" s="39">
        <v>45990.0</v>
      </c>
      <c r="C2270" s="40" t="s">
        <v>3836</v>
      </c>
      <c r="D2270" s="41"/>
      <c r="E2270" s="41" t="s">
        <v>197</v>
      </c>
      <c r="F2270" s="18" t="str">
        <f>IFERROR(__xludf.DUMMYFUNCTION("if(REGEXMATCH(C2270,""x.com"")=TRUE,""Twitter"",if(REGEXMATCH(C2270,""facebook"")=TRUE,""Facebook"",if(REGEXMATCH(C2270,""instagram"")=TRUE,""Instagram"",if(REGEXMATCH(C2270,""youtube"")=TRUE,""Youtube"",if(REGEXMATCH(C2270,""tiktok"")=TRUE,""Tiktok"",if("&amp;"REGEXMATCH(C2270,""threads"")=TRUE,""Threads""))))))"),"Twitter")</f>
        <v>Twitter</v>
      </c>
      <c r="G2270" s="41" t="s">
        <v>3837</v>
      </c>
      <c r="H2270" s="43" t="s">
        <v>1782</v>
      </c>
      <c r="I2270" s="43" t="s">
        <v>535</v>
      </c>
      <c r="J2270" s="41" t="s">
        <v>188</v>
      </c>
      <c r="K2270" s="41" t="s">
        <v>1611</v>
      </c>
      <c r="L2270" s="42"/>
    </row>
    <row r="2271">
      <c r="A2271" s="15">
        <v>2270.0</v>
      </c>
      <c r="B2271" s="39">
        <v>45990.0</v>
      </c>
      <c r="C2271" s="40" t="s">
        <v>3838</v>
      </c>
      <c r="D2271" s="41"/>
      <c r="E2271" s="41" t="s">
        <v>197</v>
      </c>
      <c r="F2271" s="18" t="str">
        <f>IFERROR(__xludf.DUMMYFUNCTION("if(REGEXMATCH(C2271,""x.com"")=TRUE,""Twitter"",if(REGEXMATCH(C2271,""facebook"")=TRUE,""Facebook"",if(REGEXMATCH(C2271,""instagram"")=TRUE,""Instagram"",if(REGEXMATCH(C2271,""youtube"")=TRUE,""Youtube"",if(REGEXMATCH(C2271,""tiktok"")=TRUE,""Tiktok"",if("&amp;"REGEXMATCH(C2271,""threads"")=TRUE,""Threads""))))))"),"Twitter")</f>
        <v>Twitter</v>
      </c>
      <c r="G2271" s="41" t="s">
        <v>3839</v>
      </c>
      <c r="H2271" s="36"/>
      <c r="I2271" s="36"/>
      <c r="J2271" s="41" t="s">
        <v>188</v>
      </c>
      <c r="K2271" s="41" t="s">
        <v>1611</v>
      </c>
      <c r="L2271" s="42"/>
    </row>
    <row r="2272">
      <c r="A2272" s="15">
        <v>2271.0</v>
      </c>
      <c r="B2272" s="39">
        <v>45990.0</v>
      </c>
      <c r="C2272" s="40" t="s">
        <v>3840</v>
      </c>
      <c r="D2272" s="41"/>
      <c r="E2272" s="41" t="s">
        <v>197</v>
      </c>
      <c r="F2272" s="18" t="str">
        <f>IFERROR(__xludf.DUMMYFUNCTION("if(REGEXMATCH(C2272,""x.com"")=TRUE,""Twitter"",if(REGEXMATCH(C2272,""facebook"")=TRUE,""Facebook"",if(REGEXMATCH(C2272,""instagram"")=TRUE,""Instagram"",if(REGEXMATCH(C2272,""youtube"")=TRUE,""Youtube"",if(REGEXMATCH(C2272,""tiktok"")=TRUE,""Tiktok"",if("&amp;"REGEXMATCH(C2272,""threads"")=TRUE,""Threads""))))))"),"Twitter")</f>
        <v>Twitter</v>
      </c>
      <c r="G2272" s="41" t="s">
        <v>3841</v>
      </c>
      <c r="H2272" s="36"/>
      <c r="I2272" s="36"/>
      <c r="J2272" s="41" t="s">
        <v>188</v>
      </c>
      <c r="K2272" s="41" t="s">
        <v>1611</v>
      </c>
      <c r="L2272" s="42"/>
    </row>
    <row r="2273">
      <c r="A2273" s="15">
        <v>2272.0</v>
      </c>
      <c r="B2273" s="39">
        <v>45990.0</v>
      </c>
      <c r="C2273" s="40" t="s">
        <v>3842</v>
      </c>
      <c r="D2273" s="41"/>
      <c r="E2273" s="41" t="s">
        <v>197</v>
      </c>
      <c r="F2273" s="18" t="str">
        <f>IFERROR(__xludf.DUMMYFUNCTION("if(REGEXMATCH(C2273,""x.com"")=TRUE,""Twitter"",if(REGEXMATCH(C2273,""facebook"")=TRUE,""Facebook"",if(REGEXMATCH(C2273,""instagram"")=TRUE,""Instagram"",if(REGEXMATCH(C2273,""youtube"")=TRUE,""Youtube"",if(REGEXMATCH(C2273,""tiktok"")=TRUE,""Tiktok"",if("&amp;"REGEXMATCH(C2273,""threads"")=TRUE,""Threads""))))))"),"Twitter")</f>
        <v>Twitter</v>
      </c>
      <c r="G2273" s="41" t="s">
        <v>3843</v>
      </c>
      <c r="H2273" s="36"/>
      <c r="I2273" s="36"/>
      <c r="J2273" s="41" t="s">
        <v>188</v>
      </c>
      <c r="K2273" s="41" t="s">
        <v>1611</v>
      </c>
      <c r="L2273" s="42"/>
    </row>
    <row r="2274">
      <c r="A2274" s="15">
        <v>2273.0</v>
      </c>
      <c r="B2274" s="39">
        <v>45990.0</v>
      </c>
      <c r="C2274" s="40" t="s">
        <v>3844</v>
      </c>
      <c r="D2274" s="41"/>
      <c r="E2274" s="41" t="s">
        <v>197</v>
      </c>
      <c r="F2274" s="18" t="str">
        <f>IFERROR(__xludf.DUMMYFUNCTION("if(REGEXMATCH(C2274,""x.com"")=TRUE,""Twitter"",if(REGEXMATCH(C2274,""facebook"")=TRUE,""Facebook"",if(REGEXMATCH(C2274,""instagram"")=TRUE,""Instagram"",if(REGEXMATCH(C2274,""youtube"")=TRUE,""Youtube"",if(REGEXMATCH(C2274,""tiktok"")=TRUE,""Tiktok"",if("&amp;"REGEXMATCH(C2274,""threads"")=TRUE,""Threads""))))))"),"Facebook")</f>
        <v>Facebook</v>
      </c>
      <c r="G2274" s="41" t="s">
        <v>3845</v>
      </c>
      <c r="H2274" s="36"/>
      <c r="I2274" s="36"/>
      <c r="J2274" s="41" t="s">
        <v>188</v>
      </c>
      <c r="K2274" s="41" t="s">
        <v>1611</v>
      </c>
      <c r="L2274" s="42"/>
    </row>
    <row r="2275">
      <c r="A2275" s="15">
        <v>2274.0</v>
      </c>
      <c r="B2275" s="39">
        <v>45990.0</v>
      </c>
      <c r="C2275" s="40" t="s">
        <v>3846</v>
      </c>
      <c r="D2275" s="41"/>
      <c r="E2275" s="41" t="s">
        <v>2875</v>
      </c>
      <c r="F2275" s="18" t="str">
        <f>IFERROR(__xludf.DUMMYFUNCTION("if(REGEXMATCH(C2275,""x.com"")=TRUE,""Twitter"",if(REGEXMATCH(C2275,""facebook"")=TRUE,""Facebook"",if(REGEXMATCH(C2275,""instagram"")=TRUE,""Instagram"",if(REGEXMATCH(C2275,""youtube"")=TRUE,""Youtube"",if(REGEXMATCH(C2275,""tiktok"")=TRUE,""Tiktok"",if("&amp;"REGEXMATCH(C2275,""threads"")=TRUE,""Threads""))))))"),"Facebook")</f>
        <v>Facebook</v>
      </c>
      <c r="G2275" s="41" t="s">
        <v>3847</v>
      </c>
      <c r="H2275" s="36"/>
      <c r="I2275" s="36"/>
      <c r="J2275" s="41" t="s">
        <v>188</v>
      </c>
      <c r="K2275" s="41" t="s">
        <v>1611</v>
      </c>
      <c r="L2275" s="42"/>
    </row>
    <row r="2276">
      <c r="A2276" s="15">
        <v>2275.0</v>
      </c>
      <c r="B2276" s="39">
        <v>45990.0</v>
      </c>
      <c r="C2276" s="40" t="s">
        <v>3848</v>
      </c>
      <c r="D2276" s="41"/>
      <c r="E2276" s="41" t="s">
        <v>2875</v>
      </c>
      <c r="F2276" s="18" t="str">
        <f>IFERROR(__xludf.DUMMYFUNCTION("if(REGEXMATCH(C2276,""x.com"")=TRUE,""Twitter"",if(REGEXMATCH(C2276,""facebook"")=TRUE,""Facebook"",if(REGEXMATCH(C2276,""instagram"")=TRUE,""Instagram"",if(REGEXMATCH(C2276,""youtube"")=TRUE,""Youtube"",if(REGEXMATCH(C2276,""tiktok"")=TRUE,""Tiktok"",if("&amp;"REGEXMATCH(C2276,""threads"")=TRUE,""Threads""))))))"),"Facebook")</f>
        <v>Facebook</v>
      </c>
      <c r="G2276" s="41" t="s">
        <v>3849</v>
      </c>
      <c r="H2276" s="36"/>
      <c r="I2276" s="36"/>
      <c r="J2276" s="41" t="s">
        <v>188</v>
      </c>
      <c r="K2276" s="41" t="s">
        <v>1611</v>
      </c>
      <c r="L2276" s="42"/>
    </row>
    <row r="2277">
      <c r="A2277" s="15">
        <v>2276.0</v>
      </c>
      <c r="B2277" s="39">
        <v>45990.0</v>
      </c>
      <c r="C2277" s="40" t="s">
        <v>3850</v>
      </c>
      <c r="D2277" s="41"/>
      <c r="E2277" s="41" t="s">
        <v>2875</v>
      </c>
      <c r="F2277" s="18" t="str">
        <f>IFERROR(__xludf.DUMMYFUNCTION("if(REGEXMATCH(C2277,""x.com"")=TRUE,""Twitter"",if(REGEXMATCH(C2277,""facebook"")=TRUE,""Facebook"",if(REGEXMATCH(C2277,""instagram"")=TRUE,""Instagram"",if(REGEXMATCH(C2277,""youtube"")=TRUE,""Youtube"",if(REGEXMATCH(C2277,""tiktok"")=TRUE,""Tiktok"",if("&amp;"REGEXMATCH(C2277,""threads"")=TRUE,""Threads""))))))"),"Facebook")</f>
        <v>Facebook</v>
      </c>
      <c r="G2277" s="41" t="s">
        <v>3851</v>
      </c>
      <c r="H2277" s="36"/>
      <c r="I2277" s="36"/>
      <c r="J2277" s="41" t="s">
        <v>188</v>
      </c>
      <c r="K2277" s="41" t="s">
        <v>1611</v>
      </c>
      <c r="L2277" s="42"/>
    </row>
    <row r="2278">
      <c r="A2278" s="15">
        <v>2277.0</v>
      </c>
      <c r="B2278" s="39">
        <v>45990.0</v>
      </c>
      <c r="C2278" s="40" t="s">
        <v>3852</v>
      </c>
      <c r="D2278" s="41"/>
      <c r="E2278" s="41" t="s">
        <v>197</v>
      </c>
      <c r="F2278" s="18" t="str">
        <f>IFERROR(__xludf.DUMMYFUNCTION("if(REGEXMATCH(C2278,""x.com"")=TRUE,""Twitter"",if(REGEXMATCH(C2278,""facebook"")=TRUE,""Facebook"",if(REGEXMATCH(C2278,""instagram"")=TRUE,""Instagram"",if(REGEXMATCH(C2278,""youtube"")=TRUE,""Youtube"",if(REGEXMATCH(C2278,""tiktok"")=TRUE,""Tiktok"",if("&amp;"REGEXMATCH(C2278,""threads"")=TRUE,""Threads""))))))"),"Twitter")</f>
        <v>Twitter</v>
      </c>
      <c r="G2278" s="41" t="s">
        <v>3853</v>
      </c>
      <c r="H2278" s="36"/>
      <c r="I2278" s="36"/>
      <c r="J2278" s="41" t="s">
        <v>188</v>
      </c>
      <c r="K2278" s="41"/>
      <c r="L2278" s="42"/>
    </row>
    <row r="2279">
      <c r="A2279" s="15">
        <v>2278.0</v>
      </c>
      <c r="B2279" s="39">
        <v>45990.0</v>
      </c>
      <c r="C2279" s="40" t="s">
        <v>3854</v>
      </c>
      <c r="D2279" s="41"/>
      <c r="E2279" s="41" t="s">
        <v>372</v>
      </c>
      <c r="F2279" s="18" t="str">
        <f>IFERROR(__xludf.DUMMYFUNCTION("if(REGEXMATCH(C2279,""x.com"")=TRUE,""Twitter"",if(REGEXMATCH(C2279,""facebook"")=TRUE,""Facebook"",if(REGEXMATCH(C2279,""instagram"")=TRUE,""Instagram"",if(REGEXMATCH(C2279,""youtube"")=TRUE,""Youtube"",if(REGEXMATCH(C2279,""tiktok"")=TRUE,""Tiktok"",if("&amp;"REGEXMATCH(C2279,""threads"")=TRUE,""Threads""))))))"),"Twitter")</f>
        <v>Twitter</v>
      </c>
      <c r="G2279" s="41" t="s">
        <v>3855</v>
      </c>
      <c r="H2279" s="35"/>
      <c r="I2279" s="35"/>
      <c r="J2279" s="41" t="s">
        <v>422</v>
      </c>
      <c r="K2279" s="41" t="s">
        <v>3856</v>
      </c>
      <c r="L2279" s="42"/>
    </row>
    <row r="2280">
      <c r="A2280" s="15">
        <v>2279.0</v>
      </c>
      <c r="B2280" s="39">
        <v>45990.0</v>
      </c>
      <c r="C2280" s="40" t="s">
        <v>3857</v>
      </c>
      <c r="D2280" s="41"/>
      <c r="E2280" s="41" t="s">
        <v>197</v>
      </c>
      <c r="F2280" s="18" t="str">
        <f>IFERROR(__xludf.DUMMYFUNCTION("if(REGEXMATCH(C2280,""x.com"")=TRUE,""Twitter"",if(REGEXMATCH(C2280,""facebook"")=TRUE,""Facebook"",if(REGEXMATCH(C2280,""instagram"")=TRUE,""Instagram"",if(REGEXMATCH(C2280,""youtube"")=TRUE,""Youtube"",if(REGEXMATCH(C2280,""tiktok"")=TRUE,""Tiktok"",if("&amp;"REGEXMATCH(C2280,""threads"")=TRUE,""Threads""))))))"),"Twitter")</f>
        <v>Twitter</v>
      </c>
      <c r="G2280" s="41" t="s">
        <v>3858</v>
      </c>
      <c r="H2280" s="41"/>
      <c r="I2280" s="41"/>
      <c r="J2280" s="41" t="s">
        <v>188</v>
      </c>
      <c r="K2280" s="41"/>
      <c r="L2280" s="42"/>
    </row>
    <row r="2281">
      <c r="A2281" s="15">
        <v>2280.0</v>
      </c>
      <c r="B2281" s="39">
        <v>45990.0</v>
      </c>
      <c r="C2281" s="40" t="s">
        <v>3859</v>
      </c>
      <c r="D2281" s="41"/>
      <c r="E2281" s="41" t="s">
        <v>1146</v>
      </c>
      <c r="F2281" s="18" t="str">
        <f>IFERROR(__xludf.DUMMYFUNCTION("if(REGEXMATCH(C2281,""x.com"")=TRUE,""Twitter"",if(REGEXMATCH(C2281,""facebook"")=TRUE,""Facebook"",if(REGEXMATCH(C2281,""instagram"")=TRUE,""Instagram"",if(REGEXMATCH(C2281,""youtube"")=TRUE,""Youtube"",if(REGEXMATCH(C2281,""tiktok"")=TRUE,""Tiktok"",if("&amp;"REGEXMATCH(C2281,""threads"")=TRUE,""Threads""))))))"),"Facebook")</f>
        <v>Facebook</v>
      </c>
      <c r="G2281" s="41" t="s">
        <v>3860</v>
      </c>
      <c r="H2281" s="41"/>
      <c r="I2281" s="41"/>
      <c r="J2281" s="41" t="s">
        <v>188</v>
      </c>
      <c r="K2281" s="41"/>
      <c r="L2281" s="42"/>
    </row>
    <row r="2282">
      <c r="A2282" s="15">
        <v>2281.0</v>
      </c>
      <c r="B2282" s="39">
        <v>45990.0</v>
      </c>
      <c r="C2282" s="40" t="s">
        <v>3861</v>
      </c>
      <c r="D2282" s="41"/>
      <c r="E2282" s="41" t="s">
        <v>197</v>
      </c>
      <c r="F2282" s="18" t="str">
        <f>IFERROR(__xludf.DUMMYFUNCTION("if(REGEXMATCH(C2282,""x.com"")=TRUE,""Twitter"",if(REGEXMATCH(C2282,""facebook"")=TRUE,""Facebook"",if(REGEXMATCH(C2282,""instagram"")=TRUE,""Instagram"",if(REGEXMATCH(C2282,""youtube"")=TRUE,""Youtube"",if(REGEXMATCH(C2282,""tiktok"")=TRUE,""Tiktok"",if("&amp;"REGEXMATCH(C2282,""threads"")=TRUE,""Threads""))))))"),"Twitter")</f>
        <v>Twitter</v>
      </c>
      <c r="G2282" s="41" t="s">
        <v>3862</v>
      </c>
      <c r="H2282" s="41"/>
      <c r="I2282" s="41"/>
      <c r="J2282" s="41" t="s">
        <v>422</v>
      </c>
      <c r="K2282" s="62" t="s">
        <v>3863</v>
      </c>
      <c r="L2282" s="42"/>
    </row>
    <row r="2283">
      <c r="A2283" s="15">
        <v>2282.0</v>
      </c>
      <c r="B2283" s="39">
        <v>45990.0</v>
      </c>
      <c r="C2283" s="40" t="s">
        <v>3864</v>
      </c>
      <c r="D2283" s="41"/>
      <c r="E2283" s="41" t="s">
        <v>1146</v>
      </c>
      <c r="F2283" s="18" t="str">
        <f>IFERROR(__xludf.DUMMYFUNCTION("if(REGEXMATCH(C2283,""x.com"")=TRUE,""Twitter"",if(REGEXMATCH(C2283,""facebook"")=TRUE,""Facebook"",if(REGEXMATCH(C2283,""instagram"")=TRUE,""Instagram"",if(REGEXMATCH(C2283,""youtube"")=TRUE,""Youtube"",if(REGEXMATCH(C2283,""tiktok"")=TRUE,""Tiktok"",if("&amp;"REGEXMATCH(C2283,""threads"")=TRUE,""Threads""))))))"),"Twitter")</f>
        <v>Twitter</v>
      </c>
      <c r="G2283" s="41" t="s">
        <v>3865</v>
      </c>
      <c r="H2283" s="41"/>
      <c r="I2283" s="41"/>
      <c r="J2283" s="41" t="s">
        <v>188</v>
      </c>
      <c r="K2283" s="41"/>
      <c r="L2283" s="42"/>
    </row>
    <row r="2284">
      <c r="A2284" s="15">
        <v>2283.0</v>
      </c>
      <c r="B2284" s="39">
        <v>45990.0</v>
      </c>
      <c r="C2284" s="40" t="s">
        <v>3866</v>
      </c>
      <c r="D2284" s="41"/>
      <c r="E2284" s="41" t="s">
        <v>557</v>
      </c>
      <c r="F2284" s="18" t="str">
        <f>IFERROR(__xludf.DUMMYFUNCTION("if(REGEXMATCH(C2284,""x.com"")=TRUE,""Twitter"",if(REGEXMATCH(C2284,""facebook"")=TRUE,""Facebook"",if(REGEXMATCH(C2284,""instagram"")=TRUE,""Instagram"",if(REGEXMATCH(C2284,""youtube"")=TRUE,""Youtube"",if(REGEXMATCH(C2284,""tiktok"")=TRUE,""Tiktok"",if("&amp;"REGEXMATCH(C2284,""threads"")=TRUE,""Threads""))))))"),"Facebook")</f>
        <v>Facebook</v>
      </c>
      <c r="G2284" s="41" t="s">
        <v>3867</v>
      </c>
      <c r="H2284" s="41"/>
      <c r="I2284" s="41"/>
      <c r="J2284" s="41" t="s">
        <v>188</v>
      </c>
      <c r="K2284" s="41"/>
      <c r="L2284" s="42"/>
    </row>
    <row r="2285">
      <c r="A2285" s="15">
        <v>2284.0</v>
      </c>
      <c r="B2285" s="39">
        <v>45990.0</v>
      </c>
      <c r="C2285" s="40" t="s">
        <v>3868</v>
      </c>
      <c r="D2285" s="41"/>
      <c r="E2285" s="41" t="s">
        <v>557</v>
      </c>
      <c r="F2285" s="18" t="str">
        <f>IFERROR(__xludf.DUMMYFUNCTION("if(REGEXMATCH(C2285,""x.com"")=TRUE,""Twitter"",if(REGEXMATCH(C2285,""facebook"")=TRUE,""Facebook"",if(REGEXMATCH(C2285,""instagram"")=TRUE,""Instagram"",if(REGEXMATCH(C2285,""youtube"")=TRUE,""Youtube"",if(REGEXMATCH(C2285,""tiktok"")=TRUE,""Tiktok"",if("&amp;"REGEXMATCH(C2285,""threads"")=TRUE,""Threads""))))))"),"Facebook")</f>
        <v>Facebook</v>
      </c>
      <c r="G2285" s="41" t="s">
        <v>3869</v>
      </c>
      <c r="H2285" s="41"/>
      <c r="I2285" s="41"/>
      <c r="J2285" s="41" t="s">
        <v>188</v>
      </c>
      <c r="K2285" s="41"/>
      <c r="L2285" s="42"/>
    </row>
    <row r="2286">
      <c r="A2286" s="15">
        <v>2285.0</v>
      </c>
      <c r="B2286" s="39">
        <v>45990.0</v>
      </c>
      <c r="C2286" s="40" t="s">
        <v>3870</v>
      </c>
      <c r="D2286" s="41"/>
      <c r="E2286" s="41" t="s">
        <v>557</v>
      </c>
      <c r="F2286" s="18" t="str">
        <f>IFERROR(__xludf.DUMMYFUNCTION("if(REGEXMATCH(C2286,""x.com"")=TRUE,""Twitter"",if(REGEXMATCH(C2286,""facebook"")=TRUE,""Facebook"",if(REGEXMATCH(C2286,""instagram"")=TRUE,""Instagram"",if(REGEXMATCH(C2286,""youtube"")=TRUE,""Youtube"",if(REGEXMATCH(C2286,""tiktok"")=TRUE,""Tiktok"",if("&amp;"REGEXMATCH(C2286,""threads"")=TRUE,""Threads""))))))"),"Facebook")</f>
        <v>Facebook</v>
      </c>
      <c r="G2286" s="41" t="s">
        <v>3871</v>
      </c>
      <c r="H2286" s="41"/>
      <c r="I2286" s="41"/>
      <c r="J2286" s="41" t="s">
        <v>188</v>
      </c>
      <c r="K2286" s="41"/>
      <c r="L2286" s="42"/>
    </row>
    <row r="2287">
      <c r="A2287" s="15">
        <v>2286.0</v>
      </c>
      <c r="B2287" s="39">
        <v>45990.0</v>
      </c>
      <c r="C2287" s="40" t="s">
        <v>3872</v>
      </c>
      <c r="D2287" s="41"/>
      <c r="E2287" s="41" t="s">
        <v>557</v>
      </c>
      <c r="F2287" s="18" t="str">
        <f>IFERROR(__xludf.DUMMYFUNCTION("if(REGEXMATCH(C2287,""x.com"")=TRUE,""Twitter"",if(REGEXMATCH(C2287,""facebook"")=TRUE,""Facebook"",if(REGEXMATCH(C2287,""instagram"")=TRUE,""Instagram"",if(REGEXMATCH(C2287,""youtube"")=TRUE,""Youtube"",if(REGEXMATCH(C2287,""tiktok"")=TRUE,""Tiktok"",if("&amp;"REGEXMATCH(C2287,""threads"")=TRUE,""Threads""))))))"),"Facebook")</f>
        <v>Facebook</v>
      </c>
      <c r="G2287" s="41" t="s">
        <v>3871</v>
      </c>
      <c r="H2287" s="41"/>
      <c r="I2287" s="41"/>
      <c r="J2287" s="41" t="s">
        <v>188</v>
      </c>
      <c r="K2287" s="41"/>
      <c r="L2287" s="42"/>
    </row>
    <row r="2288">
      <c r="A2288" s="15">
        <v>2287.0</v>
      </c>
      <c r="B2288" s="39">
        <v>45990.0</v>
      </c>
      <c r="C2288" s="46" t="s">
        <v>3873</v>
      </c>
      <c r="D2288" s="41"/>
      <c r="E2288" s="41" t="s">
        <v>401</v>
      </c>
      <c r="F2288" s="18" t="str">
        <f>IFERROR(__xludf.DUMMYFUNCTION("if(REGEXMATCH(C2288,""x.com"")=TRUE,""Twitter"",if(REGEXMATCH(C2288,""facebook"")=TRUE,""Facebook"",if(REGEXMATCH(C2288,""instagram"")=TRUE,""Instagram"",if(REGEXMATCH(C2288,""youtube"")=TRUE,""Youtube"",if(REGEXMATCH(C2288,""tiktok"")=TRUE,""Tiktok"",if("&amp;"REGEXMATCH(C2288,""threads"")=TRUE,""Threads""))))))"),"Facebook")</f>
        <v>Facebook</v>
      </c>
      <c r="G2288" s="41" t="s">
        <v>937</v>
      </c>
      <c r="H2288" s="41" t="s">
        <v>1542</v>
      </c>
      <c r="I2288" s="41" t="s">
        <v>939</v>
      </c>
      <c r="J2288" s="41" t="s">
        <v>188</v>
      </c>
      <c r="K2288" s="41" t="s">
        <v>1921</v>
      </c>
      <c r="L2288" s="42"/>
    </row>
    <row r="2289">
      <c r="A2289" s="15">
        <v>2288.0</v>
      </c>
      <c r="B2289" s="39">
        <v>45990.0</v>
      </c>
      <c r="C2289" s="46" t="s">
        <v>3874</v>
      </c>
      <c r="D2289" s="41"/>
      <c r="E2289" s="41" t="s">
        <v>401</v>
      </c>
      <c r="F2289" s="18" t="str">
        <f>IFERROR(__xludf.DUMMYFUNCTION("if(REGEXMATCH(C2289,""x.com"")=TRUE,""Twitter"",if(REGEXMATCH(C2289,""facebook"")=TRUE,""Facebook"",if(REGEXMATCH(C2289,""instagram"")=TRUE,""Instagram"",if(REGEXMATCH(C2289,""youtube"")=TRUE,""Youtube"",if(REGEXMATCH(C2289,""tiktok"")=TRUE,""Tiktok"",if("&amp;"REGEXMATCH(C2289,""threads"")=TRUE,""Threads""))))))"),"Facebook")</f>
        <v>Facebook</v>
      </c>
      <c r="G2289" s="41" t="s">
        <v>937</v>
      </c>
      <c r="H2289" s="41" t="s">
        <v>1542</v>
      </c>
      <c r="I2289" s="41" t="s">
        <v>939</v>
      </c>
      <c r="J2289" s="41" t="s">
        <v>188</v>
      </c>
      <c r="K2289" s="41"/>
      <c r="L2289" s="42"/>
    </row>
    <row r="2290">
      <c r="A2290" s="15">
        <v>2289.0</v>
      </c>
      <c r="B2290" s="39">
        <v>45990.0</v>
      </c>
      <c r="C2290" s="46" t="s">
        <v>3875</v>
      </c>
      <c r="D2290" s="41"/>
      <c r="E2290" s="41" t="s">
        <v>401</v>
      </c>
      <c r="F2290" s="18" t="str">
        <f>IFERROR(__xludf.DUMMYFUNCTION("if(REGEXMATCH(C2290,""x.com"")=TRUE,""Twitter"",if(REGEXMATCH(C2290,""facebook"")=TRUE,""Facebook"",if(REGEXMATCH(C2290,""instagram"")=TRUE,""Instagram"",if(REGEXMATCH(C2290,""youtube"")=TRUE,""Youtube"",if(REGEXMATCH(C2290,""tiktok"")=TRUE,""Tiktok"",if("&amp;"REGEXMATCH(C2290,""threads"")=TRUE,""Threads""))))))"),"Facebook")</f>
        <v>Facebook</v>
      </c>
      <c r="G2290" s="41" t="s">
        <v>937</v>
      </c>
      <c r="H2290" s="41" t="s">
        <v>1542</v>
      </c>
      <c r="I2290" s="41" t="s">
        <v>939</v>
      </c>
      <c r="J2290" s="41" t="s">
        <v>188</v>
      </c>
      <c r="K2290" s="41"/>
      <c r="L2290" s="42"/>
    </row>
    <row r="2291">
      <c r="A2291" s="15">
        <v>2290.0</v>
      </c>
      <c r="B2291" s="39">
        <v>45990.0</v>
      </c>
      <c r="C2291" s="46" t="s">
        <v>3876</v>
      </c>
      <c r="D2291" s="41"/>
      <c r="E2291" s="41" t="s">
        <v>401</v>
      </c>
      <c r="F2291" s="18" t="str">
        <f>IFERROR(__xludf.DUMMYFUNCTION("if(REGEXMATCH(C2291,""x.com"")=TRUE,""Twitter"",if(REGEXMATCH(C2291,""facebook"")=TRUE,""Facebook"",if(REGEXMATCH(C2291,""instagram"")=TRUE,""Instagram"",if(REGEXMATCH(C2291,""youtube"")=TRUE,""Youtube"",if(REGEXMATCH(C2291,""tiktok"")=TRUE,""Tiktok"",if("&amp;"REGEXMATCH(C2291,""threads"")=TRUE,""Threads""))))))"),"Facebook")</f>
        <v>Facebook</v>
      </c>
      <c r="G2291" s="41" t="s">
        <v>937</v>
      </c>
      <c r="H2291" s="41" t="s">
        <v>1542</v>
      </c>
      <c r="I2291" s="41" t="s">
        <v>939</v>
      </c>
      <c r="J2291" s="41" t="s">
        <v>188</v>
      </c>
      <c r="K2291" s="41"/>
      <c r="L2291" s="42"/>
    </row>
    <row r="2292">
      <c r="A2292" s="15">
        <v>2291.0</v>
      </c>
      <c r="B2292" s="39">
        <v>45990.0</v>
      </c>
      <c r="C2292" s="40" t="s">
        <v>3877</v>
      </c>
      <c r="D2292" s="41"/>
      <c r="E2292" s="41" t="s">
        <v>1178</v>
      </c>
      <c r="F2292" s="18" t="str">
        <f>IFERROR(__xludf.DUMMYFUNCTION("if(REGEXMATCH(C2292,""x.com"")=TRUE,""Twitter"",if(REGEXMATCH(C2292,""facebook"")=TRUE,""Facebook"",if(REGEXMATCH(C2292,""instagram"")=TRUE,""Instagram"",if(REGEXMATCH(C2292,""youtube"")=TRUE,""Youtube"",if(REGEXMATCH(C2292,""tiktok"")=TRUE,""Tiktok"",if("&amp;"REGEXMATCH(C2292,""threads"")=TRUE,""Threads""))))))"),"Twitter")</f>
        <v>Twitter</v>
      </c>
      <c r="G2292" s="41" t="s">
        <v>2135</v>
      </c>
      <c r="H2292" s="41" t="s">
        <v>2136</v>
      </c>
      <c r="I2292" s="41" t="s">
        <v>2137</v>
      </c>
      <c r="J2292" s="41" t="s">
        <v>422</v>
      </c>
      <c r="K2292" s="41" t="s">
        <v>3878</v>
      </c>
      <c r="L2292" s="42"/>
    </row>
    <row r="2293">
      <c r="A2293" s="15">
        <v>2292.0</v>
      </c>
      <c r="B2293" s="39">
        <v>45990.0</v>
      </c>
      <c r="C2293" s="40" t="s">
        <v>3879</v>
      </c>
      <c r="D2293" s="41"/>
      <c r="E2293" s="41" t="s">
        <v>1178</v>
      </c>
      <c r="F2293" s="18" t="str">
        <f>IFERROR(__xludf.DUMMYFUNCTION("if(REGEXMATCH(C2293,""x.com"")=TRUE,""Twitter"",if(REGEXMATCH(C2293,""facebook"")=TRUE,""Facebook"",if(REGEXMATCH(C2293,""instagram"")=TRUE,""Instagram"",if(REGEXMATCH(C2293,""youtube"")=TRUE,""Youtube"",if(REGEXMATCH(C2293,""tiktok"")=TRUE,""Tiktok"",if("&amp;"REGEXMATCH(C2293,""threads"")=TRUE,""Threads""))))))"),"Twitter")</f>
        <v>Twitter</v>
      </c>
      <c r="G2293" s="41" t="s">
        <v>2135</v>
      </c>
      <c r="H2293" s="41" t="s">
        <v>2136</v>
      </c>
      <c r="I2293" s="41" t="s">
        <v>2137</v>
      </c>
      <c r="J2293" s="41" t="s">
        <v>188</v>
      </c>
      <c r="K2293" s="41"/>
      <c r="L2293" s="42"/>
    </row>
    <row r="2294">
      <c r="A2294" s="15">
        <v>2293.0</v>
      </c>
      <c r="B2294" s="39">
        <v>45990.0</v>
      </c>
      <c r="C2294" s="40" t="s">
        <v>3880</v>
      </c>
      <c r="D2294" s="41"/>
      <c r="E2294" s="41" t="s">
        <v>2018</v>
      </c>
      <c r="F2294" s="18" t="str">
        <f>IFERROR(__xludf.DUMMYFUNCTION("if(REGEXMATCH(C2294,""x.com"")=TRUE,""Twitter"",if(REGEXMATCH(C2294,""facebook"")=TRUE,""Facebook"",if(REGEXMATCH(C2294,""instagram"")=TRUE,""Instagram"",if(REGEXMATCH(C2294,""youtube"")=TRUE,""Youtube"",if(REGEXMATCH(C2294,""tiktok"")=TRUE,""Tiktok"",if("&amp;"REGEXMATCH(C2294,""threads"")=TRUE,""Threads""))))))"),"Facebook")</f>
        <v>Facebook</v>
      </c>
      <c r="G2294" s="41" t="s">
        <v>3881</v>
      </c>
      <c r="H2294" s="41" t="s">
        <v>3882</v>
      </c>
      <c r="I2294" s="41"/>
      <c r="J2294" s="41" t="s">
        <v>188</v>
      </c>
      <c r="K2294" s="41" t="s">
        <v>3490</v>
      </c>
      <c r="L2294" s="42"/>
    </row>
    <row r="2295">
      <c r="A2295" s="15">
        <v>2294.0</v>
      </c>
      <c r="B2295" s="39">
        <v>45990.0</v>
      </c>
      <c r="C2295" s="40" t="s">
        <v>3883</v>
      </c>
      <c r="D2295" s="41"/>
      <c r="E2295" s="41" t="s">
        <v>2018</v>
      </c>
      <c r="F2295" s="18" t="str">
        <f>IFERROR(__xludf.DUMMYFUNCTION("if(REGEXMATCH(C2295,""x.com"")=TRUE,""Twitter"",if(REGEXMATCH(C2295,""facebook"")=TRUE,""Facebook"",if(REGEXMATCH(C2295,""instagram"")=TRUE,""Instagram"",if(REGEXMATCH(C2295,""youtube"")=TRUE,""Youtube"",if(REGEXMATCH(C2295,""tiktok"")=TRUE,""Tiktok"",if("&amp;"REGEXMATCH(C2295,""threads"")=TRUE,""Threads""))))))"),"Facebook")</f>
        <v>Facebook</v>
      </c>
      <c r="G2295" s="41" t="s">
        <v>3881</v>
      </c>
      <c r="H2295" s="41" t="s">
        <v>3882</v>
      </c>
      <c r="I2295" s="41"/>
      <c r="J2295" s="41" t="s">
        <v>188</v>
      </c>
      <c r="K2295" s="41" t="s">
        <v>3490</v>
      </c>
      <c r="L2295" s="42"/>
    </row>
    <row r="2296">
      <c r="A2296" s="15">
        <v>2295.0</v>
      </c>
      <c r="B2296" s="39">
        <v>45990.0</v>
      </c>
      <c r="C2296" s="40" t="s">
        <v>3884</v>
      </c>
      <c r="D2296" s="41"/>
      <c r="E2296" s="41" t="s">
        <v>2018</v>
      </c>
      <c r="F2296" s="18" t="str">
        <f>IFERROR(__xludf.DUMMYFUNCTION("if(REGEXMATCH(C2296,""x.com"")=TRUE,""Twitter"",if(REGEXMATCH(C2296,""facebook"")=TRUE,""Facebook"",if(REGEXMATCH(C2296,""instagram"")=TRUE,""Instagram"",if(REGEXMATCH(C2296,""youtube"")=TRUE,""Youtube"",if(REGEXMATCH(C2296,""tiktok"")=TRUE,""Tiktok"",if("&amp;"REGEXMATCH(C2296,""threads"")=TRUE,""Threads""))))))"),"Facebook")</f>
        <v>Facebook</v>
      </c>
      <c r="G2296" s="41" t="s">
        <v>3881</v>
      </c>
      <c r="H2296" s="41" t="s">
        <v>3882</v>
      </c>
      <c r="I2296" s="18"/>
      <c r="J2296" s="41" t="s">
        <v>188</v>
      </c>
      <c r="K2296" s="41" t="s">
        <v>3490</v>
      </c>
      <c r="L2296" s="42"/>
    </row>
    <row r="2297">
      <c r="A2297" s="15">
        <v>2296.0</v>
      </c>
      <c r="B2297" s="39">
        <v>45991.0</v>
      </c>
      <c r="C2297" s="40" t="s">
        <v>3885</v>
      </c>
      <c r="D2297" s="41"/>
      <c r="E2297" s="41" t="s">
        <v>1178</v>
      </c>
      <c r="F2297" s="18" t="str">
        <f>IFERROR(__xludf.DUMMYFUNCTION("if(REGEXMATCH(C2297,""x.com"")=TRUE,""Twitter"",if(REGEXMATCH(C2297,""facebook"")=TRUE,""Facebook"",if(REGEXMATCH(C2297,""instagram"")=TRUE,""Instagram"",if(REGEXMATCH(C2297,""youtube"")=TRUE,""Youtube"",if(REGEXMATCH(C2297,""tiktok"")=TRUE,""Tiktok"",if("&amp;"REGEXMATCH(C2297,""threads"")=TRUE,""Threads""))))))"),"Twitter")</f>
        <v>Twitter</v>
      </c>
      <c r="G2297" s="41" t="s">
        <v>2135</v>
      </c>
      <c r="H2297" s="41" t="s">
        <v>2136</v>
      </c>
      <c r="I2297" s="41" t="s">
        <v>2137</v>
      </c>
      <c r="J2297" s="41" t="s">
        <v>188</v>
      </c>
      <c r="K2297" s="41" t="s">
        <v>1921</v>
      </c>
      <c r="L2297" s="42"/>
    </row>
    <row r="2298">
      <c r="A2298" s="15">
        <v>2297.0</v>
      </c>
      <c r="B2298" s="39">
        <v>45991.0</v>
      </c>
      <c r="C2298" s="40" t="s">
        <v>3886</v>
      </c>
      <c r="D2298" s="41"/>
      <c r="E2298" s="41" t="s">
        <v>1178</v>
      </c>
      <c r="F2298" s="18" t="str">
        <f>IFERROR(__xludf.DUMMYFUNCTION("if(REGEXMATCH(C2298,""x.com"")=TRUE,""Twitter"",if(REGEXMATCH(C2298,""facebook"")=TRUE,""Facebook"",if(REGEXMATCH(C2298,""instagram"")=TRUE,""Instagram"",if(REGEXMATCH(C2298,""youtube"")=TRUE,""Youtube"",if(REGEXMATCH(C2298,""tiktok"")=TRUE,""Tiktok"",if("&amp;"REGEXMATCH(C2298,""threads"")=TRUE,""Threads""))))))"),"Twitter")</f>
        <v>Twitter</v>
      </c>
      <c r="G2298" s="41" t="s">
        <v>2135</v>
      </c>
      <c r="H2298" s="41" t="s">
        <v>2136</v>
      </c>
      <c r="I2298" s="41" t="s">
        <v>2137</v>
      </c>
      <c r="J2298" s="41" t="s">
        <v>188</v>
      </c>
      <c r="K2298" s="41"/>
      <c r="L2298" s="42"/>
    </row>
    <row r="2299">
      <c r="A2299" s="15">
        <v>2298.0</v>
      </c>
      <c r="B2299" s="39">
        <v>45991.0</v>
      </c>
      <c r="C2299" s="63" t="s">
        <v>3887</v>
      </c>
      <c r="D2299" s="41"/>
      <c r="E2299" s="41" t="s">
        <v>401</v>
      </c>
      <c r="F2299" s="18" t="str">
        <f>IFERROR(__xludf.DUMMYFUNCTION("if(REGEXMATCH(C2299,""x.com"")=TRUE,""Twitter"",if(REGEXMATCH(C2299,""facebook"")=TRUE,""Facebook"",if(REGEXMATCH(C2299,""instagram"")=TRUE,""Instagram"",if(REGEXMATCH(C2299,""youtube"")=TRUE,""Youtube"",if(REGEXMATCH(C2299,""tiktok"")=TRUE,""Tiktok"",if("&amp;"REGEXMATCH(C2299,""threads"")=TRUE,""Threads""))))))"),"Facebook")</f>
        <v>Facebook</v>
      </c>
      <c r="G2299" s="41" t="s">
        <v>937</v>
      </c>
      <c r="H2299" s="41" t="s">
        <v>1542</v>
      </c>
      <c r="I2299" s="41" t="s">
        <v>939</v>
      </c>
      <c r="J2299" s="41" t="s">
        <v>188</v>
      </c>
      <c r="K2299" s="41"/>
      <c r="L2299" s="42"/>
    </row>
    <row r="2300">
      <c r="A2300" s="15">
        <v>2299.0</v>
      </c>
      <c r="B2300" s="39">
        <v>45991.0</v>
      </c>
      <c r="C2300" s="63" t="s">
        <v>3888</v>
      </c>
      <c r="D2300" s="41"/>
      <c r="E2300" s="41" t="s">
        <v>401</v>
      </c>
      <c r="F2300" s="18" t="str">
        <f>IFERROR(__xludf.DUMMYFUNCTION("if(REGEXMATCH(C2300,""x.com"")=TRUE,""Twitter"",if(REGEXMATCH(C2300,""facebook"")=TRUE,""Facebook"",if(REGEXMATCH(C2300,""instagram"")=TRUE,""Instagram"",if(REGEXMATCH(C2300,""youtube"")=TRUE,""Youtube"",if(REGEXMATCH(C2300,""tiktok"")=TRUE,""Tiktok"",if("&amp;"REGEXMATCH(C2300,""threads"")=TRUE,""Threads""))))))"),"Facebook")</f>
        <v>Facebook</v>
      </c>
      <c r="G2300" s="41" t="s">
        <v>937</v>
      </c>
      <c r="H2300" s="41" t="s">
        <v>1542</v>
      </c>
      <c r="I2300" s="41" t="s">
        <v>939</v>
      </c>
      <c r="J2300" s="41" t="s">
        <v>188</v>
      </c>
      <c r="K2300" s="41"/>
      <c r="L2300" s="42"/>
    </row>
    <row r="2301">
      <c r="A2301" s="15">
        <v>2300.0</v>
      </c>
      <c r="B2301" s="39">
        <v>45991.0</v>
      </c>
      <c r="C2301" s="63" t="s">
        <v>3889</v>
      </c>
      <c r="D2301" s="41"/>
      <c r="E2301" s="41" t="s">
        <v>401</v>
      </c>
      <c r="F2301" s="18" t="str">
        <f>IFERROR(__xludf.DUMMYFUNCTION("if(REGEXMATCH(C2301,""x.com"")=TRUE,""Twitter"",if(REGEXMATCH(C2301,""facebook"")=TRUE,""Facebook"",if(REGEXMATCH(C2301,""instagram"")=TRUE,""Instagram"",if(REGEXMATCH(C2301,""youtube"")=TRUE,""Youtube"",if(REGEXMATCH(C2301,""tiktok"")=TRUE,""Tiktok"",if("&amp;"REGEXMATCH(C2301,""threads"")=TRUE,""Threads""))))))"),"Facebook")</f>
        <v>Facebook</v>
      </c>
      <c r="G2301" s="41" t="s">
        <v>937</v>
      </c>
      <c r="H2301" s="41" t="s">
        <v>1542</v>
      </c>
      <c r="I2301" s="41" t="s">
        <v>939</v>
      </c>
      <c r="J2301" s="41" t="s">
        <v>188</v>
      </c>
      <c r="K2301" s="41"/>
      <c r="L2301" s="42"/>
    </row>
    <row r="2302">
      <c r="A2302" s="15">
        <v>2301.0</v>
      </c>
      <c r="B2302" s="39">
        <v>45991.0</v>
      </c>
      <c r="C2302" s="40" t="s">
        <v>3890</v>
      </c>
      <c r="D2302" s="41"/>
      <c r="E2302" s="41" t="s">
        <v>197</v>
      </c>
      <c r="F2302" s="18" t="str">
        <f>IFERROR(__xludf.DUMMYFUNCTION("if(REGEXMATCH(C2302,""x.com"")=TRUE,""Twitter"",if(REGEXMATCH(C2302,""facebook"")=TRUE,""Facebook"",if(REGEXMATCH(C2302,""instagram"")=TRUE,""Instagram"",if(REGEXMATCH(C2302,""youtube"")=TRUE,""Youtube"",if(REGEXMATCH(C2302,""tiktok"")=TRUE,""Tiktok"",if("&amp;"REGEXMATCH(C2302,""threads"")=TRUE,""Threads""))))))"),"Twitter")</f>
        <v>Twitter</v>
      </c>
      <c r="G2302" s="41" t="s">
        <v>3891</v>
      </c>
      <c r="H2302" s="41" t="s">
        <v>1782</v>
      </c>
      <c r="I2302" s="41" t="s">
        <v>535</v>
      </c>
      <c r="J2302" s="41" t="s">
        <v>188</v>
      </c>
      <c r="K2302" s="41" t="s">
        <v>1611</v>
      </c>
      <c r="L2302" s="42"/>
    </row>
    <row r="2303">
      <c r="A2303" s="15">
        <v>2302.0</v>
      </c>
      <c r="B2303" s="39">
        <v>45991.0</v>
      </c>
      <c r="C2303" s="40" t="s">
        <v>3892</v>
      </c>
      <c r="D2303" s="41"/>
      <c r="E2303" s="41" t="s">
        <v>197</v>
      </c>
      <c r="F2303" s="18" t="str">
        <f>IFERROR(__xludf.DUMMYFUNCTION("if(REGEXMATCH(C2303,""x.com"")=TRUE,""Twitter"",if(REGEXMATCH(C2303,""facebook"")=TRUE,""Facebook"",if(REGEXMATCH(C2303,""instagram"")=TRUE,""Instagram"",if(REGEXMATCH(C2303,""youtube"")=TRUE,""Youtube"",if(REGEXMATCH(C2303,""tiktok"")=TRUE,""Tiktok"",if("&amp;"REGEXMATCH(C2303,""threads"")=TRUE,""Threads""))))))"),"Twitter")</f>
        <v>Twitter</v>
      </c>
      <c r="G2303" s="41" t="s">
        <v>3893</v>
      </c>
      <c r="H2303" s="41" t="s">
        <v>1782</v>
      </c>
      <c r="I2303" s="41" t="s">
        <v>535</v>
      </c>
      <c r="J2303" s="41" t="s">
        <v>188</v>
      </c>
      <c r="K2303" s="41" t="s">
        <v>1611</v>
      </c>
      <c r="L2303" s="42"/>
    </row>
    <row r="2304">
      <c r="A2304" s="15">
        <v>2303.0</v>
      </c>
      <c r="B2304" s="39">
        <v>45991.0</v>
      </c>
      <c r="C2304" s="40" t="s">
        <v>3894</v>
      </c>
      <c r="D2304" s="41"/>
      <c r="E2304" s="41" t="s">
        <v>197</v>
      </c>
      <c r="F2304" s="18" t="str">
        <f>IFERROR(__xludf.DUMMYFUNCTION("if(REGEXMATCH(C2304,""x.com"")=TRUE,""Twitter"",if(REGEXMATCH(C2304,""facebook"")=TRUE,""Facebook"",if(REGEXMATCH(C2304,""instagram"")=TRUE,""Instagram"",if(REGEXMATCH(C2304,""youtube"")=TRUE,""Youtube"",if(REGEXMATCH(C2304,""tiktok"")=TRUE,""Tiktok"",if("&amp;"REGEXMATCH(C2304,""threads"")=TRUE,""Threads""))))))"),"Facebook")</f>
        <v>Facebook</v>
      </c>
      <c r="G2304" s="41" t="s">
        <v>2443</v>
      </c>
      <c r="H2304" s="41" t="s">
        <v>1782</v>
      </c>
      <c r="I2304" s="41" t="s">
        <v>535</v>
      </c>
      <c r="J2304" s="41" t="s">
        <v>188</v>
      </c>
      <c r="K2304" s="41" t="s">
        <v>1611</v>
      </c>
      <c r="L2304" s="42"/>
    </row>
    <row r="2305">
      <c r="A2305" s="15">
        <v>2304.0</v>
      </c>
      <c r="B2305" s="39">
        <v>45991.0</v>
      </c>
      <c r="C2305" s="40" t="s">
        <v>3895</v>
      </c>
      <c r="D2305" s="41"/>
      <c r="E2305" s="41" t="s">
        <v>2875</v>
      </c>
      <c r="F2305" s="18" t="str">
        <f>IFERROR(__xludf.DUMMYFUNCTION("if(REGEXMATCH(C2305,""x.com"")=TRUE,""Twitter"",if(REGEXMATCH(C2305,""facebook"")=TRUE,""Facebook"",if(REGEXMATCH(C2305,""instagram"")=TRUE,""Instagram"",if(REGEXMATCH(C2305,""youtube"")=TRUE,""Youtube"",if(REGEXMATCH(C2305,""tiktok"")=TRUE,""Tiktok"",if("&amp;"REGEXMATCH(C2305,""threads"")=TRUE,""Threads""))))))"),"Facebook")</f>
        <v>Facebook</v>
      </c>
      <c r="G2305" s="41" t="s">
        <v>3896</v>
      </c>
      <c r="H2305" s="41" t="s">
        <v>1782</v>
      </c>
      <c r="I2305" s="41" t="s">
        <v>535</v>
      </c>
      <c r="J2305" s="41" t="s">
        <v>188</v>
      </c>
      <c r="K2305" s="41" t="s">
        <v>1611</v>
      </c>
      <c r="L2305" s="42"/>
    </row>
    <row r="2306">
      <c r="A2306" s="15">
        <v>2305.0</v>
      </c>
      <c r="B2306" s="39">
        <v>45991.0</v>
      </c>
      <c r="C2306" s="40" t="s">
        <v>3897</v>
      </c>
      <c r="D2306" s="41"/>
      <c r="E2306" s="41" t="s">
        <v>2875</v>
      </c>
      <c r="F2306" s="18" t="str">
        <f>IFERROR(__xludf.DUMMYFUNCTION("if(REGEXMATCH(C2306,""x.com"")=TRUE,""Twitter"",if(REGEXMATCH(C2306,""facebook"")=TRUE,""Facebook"",if(REGEXMATCH(C2306,""instagram"")=TRUE,""Instagram"",if(REGEXMATCH(C2306,""youtube"")=TRUE,""Youtube"",if(REGEXMATCH(C2306,""tiktok"")=TRUE,""Tiktok"",if("&amp;"REGEXMATCH(C2306,""threads"")=TRUE,""Threads""))))))"),"Facebook")</f>
        <v>Facebook</v>
      </c>
      <c r="G2306" s="41" t="s">
        <v>3898</v>
      </c>
      <c r="H2306" s="41" t="s">
        <v>1782</v>
      </c>
      <c r="I2306" s="41" t="s">
        <v>535</v>
      </c>
      <c r="J2306" s="41" t="s">
        <v>188</v>
      </c>
      <c r="K2306" s="41" t="s">
        <v>1611</v>
      </c>
      <c r="L2306" s="42"/>
    </row>
    <row r="2307">
      <c r="A2307" s="15">
        <v>2306.0</v>
      </c>
      <c r="B2307" s="39">
        <v>45991.0</v>
      </c>
      <c r="C2307" s="40" t="s">
        <v>3899</v>
      </c>
      <c r="D2307" s="41"/>
      <c r="E2307" s="41" t="s">
        <v>197</v>
      </c>
      <c r="F2307" s="18" t="str">
        <f>IFERROR(__xludf.DUMMYFUNCTION("if(REGEXMATCH(C2307,""x.com"")=TRUE,""Twitter"",if(REGEXMATCH(C2307,""facebook"")=TRUE,""Facebook"",if(REGEXMATCH(C2307,""instagram"")=TRUE,""Instagram"",if(REGEXMATCH(C2307,""youtube"")=TRUE,""Youtube"",if(REGEXMATCH(C2307,""tiktok"")=TRUE,""Tiktok"",if("&amp;"REGEXMATCH(C2307,""threads"")=TRUE,""Threads""))))))"),"Facebook")</f>
        <v>Facebook</v>
      </c>
      <c r="G2307" s="41" t="s">
        <v>2443</v>
      </c>
      <c r="H2307" s="41" t="s">
        <v>1782</v>
      </c>
      <c r="I2307" s="41" t="s">
        <v>535</v>
      </c>
      <c r="J2307" s="41" t="s">
        <v>188</v>
      </c>
      <c r="K2307" s="41" t="s">
        <v>1611</v>
      </c>
      <c r="L2307" s="42"/>
    </row>
    <row r="2308">
      <c r="A2308" s="15">
        <v>2307.0</v>
      </c>
      <c r="B2308" s="39">
        <v>45991.0</v>
      </c>
      <c r="C2308" s="40" t="s">
        <v>3900</v>
      </c>
      <c r="D2308" s="41"/>
      <c r="E2308" s="41" t="s">
        <v>197</v>
      </c>
      <c r="F2308" s="18" t="str">
        <f>IFERROR(__xludf.DUMMYFUNCTION("if(REGEXMATCH(C2308,""x.com"")=TRUE,""Twitter"",if(REGEXMATCH(C2308,""facebook"")=TRUE,""Facebook"",if(REGEXMATCH(C2308,""instagram"")=TRUE,""Instagram"",if(REGEXMATCH(C2308,""youtube"")=TRUE,""Youtube"",if(REGEXMATCH(C2308,""tiktok"")=TRUE,""Tiktok"",if("&amp;"REGEXMATCH(C2308,""threads"")=TRUE,""Threads""))))))"),"Twitter")</f>
        <v>Twitter</v>
      </c>
      <c r="G2308" s="41" t="s">
        <v>3901</v>
      </c>
      <c r="H2308" s="41" t="s">
        <v>1782</v>
      </c>
      <c r="I2308" s="41" t="s">
        <v>535</v>
      </c>
      <c r="J2308" s="41" t="s">
        <v>188</v>
      </c>
      <c r="K2308" s="41" t="s">
        <v>1611</v>
      </c>
      <c r="L2308" s="42"/>
    </row>
    <row r="2309">
      <c r="A2309" s="15">
        <v>2308.0</v>
      </c>
      <c r="B2309" s="39">
        <v>45991.0</v>
      </c>
      <c r="C2309" s="40" t="s">
        <v>3902</v>
      </c>
      <c r="D2309" s="41"/>
      <c r="E2309" s="41" t="s">
        <v>197</v>
      </c>
      <c r="F2309" s="18" t="str">
        <f>IFERROR(__xludf.DUMMYFUNCTION("if(REGEXMATCH(C2309,""x.com"")=TRUE,""Twitter"",if(REGEXMATCH(C2309,""facebook"")=TRUE,""Facebook"",if(REGEXMATCH(C2309,""instagram"")=TRUE,""Instagram"",if(REGEXMATCH(C2309,""youtube"")=TRUE,""Youtube"",if(REGEXMATCH(C2309,""tiktok"")=TRUE,""Tiktok"",if("&amp;"REGEXMATCH(C2309,""threads"")=TRUE,""Threads""))))))"),"Facebook")</f>
        <v>Facebook</v>
      </c>
      <c r="G2309" s="41" t="s">
        <v>3903</v>
      </c>
      <c r="H2309" s="41" t="s">
        <v>1782</v>
      </c>
      <c r="I2309" s="41" t="s">
        <v>535</v>
      </c>
      <c r="J2309" s="41" t="s">
        <v>188</v>
      </c>
      <c r="K2309" s="41" t="s">
        <v>1611</v>
      </c>
      <c r="L2309" s="42"/>
    </row>
    <row r="2310">
      <c r="A2310" s="15">
        <v>2309.0</v>
      </c>
      <c r="B2310" s="39">
        <v>45991.0</v>
      </c>
      <c r="C2310" s="40" t="s">
        <v>3904</v>
      </c>
      <c r="D2310" s="41"/>
      <c r="E2310" s="41" t="s">
        <v>197</v>
      </c>
      <c r="F2310" s="18" t="str">
        <f>IFERROR(__xludf.DUMMYFUNCTION("if(REGEXMATCH(C2310,""x.com"")=TRUE,""Twitter"",if(REGEXMATCH(C2310,""facebook"")=TRUE,""Facebook"",if(REGEXMATCH(C2310,""instagram"")=TRUE,""Instagram"",if(REGEXMATCH(C2310,""youtube"")=TRUE,""Youtube"",if(REGEXMATCH(C2310,""tiktok"")=TRUE,""Tiktok"",if("&amp;"REGEXMATCH(C2310,""threads"")=TRUE,""Threads""))))))"),"Facebook")</f>
        <v>Facebook</v>
      </c>
      <c r="G2310" s="41" t="s">
        <v>3905</v>
      </c>
      <c r="H2310" s="41" t="s">
        <v>1782</v>
      </c>
      <c r="I2310" s="41" t="s">
        <v>535</v>
      </c>
      <c r="J2310" s="41" t="s">
        <v>188</v>
      </c>
      <c r="K2310" s="41"/>
      <c r="L2310" s="42"/>
    </row>
    <row r="2311">
      <c r="A2311" s="15">
        <v>2310.0</v>
      </c>
      <c r="B2311" s="39">
        <v>45991.0</v>
      </c>
      <c r="C2311" s="40" t="s">
        <v>3906</v>
      </c>
      <c r="D2311" s="41"/>
      <c r="E2311" s="41" t="s">
        <v>557</v>
      </c>
      <c r="F2311" s="18" t="str">
        <f>IFERROR(__xludf.DUMMYFUNCTION("if(REGEXMATCH(C2311,""x.com"")=TRUE,""Twitter"",if(REGEXMATCH(C2311,""facebook"")=TRUE,""Facebook"",if(REGEXMATCH(C2311,""instagram"")=TRUE,""Instagram"",if(REGEXMATCH(C2311,""youtube"")=TRUE,""Youtube"",if(REGEXMATCH(C2311,""tiktok"")=TRUE,""Tiktok"",if("&amp;"REGEXMATCH(C2311,""threads"")=TRUE,""Threads""))))))"),"Facebook")</f>
        <v>Facebook</v>
      </c>
      <c r="G2311" s="41" t="s">
        <v>3907</v>
      </c>
      <c r="H2311" s="41" t="s">
        <v>1782</v>
      </c>
      <c r="I2311" s="41" t="s">
        <v>535</v>
      </c>
      <c r="J2311" s="41" t="s">
        <v>188</v>
      </c>
      <c r="K2311" s="41"/>
      <c r="L2311" s="42"/>
    </row>
    <row r="2312">
      <c r="A2312" s="15">
        <v>2311.0</v>
      </c>
      <c r="B2312" s="39">
        <v>45991.0</v>
      </c>
      <c r="C2312" s="40" t="s">
        <v>3908</v>
      </c>
      <c r="D2312" s="41"/>
      <c r="E2312" s="41" t="s">
        <v>557</v>
      </c>
      <c r="F2312" s="18" t="str">
        <f>IFERROR(__xludf.DUMMYFUNCTION("if(REGEXMATCH(C2312,""x.com"")=TRUE,""Twitter"",if(REGEXMATCH(C2312,""facebook"")=TRUE,""Facebook"",if(REGEXMATCH(C2312,""instagram"")=TRUE,""Instagram"",if(REGEXMATCH(C2312,""youtube"")=TRUE,""Youtube"",if(REGEXMATCH(C2312,""tiktok"")=TRUE,""Tiktok"",if("&amp;"REGEXMATCH(C2312,""threads"")=TRUE,""Threads""))))))"),"Facebook")</f>
        <v>Facebook</v>
      </c>
      <c r="G2312" s="41" t="s">
        <v>3909</v>
      </c>
      <c r="H2312" s="41" t="s">
        <v>1782</v>
      </c>
      <c r="I2312" s="41" t="s">
        <v>535</v>
      </c>
      <c r="J2312" s="41" t="s">
        <v>188</v>
      </c>
      <c r="K2312" s="41"/>
      <c r="L2312" s="42"/>
    </row>
    <row r="2313">
      <c r="A2313" s="15">
        <v>2312.0</v>
      </c>
      <c r="B2313" s="39">
        <v>45991.0</v>
      </c>
      <c r="C2313" s="40" t="s">
        <v>3910</v>
      </c>
      <c r="D2313" s="41"/>
      <c r="E2313" s="41" t="s">
        <v>557</v>
      </c>
      <c r="F2313" s="18" t="str">
        <f>IFERROR(__xludf.DUMMYFUNCTION("if(REGEXMATCH(C2313,""x.com"")=TRUE,""Twitter"",if(REGEXMATCH(C2313,""facebook"")=TRUE,""Facebook"",if(REGEXMATCH(C2313,""instagram"")=TRUE,""Instagram"",if(REGEXMATCH(C2313,""youtube"")=TRUE,""Youtube"",if(REGEXMATCH(C2313,""tiktok"")=TRUE,""Tiktok"",if("&amp;"REGEXMATCH(C2313,""threads"")=TRUE,""Threads""))))))"),"Facebook")</f>
        <v>Facebook</v>
      </c>
      <c r="G2313" s="41" t="s">
        <v>3911</v>
      </c>
      <c r="H2313" s="41" t="s">
        <v>1782</v>
      </c>
      <c r="I2313" s="41" t="s">
        <v>535</v>
      </c>
      <c r="J2313" s="41" t="s">
        <v>188</v>
      </c>
      <c r="K2313" s="41"/>
      <c r="L2313" s="42"/>
    </row>
    <row r="2314">
      <c r="A2314" s="15">
        <v>2313.0</v>
      </c>
      <c r="B2314" s="39">
        <v>45991.0</v>
      </c>
      <c r="C2314" s="40" t="s">
        <v>3912</v>
      </c>
      <c r="D2314" s="41"/>
      <c r="E2314" s="41" t="s">
        <v>197</v>
      </c>
      <c r="F2314" s="18" t="str">
        <f>IFERROR(__xludf.DUMMYFUNCTION("if(REGEXMATCH(C2314,""x.com"")=TRUE,""Twitter"",if(REGEXMATCH(C2314,""facebook"")=TRUE,""Facebook"",if(REGEXMATCH(C2314,""instagram"")=TRUE,""Instagram"",if(REGEXMATCH(C2314,""youtube"")=TRUE,""Youtube"",if(REGEXMATCH(C2314,""tiktok"")=TRUE,""Tiktok"",if("&amp;"REGEXMATCH(C2314,""threads"")=TRUE,""Threads""))))))"),"Facebook")</f>
        <v>Facebook</v>
      </c>
      <c r="G2314" s="41" t="s">
        <v>3913</v>
      </c>
      <c r="H2314" s="41" t="s">
        <v>1782</v>
      </c>
      <c r="I2314" s="41" t="s">
        <v>535</v>
      </c>
      <c r="J2314" s="41" t="s">
        <v>188</v>
      </c>
      <c r="K2314" s="41"/>
      <c r="L2314" s="42"/>
    </row>
    <row r="2315">
      <c r="A2315" s="15">
        <v>2314.0</v>
      </c>
      <c r="B2315" s="39">
        <v>45991.0</v>
      </c>
      <c r="C2315" s="40" t="s">
        <v>3914</v>
      </c>
      <c r="D2315" s="41"/>
      <c r="E2315" s="41" t="s">
        <v>557</v>
      </c>
      <c r="F2315" s="18" t="str">
        <f>IFERROR(__xludf.DUMMYFUNCTION("if(REGEXMATCH(C2315,""x.com"")=TRUE,""Twitter"",if(REGEXMATCH(C2315,""facebook"")=TRUE,""Facebook"",if(REGEXMATCH(C2315,""instagram"")=TRUE,""Instagram"",if(REGEXMATCH(C2315,""youtube"")=TRUE,""Youtube"",if(REGEXMATCH(C2315,""tiktok"")=TRUE,""Tiktok"",if("&amp;"REGEXMATCH(C2315,""threads"")=TRUE,""Threads""))))))"),"Facebook")</f>
        <v>Facebook</v>
      </c>
      <c r="G2315" s="41" t="s">
        <v>3915</v>
      </c>
      <c r="H2315" s="41" t="s">
        <v>1782</v>
      </c>
      <c r="I2315" s="41" t="s">
        <v>535</v>
      </c>
      <c r="J2315" s="41" t="s">
        <v>188</v>
      </c>
      <c r="K2315" s="41"/>
      <c r="L2315" s="42"/>
    </row>
    <row r="2316">
      <c r="A2316" s="15">
        <v>2315.0</v>
      </c>
      <c r="B2316" s="39">
        <v>45991.0</v>
      </c>
      <c r="C2316" s="40" t="s">
        <v>3916</v>
      </c>
      <c r="D2316" s="41"/>
      <c r="E2316" s="41" t="s">
        <v>557</v>
      </c>
      <c r="F2316" s="18" t="str">
        <f>IFERROR(__xludf.DUMMYFUNCTION("if(REGEXMATCH(C2316,""x.com"")=TRUE,""Twitter"",if(REGEXMATCH(C2316,""facebook"")=TRUE,""Facebook"",if(REGEXMATCH(C2316,""instagram"")=TRUE,""Instagram"",if(REGEXMATCH(C2316,""youtube"")=TRUE,""Youtube"",if(REGEXMATCH(C2316,""tiktok"")=TRUE,""Tiktok"",if("&amp;"REGEXMATCH(C2316,""threads"")=TRUE,""Threads""))))))"),"Twitter")</f>
        <v>Twitter</v>
      </c>
      <c r="G2316" s="41" t="s">
        <v>3917</v>
      </c>
      <c r="H2316" s="41" t="s">
        <v>1782</v>
      </c>
      <c r="I2316" s="41" t="s">
        <v>535</v>
      </c>
      <c r="J2316" s="41" t="s">
        <v>188</v>
      </c>
      <c r="K2316" s="41"/>
      <c r="L2316" s="42"/>
    </row>
    <row r="2317">
      <c r="A2317" s="15">
        <v>2316.0</v>
      </c>
      <c r="B2317" s="39">
        <v>45991.0</v>
      </c>
      <c r="C2317" s="40" t="s">
        <v>3918</v>
      </c>
      <c r="D2317" s="41"/>
      <c r="E2317" s="41" t="s">
        <v>197</v>
      </c>
      <c r="F2317" s="18" t="str">
        <f>IFERROR(__xludf.DUMMYFUNCTION("if(REGEXMATCH(C2317,""x.com"")=TRUE,""Twitter"",if(REGEXMATCH(C2317,""facebook"")=TRUE,""Facebook"",if(REGEXMATCH(C2317,""instagram"")=TRUE,""Instagram"",if(REGEXMATCH(C2317,""youtube"")=TRUE,""Youtube"",if(REGEXMATCH(C2317,""tiktok"")=TRUE,""Tiktok"",if("&amp;"REGEXMATCH(C2317,""threads"")=TRUE,""Threads""))))))"),"Twitter")</f>
        <v>Twitter</v>
      </c>
      <c r="G2317" s="41" t="s">
        <v>3919</v>
      </c>
      <c r="H2317" s="41" t="s">
        <v>1782</v>
      </c>
      <c r="I2317" s="41" t="s">
        <v>535</v>
      </c>
      <c r="J2317" s="41" t="s">
        <v>188</v>
      </c>
      <c r="K2317" s="41"/>
      <c r="L2317" s="42"/>
    </row>
    <row r="2318">
      <c r="A2318" s="15">
        <v>2317.0</v>
      </c>
      <c r="B2318" s="39">
        <v>45991.0</v>
      </c>
      <c r="C2318" s="40" t="s">
        <v>3920</v>
      </c>
      <c r="D2318" s="41"/>
      <c r="E2318" s="41" t="s">
        <v>557</v>
      </c>
      <c r="F2318" s="18" t="str">
        <f>IFERROR(__xludf.DUMMYFUNCTION("if(REGEXMATCH(C2318,""x.com"")=TRUE,""Twitter"",if(REGEXMATCH(C2318,""facebook"")=TRUE,""Facebook"",if(REGEXMATCH(C2318,""instagram"")=TRUE,""Instagram"",if(REGEXMATCH(C2318,""youtube"")=TRUE,""Youtube"",if(REGEXMATCH(C2318,""tiktok"")=TRUE,""Tiktok"",if("&amp;"REGEXMATCH(C2318,""threads"")=TRUE,""Threads""))))))"),"Twitter")</f>
        <v>Twitter</v>
      </c>
      <c r="G2318" s="41" t="s">
        <v>3921</v>
      </c>
      <c r="H2318" s="41" t="s">
        <v>1782</v>
      </c>
      <c r="I2318" s="41" t="s">
        <v>535</v>
      </c>
      <c r="J2318" s="41" t="s">
        <v>188</v>
      </c>
      <c r="K2318" s="41"/>
      <c r="L2318" s="42"/>
    </row>
    <row r="2319">
      <c r="A2319" s="15">
        <v>2318.0</v>
      </c>
      <c r="B2319" s="39">
        <v>45983.0</v>
      </c>
      <c r="C2319" s="56" t="s">
        <v>3922</v>
      </c>
      <c r="D2319" s="41"/>
      <c r="E2319" s="64" t="s">
        <v>2018</v>
      </c>
      <c r="F2319" s="65" t="str">
        <f>IFERROR(__xludf.DUMMYFUNCTION("if(REGEXMATCH(C2319,""x.com"")=TRUE,""Twitter"",if(REGEXMATCH(C2319,""facebook"")=TRUE,""Facebook"",if(REGEXMATCH(C2319,""instagram"")=TRUE,""Instagram"",if(REGEXMATCH(C2319,""youtube"")=TRUE,""Youtube"",if(REGEXMATCH(C2319,""tiktok"")=TRUE,""Tiktok"",if("&amp;"REGEXMATCH(C2319,""threads"")=TRUE,""Threads""))))))"),"Facebook")</f>
        <v>Facebook</v>
      </c>
      <c r="G2319" s="52" t="s">
        <v>3923</v>
      </c>
      <c r="H2319" s="52" t="s">
        <v>2020</v>
      </c>
      <c r="I2319" s="41"/>
      <c r="J2319" s="52" t="s">
        <v>422</v>
      </c>
      <c r="K2319" s="66" t="s">
        <v>3644</v>
      </c>
      <c r="L2319" s="42"/>
    </row>
    <row r="2320">
      <c r="A2320" s="15">
        <v>2319.0</v>
      </c>
      <c r="B2320" s="39">
        <v>45983.0</v>
      </c>
      <c r="C2320" s="67" t="s">
        <v>3924</v>
      </c>
      <c r="D2320" s="41"/>
      <c r="E2320" s="64" t="s">
        <v>2018</v>
      </c>
      <c r="F2320" s="65" t="str">
        <f>IFERROR(__xludf.DUMMYFUNCTION("if(REGEXMATCH(C2320,""x.com"")=TRUE,""Twitter"",if(REGEXMATCH(C2320,""facebook"")=TRUE,""Facebook"",if(REGEXMATCH(C2320,""instagram"")=TRUE,""Instagram"",if(REGEXMATCH(C2320,""youtube"")=TRUE,""Youtube"",if(REGEXMATCH(C2320,""tiktok"")=TRUE,""Tiktok"",if("&amp;"REGEXMATCH(C2320,""threads"")=TRUE,""Threads""))))))"),"Facebook")</f>
        <v>Facebook</v>
      </c>
      <c r="G2320" s="52" t="s">
        <v>3925</v>
      </c>
      <c r="H2320" s="52" t="s">
        <v>2020</v>
      </c>
      <c r="I2320" s="41"/>
      <c r="J2320" s="52" t="s">
        <v>422</v>
      </c>
      <c r="K2320" s="66" t="s">
        <v>3644</v>
      </c>
      <c r="L2320" s="42"/>
    </row>
    <row r="2321">
      <c r="A2321" s="15">
        <v>2320.0</v>
      </c>
      <c r="B2321" s="64" t="s">
        <v>3926</v>
      </c>
      <c r="C2321" s="40" t="s">
        <v>3927</v>
      </c>
      <c r="D2321" s="41"/>
      <c r="E2321" s="41" t="s">
        <v>197</v>
      </c>
      <c r="F2321" s="41" t="str">
        <f>IFERROR(__xludf.DUMMYFUNCTION("if(REGEXMATCH(C2321,""x.com"")=TRUE,""Twitter"",if(REGEXMATCH(C2321,""facebook"")=TRUE,""Facebook"",if(REGEXMATCH(C2321,""instagram"")=TRUE,""Instagram"",if(REGEXMATCH(C2321,""youtube"")=TRUE,""Youtube"",if(REGEXMATCH(C2321,""tiktok"")=TRUE,""Tiktok"",if("&amp;"REGEXMATCH(C2321,""threads"")=TRUE,""Threads""))))))"),"Facebook")</f>
        <v>Facebook</v>
      </c>
      <c r="G2321" s="41" t="s">
        <v>3928</v>
      </c>
      <c r="H2321" s="52" t="s">
        <v>1782</v>
      </c>
      <c r="I2321" s="52" t="s">
        <v>535</v>
      </c>
      <c r="J2321" s="41" t="s">
        <v>188</v>
      </c>
      <c r="K2321" s="41" t="s">
        <v>1611</v>
      </c>
      <c r="L2321" s="42"/>
    </row>
    <row r="2322">
      <c r="A2322" s="15">
        <v>2321.0</v>
      </c>
      <c r="B2322" s="64" t="s">
        <v>3926</v>
      </c>
      <c r="C2322" s="40" t="s">
        <v>3929</v>
      </c>
      <c r="D2322" s="41"/>
      <c r="E2322" s="41" t="s">
        <v>197</v>
      </c>
      <c r="F2322" s="41" t="str">
        <f>IFERROR(__xludf.DUMMYFUNCTION("if(REGEXMATCH(C2322,""x.com"")=TRUE,""Twitter"",if(REGEXMATCH(C2322,""facebook"")=TRUE,""Facebook"",if(REGEXMATCH(C2322,""instagram"")=TRUE,""Instagram"",if(REGEXMATCH(C2322,""youtube"")=TRUE,""Youtube"",if(REGEXMATCH(C2322,""tiktok"")=TRUE,""Tiktok"",if("&amp;"REGEXMATCH(C2322,""threads"")=TRUE,""Threads""))))))"),"Facebook")</f>
        <v>Facebook</v>
      </c>
      <c r="G2322" s="41" t="s">
        <v>3930</v>
      </c>
      <c r="H2322" s="52" t="s">
        <v>1782</v>
      </c>
      <c r="I2322" s="52" t="s">
        <v>535</v>
      </c>
      <c r="J2322" s="41" t="s">
        <v>188</v>
      </c>
      <c r="K2322" s="41" t="s">
        <v>1611</v>
      </c>
      <c r="L2322" s="42"/>
    </row>
    <row r="2323">
      <c r="A2323" s="15">
        <v>2322.0</v>
      </c>
      <c r="B2323" s="64" t="s">
        <v>3926</v>
      </c>
      <c r="C2323" s="40" t="s">
        <v>3931</v>
      </c>
      <c r="D2323" s="41"/>
      <c r="E2323" s="41" t="s">
        <v>197</v>
      </c>
      <c r="F2323" s="41" t="str">
        <f>IFERROR(__xludf.DUMMYFUNCTION("if(REGEXMATCH(C2323,""x.com"")=TRUE,""Twitter"",if(REGEXMATCH(C2323,""facebook"")=TRUE,""Facebook"",if(REGEXMATCH(C2323,""instagram"")=TRUE,""Instagram"",if(REGEXMATCH(C2323,""youtube"")=TRUE,""Youtube"",if(REGEXMATCH(C2323,""tiktok"")=TRUE,""Tiktok"",if("&amp;"REGEXMATCH(C2323,""threads"")=TRUE,""Threads""))))))"),"Facebook")</f>
        <v>Facebook</v>
      </c>
      <c r="G2323" s="41" t="s">
        <v>3932</v>
      </c>
      <c r="H2323" s="52" t="s">
        <v>1782</v>
      </c>
      <c r="I2323" s="52" t="s">
        <v>535</v>
      </c>
      <c r="J2323" s="41" t="s">
        <v>188</v>
      </c>
      <c r="K2323" s="41" t="s">
        <v>1611</v>
      </c>
      <c r="L2323" s="42"/>
    </row>
    <row r="2324">
      <c r="A2324" s="15">
        <v>2323.0</v>
      </c>
      <c r="B2324" s="64" t="s">
        <v>3926</v>
      </c>
      <c r="C2324" s="40" t="s">
        <v>3933</v>
      </c>
      <c r="D2324" s="41"/>
      <c r="E2324" s="41" t="s">
        <v>197</v>
      </c>
      <c r="F2324" s="41" t="str">
        <f>IFERROR(__xludf.DUMMYFUNCTION("if(REGEXMATCH(C2324,""x.com"")=TRUE,""Twitter"",if(REGEXMATCH(C2324,""facebook"")=TRUE,""Facebook"",if(REGEXMATCH(C2324,""instagram"")=TRUE,""Instagram"",if(REGEXMATCH(C2324,""youtube"")=TRUE,""Youtube"",if(REGEXMATCH(C2324,""tiktok"")=TRUE,""Tiktok"",if("&amp;"REGEXMATCH(C2324,""threads"")=TRUE,""Threads""))))))"),"Facebook")</f>
        <v>Facebook</v>
      </c>
      <c r="G2324" s="41" t="s">
        <v>3934</v>
      </c>
      <c r="H2324" s="52" t="s">
        <v>1782</v>
      </c>
      <c r="I2324" s="52" t="s">
        <v>535</v>
      </c>
      <c r="J2324" s="41" t="s">
        <v>188</v>
      </c>
      <c r="K2324" s="41" t="s">
        <v>1611</v>
      </c>
      <c r="L2324" s="42"/>
    </row>
    <row r="2325">
      <c r="A2325" s="15">
        <v>2324.0</v>
      </c>
      <c r="B2325" s="64" t="s">
        <v>3926</v>
      </c>
      <c r="C2325" s="40" t="s">
        <v>3935</v>
      </c>
      <c r="D2325" s="41"/>
      <c r="E2325" s="41" t="s">
        <v>197</v>
      </c>
      <c r="F2325" s="41" t="str">
        <f>IFERROR(__xludf.DUMMYFUNCTION("if(REGEXMATCH(C2325,""x.com"")=TRUE,""Twitter"",if(REGEXMATCH(C2325,""facebook"")=TRUE,""Facebook"",if(REGEXMATCH(C2325,""instagram"")=TRUE,""Instagram"",if(REGEXMATCH(C2325,""youtube"")=TRUE,""Youtube"",if(REGEXMATCH(C2325,""tiktok"")=TRUE,""Tiktok"",if("&amp;"REGEXMATCH(C2325,""threads"")=TRUE,""Threads""))))))"),"Facebook")</f>
        <v>Facebook</v>
      </c>
      <c r="G2325" s="41" t="s">
        <v>3936</v>
      </c>
      <c r="H2325" s="52" t="s">
        <v>1782</v>
      </c>
      <c r="I2325" s="52" t="s">
        <v>535</v>
      </c>
      <c r="J2325" s="41" t="s">
        <v>188</v>
      </c>
      <c r="K2325" s="41" t="s">
        <v>1611</v>
      </c>
      <c r="L2325" s="42"/>
    </row>
    <row r="2326">
      <c r="A2326" s="15">
        <v>2325.0</v>
      </c>
      <c r="B2326" s="64" t="s">
        <v>3926</v>
      </c>
      <c r="C2326" s="44" t="s">
        <v>3937</v>
      </c>
      <c r="D2326" s="41"/>
      <c r="E2326" s="41" t="s">
        <v>197</v>
      </c>
      <c r="F2326" s="41" t="str">
        <f>IFERROR(__xludf.DUMMYFUNCTION("if(REGEXMATCH(C2326,""x.com"")=TRUE,""Twitter"",if(REGEXMATCH(C2326,""facebook"")=TRUE,""Facebook"",if(REGEXMATCH(C2326,""instagram"")=TRUE,""Instagram"",if(REGEXMATCH(C2326,""youtube"")=TRUE,""Youtube"",if(REGEXMATCH(C2326,""tiktok"")=TRUE,""Tiktok"",if("&amp;"REGEXMATCH(C2326,""threads"")=TRUE,""Threads""))))))"),"Twitter")</f>
        <v>Twitter</v>
      </c>
      <c r="G2326" s="41" t="s">
        <v>3938</v>
      </c>
      <c r="H2326" s="52" t="s">
        <v>1782</v>
      </c>
      <c r="I2326" s="52" t="s">
        <v>535</v>
      </c>
      <c r="J2326" s="41" t="s">
        <v>188</v>
      </c>
      <c r="K2326" s="41" t="s">
        <v>1611</v>
      </c>
      <c r="L2326" s="42"/>
    </row>
    <row r="2327">
      <c r="A2327" s="15">
        <v>2326.0</v>
      </c>
      <c r="B2327" s="64" t="s">
        <v>3926</v>
      </c>
      <c r="C2327" s="44" t="s">
        <v>3939</v>
      </c>
      <c r="D2327" s="41"/>
      <c r="E2327" s="41" t="s">
        <v>230</v>
      </c>
      <c r="F2327" s="41" t="str">
        <f>IFERROR(__xludf.DUMMYFUNCTION("if(REGEXMATCH(C2327,""x.com"")=TRUE,""Twitter"",if(REGEXMATCH(C2327,""facebook"")=TRUE,""Facebook"",if(REGEXMATCH(C2327,""instagram"")=TRUE,""Instagram"",if(REGEXMATCH(C2327,""youtube"")=TRUE,""Youtube"",if(REGEXMATCH(C2327,""tiktok"")=TRUE,""Tiktok"",if("&amp;"REGEXMATCH(C2327,""threads"")=TRUE,""Threads""))))))"),"Twitter")</f>
        <v>Twitter</v>
      </c>
      <c r="G2327" s="41" t="s">
        <v>3940</v>
      </c>
      <c r="H2327" s="52" t="s">
        <v>1782</v>
      </c>
      <c r="I2327" s="52" t="s">
        <v>535</v>
      </c>
      <c r="J2327" s="41" t="s">
        <v>188</v>
      </c>
      <c r="K2327" s="41" t="s">
        <v>1611</v>
      </c>
      <c r="L2327" s="42"/>
    </row>
    <row r="2328">
      <c r="A2328" s="15">
        <v>2327.0</v>
      </c>
      <c r="B2328" s="64" t="s">
        <v>3926</v>
      </c>
      <c r="C2328" s="44" t="s">
        <v>3941</v>
      </c>
      <c r="D2328" s="41"/>
      <c r="E2328" s="41" t="s">
        <v>3942</v>
      </c>
      <c r="F2328" s="41" t="str">
        <f>IFERROR(__xludf.DUMMYFUNCTION("if(REGEXMATCH(C2328,""x.com"")=TRUE,""Twitter"",if(REGEXMATCH(C2328,""facebook"")=TRUE,""Facebook"",if(REGEXMATCH(C2328,""instagram"")=TRUE,""Instagram"",if(REGEXMATCH(C2328,""youtube"")=TRUE,""Youtube"",if(REGEXMATCH(C2328,""tiktok"")=TRUE,""Tiktok"",if("&amp;"REGEXMATCH(C2328,""threads"")=TRUE,""Threads""))))))"),"Twitter")</f>
        <v>Twitter</v>
      </c>
      <c r="G2328" s="41" t="s">
        <v>3943</v>
      </c>
      <c r="H2328" s="52" t="s">
        <v>1782</v>
      </c>
      <c r="I2328" s="52" t="s">
        <v>535</v>
      </c>
      <c r="J2328" s="41" t="s">
        <v>188</v>
      </c>
      <c r="K2328" s="41" t="s">
        <v>1611</v>
      </c>
      <c r="L2328" s="42"/>
    </row>
    <row r="2329">
      <c r="A2329" s="15">
        <v>2328.0</v>
      </c>
      <c r="B2329" s="64" t="s">
        <v>3926</v>
      </c>
      <c r="C2329" s="44" t="s">
        <v>3944</v>
      </c>
      <c r="D2329" s="41"/>
      <c r="E2329" s="41" t="s">
        <v>3945</v>
      </c>
      <c r="F2329" s="41" t="str">
        <f>IFERROR(__xludf.DUMMYFUNCTION("if(REGEXMATCH(C2329,""x.com"")=TRUE,""Twitter"",if(REGEXMATCH(C2329,""facebook"")=TRUE,""Facebook"",if(REGEXMATCH(C2329,""instagram"")=TRUE,""Instagram"",if(REGEXMATCH(C2329,""youtube"")=TRUE,""Youtube"",if(REGEXMATCH(C2329,""tiktok"")=TRUE,""Tiktok"",if("&amp;"REGEXMATCH(C2329,""threads"")=TRUE,""Threads""))))))"),"Twitter")</f>
        <v>Twitter</v>
      </c>
      <c r="G2329" s="41" t="s">
        <v>3946</v>
      </c>
      <c r="H2329" s="52" t="s">
        <v>1782</v>
      </c>
      <c r="I2329" s="52" t="s">
        <v>535</v>
      </c>
      <c r="J2329" s="41" t="s">
        <v>188</v>
      </c>
      <c r="K2329" s="41" t="s">
        <v>1611</v>
      </c>
      <c r="L2329" s="42"/>
    </row>
    <row r="2330">
      <c r="A2330" s="15">
        <v>2329.0</v>
      </c>
      <c r="B2330" s="64" t="s">
        <v>3926</v>
      </c>
      <c r="C2330" s="44" t="s">
        <v>3947</v>
      </c>
      <c r="D2330" s="41"/>
      <c r="E2330" s="41" t="s">
        <v>3948</v>
      </c>
      <c r="F2330" s="41" t="str">
        <f>IFERROR(__xludf.DUMMYFUNCTION("if(REGEXMATCH(C2330,""x.com"")=TRUE,""Twitter"",if(REGEXMATCH(C2330,""facebook"")=TRUE,""Facebook"",if(REGEXMATCH(C2330,""instagram"")=TRUE,""Instagram"",if(REGEXMATCH(C2330,""youtube"")=TRUE,""Youtube"",if(REGEXMATCH(C2330,""tiktok"")=TRUE,""Tiktok"",if("&amp;"REGEXMATCH(C2330,""threads"")=TRUE,""Threads""))))))"),"Facebook")</f>
        <v>Facebook</v>
      </c>
      <c r="G2330" s="41" t="s">
        <v>3949</v>
      </c>
      <c r="H2330" s="52" t="s">
        <v>1782</v>
      </c>
      <c r="I2330" s="52" t="s">
        <v>535</v>
      </c>
      <c r="J2330" s="41" t="s">
        <v>188</v>
      </c>
      <c r="K2330" s="41" t="s">
        <v>1611</v>
      </c>
      <c r="L2330" s="42"/>
    </row>
    <row r="2331">
      <c r="A2331" s="15">
        <v>2330.0</v>
      </c>
      <c r="B2331" s="64" t="s">
        <v>3926</v>
      </c>
      <c r="C2331" s="44" t="s">
        <v>3950</v>
      </c>
      <c r="D2331" s="41"/>
      <c r="E2331" s="41" t="s">
        <v>197</v>
      </c>
      <c r="F2331" s="41" t="str">
        <f>IFERROR(__xludf.DUMMYFUNCTION("if(REGEXMATCH(C2331,""x.com"")=TRUE,""Twitter"",if(REGEXMATCH(C2331,""facebook"")=TRUE,""Facebook"",if(REGEXMATCH(C2331,""instagram"")=TRUE,""Instagram"",if(REGEXMATCH(C2331,""youtube"")=TRUE,""Youtube"",if(REGEXMATCH(C2331,""tiktok"")=TRUE,""Tiktok"",if("&amp;"REGEXMATCH(C2331,""threads"")=TRUE,""Threads""))))))"),"Facebook")</f>
        <v>Facebook</v>
      </c>
      <c r="G2331" s="41" t="s">
        <v>3951</v>
      </c>
      <c r="H2331" s="52" t="s">
        <v>1782</v>
      </c>
      <c r="I2331" s="52" t="s">
        <v>535</v>
      </c>
      <c r="J2331" s="41" t="s">
        <v>188</v>
      </c>
      <c r="K2331" s="41" t="s">
        <v>1611</v>
      </c>
      <c r="L2331" s="42"/>
    </row>
    <row r="2332">
      <c r="A2332" s="15">
        <v>2331.0</v>
      </c>
      <c r="B2332" s="64" t="s">
        <v>3926</v>
      </c>
      <c r="C2332" s="44" t="s">
        <v>3952</v>
      </c>
      <c r="D2332" s="41"/>
      <c r="E2332" s="52" t="s">
        <v>2018</v>
      </c>
      <c r="F2332" s="41" t="str">
        <f>IFERROR(__xludf.DUMMYFUNCTION("if(REGEXMATCH(C2332,""x.com"")=TRUE,""Twitter"",if(REGEXMATCH(C2332,""facebook"")=TRUE,""Facebook"",if(REGEXMATCH(C2332,""instagram"")=TRUE,""Instagram"",if(REGEXMATCH(C2332,""youtube"")=TRUE,""Youtube"",if(REGEXMATCH(C2332,""tiktok"")=TRUE,""Tiktok"",if("&amp;"REGEXMATCH(C2332,""threads"")=TRUE,""Threads""))))))"),"Facebook")</f>
        <v>Facebook</v>
      </c>
      <c r="G2332" s="56" t="s">
        <v>3953</v>
      </c>
      <c r="H2332" s="52" t="s">
        <v>2023</v>
      </c>
      <c r="I2332" s="41"/>
      <c r="J2332" s="41" t="s">
        <v>188</v>
      </c>
      <c r="K2332" s="41" t="s">
        <v>1611</v>
      </c>
      <c r="L2332" s="42"/>
    </row>
    <row r="2333">
      <c r="A2333" s="15">
        <v>2332.0</v>
      </c>
      <c r="B2333" s="64" t="s">
        <v>3926</v>
      </c>
      <c r="C2333" s="44" t="s">
        <v>3954</v>
      </c>
      <c r="D2333" s="41"/>
      <c r="E2333" s="52" t="s">
        <v>2018</v>
      </c>
      <c r="F2333" s="41" t="str">
        <f>IFERROR(__xludf.DUMMYFUNCTION("if(REGEXMATCH(C2333,""x.com"")=TRUE,""Twitter"",if(REGEXMATCH(C2333,""facebook"")=TRUE,""Facebook"",if(REGEXMATCH(C2333,""instagram"")=TRUE,""Instagram"",if(REGEXMATCH(C2333,""youtube"")=TRUE,""Youtube"",if(REGEXMATCH(C2333,""tiktok"")=TRUE,""Tiktok"",if("&amp;"REGEXMATCH(C2333,""threads"")=TRUE,""Threads""))))))"),"Facebook")</f>
        <v>Facebook</v>
      </c>
      <c r="G2333" s="52" t="s">
        <v>3955</v>
      </c>
      <c r="H2333" s="52" t="s">
        <v>2023</v>
      </c>
      <c r="I2333" s="41"/>
      <c r="J2333" s="41" t="s">
        <v>188</v>
      </c>
      <c r="K2333" s="41" t="s">
        <v>1611</v>
      </c>
      <c r="L2333" s="42"/>
    </row>
    <row r="2334">
      <c r="A2334" s="15">
        <v>2333.0</v>
      </c>
      <c r="B2334" s="64" t="s">
        <v>3926</v>
      </c>
      <c r="C2334" s="44" t="s">
        <v>3956</v>
      </c>
      <c r="D2334" s="41"/>
      <c r="E2334" s="52" t="s">
        <v>2018</v>
      </c>
      <c r="F2334" s="41" t="str">
        <f>IFERROR(__xludf.DUMMYFUNCTION("if(REGEXMATCH(C2334,""x.com"")=TRUE,""Twitter"",if(REGEXMATCH(C2334,""facebook"")=TRUE,""Facebook"",if(REGEXMATCH(C2334,""instagram"")=TRUE,""Instagram"",if(REGEXMATCH(C2334,""youtube"")=TRUE,""Youtube"",if(REGEXMATCH(C2334,""tiktok"")=TRUE,""Tiktok"",if("&amp;"REGEXMATCH(C2334,""threads"")=TRUE,""Threads""))))))"),"Facebook")</f>
        <v>Facebook</v>
      </c>
      <c r="G2334" s="52" t="s">
        <v>3955</v>
      </c>
      <c r="H2334" s="52" t="s">
        <v>2023</v>
      </c>
      <c r="I2334" s="41"/>
      <c r="J2334" s="41" t="s">
        <v>188</v>
      </c>
      <c r="K2334" s="41" t="s">
        <v>1611</v>
      </c>
      <c r="L2334" s="42"/>
    </row>
    <row r="2335">
      <c r="A2335" s="15">
        <v>2334.0</v>
      </c>
      <c r="B2335" s="64" t="s">
        <v>3957</v>
      </c>
      <c r="C2335" s="40" t="s">
        <v>3958</v>
      </c>
      <c r="D2335" s="41"/>
      <c r="E2335" s="41" t="s">
        <v>197</v>
      </c>
      <c r="F2335" s="41" t="str">
        <f>IFERROR(__xludf.DUMMYFUNCTION("if(REGEXMATCH(C2335,""x.com"")=TRUE,""Twitter"",if(REGEXMATCH(C2335,""facebook"")=TRUE,""Facebook"",if(REGEXMATCH(C2335,""instagram"")=TRUE,""Instagram"",if(REGEXMATCH(C2335,""youtube"")=TRUE,""Youtube"",if(REGEXMATCH(C2335,""tiktok"")=TRUE,""Tiktok"",if("&amp;"REGEXMATCH(C2335,""threads"")=TRUE,""Threads""))))))"),"Facebook")</f>
        <v>Facebook</v>
      </c>
      <c r="G2335" s="41" t="s">
        <v>3959</v>
      </c>
      <c r="H2335" s="52" t="s">
        <v>1782</v>
      </c>
      <c r="I2335" s="52" t="s">
        <v>535</v>
      </c>
      <c r="J2335" s="41" t="s">
        <v>188</v>
      </c>
      <c r="K2335" s="41" t="s">
        <v>1611</v>
      </c>
      <c r="L2335" s="42"/>
    </row>
    <row r="2336">
      <c r="A2336" s="15">
        <v>2335.0</v>
      </c>
      <c r="B2336" s="64" t="s">
        <v>3957</v>
      </c>
      <c r="C2336" s="40" t="s">
        <v>3960</v>
      </c>
      <c r="D2336" s="41"/>
      <c r="E2336" s="41" t="s">
        <v>197</v>
      </c>
      <c r="F2336" s="41" t="str">
        <f>IFERROR(__xludf.DUMMYFUNCTION("if(REGEXMATCH(C2336,""x.com"")=TRUE,""Twitter"",if(REGEXMATCH(C2336,""facebook"")=TRUE,""Facebook"",if(REGEXMATCH(C2336,""instagram"")=TRUE,""Instagram"",if(REGEXMATCH(C2336,""youtube"")=TRUE,""Youtube"",if(REGEXMATCH(C2336,""tiktok"")=TRUE,""Tiktok"",if("&amp;"REGEXMATCH(C2336,""threads"")=TRUE,""Threads""))))))"),"Facebook")</f>
        <v>Facebook</v>
      </c>
      <c r="G2336" s="41" t="s">
        <v>3961</v>
      </c>
      <c r="H2336" s="52" t="s">
        <v>1782</v>
      </c>
      <c r="I2336" s="52" t="s">
        <v>535</v>
      </c>
      <c r="J2336" s="41" t="s">
        <v>188</v>
      </c>
      <c r="K2336" s="41" t="s">
        <v>1611</v>
      </c>
      <c r="L2336" s="42"/>
    </row>
    <row r="2337">
      <c r="A2337" s="15">
        <v>2336.0</v>
      </c>
      <c r="B2337" s="64" t="s">
        <v>3957</v>
      </c>
      <c r="C2337" s="40" t="s">
        <v>3962</v>
      </c>
      <c r="D2337" s="41"/>
      <c r="E2337" s="41" t="s">
        <v>197</v>
      </c>
      <c r="F2337" s="41" t="str">
        <f>IFERROR(__xludf.DUMMYFUNCTION("if(REGEXMATCH(C2337,""x.com"")=TRUE,""Twitter"",if(REGEXMATCH(C2337,""facebook"")=TRUE,""Facebook"",if(REGEXMATCH(C2337,""instagram"")=TRUE,""Instagram"",if(REGEXMATCH(C2337,""youtube"")=TRUE,""Youtube"",if(REGEXMATCH(C2337,""tiktok"")=TRUE,""Tiktok"",if("&amp;"REGEXMATCH(C2337,""threads"")=TRUE,""Threads""))))))"),"Facebook")</f>
        <v>Facebook</v>
      </c>
      <c r="G2337" s="41" t="s">
        <v>3963</v>
      </c>
      <c r="H2337" s="52" t="s">
        <v>1782</v>
      </c>
      <c r="I2337" s="52" t="s">
        <v>535</v>
      </c>
      <c r="J2337" s="41" t="s">
        <v>188</v>
      </c>
      <c r="K2337" s="41" t="s">
        <v>1611</v>
      </c>
      <c r="L2337" s="42"/>
    </row>
    <row r="2338">
      <c r="A2338" s="15">
        <v>2337.0</v>
      </c>
      <c r="B2338" s="64" t="s">
        <v>3957</v>
      </c>
      <c r="C2338" s="40" t="s">
        <v>3964</v>
      </c>
      <c r="D2338" s="41"/>
      <c r="E2338" s="41" t="s">
        <v>197</v>
      </c>
      <c r="F2338" s="41" t="str">
        <f>IFERROR(__xludf.DUMMYFUNCTION("if(REGEXMATCH(C2338,""x.com"")=TRUE,""Twitter"",if(REGEXMATCH(C2338,""facebook"")=TRUE,""Facebook"",if(REGEXMATCH(C2338,""instagram"")=TRUE,""Instagram"",if(REGEXMATCH(C2338,""youtube"")=TRUE,""Youtube"",if(REGEXMATCH(C2338,""tiktok"")=TRUE,""Tiktok"",if("&amp;"REGEXMATCH(C2338,""threads"")=TRUE,""Threads""))))))"),"Facebook")</f>
        <v>Facebook</v>
      </c>
      <c r="G2338" s="41" t="s">
        <v>3965</v>
      </c>
      <c r="H2338" s="52" t="s">
        <v>1782</v>
      </c>
      <c r="I2338" s="52" t="s">
        <v>535</v>
      </c>
      <c r="J2338" s="41" t="s">
        <v>188</v>
      </c>
      <c r="K2338" s="41" t="s">
        <v>1611</v>
      </c>
      <c r="L2338" s="42"/>
    </row>
    <row r="2339">
      <c r="A2339" s="15">
        <v>2338.0</v>
      </c>
      <c r="B2339" s="64" t="s">
        <v>3957</v>
      </c>
      <c r="C2339" s="40" t="s">
        <v>3966</v>
      </c>
      <c r="D2339" s="41"/>
      <c r="E2339" s="41" t="s">
        <v>197</v>
      </c>
      <c r="F2339" s="41" t="str">
        <f>IFERROR(__xludf.DUMMYFUNCTION("if(REGEXMATCH(C2339,""x.com"")=TRUE,""Twitter"",if(REGEXMATCH(C2339,""facebook"")=TRUE,""Facebook"",if(REGEXMATCH(C2339,""instagram"")=TRUE,""Instagram"",if(REGEXMATCH(C2339,""youtube"")=TRUE,""Youtube"",if(REGEXMATCH(C2339,""tiktok"")=TRUE,""Tiktok"",if("&amp;"REGEXMATCH(C2339,""threads"")=TRUE,""Threads""))))))"),"Facebook")</f>
        <v>Facebook</v>
      </c>
      <c r="G2339" s="41" t="s">
        <v>3967</v>
      </c>
      <c r="H2339" s="52" t="s">
        <v>1782</v>
      </c>
      <c r="I2339" s="52" t="s">
        <v>535</v>
      </c>
      <c r="J2339" s="41" t="s">
        <v>188</v>
      </c>
      <c r="K2339" s="41" t="s">
        <v>1611</v>
      </c>
      <c r="L2339" s="42"/>
    </row>
    <row r="2340">
      <c r="A2340" s="15">
        <v>2339.0</v>
      </c>
      <c r="B2340" s="64" t="s">
        <v>3957</v>
      </c>
      <c r="C2340" s="40" t="s">
        <v>3968</v>
      </c>
      <c r="D2340" s="41"/>
      <c r="E2340" s="41" t="s">
        <v>251</v>
      </c>
      <c r="F2340" s="41" t="str">
        <f>IFERROR(__xludf.DUMMYFUNCTION("if(REGEXMATCH(C2340,""x.com"")=TRUE,""Twitter"",if(REGEXMATCH(C2340,""facebook"")=TRUE,""Facebook"",if(REGEXMATCH(C2340,""instagram"")=TRUE,""Instagram"",if(REGEXMATCH(C2340,""youtube"")=TRUE,""Youtube"",if(REGEXMATCH(C2340,""tiktok"")=TRUE,""Tiktok"",if("&amp;"REGEXMATCH(C2340,""threads"")=TRUE,""Threads""))))))"),"Facebook")</f>
        <v>Facebook</v>
      </c>
      <c r="G2340" s="41" t="s">
        <v>3969</v>
      </c>
      <c r="H2340" s="52" t="s">
        <v>1782</v>
      </c>
      <c r="I2340" s="52" t="s">
        <v>535</v>
      </c>
      <c r="J2340" s="41" t="s">
        <v>188</v>
      </c>
      <c r="K2340" s="41" t="s">
        <v>1611</v>
      </c>
      <c r="L2340" s="42"/>
    </row>
    <row r="2341">
      <c r="A2341" s="15">
        <v>2340.0</v>
      </c>
      <c r="B2341" s="64" t="s">
        <v>3957</v>
      </c>
      <c r="C2341" s="40" t="s">
        <v>3970</v>
      </c>
      <c r="D2341" s="41"/>
      <c r="E2341" s="41" t="s">
        <v>197</v>
      </c>
      <c r="F2341" s="41" t="str">
        <f>IFERROR(__xludf.DUMMYFUNCTION("if(REGEXMATCH(C2341,""x.com"")=TRUE,""Twitter"",if(REGEXMATCH(C2341,""facebook"")=TRUE,""Facebook"",if(REGEXMATCH(C2341,""instagram"")=TRUE,""Instagram"",if(REGEXMATCH(C2341,""youtube"")=TRUE,""Youtube"",if(REGEXMATCH(C2341,""tiktok"")=TRUE,""Tiktok"",if("&amp;"REGEXMATCH(C2341,""threads"")=TRUE,""Threads""))))))"),"Tiktok")</f>
        <v>Tiktok</v>
      </c>
      <c r="G2341" s="41" t="s">
        <v>3971</v>
      </c>
      <c r="H2341" s="52" t="s">
        <v>1782</v>
      </c>
      <c r="I2341" s="52" t="s">
        <v>535</v>
      </c>
      <c r="J2341" s="41" t="s">
        <v>188</v>
      </c>
      <c r="K2341" s="41" t="s">
        <v>1611</v>
      </c>
      <c r="L2341" s="42"/>
    </row>
    <row r="2342">
      <c r="A2342" s="15">
        <v>2341.0</v>
      </c>
      <c r="B2342" s="64" t="s">
        <v>3957</v>
      </c>
      <c r="C2342" s="40" t="s">
        <v>3972</v>
      </c>
      <c r="D2342" s="41"/>
      <c r="E2342" s="41" t="s">
        <v>3973</v>
      </c>
      <c r="F2342" s="41" t="str">
        <f>IFERROR(__xludf.DUMMYFUNCTION("if(REGEXMATCH(C2342,""x.com"")=TRUE,""Twitter"",if(REGEXMATCH(C2342,""facebook"")=TRUE,""Facebook"",if(REGEXMATCH(C2342,""instagram"")=TRUE,""Instagram"",if(REGEXMATCH(C2342,""youtube"")=TRUE,""Youtube"",if(REGEXMATCH(C2342,""tiktok"")=TRUE,""Tiktok"",if("&amp;"REGEXMATCH(C2342,""threads"")=TRUE,""Threads""))))))"),"Tiktok")</f>
        <v>Tiktok</v>
      </c>
      <c r="G2342" s="44" t="s">
        <v>3974</v>
      </c>
      <c r="H2342" s="52" t="s">
        <v>1782</v>
      </c>
      <c r="I2342" s="52" t="s">
        <v>535</v>
      </c>
      <c r="J2342" s="41" t="s">
        <v>188</v>
      </c>
      <c r="K2342" s="41" t="s">
        <v>1611</v>
      </c>
      <c r="L2342" s="42"/>
    </row>
    <row r="2343">
      <c r="A2343" s="15">
        <v>2342.0</v>
      </c>
      <c r="B2343" s="64" t="s">
        <v>3957</v>
      </c>
      <c r="C2343" s="40" t="s">
        <v>3972</v>
      </c>
      <c r="D2343" s="41"/>
      <c r="E2343" s="41" t="s">
        <v>3973</v>
      </c>
      <c r="F2343" s="41" t="str">
        <f>IFERROR(__xludf.DUMMYFUNCTION("if(REGEXMATCH(C2343,""x.com"")=TRUE,""Twitter"",if(REGEXMATCH(C2343,""facebook"")=TRUE,""Facebook"",if(REGEXMATCH(C2343,""instagram"")=TRUE,""Instagram"",if(REGEXMATCH(C2343,""youtube"")=TRUE,""Youtube"",if(REGEXMATCH(C2343,""tiktok"")=TRUE,""Tiktok"",if("&amp;"REGEXMATCH(C2343,""threads"")=TRUE,""Threads""))))))"),"Tiktok")</f>
        <v>Tiktok</v>
      </c>
      <c r="G2343" s="41" t="s">
        <v>3975</v>
      </c>
      <c r="H2343" s="52" t="s">
        <v>1782</v>
      </c>
      <c r="I2343" s="52" t="s">
        <v>535</v>
      </c>
      <c r="J2343" s="41" t="s">
        <v>188</v>
      </c>
      <c r="K2343" s="41"/>
      <c r="L2343" s="42"/>
    </row>
    <row r="2344">
      <c r="A2344" s="15">
        <v>2343.0</v>
      </c>
      <c r="B2344" s="64" t="s">
        <v>3957</v>
      </c>
      <c r="C2344" s="40" t="s">
        <v>3976</v>
      </c>
      <c r="D2344" s="41"/>
      <c r="E2344" s="41" t="s">
        <v>3973</v>
      </c>
      <c r="F2344" s="41" t="str">
        <f>IFERROR(__xludf.DUMMYFUNCTION("if(REGEXMATCH(C2344,""x.com"")=TRUE,""Twitter"",if(REGEXMATCH(C2344,""facebook"")=TRUE,""Facebook"",if(REGEXMATCH(C2344,""instagram"")=TRUE,""Instagram"",if(REGEXMATCH(C2344,""youtube"")=TRUE,""Youtube"",if(REGEXMATCH(C2344,""tiktok"")=TRUE,""Tiktok"",if("&amp;"REGEXMATCH(C2344,""threads"")=TRUE,""Threads""))))))"),"Twitter")</f>
        <v>Twitter</v>
      </c>
      <c r="G2344" s="41" t="s">
        <v>3977</v>
      </c>
      <c r="H2344" s="52" t="s">
        <v>1782</v>
      </c>
      <c r="I2344" s="52" t="s">
        <v>535</v>
      </c>
      <c r="J2344" s="41" t="s">
        <v>188</v>
      </c>
      <c r="K2344" s="41" t="s">
        <v>1611</v>
      </c>
      <c r="L2344" s="42"/>
    </row>
    <row r="2345">
      <c r="A2345" s="15">
        <v>2344.0</v>
      </c>
      <c r="B2345" s="64" t="s">
        <v>3957</v>
      </c>
      <c r="C2345" s="40" t="s">
        <v>3978</v>
      </c>
      <c r="D2345" s="41"/>
      <c r="E2345" s="41" t="s">
        <v>3979</v>
      </c>
      <c r="F2345" s="41" t="str">
        <f>IFERROR(__xludf.DUMMYFUNCTION("if(REGEXMATCH(C2345,""x.com"")=TRUE,""Twitter"",if(REGEXMATCH(C2345,""facebook"")=TRUE,""Facebook"",if(REGEXMATCH(C2345,""instagram"")=TRUE,""Instagram"",if(REGEXMATCH(C2345,""youtube"")=TRUE,""Youtube"",if(REGEXMATCH(C2345,""tiktok"")=TRUE,""Tiktok"",if("&amp;"REGEXMATCH(C2345,""threads"")=TRUE,""Threads""))))))"),"Twitter")</f>
        <v>Twitter</v>
      </c>
      <c r="G2345" s="41" t="s">
        <v>3980</v>
      </c>
      <c r="H2345" s="52" t="s">
        <v>1782</v>
      </c>
      <c r="I2345" s="52" t="s">
        <v>535</v>
      </c>
      <c r="J2345" s="41" t="s">
        <v>188</v>
      </c>
      <c r="K2345" s="41" t="s">
        <v>1611</v>
      </c>
      <c r="L2345" s="42"/>
    </row>
    <row r="2346">
      <c r="A2346" s="15">
        <v>2345.0</v>
      </c>
      <c r="B2346" s="64" t="s">
        <v>3957</v>
      </c>
      <c r="C2346" s="40" t="s">
        <v>3981</v>
      </c>
      <c r="D2346" s="41"/>
      <c r="E2346" s="41" t="s">
        <v>197</v>
      </c>
      <c r="F2346" s="41" t="str">
        <f>IFERROR(__xludf.DUMMYFUNCTION("if(REGEXMATCH(C2346,""x.com"")=TRUE,""Twitter"",if(REGEXMATCH(C2346,""facebook"")=TRUE,""Facebook"",if(REGEXMATCH(C2346,""instagram"")=TRUE,""Instagram"",if(REGEXMATCH(C2346,""youtube"")=TRUE,""Youtube"",if(REGEXMATCH(C2346,""tiktok"")=TRUE,""Tiktok"",if("&amp;"REGEXMATCH(C2346,""threads"")=TRUE,""Threads""))))))"),"Twitter")</f>
        <v>Twitter</v>
      </c>
      <c r="G2346" s="41" t="s">
        <v>3982</v>
      </c>
      <c r="H2346" s="52" t="s">
        <v>1782</v>
      </c>
      <c r="I2346" s="52" t="s">
        <v>535</v>
      </c>
      <c r="J2346" s="41" t="s">
        <v>188</v>
      </c>
      <c r="K2346" s="41" t="s">
        <v>1611</v>
      </c>
      <c r="L2346" s="42"/>
    </row>
    <row r="2347">
      <c r="A2347" s="15">
        <v>2346.0</v>
      </c>
      <c r="B2347" s="64" t="s">
        <v>3957</v>
      </c>
      <c r="C2347" s="40" t="s">
        <v>3983</v>
      </c>
      <c r="D2347" s="41"/>
      <c r="E2347" s="41" t="s">
        <v>197</v>
      </c>
      <c r="F2347" s="41" t="str">
        <f>IFERROR(__xludf.DUMMYFUNCTION("if(REGEXMATCH(C2347,""x.com"")=TRUE,""Twitter"",if(REGEXMATCH(C2347,""facebook"")=TRUE,""Facebook"",if(REGEXMATCH(C2347,""instagram"")=TRUE,""Instagram"",if(REGEXMATCH(C2347,""youtube"")=TRUE,""Youtube"",if(REGEXMATCH(C2347,""tiktok"")=TRUE,""Tiktok"",if("&amp;"REGEXMATCH(C2347,""threads"")=TRUE,""Threads""))))))"),"Facebook")</f>
        <v>Facebook</v>
      </c>
      <c r="G2347" s="41" t="s">
        <v>3984</v>
      </c>
      <c r="H2347" s="52" t="s">
        <v>1782</v>
      </c>
      <c r="I2347" s="52" t="s">
        <v>535</v>
      </c>
      <c r="J2347" s="41" t="s">
        <v>188</v>
      </c>
      <c r="K2347" s="41" t="s">
        <v>1611</v>
      </c>
      <c r="L2347" s="42"/>
    </row>
    <row r="2348">
      <c r="A2348" s="15">
        <v>2347.0</v>
      </c>
      <c r="B2348" s="64" t="s">
        <v>3957</v>
      </c>
      <c r="C2348" s="40" t="s">
        <v>3985</v>
      </c>
      <c r="D2348" s="41"/>
      <c r="E2348" s="41" t="s">
        <v>222</v>
      </c>
      <c r="F2348" s="41" t="str">
        <f>IFERROR(__xludf.DUMMYFUNCTION("if(REGEXMATCH(C2348,""x.com"")=TRUE,""Twitter"",if(REGEXMATCH(C2348,""facebook"")=TRUE,""Facebook"",if(REGEXMATCH(C2348,""instagram"")=TRUE,""Instagram"",if(REGEXMATCH(C2348,""youtube"")=TRUE,""Youtube"",if(REGEXMATCH(C2348,""tiktok"")=TRUE,""Tiktok"",if("&amp;"REGEXMATCH(C2348,""threads"")=TRUE,""Threads""))))))"),"Facebook")</f>
        <v>Facebook</v>
      </c>
      <c r="G2348" s="41" t="s">
        <v>3986</v>
      </c>
      <c r="H2348" s="52" t="s">
        <v>1782</v>
      </c>
      <c r="I2348" s="52" t="s">
        <v>535</v>
      </c>
      <c r="J2348" s="41" t="s">
        <v>188</v>
      </c>
      <c r="K2348" s="41" t="s">
        <v>1611</v>
      </c>
      <c r="L2348" s="42"/>
    </row>
    <row r="2349">
      <c r="A2349" s="15">
        <v>2348.0</v>
      </c>
      <c r="B2349" s="64" t="s">
        <v>3957</v>
      </c>
      <c r="C2349" s="40" t="s">
        <v>3987</v>
      </c>
      <c r="D2349" s="41"/>
      <c r="E2349" s="41" t="s">
        <v>3988</v>
      </c>
      <c r="F2349" s="41" t="str">
        <f>IFERROR(__xludf.DUMMYFUNCTION("if(REGEXMATCH(C2349,""x.com"")=TRUE,""Twitter"",if(REGEXMATCH(C2349,""facebook"")=TRUE,""Facebook"",if(REGEXMATCH(C2349,""instagram"")=TRUE,""Instagram"",if(REGEXMATCH(C2349,""youtube"")=TRUE,""Youtube"",if(REGEXMATCH(C2349,""tiktok"")=TRUE,""Tiktok"",if("&amp;"REGEXMATCH(C2349,""threads"")=TRUE,""Threads""))))))"),"Twitter")</f>
        <v>Twitter</v>
      </c>
      <c r="G2349" s="41" t="s">
        <v>3989</v>
      </c>
      <c r="H2349" s="52" t="s">
        <v>1782</v>
      </c>
      <c r="I2349" s="52" t="s">
        <v>535</v>
      </c>
      <c r="J2349" s="41" t="s">
        <v>188</v>
      </c>
      <c r="K2349" s="41" t="s">
        <v>1611</v>
      </c>
      <c r="L2349" s="42"/>
    </row>
    <row r="2350">
      <c r="A2350" s="15">
        <v>2349.0</v>
      </c>
      <c r="B2350" s="64" t="s">
        <v>3957</v>
      </c>
      <c r="C2350" s="40" t="s">
        <v>3990</v>
      </c>
      <c r="D2350" s="41"/>
      <c r="E2350" s="41" t="s">
        <v>401</v>
      </c>
      <c r="F2350" s="41" t="str">
        <f>IFERROR(__xludf.DUMMYFUNCTION("if(REGEXMATCH(C2350,""x.com"")=TRUE,""Twitter"",if(REGEXMATCH(C2350,""facebook"")=TRUE,""Facebook"",if(REGEXMATCH(C2350,""instagram"")=TRUE,""Instagram"",if(REGEXMATCH(C2350,""youtube"")=TRUE,""Youtube"",if(REGEXMATCH(C2350,""tiktok"")=TRUE,""Tiktok"",if("&amp;"REGEXMATCH(C2350,""threads"")=TRUE,""Threads""))))))"),"Facebook")</f>
        <v>Facebook</v>
      </c>
      <c r="G2350" s="41" t="s">
        <v>937</v>
      </c>
      <c r="H2350" s="41" t="s">
        <v>937</v>
      </c>
      <c r="I2350" s="41" t="s">
        <v>939</v>
      </c>
      <c r="J2350" s="41" t="s">
        <v>188</v>
      </c>
      <c r="K2350" s="41" t="s">
        <v>1611</v>
      </c>
      <c r="L2350" s="42"/>
    </row>
    <row r="2351">
      <c r="A2351" s="15">
        <v>2350.0</v>
      </c>
      <c r="B2351" s="64" t="s">
        <v>3957</v>
      </c>
      <c r="C2351" s="44" t="s">
        <v>3991</v>
      </c>
      <c r="D2351" s="41"/>
      <c r="E2351" s="41" t="s">
        <v>401</v>
      </c>
      <c r="F2351" s="41" t="str">
        <f>IFERROR(__xludf.DUMMYFUNCTION("if(REGEXMATCH(C2351,""x.com"")=TRUE,""Twitter"",if(REGEXMATCH(C2351,""facebook"")=TRUE,""Facebook"",if(REGEXMATCH(C2351,""instagram"")=TRUE,""Instagram"",if(REGEXMATCH(C2351,""youtube"")=TRUE,""Youtube"",if(REGEXMATCH(C2351,""tiktok"")=TRUE,""Tiktok"",if("&amp;"REGEXMATCH(C2351,""threads"")=TRUE,""Threads""))))))"),"Facebook")</f>
        <v>Facebook</v>
      </c>
      <c r="G2351" s="41" t="s">
        <v>937</v>
      </c>
      <c r="H2351" s="41" t="s">
        <v>937</v>
      </c>
      <c r="I2351" s="41" t="s">
        <v>939</v>
      </c>
      <c r="J2351" s="41" t="s">
        <v>188</v>
      </c>
      <c r="K2351" s="41" t="s">
        <v>1611</v>
      </c>
      <c r="L2351" s="42"/>
    </row>
    <row r="2352">
      <c r="A2352" s="15">
        <v>2351.0</v>
      </c>
      <c r="B2352" s="64" t="s">
        <v>3957</v>
      </c>
      <c r="C2352" s="40" t="s">
        <v>3992</v>
      </c>
      <c r="D2352" s="41"/>
      <c r="E2352" s="41" t="s">
        <v>401</v>
      </c>
      <c r="F2352" s="41" t="str">
        <f>IFERROR(__xludf.DUMMYFUNCTION("if(REGEXMATCH(C2352,""x.com"")=TRUE,""Twitter"",if(REGEXMATCH(C2352,""facebook"")=TRUE,""Facebook"",if(REGEXMATCH(C2352,""instagram"")=TRUE,""Instagram"",if(REGEXMATCH(C2352,""youtube"")=TRUE,""Youtube"",if(REGEXMATCH(C2352,""tiktok"")=TRUE,""Tiktok"",if("&amp;"REGEXMATCH(C2352,""threads"")=TRUE,""Threads""))))))"),"Facebook")</f>
        <v>Facebook</v>
      </c>
      <c r="G2352" s="41" t="s">
        <v>937</v>
      </c>
      <c r="H2352" s="41" t="s">
        <v>937</v>
      </c>
      <c r="I2352" s="41" t="s">
        <v>939</v>
      </c>
      <c r="J2352" s="41" t="s">
        <v>188</v>
      </c>
      <c r="K2352" s="41" t="s">
        <v>1611</v>
      </c>
      <c r="L2352" s="42"/>
    </row>
    <row r="2353">
      <c r="A2353" s="15">
        <v>2352.0</v>
      </c>
      <c r="B2353" s="64" t="s">
        <v>3957</v>
      </c>
      <c r="C2353" s="40" t="s">
        <v>3993</v>
      </c>
      <c r="D2353" s="41"/>
      <c r="E2353" s="41" t="s">
        <v>401</v>
      </c>
      <c r="F2353" s="41" t="str">
        <f>IFERROR(__xludf.DUMMYFUNCTION("if(REGEXMATCH(C2353,""x.com"")=TRUE,""Twitter"",if(REGEXMATCH(C2353,""facebook"")=TRUE,""Facebook"",if(REGEXMATCH(C2353,""instagram"")=TRUE,""Instagram"",if(REGEXMATCH(C2353,""youtube"")=TRUE,""Youtube"",if(REGEXMATCH(C2353,""tiktok"")=TRUE,""Tiktok"",if("&amp;"REGEXMATCH(C2353,""threads"")=TRUE,""Threads""))))))"),"Facebook")</f>
        <v>Facebook</v>
      </c>
      <c r="G2353" s="41" t="s">
        <v>937</v>
      </c>
      <c r="H2353" s="41" t="s">
        <v>937</v>
      </c>
      <c r="I2353" s="41" t="s">
        <v>939</v>
      </c>
      <c r="J2353" s="41" t="s">
        <v>188</v>
      </c>
      <c r="K2353" s="41" t="s">
        <v>1611</v>
      </c>
      <c r="L2353" s="42"/>
    </row>
    <row r="2354">
      <c r="A2354" s="15">
        <v>2353.0</v>
      </c>
      <c r="B2354" s="64" t="s">
        <v>3957</v>
      </c>
      <c r="C2354" s="40" t="s">
        <v>3994</v>
      </c>
      <c r="D2354" s="41"/>
      <c r="E2354" s="41" t="s">
        <v>401</v>
      </c>
      <c r="F2354" s="41" t="str">
        <f>IFERROR(__xludf.DUMMYFUNCTION("if(REGEXMATCH(C2354,""x.com"")=TRUE,""Twitter"",if(REGEXMATCH(C2354,""facebook"")=TRUE,""Facebook"",if(REGEXMATCH(C2354,""instagram"")=TRUE,""Instagram"",if(REGEXMATCH(C2354,""youtube"")=TRUE,""Youtube"",if(REGEXMATCH(C2354,""tiktok"")=TRUE,""Tiktok"",if("&amp;"REGEXMATCH(C2354,""threads"")=TRUE,""Threads""))))))"),"Facebook")</f>
        <v>Facebook</v>
      </c>
      <c r="G2354" s="41" t="s">
        <v>937</v>
      </c>
      <c r="H2354" s="41" t="s">
        <v>937</v>
      </c>
      <c r="I2354" s="41" t="s">
        <v>939</v>
      </c>
      <c r="J2354" s="41" t="s">
        <v>188</v>
      </c>
      <c r="K2354" s="41" t="s">
        <v>1611</v>
      </c>
      <c r="L2354" s="42"/>
    </row>
    <row r="2355">
      <c r="A2355" s="15">
        <v>2354.0</v>
      </c>
      <c r="B2355" s="64" t="s">
        <v>3957</v>
      </c>
      <c r="C2355" s="40" t="s">
        <v>3995</v>
      </c>
      <c r="D2355" s="41"/>
      <c r="E2355" s="41" t="s">
        <v>401</v>
      </c>
      <c r="F2355" s="41" t="str">
        <f>IFERROR(__xludf.DUMMYFUNCTION("if(REGEXMATCH(C2355,""x.com"")=TRUE,""Twitter"",if(REGEXMATCH(C2355,""facebook"")=TRUE,""Facebook"",if(REGEXMATCH(C2355,""instagram"")=TRUE,""Instagram"",if(REGEXMATCH(C2355,""youtube"")=TRUE,""Youtube"",if(REGEXMATCH(C2355,""tiktok"")=TRUE,""Tiktok"",if("&amp;"REGEXMATCH(C2355,""threads"")=TRUE,""Threads""))))))"),"Facebook")</f>
        <v>Facebook</v>
      </c>
      <c r="G2355" s="41" t="s">
        <v>937</v>
      </c>
      <c r="H2355" s="41" t="s">
        <v>937</v>
      </c>
      <c r="I2355" s="41" t="s">
        <v>939</v>
      </c>
      <c r="J2355" s="41" t="s">
        <v>188</v>
      </c>
      <c r="K2355" s="41" t="s">
        <v>1611</v>
      </c>
      <c r="L2355" s="42"/>
    </row>
    <row r="2356">
      <c r="A2356" s="15">
        <v>2355.0</v>
      </c>
      <c r="B2356" s="64" t="s">
        <v>3957</v>
      </c>
      <c r="C2356" s="44" t="s">
        <v>3996</v>
      </c>
      <c r="D2356" s="41"/>
      <c r="E2356" s="41" t="s">
        <v>401</v>
      </c>
      <c r="F2356" s="41" t="str">
        <f>IFERROR(__xludf.DUMMYFUNCTION("if(REGEXMATCH(C2356,""x.com"")=TRUE,""Twitter"",if(REGEXMATCH(C2356,""facebook"")=TRUE,""Facebook"",if(REGEXMATCH(C2356,""instagram"")=TRUE,""Instagram"",if(REGEXMATCH(C2356,""youtube"")=TRUE,""Youtube"",if(REGEXMATCH(C2356,""tiktok"")=TRUE,""Tiktok"",if("&amp;"REGEXMATCH(C2356,""threads"")=TRUE,""Threads""))))))"),"Facebook")</f>
        <v>Facebook</v>
      </c>
      <c r="G2356" s="41" t="s">
        <v>937</v>
      </c>
      <c r="H2356" s="41" t="s">
        <v>937</v>
      </c>
      <c r="I2356" s="41" t="s">
        <v>939</v>
      </c>
      <c r="J2356" s="41" t="s">
        <v>188</v>
      </c>
      <c r="K2356" s="41" t="s">
        <v>1611</v>
      </c>
      <c r="L2356" s="42"/>
    </row>
    <row r="2357">
      <c r="A2357" s="15">
        <v>2356.0</v>
      </c>
      <c r="B2357" s="64" t="s">
        <v>3957</v>
      </c>
      <c r="C2357" s="44" t="s">
        <v>3997</v>
      </c>
      <c r="D2357" s="41"/>
      <c r="E2357" s="41" t="s">
        <v>401</v>
      </c>
      <c r="F2357" s="41" t="str">
        <f>IFERROR(__xludf.DUMMYFUNCTION("if(REGEXMATCH(C2357,""x.com"")=TRUE,""Twitter"",if(REGEXMATCH(C2357,""facebook"")=TRUE,""Facebook"",if(REGEXMATCH(C2357,""instagram"")=TRUE,""Instagram"",if(REGEXMATCH(C2357,""youtube"")=TRUE,""Youtube"",if(REGEXMATCH(C2357,""tiktok"")=TRUE,""Tiktok"",if("&amp;"REGEXMATCH(C2357,""threads"")=TRUE,""Threads""))))))"),"Facebook")</f>
        <v>Facebook</v>
      </c>
      <c r="G2357" s="41" t="s">
        <v>937</v>
      </c>
      <c r="H2357" s="41" t="s">
        <v>937</v>
      </c>
      <c r="I2357" s="41" t="s">
        <v>939</v>
      </c>
      <c r="J2357" s="41" t="s">
        <v>188</v>
      </c>
      <c r="K2357" s="41" t="s">
        <v>1611</v>
      </c>
      <c r="L2357" s="42"/>
    </row>
    <row r="2358">
      <c r="A2358" s="15">
        <v>2357.0</v>
      </c>
      <c r="B2358" s="64" t="s">
        <v>3957</v>
      </c>
      <c r="C2358" s="44" t="s">
        <v>3998</v>
      </c>
      <c r="D2358" s="41"/>
      <c r="E2358" s="41" t="s">
        <v>401</v>
      </c>
      <c r="F2358" s="41" t="str">
        <f>IFERROR(__xludf.DUMMYFUNCTION("if(REGEXMATCH(C2358,""x.com"")=TRUE,""Twitter"",if(REGEXMATCH(C2358,""facebook"")=TRUE,""Facebook"",if(REGEXMATCH(C2358,""instagram"")=TRUE,""Instagram"",if(REGEXMATCH(C2358,""youtube"")=TRUE,""Youtube"",if(REGEXMATCH(C2358,""tiktok"")=TRUE,""Tiktok"",if("&amp;"REGEXMATCH(C2358,""threads"")=TRUE,""Threads""))))))"),"Facebook")</f>
        <v>Facebook</v>
      </c>
      <c r="G2358" s="41" t="s">
        <v>937</v>
      </c>
      <c r="H2358" s="41" t="s">
        <v>937</v>
      </c>
      <c r="I2358" s="41" t="s">
        <v>939</v>
      </c>
      <c r="J2358" s="41" t="s">
        <v>188</v>
      </c>
      <c r="K2358" s="41" t="s">
        <v>1611</v>
      </c>
      <c r="L2358" s="42"/>
    </row>
    <row r="2359">
      <c r="A2359" s="15">
        <v>2358.0</v>
      </c>
      <c r="B2359" s="64" t="s">
        <v>3957</v>
      </c>
      <c r="C2359" s="44" t="s">
        <v>3999</v>
      </c>
      <c r="D2359" s="41"/>
      <c r="E2359" s="41" t="s">
        <v>401</v>
      </c>
      <c r="F2359" s="41" t="str">
        <f>IFERROR(__xludf.DUMMYFUNCTION("if(REGEXMATCH(C2359,""x.com"")=TRUE,""Twitter"",if(REGEXMATCH(C2359,""facebook"")=TRUE,""Facebook"",if(REGEXMATCH(C2359,""instagram"")=TRUE,""Instagram"",if(REGEXMATCH(C2359,""youtube"")=TRUE,""Youtube"",if(REGEXMATCH(C2359,""tiktok"")=TRUE,""Tiktok"",if("&amp;"REGEXMATCH(C2359,""threads"")=TRUE,""Threads""))))))"),"Facebook")</f>
        <v>Facebook</v>
      </c>
      <c r="G2359" s="41" t="s">
        <v>937</v>
      </c>
      <c r="H2359" s="41" t="s">
        <v>937</v>
      </c>
      <c r="I2359" s="41" t="s">
        <v>939</v>
      </c>
      <c r="J2359" s="41" t="s">
        <v>188</v>
      </c>
      <c r="K2359" s="41" t="s">
        <v>1611</v>
      </c>
      <c r="L2359" s="42"/>
    </row>
    <row r="2360">
      <c r="A2360" s="15">
        <v>2359.0</v>
      </c>
      <c r="B2360" s="64" t="s">
        <v>3957</v>
      </c>
      <c r="C2360" s="40" t="s">
        <v>4000</v>
      </c>
      <c r="D2360" s="41"/>
      <c r="E2360" s="41" t="s">
        <v>401</v>
      </c>
      <c r="F2360" s="41" t="str">
        <f>IFERROR(__xludf.DUMMYFUNCTION("if(REGEXMATCH(C2360,""x.com"")=TRUE,""Twitter"",if(REGEXMATCH(C2360,""facebook"")=TRUE,""Facebook"",if(REGEXMATCH(C2360,""instagram"")=TRUE,""Instagram"",if(REGEXMATCH(C2360,""youtube"")=TRUE,""Youtube"",if(REGEXMATCH(C2360,""tiktok"")=TRUE,""Tiktok"",if("&amp;"REGEXMATCH(C2360,""threads"")=TRUE,""Threads""))))))"),"Facebook")</f>
        <v>Facebook</v>
      </c>
      <c r="G2360" s="41" t="s">
        <v>937</v>
      </c>
      <c r="H2360" s="41" t="s">
        <v>937</v>
      </c>
      <c r="I2360" s="41" t="s">
        <v>939</v>
      </c>
      <c r="J2360" s="41" t="s">
        <v>188</v>
      </c>
      <c r="K2360" s="41" t="s">
        <v>1611</v>
      </c>
      <c r="L2360" s="42"/>
    </row>
    <row r="2361">
      <c r="A2361" s="15">
        <v>2360.0</v>
      </c>
      <c r="B2361" s="64" t="s">
        <v>3957</v>
      </c>
      <c r="C2361" s="40" t="s">
        <v>4001</v>
      </c>
      <c r="D2361" s="41"/>
      <c r="E2361" s="41" t="s">
        <v>401</v>
      </c>
      <c r="F2361" s="41" t="str">
        <f>IFERROR(__xludf.DUMMYFUNCTION("if(REGEXMATCH(C2361,""x.com"")=TRUE,""Twitter"",if(REGEXMATCH(C2361,""facebook"")=TRUE,""Facebook"",if(REGEXMATCH(C2361,""instagram"")=TRUE,""Instagram"",if(REGEXMATCH(C2361,""youtube"")=TRUE,""Youtube"",if(REGEXMATCH(C2361,""tiktok"")=TRUE,""Tiktok"",if("&amp;"REGEXMATCH(C2361,""threads"")=TRUE,""Threads""))))))"),"Facebook")</f>
        <v>Facebook</v>
      </c>
      <c r="G2361" s="41" t="s">
        <v>937</v>
      </c>
      <c r="H2361" s="41" t="s">
        <v>937</v>
      </c>
      <c r="I2361" s="41" t="s">
        <v>939</v>
      </c>
      <c r="J2361" s="41" t="s">
        <v>188</v>
      </c>
      <c r="K2361" s="41" t="s">
        <v>1611</v>
      </c>
      <c r="L2361" s="42"/>
    </row>
    <row r="2362">
      <c r="A2362" s="15">
        <v>2361.0</v>
      </c>
      <c r="B2362" s="64" t="s">
        <v>3957</v>
      </c>
      <c r="C2362" s="40" t="s">
        <v>4002</v>
      </c>
      <c r="D2362" s="41"/>
      <c r="E2362" s="41" t="s">
        <v>401</v>
      </c>
      <c r="F2362" s="41" t="str">
        <f>IFERROR(__xludf.DUMMYFUNCTION("if(REGEXMATCH(C2362,""x.com"")=TRUE,""Twitter"",if(REGEXMATCH(C2362,""facebook"")=TRUE,""Facebook"",if(REGEXMATCH(C2362,""instagram"")=TRUE,""Instagram"",if(REGEXMATCH(C2362,""youtube"")=TRUE,""Youtube"",if(REGEXMATCH(C2362,""tiktok"")=TRUE,""Tiktok"",if("&amp;"REGEXMATCH(C2362,""threads"")=TRUE,""Threads""))))))"),"Facebook")</f>
        <v>Facebook</v>
      </c>
      <c r="G2362" s="41" t="s">
        <v>937</v>
      </c>
      <c r="H2362" s="41" t="s">
        <v>937</v>
      </c>
      <c r="I2362" s="41" t="s">
        <v>939</v>
      </c>
      <c r="J2362" s="41" t="s">
        <v>188</v>
      </c>
      <c r="K2362" s="41" t="s">
        <v>1611</v>
      </c>
      <c r="L2362" s="42"/>
    </row>
    <row r="2363">
      <c r="A2363" s="15">
        <v>2362.0</v>
      </c>
      <c r="B2363" s="64" t="s">
        <v>3957</v>
      </c>
      <c r="C2363" s="47" t="s">
        <v>4003</v>
      </c>
      <c r="D2363" s="41"/>
      <c r="E2363" s="41" t="s">
        <v>401</v>
      </c>
      <c r="F2363" s="41" t="str">
        <f>IFERROR(__xludf.DUMMYFUNCTION("if(REGEXMATCH(C2363,""x.com"")=TRUE,""Twitter"",if(REGEXMATCH(C2363,""facebook"")=TRUE,""Facebook"",if(REGEXMATCH(C2363,""instagram"")=TRUE,""Instagram"",if(REGEXMATCH(C2363,""youtube"")=TRUE,""Youtube"",if(REGEXMATCH(C2363,""tiktok"")=TRUE,""Tiktok"",if("&amp;"REGEXMATCH(C2363,""threads"")=TRUE,""Threads""))))))"),"Facebook")</f>
        <v>Facebook</v>
      </c>
      <c r="G2363" s="41" t="s">
        <v>937</v>
      </c>
      <c r="H2363" s="41" t="s">
        <v>937</v>
      </c>
      <c r="I2363" s="41" t="s">
        <v>939</v>
      </c>
      <c r="J2363" s="41" t="s">
        <v>188</v>
      </c>
      <c r="K2363" s="41" t="s">
        <v>1611</v>
      </c>
      <c r="L2363" s="42"/>
    </row>
    <row r="2364">
      <c r="A2364" s="15">
        <v>2363.0</v>
      </c>
      <c r="B2364" s="64" t="s">
        <v>3957</v>
      </c>
      <c r="C2364" s="47" t="s">
        <v>4004</v>
      </c>
      <c r="D2364" s="41"/>
      <c r="E2364" s="41" t="s">
        <v>401</v>
      </c>
      <c r="F2364" s="41" t="str">
        <f>IFERROR(__xludf.DUMMYFUNCTION("if(REGEXMATCH(C2364,""x.com"")=TRUE,""Twitter"",if(REGEXMATCH(C2364,""facebook"")=TRUE,""Facebook"",if(REGEXMATCH(C2364,""instagram"")=TRUE,""Instagram"",if(REGEXMATCH(C2364,""youtube"")=TRUE,""Youtube"",if(REGEXMATCH(C2364,""tiktok"")=TRUE,""Tiktok"",if("&amp;"REGEXMATCH(C2364,""threads"")=TRUE,""Threads""))))))"),"Facebook")</f>
        <v>Facebook</v>
      </c>
      <c r="G2364" s="41" t="s">
        <v>937</v>
      </c>
      <c r="H2364" s="41" t="s">
        <v>937</v>
      </c>
      <c r="I2364" s="41" t="s">
        <v>939</v>
      </c>
      <c r="J2364" s="41" t="s">
        <v>188</v>
      </c>
      <c r="K2364" s="41" t="s">
        <v>1611</v>
      </c>
      <c r="L2364" s="42"/>
    </row>
    <row r="2365">
      <c r="A2365" s="15">
        <v>2364.0</v>
      </c>
      <c r="B2365" s="64" t="s">
        <v>3957</v>
      </c>
      <c r="C2365" s="41" t="s">
        <v>4005</v>
      </c>
      <c r="D2365" s="41"/>
      <c r="E2365" s="41" t="s">
        <v>401</v>
      </c>
      <c r="F2365" s="41" t="str">
        <f>IFERROR(__xludf.DUMMYFUNCTION("if(REGEXMATCH(C2365,""x.com"")=TRUE,""Twitter"",if(REGEXMATCH(C2365,""facebook"")=TRUE,""Facebook"",if(REGEXMATCH(C2365,""instagram"")=TRUE,""Instagram"",if(REGEXMATCH(C2365,""youtube"")=TRUE,""Youtube"",if(REGEXMATCH(C2365,""tiktok"")=TRUE,""Tiktok"",if("&amp;"REGEXMATCH(C2365,""threads"")=TRUE,""Threads""))))))"),"Facebook")</f>
        <v>Facebook</v>
      </c>
      <c r="G2365" s="41" t="s">
        <v>937</v>
      </c>
      <c r="H2365" s="41" t="s">
        <v>937</v>
      </c>
      <c r="I2365" s="41" t="s">
        <v>939</v>
      </c>
      <c r="J2365" s="41" t="s">
        <v>188</v>
      </c>
      <c r="K2365" s="41" t="s">
        <v>1611</v>
      </c>
      <c r="L2365" s="42"/>
    </row>
    <row r="2366">
      <c r="A2366" s="15">
        <v>2365.0</v>
      </c>
      <c r="B2366" s="64" t="s">
        <v>3957</v>
      </c>
      <c r="C2366" s="47" t="s">
        <v>4006</v>
      </c>
      <c r="D2366" s="41"/>
      <c r="E2366" s="41" t="s">
        <v>401</v>
      </c>
      <c r="F2366" s="41" t="str">
        <f>IFERROR(__xludf.DUMMYFUNCTION("if(REGEXMATCH(C2366,""x.com"")=TRUE,""Twitter"",if(REGEXMATCH(C2366,""facebook"")=TRUE,""Facebook"",if(REGEXMATCH(C2366,""instagram"")=TRUE,""Instagram"",if(REGEXMATCH(C2366,""youtube"")=TRUE,""Youtube"",if(REGEXMATCH(C2366,""tiktok"")=TRUE,""Tiktok"",if("&amp;"REGEXMATCH(C2366,""threads"")=TRUE,""Threads""))))))"),"Facebook")</f>
        <v>Facebook</v>
      </c>
      <c r="G2366" s="41" t="s">
        <v>937</v>
      </c>
      <c r="H2366" s="41" t="s">
        <v>937</v>
      </c>
      <c r="I2366" s="41" t="s">
        <v>939</v>
      </c>
      <c r="J2366" s="41" t="s">
        <v>188</v>
      </c>
      <c r="K2366" s="41" t="s">
        <v>1611</v>
      </c>
      <c r="L2366" s="42"/>
    </row>
    <row r="2367">
      <c r="A2367" s="15">
        <v>2366.0</v>
      </c>
      <c r="B2367" s="64" t="s">
        <v>3957</v>
      </c>
      <c r="C2367" s="68" t="s">
        <v>4007</v>
      </c>
      <c r="D2367" s="41"/>
      <c r="E2367" s="52" t="s">
        <v>2018</v>
      </c>
      <c r="F2367" s="41" t="str">
        <f>IFERROR(__xludf.DUMMYFUNCTION("if(REGEXMATCH(C2367,""x.com"")=TRUE,""Twitter"",if(REGEXMATCH(C2367,""facebook"")=TRUE,""Facebook"",if(REGEXMATCH(C2367,""instagram"")=TRUE,""Instagram"",if(REGEXMATCH(C2367,""youtube"")=TRUE,""Youtube"",if(REGEXMATCH(C2367,""tiktok"")=TRUE,""Tiktok"",if("&amp;"REGEXMATCH(C2367,""threads"")=TRUE,""Threads""))))))"),"Facebook")</f>
        <v>Facebook</v>
      </c>
      <c r="G2367" s="52" t="s">
        <v>4008</v>
      </c>
      <c r="H2367" s="52" t="s">
        <v>2023</v>
      </c>
      <c r="I2367" s="41"/>
      <c r="J2367" s="41" t="s">
        <v>188</v>
      </c>
      <c r="K2367" s="41" t="s">
        <v>1611</v>
      </c>
      <c r="L2367" s="42"/>
    </row>
    <row r="2368">
      <c r="A2368" s="15">
        <v>2367.0</v>
      </c>
      <c r="B2368" s="64" t="s">
        <v>3957</v>
      </c>
      <c r="C2368" s="40" t="s">
        <v>4009</v>
      </c>
      <c r="D2368" s="41"/>
      <c r="E2368" s="52" t="s">
        <v>2018</v>
      </c>
      <c r="F2368" s="41" t="str">
        <f>IFERROR(__xludf.DUMMYFUNCTION("if(REGEXMATCH(C2368,""x.com"")=TRUE,""Twitter"",if(REGEXMATCH(C2368,""facebook"")=TRUE,""Facebook"",if(REGEXMATCH(C2368,""instagram"")=TRUE,""Instagram"",if(REGEXMATCH(C2368,""youtube"")=TRUE,""Youtube"",if(REGEXMATCH(C2368,""tiktok"")=TRUE,""Tiktok"",if("&amp;"REGEXMATCH(C2368,""threads"")=TRUE,""Threads""))))))"),"Facebook")</f>
        <v>Facebook</v>
      </c>
      <c r="G2368" s="52" t="s">
        <v>4008</v>
      </c>
      <c r="H2368" s="52" t="s">
        <v>2023</v>
      </c>
      <c r="I2368" s="41"/>
      <c r="J2368" s="41" t="s">
        <v>188</v>
      </c>
      <c r="K2368" s="41" t="s">
        <v>1611</v>
      </c>
      <c r="L2368" s="42"/>
    </row>
    <row r="2369">
      <c r="A2369" s="15">
        <v>2368.0</v>
      </c>
      <c r="B2369" s="64" t="s">
        <v>3957</v>
      </c>
      <c r="C2369" s="44" t="s">
        <v>4010</v>
      </c>
      <c r="D2369" s="41"/>
      <c r="E2369" s="52" t="s">
        <v>2018</v>
      </c>
      <c r="F2369" s="41" t="str">
        <f>IFERROR(__xludf.DUMMYFUNCTION("if(REGEXMATCH(C2369,""x.com"")=TRUE,""Twitter"",if(REGEXMATCH(C2369,""facebook"")=TRUE,""Facebook"",if(REGEXMATCH(C2369,""instagram"")=TRUE,""Instagram"",if(REGEXMATCH(C2369,""youtube"")=TRUE,""Youtube"",if(REGEXMATCH(C2369,""tiktok"")=TRUE,""Tiktok"",if("&amp;"REGEXMATCH(C2369,""threads"")=TRUE,""Threads""))))))"),"Facebook")</f>
        <v>Facebook</v>
      </c>
      <c r="G2369" s="52" t="s">
        <v>4008</v>
      </c>
      <c r="H2369" s="52" t="s">
        <v>2023</v>
      </c>
      <c r="I2369" s="41"/>
      <c r="J2369" s="41" t="s">
        <v>188</v>
      </c>
      <c r="K2369" s="41" t="s">
        <v>1611</v>
      </c>
      <c r="L2369" s="42"/>
    </row>
    <row r="2370">
      <c r="A2370" s="15">
        <v>2369.0</v>
      </c>
      <c r="B2370" s="64" t="s">
        <v>4011</v>
      </c>
      <c r="C2370" s="40" t="s">
        <v>4012</v>
      </c>
      <c r="D2370" s="41"/>
      <c r="E2370" s="41" t="s">
        <v>197</v>
      </c>
      <c r="F2370" s="41" t="str">
        <f>IFERROR(__xludf.DUMMYFUNCTION("if(REGEXMATCH(C2370,""x.com"")=TRUE,""Twitter"",if(REGEXMATCH(C2370,""facebook"")=TRUE,""Facebook"",if(REGEXMATCH(C2370,""instagram"")=TRUE,""Instagram"",if(REGEXMATCH(C2370,""youtube"")=TRUE,""Youtube"",if(REGEXMATCH(C2370,""tiktok"")=TRUE,""Tiktok"",if("&amp;"REGEXMATCH(C2370,""threads"")=TRUE,""Threads""))))))"),"Instagram")</f>
        <v>Instagram</v>
      </c>
      <c r="G2370" s="41" t="s">
        <v>4013</v>
      </c>
      <c r="H2370" s="42"/>
      <c r="I2370" s="42"/>
      <c r="J2370" s="41" t="s">
        <v>188</v>
      </c>
      <c r="K2370" s="41" t="s">
        <v>1611</v>
      </c>
      <c r="L2370" s="42"/>
    </row>
    <row r="2371">
      <c r="A2371" s="15">
        <v>2370.0</v>
      </c>
      <c r="B2371" s="64" t="s">
        <v>4011</v>
      </c>
      <c r="C2371" s="57" t="s">
        <v>4014</v>
      </c>
      <c r="D2371" s="41"/>
      <c r="E2371" s="41" t="s">
        <v>222</v>
      </c>
      <c r="F2371" s="41" t="str">
        <f>IFERROR(__xludf.DUMMYFUNCTION("if(REGEXMATCH(C2371,""x.com"")=TRUE,""Twitter"",if(REGEXMATCH(C2371,""facebook"")=TRUE,""Facebook"",if(REGEXMATCH(C2371,""instagram"")=TRUE,""Instagram"",if(REGEXMATCH(C2371,""youtube"")=TRUE,""Youtube"",if(REGEXMATCH(C2371,""tiktok"")=TRUE,""Tiktok"",if("&amp;"REGEXMATCH(C2371,""threads"")=TRUE,""Threads""))))))"),"Threads")</f>
        <v>Threads</v>
      </c>
      <c r="G2371" s="41" t="s">
        <v>4015</v>
      </c>
      <c r="H2371" s="42"/>
      <c r="I2371" s="42"/>
      <c r="J2371" s="41" t="s">
        <v>188</v>
      </c>
      <c r="K2371" s="41" t="s">
        <v>1611</v>
      </c>
      <c r="L2371" s="42"/>
    </row>
    <row r="2372">
      <c r="A2372" s="15">
        <v>2371.0</v>
      </c>
      <c r="B2372" s="64" t="s">
        <v>4011</v>
      </c>
      <c r="C2372" s="40" t="s">
        <v>4016</v>
      </c>
      <c r="D2372" s="41"/>
      <c r="E2372" s="41" t="s">
        <v>197</v>
      </c>
      <c r="F2372" s="41" t="str">
        <f>IFERROR(__xludf.DUMMYFUNCTION("if(REGEXMATCH(C2372,""x.com"")=TRUE,""Twitter"",if(REGEXMATCH(C2372,""facebook"")=TRUE,""Facebook"",if(REGEXMATCH(C2372,""instagram"")=TRUE,""Instagram"",if(REGEXMATCH(C2372,""youtube"")=TRUE,""Youtube"",if(REGEXMATCH(C2372,""tiktok"")=TRUE,""Tiktok"",if("&amp;"REGEXMATCH(C2372,""threads"")=TRUE,""Threads""))))))"),"Youtube")</f>
        <v>Youtube</v>
      </c>
      <c r="G2372" s="41" t="s">
        <v>4017</v>
      </c>
      <c r="H2372" s="42"/>
      <c r="I2372" s="42"/>
      <c r="J2372" s="41" t="s">
        <v>188</v>
      </c>
      <c r="K2372" s="41" t="s">
        <v>1611</v>
      </c>
      <c r="L2372" s="42"/>
    </row>
    <row r="2373">
      <c r="A2373" s="15">
        <v>2372.0</v>
      </c>
      <c r="B2373" s="64" t="s">
        <v>4011</v>
      </c>
      <c r="C2373" s="40" t="s">
        <v>4018</v>
      </c>
      <c r="D2373" s="41"/>
      <c r="E2373" s="41" t="s">
        <v>798</v>
      </c>
      <c r="F2373" s="41" t="str">
        <f>IFERROR(__xludf.DUMMYFUNCTION("if(REGEXMATCH(C2373,""x.com"")=TRUE,""Twitter"",if(REGEXMATCH(C2373,""facebook"")=TRUE,""Facebook"",if(REGEXMATCH(C2373,""instagram"")=TRUE,""Instagram"",if(REGEXMATCH(C2373,""youtube"")=TRUE,""Youtube"",if(REGEXMATCH(C2373,""tiktok"")=TRUE,""Tiktok"",if("&amp;"REGEXMATCH(C2373,""threads"")=TRUE,""Threads""))))))"),"Facebook")</f>
        <v>Facebook</v>
      </c>
      <c r="G2373" s="44" t="s">
        <v>4019</v>
      </c>
      <c r="H2373" s="42"/>
      <c r="I2373" s="42"/>
      <c r="J2373" s="41" t="s">
        <v>188</v>
      </c>
      <c r="K2373" s="41" t="s">
        <v>1611</v>
      </c>
      <c r="L2373" s="42"/>
    </row>
    <row r="2374">
      <c r="A2374" s="15">
        <v>2373.0</v>
      </c>
      <c r="B2374" s="64" t="s">
        <v>4011</v>
      </c>
      <c r="C2374" s="40" t="s">
        <v>4020</v>
      </c>
      <c r="D2374" s="41"/>
      <c r="E2374" s="41" t="s">
        <v>197</v>
      </c>
      <c r="F2374" s="41" t="str">
        <f>IFERROR(__xludf.DUMMYFUNCTION("if(REGEXMATCH(C2374,""x.com"")=TRUE,""Twitter"",if(REGEXMATCH(C2374,""facebook"")=TRUE,""Facebook"",if(REGEXMATCH(C2374,""instagram"")=TRUE,""Instagram"",if(REGEXMATCH(C2374,""youtube"")=TRUE,""Youtube"",if(REGEXMATCH(C2374,""tiktok"")=TRUE,""Tiktok"",if("&amp;"REGEXMATCH(C2374,""threads"")=TRUE,""Threads""))))))"),"Youtube")</f>
        <v>Youtube</v>
      </c>
      <c r="G2374" s="41" t="s">
        <v>4021</v>
      </c>
      <c r="H2374" s="42"/>
      <c r="I2374" s="42"/>
      <c r="J2374" s="41" t="s">
        <v>188</v>
      </c>
      <c r="K2374" s="41" t="s">
        <v>1611</v>
      </c>
      <c r="L2374" s="42"/>
    </row>
    <row r="2375">
      <c r="A2375" s="15">
        <v>2374.0</v>
      </c>
      <c r="B2375" s="64" t="s">
        <v>4011</v>
      </c>
      <c r="C2375" s="40" t="s">
        <v>4022</v>
      </c>
      <c r="D2375" s="41"/>
      <c r="E2375" s="41" t="s">
        <v>230</v>
      </c>
      <c r="F2375" s="41" t="str">
        <f>IFERROR(__xludf.DUMMYFUNCTION("if(REGEXMATCH(C2375,""x.com"")=TRUE,""Twitter"",if(REGEXMATCH(C2375,""facebook"")=TRUE,""Facebook"",if(REGEXMATCH(C2375,""instagram"")=TRUE,""Instagram"",if(REGEXMATCH(C2375,""youtube"")=TRUE,""Youtube"",if(REGEXMATCH(C2375,""tiktok"")=TRUE,""Tiktok"",if("&amp;"REGEXMATCH(C2375,""threads"")=TRUE,""Threads""))))))"),"Instagram")</f>
        <v>Instagram</v>
      </c>
      <c r="G2375" s="41" t="s">
        <v>4023</v>
      </c>
      <c r="H2375" s="42"/>
      <c r="I2375" s="42"/>
      <c r="J2375" s="41" t="s">
        <v>188</v>
      </c>
      <c r="K2375" s="41" t="s">
        <v>1611</v>
      </c>
      <c r="L2375" s="42"/>
    </row>
    <row r="2376">
      <c r="A2376" s="15">
        <v>2375.0</v>
      </c>
      <c r="B2376" s="64" t="s">
        <v>4011</v>
      </c>
      <c r="C2376" s="40" t="s">
        <v>4024</v>
      </c>
      <c r="D2376" s="41"/>
      <c r="E2376" s="41" t="s">
        <v>197</v>
      </c>
      <c r="F2376" s="41" t="str">
        <f>IFERROR(__xludf.DUMMYFUNCTION("if(REGEXMATCH(C2376,""x.com"")=TRUE,""Twitter"",if(REGEXMATCH(C2376,""facebook"")=TRUE,""Facebook"",if(REGEXMATCH(C2376,""instagram"")=TRUE,""Instagram"",if(REGEXMATCH(C2376,""youtube"")=TRUE,""Youtube"",if(REGEXMATCH(C2376,""tiktok"")=TRUE,""Tiktok"",if("&amp;"REGEXMATCH(C2376,""threads"")=TRUE,""Threads""))))))"),"Twitter")</f>
        <v>Twitter</v>
      </c>
      <c r="G2376" s="41" t="s">
        <v>4025</v>
      </c>
      <c r="H2376" s="42"/>
      <c r="I2376" s="42"/>
      <c r="J2376" s="41" t="s">
        <v>188</v>
      </c>
      <c r="K2376" s="41" t="s">
        <v>1611</v>
      </c>
      <c r="L2376" s="42"/>
    </row>
    <row r="2377">
      <c r="A2377" s="15">
        <v>2376.0</v>
      </c>
      <c r="B2377" s="64" t="s">
        <v>4011</v>
      </c>
      <c r="C2377" s="40" t="s">
        <v>4026</v>
      </c>
      <c r="D2377" s="41"/>
      <c r="E2377" s="41" t="s">
        <v>230</v>
      </c>
      <c r="F2377" s="41" t="str">
        <f>IFERROR(__xludf.DUMMYFUNCTION("if(REGEXMATCH(C2377,""x.com"")=TRUE,""Twitter"",if(REGEXMATCH(C2377,""facebook"")=TRUE,""Facebook"",if(REGEXMATCH(C2377,""instagram"")=TRUE,""Instagram"",if(REGEXMATCH(C2377,""youtube"")=TRUE,""Youtube"",if(REGEXMATCH(C2377,""tiktok"")=TRUE,""Tiktok"",if("&amp;"REGEXMATCH(C2377,""threads"")=TRUE,""Threads""))))))"),"Facebook")</f>
        <v>Facebook</v>
      </c>
      <c r="G2377" s="41" t="s">
        <v>4027</v>
      </c>
      <c r="H2377" s="42"/>
      <c r="I2377" s="42"/>
      <c r="J2377" s="41" t="s">
        <v>188</v>
      </c>
      <c r="K2377" s="41" t="s">
        <v>1611</v>
      </c>
      <c r="L2377" s="42"/>
    </row>
    <row r="2378">
      <c r="A2378" s="15">
        <v>2377.0</v>
      </c>
      <c r="B2378" s="64" t="s">
        <v>4011</v>
      </c>
      <c r="C2378" s="40" t="s">
        <v>4028</v>
      </c>
      <c r="D2378" s="41"/>
      <c r="E2378" s="41" t="s">
        <v>222</v>
      </c>
      <c r="F2378" s="41" t="str">
        <f>IFERROR(__xludf.DUMMYFUNCTION("if(REGEXMATCH(C2378,""x.com"")=TRUE,""Twitter"",if(REGEXMATCH(C2378,""facebook"")=TRUE,""Facebook"",if(REGEXMATCH(C2378,""instagram"")=TRUE,""Instagram"",if(REGEXMATCH(C2378,""youtube"")=TRUE,""Youtube"",if(REGEXMATCH(C2378,""tiktok"")=TRUE,""Tiktok"",if("&amp;"REGEXMATCH(C2378,""threads"")=TRUE,""Threads""))))))"),"Facebook")</f>
        <v>Facebook</v>
      </c>
      <c r="G2378" s="41" t="s">
        <v>4029</v>
      </c>
      <c r="H2378" s="42"/>
      <c r="I2378" s="42"/>
      <c r="J2378" s="41" t="s">
        <v>188</v>
      </c>
      <c r="K2378" s="41" t="s">
        <v>1611</v>
      </c>
      <c r="L2378" s="42"/>
    </row>
    <row r="2379">
      <c r="A2379" s="15">
        <v>2378.0</v>
      </c>
      <c r="B2379" s="64" t="s">
        <v>4011</v>
      </c>
      <c r="C2379" s="40" t="s">
        <v>4030</v>
      </c>
      <c r="D2379" s="41"/>
      <c r="E2379" s="41" t="s">
        <v>222</v>
      </c>
      <c r="F2379" s="41" t="str">
        <f>IFERROR(__xludf.DUMMYFUNCTION("if(REGEXMATCH(C2379,""x.com"")=TRUE,""Twitter"",if(REGEXMATCH(C2379,""facebook"")=TRUE,""Facebook"",if(REGEXMATCH(C2379,""instagram"")=TRUE,""Instagram"",if(REGEXMATCH(C2379,""youtube"")=TRUE,""Youtube"",if(REGEXMATCH(C2379,""tiktok"")=TRUE,""Tiktok"",if("&amp;"REGEXMATCH(C2379,""threads"")=TRUE,""Threads""))))))"),"Threads")</f>
        <v>Threads</v>
      </c>
      <c r="G2379" s="41" t="s">
        <v>4031</v>
      </c>
      <c r="H2379" s="42"/>
      <c r="I2379" s="42"/>
      <c r="J2379" s="41" t="s">
        <v>188</v>
      </c>
      <c r="K2379" s="41" t="s">
        <v>1611</v>
      </c>
      <c r="L2379" s="42"/>
    </row>
    <row r="2380">
      <c r="A2380" s="15">
        <v>2379.0</v>
      </c>
      <c r="B2380" s="64" t="s">
        <v>4011</v>
      </c>
      <c r="C2380" s="40" t="s">
        <v>4032</v>
      </c>
      <c r="D2380" s="41"/>
      <c r="E2380" s="41" t="s">
        <v>401</v>
      </c>
      <c r="F2380" s="41" t="str">
        <f>IFERROR(__xludf.DUMMYFUNCTION("if(REGEXMATCH(C2380,""x.com"")=TRUE,""Twitter"",if(REGEXMATCH(C2380,""facebook"")=TRUE,""Facebook"",if(REGEXMATCH(C2380,""instagram"")=TRUE,""Instagram"",if(REGEXMATCH(C2380,""youtube"")=TRUE,""Youtube"",if(REGEXMATCH(C2380,""tiktok"")=TRUE,""Tiktok"",if("&amp;"REGEXMATCH(B2380,""threads"")=TRUE,""Threads""))))))"),"Facebook")</f>
        <v>Facebook</v>
      </c>
      <c r="G2380" s="41" t="s">
        <v>937</v>
      </c>
      <c r="H2380" s="41" t="s">
        <v>1542</v>
      </c>
      <c r="I2380" s="41" t="s">
        <v>939</v>
      </c>
      <c r="J2380" s="41"/>
      <c r="K2380" s="52" t="s">
        <v>1921</v>
      </c>
      <c r="L2380" s="42"/>
    </row>
    <row r="2381">
      <c r="A2381" s="15">
        <v>2380.0</v>
      </c>
      <c r="B2381" s="64" t="s">
        <v>4011</v>
      </c>
      <c r="C2381" s="40" t="s">
        <v>4033</v>
      </c>
      <c r="D2381" s="41"/>
      <c r="E2381" s="41" t="s">
        <v>401</v>
      </c>
      <c r="F2381" s="41" t="str">
        <f>IFERROR(__xludf.DUMMYFUNCTION("if(REGEXMATCH(C2381,""x.com"")=TRUE,""Twitter"",if(REGEXMATCH(C2381,""facebook"")=TRUE,""Facebook"",if(REGEXMATCH(C2381,""instagram"")=TRUE,""Instagram"",if(REGEXMATCH(C2381,""youtube"")=TRUE,""Youtube"",if(REGEXMATCH(C2381,""tiktok"")=TRUE,""Tiktok"",if("&amp;"REGEXMATCH(B2381,""threads"")=TRUE,""Threads""))))))"),"Facebook")</f>
        <v>Facebook</v>
      </c>
      <c r="G2381" s="41" t="s">
        <v>937</v>
      </c>
      <c r="H2381" s="41" t="s">
        <v>1542</v>
      </c>
      <c r="I2381" s="41" t="s">
        <v>939</v>
      </c>
      <c r="J2381" s="41"/>
      <c r="K2381" s="41"/>
      <c r="L2381" s="42"/>
    </row>
    <row r="2382">
      <c r="A2382" s="15">
        <v>2381.0</v>
      </c>
      <c r="B2382" s="64" t="s">
        <v>4011</v>
      </c>
      <c r="C2382" s="40" t="s">
        <v>4034</v>
      </c>
      <c r="D2382" s="41"/>
      <c r="E2382" s="41" t="s">
        <v>401</v>
      </c>
      <c r="F2382" s="41" t="str">
        <f>IFERROR(__xludf.DUMMYFUNCTION("if(REGEXMATCH(C2382,""x.com"")=TRUE,""Twitter"",if(REGEXMATCH(C2382,""facebook"")=TRUE,""Facebook"",if(REGEXMATCH(C2382,""instagram"")=TRUE,""Instagram"",if(REGEXMATCH(C2382,""youtube"")=TRUE,""Youtube"",if(REGEXMATCH(C2382,""tiktok"")=TRUE,""Tiktok"",if("&amp;"REGEXMATCH(B2382,""threads"")=TRUE,""Threads""))))))"),"Facebook")</f>
        <v>Facebook</v>
      </c>
      <c r="G2382" s="41" t="s">
        <v>937</v>
      </c>
      <c r="H2382" s="41" t="s">
        <v>1542</v>
      </c>
      <c r="I2382" s="41" t="s">
        <v>939</v>
      </c>
      <c r="J2382" s="41"/>
      <c r="K2382" s="41"/>
      <c r="L2382" s="42"/>
    </row>
    <row r="2383">
      <c r="A2383" s="15">
        <v>2382.0</v>
      </c>
      <c r="B2383" s="64" t="s">
        <v>4011</v>
      </c>
      <c r="C2383" s="40" t="s">
        <v>4035</v>
      </c>
      <c r="D2383" s="41"/>
      <c r="E2383" s="52" t="s">
        <v>2018</v>
      </c>
      <c r="F2383" s="41" t="str">
        <f>IFERROR(__xludf.DUMMYFUNCTION("if(REGEXMATCH(C2383,""x.com"")=TRUE,""Twitter"",if(REGEXMATCH(C2383,""facebook"")=TRUE,""Facebook"",if(REGEXMATCH(C2383,""instagram"")=TRUE,""Instagram"",if(REGEXMATCH(C2383,""youtube"")=TRUE,""Youtube"",if(REGEXMATCH(C2383,""tiktok"")=TRUE,""Tiktok"",if("&amp;"REGEXMATCH(B2383,""threads"")=TRUE,""Threads""))))))"),"Facebook")</f>
        <v>Facebook</v>
      </c>
      <c r="G2383" s="52" t="s">
        <v>4036</v>
      </c>
      <c r="H2383" s="52" t="s">
        <v>2023</v>
      </c>
      <c r="I2383" s="41"/>
      <c r="J2383" s="52" t="s">
        <v>422</v>
      </c>
      <c r="K2383" s="41"/>
      <c r="L2383" s="42"/>
    </row>
    <row r="2384">
      <c r="A2384" s="15">
        <v>2383.0</v>
      </c>
      <c r="B2384" s="64" t="s">
        <v>4011</v>
      </c>
      <c r="C2384" s="44" t="s">
        <v>4037</v>
      </c>
      <c r="D2384" s="41"/>
      <c r="E2384" s="52" t="s">
        <v>2018</v>
      </c>
      <c r="F2384" s="41" t="str">
        <f>IFERROR(__xludf.DUMMYFUNCTION("if(REGEXMATCH(C2384,""x.com"")=TRUE,""Twitter"",if(REGEXMATCH(C2384,""facebook"")=TRUE,""Facebook"",if(REGEXMATCH(C2384,""instagram"")=TRUE,""Instagram"",if(REGEXMATCH(C2384,""youtube"")=TRUE,""Youtube"",if(REGEXMATCH(C2384,""tiktok"")=TRUE,""Tiktok"",if("&amp;"REGEXMATCH(B2384,""threads"")=TRUE,""Threads""))))))"),"Facebook")</f>
        <v>Facebook</v>
      </c>
      <c r="G2384" s="52" t="s">
        <v>4036</v>
      </c>
      <c r="H2384" s="52" t="s">
        <v>2023</v>
      </c>
      <c r="I2384" s="41"/>
      <c r="J2384" s="52" t="s">
        <v>422</v>
      </c>
      <c r="K2384" s="41"/>
      <c r="L2384" s="42"/>
    </row>
    <row r="2385">
      <c r="A2385" s="18">
        <v>2384.0</v>
      </c>
      <c r="B2385" s="69" t="s">
        <v>4038</v>
      </c>
      <c r="C2385" s="40" t="s">
        <v>4039</v>
      </c>
      <c r="D2385" s="41"/>
      <c r="E2385" s="41" t="s">
        <v>197</v>
      </c>
      <c r="F2385" s="18" t="str">
        <f>IFERROR(__xludf.DUMMYFUNCTION("if(REGEXMATCH(C2385,""x.com"")=TRUE,""Twitter"",if(REGEXMATCH(C2385,""facebook"")=TRUE,""Facebook"",if(REGEXMATCH(C2385,""instagram"")=TRUE,""Instagram"",if(REGEXMATCH(C2385,""youtube"")=TRUE,""Youtube"",if(REGEXMATCH(C2385,""tiktok"")=TRUE,""Tiktok"",if("&amp;"REGEXMATCH(C2385,""threads"")=TRUE,""Threads""))))))"),"Facebook")</f>
        <v>Facebook</v>
      </c>
      <c r="G2385" s="41" t="s">
        <v>4040</v>
      </c>
      <c r="H2385" s="41" t="s">
        <v>779</v>
      </c>
      <c r="I2385" s="41" t="s">
        <v>535</v>
      </c>
      <c r="J2385" s="41" t="s">
        <v>188</v>
      </c>
      <c r="K2385" s="41" t="s">
        <v>1611</v>
      </c>
      <c r="L2385" s="41"/>
    </row>
    <row r="2386">
      <c r="A2386" s="18">
        <v>2385.0</v>
      </c>
      <c r="B2386" s="69" t="s">
        <v>4038</v>
      </c>
      <c r="C2386" s="40" t="s">
        <v>4041</v>
      </c>
      <c r="D2386" s="41"/>
      <c r="E2386" s="41" t="s">
        <v>557</v>
      </c>
      <c r="F2386" s="18" t="str">
        <f>IFERROR(__xludf.DUMMYFUNCTION("if(REGEXMATCH(C2386,""x.com"")=TRUE,""Twitter"",if(REGEXMATCH(C2386,""facebook"")=TRUE,""Facebook"",if(REGEXMATCH(C2386,""instagram"")=TRUE,""Instagram"",if(REGEXMATCH(C2386,""youtube"")=TRUE,""Youtube"",if(REGEXMATCH(C2386,""tiktok"")=TRUE,""Tiktok"",if("&amp;"REGEXMATCH(C2386,""threads"")=TRUE,""Threads""))))))"),"Facebook")</f>
        <v>Facebook</v>
      </c>
      <c r="G2386" s="41" t="s">
        <v>4042</v>
      </c>
      <c r="H2386" s="41" t="s">
        <v>779</v>
      </c>
      <c r="I2386" s="41" t="s">
        <v>535</v>
      </c>
      <c r="J2386" s="41" t="s">
        <v>188</v>
      </c>
      <c r="K2386" s="41" t="s">
        <v>1611</v>
      </c>
      <c r="L2386" s="41"/>
    </row>
    <row r="2387">
      <c r="A2387" s="18">
        <v>2386.0</v>
      </c>
      <c r="B2387" s="69" t="s">
        <v>4038</v>
      </c>
      <c r="C2387" s="40" t="s">
        <v>4043</v>
      </c>
      <c r="D2387" s="41"/>
      <c r="E2387" s="41" t="s">
        <v>197</v>
      </c>
      <c r="F2387" s="18" t="str">
        <f>IFERROR(__xludf.DUMMYFUNCTION("if(REGEXMATCH(C2387,""x.com"")=TRUE,""Twitter"",if(REGEXMATCH(C2387,""facebook"")=TRUE,""Facebook"",if(REGEXMATCH(C2387,""instagram"")=TRUE,""Instagram"",if(REGEXMATCH(C2387,""youtube"")=TRUE,""Youtube"",if(REGEXMATCH(C2387,""tiktok"")=TRUE,""Tiktok"",if("&amp;"REGEXMATCH(C2387,""threads"")=TRUE,""Threads""))))))"),"Facebook")</f>
        <v>Facebook</v>
      </c>
      <c r="G2387" s="41" t="s">
        <v>4044</v>
      </c>
      <c r="H2387" s="41" t="s">
        <v>779</v>
      </c>
      <c r="I2387" s="41" t="s">
        <v>535</v>
      </c>
      <c r="J2387" s="41" t="s">
        <v>188</v>
      </c>
      <c r="K2387" s="41" t="s">
        <v>1611</v>
      </c>
      <c r="L2387" s="41"/>
    </row>
    <row r="2388">
      <c r="A2388" s="18">
        <v>2387.0</v>
      </c>
      <c r="B2388" s="69" t="s">
        <v>4038</v>
      </c>
      <c r="C2388" s="40" t="s">
        <v>4045</v>
      </c>
      <c r="D2388" s="41"/>
      <c r="E2388" s="41" t="s">
        <v>557</v>
      </c>
      <c r="F2388" s="18" t="str">
        <f>IFERROR(__xludf.DUMMYFUNCTION("if(REGEXMATCH(C2388,""x.com"")=TRUE,""Twitter"",if(REGEXMATCH(C2388,""facebook"")=TRUE,""Facebook"",if(REGEXMATCH(C2388,""instagram"")=TRUE,""Instagram"",if(REGEXMATCH(C2388,""youtube"")=TRUE,""Youtube"",if(REGEXMATCH(C2388,""tiktok"")=TRUE,""Tiktok"",if("&amp;"REGEXMATCH(C2388,""threads"")=TRUE,""Threads""))))))"),"Facebook")</f>
        <v>Facebook</v>
      </c>
      <c r="G2388" s="41" t="s">
        <v>4046</v>
      </c>
      <c r="H2388" s="41" t="s">
        <v>779</v>
      </c>
      <c r="I2388" s="41" t="s">
        <v>535</v>
      </c>
      <c r="J2388" s="41" t="s">
        <v>188</v>
      </c>
      <c r="K2388" s="41" t="s">
        <v>1611</v>
      </c>
      <c r="L2388" s="41"/>
    </row>
    <row r="2389">
      <c r="A2389" s="18">
        <v>2388.0</v>
      </c>
      <c r="B2389" s="69" t="s">
        <v>4038</v>
      </c>
      <c r="C2389" s="40" t="s">
        <v>4047</v>
      </c>
      <c r="D2389" s="41"/>
      <c r="E2389" s="41" t="s">
        <v>557</v>
      </c>
      <c r="F2389" s="18" t="str">
        <f>IFERROR(__xludf.DUMMYFUNCTION("if(REGEXMATCH(C2389,""x.com"")=TRUE,""Twitter"",if(REGEXMATCH(C2389,""facebook"")=TRUE,""Facebook"",if(REGEXMATCH(C2389,""instagram"")=TRUE,""Instagram"",if(REGEXMATCH(C2389,""youtube"")=TRUE,""Youtube"",if(REGEXMATCH(C2389,""tiktok"")=TRUE,""Tiktok"",if("&amp;"REGEXMATCH(C2389,""threads"")=TRUE,""Threads""))))))"),"Tiktok")</f>
        <v>Tiktok</v>
      </c>
      <c r="G2389" s="41" t="s">
        <v>4048</v>
      </c>
      <c r="H2389" s="41" t="s">
        <v>779</v>
      </c>
      <c r="I2389" s="41" t="s">
        <v>535</v>
      </c>
      <c r="J2389" s="41" t="s">
        <v>188</v>
      </c>
      <c r="K2389" s="41" t="s">
        <v>1611</v>
      </c>
      <c r="L2389" s="41"/>
    </row>
    <row r="2390">
      <c r="A2390" s="18">
        <v>2389.0</v>
      </c>
      <c r="B2390" s="69" t="s">
        <v>4038</v>
      </c>
      <c r="C2390" s="40" t="s">
        <v>4049</v>
      </c>
      <c r="D2390" s="41"/>
      <c r="E2390" s="41" t="s">
        <v>557</v>
      </c>
      <c r="F2390" s="18" t="str">
        <f>IFERROR(__xludf.DUMMYFUNCTION("if(REGEXMATCH(C2390,""x.com"")=TRUE,""Twitter"",if(REGEXMATCH(C2390,""facebook"")=TRUE,""Facebook"",if(REGEXMATCH(C2390,""instagram"")=TRUE,""Instagram"",if(REGEXMATCH(C2390,""youtube"")=TRUE,""Youtube"",if(REGEXMATCH(C2390,""tiktok"")=TRUE,""Tiktok"",if("&amp;"REGEXMATCH(C2390,""threads"")=TRUE,""Threads""))))))"),"Tiktok")</f>
        <v>Tiktok</v>
      </c>
      <c r="G2390" s="41" t="s">
        <v>4050</v>
      </c>
      <c r="H2390" s="41" t="s">
        <v>779</v>
      </c>
      <c r="I2390" s="41" t="s">
        <v>535</v>
      </c>
      <c r="J2390" s="41" t="s">
        <v>188</v>
      </c>
      <c r="K2390" s="41" t="s">
        <v>1611</v>
      </c>
      <c r="L2390" s="41"/>
    </row>
    <row r="2391">
      <c r="A2391" s="18">
        <v>2390.0</v>
      </c>
      <c r="B2391" s="69" t="s">
        <v>4038</v>
      </c>
      <c r="C2391" s="40" t="s">
        <v>4051</v>
      </c>
      <c r="D2391" s="41"/>
      <c r="E2391" s="41" t="s">
        <v>372</v>
      </c>
      <c r="F2391" s="18" t="str">
        <f>IFERROR(__xludf.DUMMYFUNCTION("if(REGEXMATCH(C2391,""x.com"")=TRUE,""Twitter"",if(REGEXMATCH(C2391,""facebook"")=TRUE,""Facebook"",if(REGEXMATCH(C2391,""instagram"")=TRUE,""Instagram"",if(REGEXMATCH(C2391,""youtube"")=TRUE,""Youtube"",if(REGEXMATCH(C2391,""tiktok"")=TRUE,""Tiktok"",if("&amp;"REGEXMATCH(C2391,""threads"")=TRUE,""Threads""))))))"),"Tiktok")</f>
        <v>Tiktok</v>
      </c>
      <c r="G2391" s="41" t="s">
        <v>4052</v>
      </c>
      <c r="H2391" s="41" t="s">
        <v>779</v>
      </c>
      <c r="I2391" s="41" t="s">
        <v>535</v>
      </c>
      <c r="J2391" s="41" t="s">
        <v>188</v>
      </c>
      <c r="K2391" s="41" t="s">
        <v>1611</v>
      </c>
      <c r="L2391" s="41"/>
    </row>
    <row r="2392">
      <c r="A2392" s="18">
        <v>2391.0</v>
      </c>
      <c r="B2392" s="69" t="s">
        <v>4038</v>
      </c>
      <c r="C2392" s="40" t="s">
        <v>4053</v>
      </c>
      <c r="D2392" s="41"/>
      <c r="E2392" s="41" t="s">
        <v>222</v>
      </c>
      <c r="F2392" s="18" t="str">
        <f>IFERROR(__xludf.DUMMYFUNCTION("if(REGEXMATCH(C2392,""x.com"")=TRUE,""Twitter"",if(REGEXMATCH(C2392,""facebook"")=TRUE,""Facebook"",if(REGEXMATCH(C2392,""instagram"")=TRUE,""Instagram"",if(REGEXMATCH(C2392,""youtube"")=TRUE,""Youtube"",if(REGEXMATCH(C2392,""tiktok"")=TRUE,""Tiktok"",if("&amp;"REGEXMATCH(C2392,""threads"")=TRUE,""Threads""))))))"),"Facebook")</f>
        <v>Facebook</v>
      </c>
      <c r="G2392" s="70" t="s">
        <v>4054</v>
      </c>
      <c r="H2392" s="41" t="s">
        <v>779</v>
      </c>
      <c r="I2392" s="41" t="s">
        <v>535</v>
      </c>
      <c r="J2392" s="41" t="s">
        <v>188</v>
      </c>
      <c r="K2392" s="41" t="s">
        <v>1611</v>
      </c>
      <c r="L2392" s="41"/>
    </row>
    <row r="2393">
      <c r="A2393" s="18">
        <v>2392.0</v>
      </c>
      <c r="B2393" s="69" t="s">
        <v>4038</v>
      </c>
      <c r="C2393" s="40" t="s">
        <v>4055</v>
      </c>
      <c r="D2393" s="41"/>
      <c r="E2393" s="41" t="s">
        <v>230</v>
      </c>
      <c r="F2393" s="18" t="str">
        <f>IFERROR(__xludf.DUMMYFUNCTION("if(REGEXMATCH(C2393,""x.com"")=TRUE,""Twitter"",if(REGEXMATCH(C2393,""facebook"")=TRUE,""Facebook"",if(REGEXMATCH(C2393,""instagram"")=TRUE,""Instagram"",if(REGEXMATCH(C2393,""youtube"")=TRUE,""Youtube"",if(REGEXMATCH(C2393,""tiktok"")=TRUE,""Tiktok"",if("&amp;"REGEXMATCH(C2393,""threads"")=TRUE,""Threads""))))))"),"Facebook")</f>
        <v>Facebook</v>
      </c>
      <c r="G2393" s="70" t="s">
        <v>4056</v>
      </c>
      <c r="H2393" s="41" t="s">
        <v>779</v>
      </c>
      <c r="I2393" s="41" t="s">
        <v>535</v>
      </c>
      <c r="J2393" s="41" t="s">
        <v>188</v>
      </c>
      <c r="K2393" s="41"/>
      <c r="L2393" s="41"/>
    </row>
    <row r="2394">
      <c r="A2394" s="18">
        <v>2393.0</v>
      </c>
      <c r="B2394" s="69" t="s">
        <v>4038</v>
      </c>
      <c r="C2394" s="40" t="s">
        <v>4057</v>
      </c>
      <c r="D2394" s="41"/>
      <c r="E2394" s="41" t="s">
        <v>197</v>
      </c>
      <c r="F2394" s="18" t="str">
        <f>IFERROR(__xludf.DUMMYFUNCTION("if(REGEXMATCH(C2394,""x.com"")=TRUE,""Twitter"",if(REGEXMATCH(C2394,""facebook"")=TRUE,""Facebook"",if(REGEXMATCH(C2394,""instagram"")=TRUE,""Instagram"",if(REGEXMATCH(C2394,""youtube"")=TRUE,""Youtube"",if(REGEXMATCH(C2394,""tiktok"")=TRUE,""Tiktok"",if("&amp;"REGEXMATCH(C2394,""threads"")=TRUE,""Threads""))))))"),"Facebook")</f>
        <v>Facebook</v>
      </c>
      <c r="G2394" s="41" t="s">
        <v>4058</v>
      </c>
      <c r="H2394" s="41" t="s">
        <v>779</v>
      </c>
      <c r="I2394" s="41" t="s">
        <v>535</v>
      </c>
      <c r="J2394" s="41" t="s">
        <v>188</v>
      </c>
      <c r="K2394" s="41"/>
      <c r="L2394" s="41"/>
    </row>
    <row r="2395">
      <c r="A2395" s="18">
        <v>2394.0</v>
      </c>
      <c r="B2395" s="69" t="s">
        <v>4038</v>
      </c>
      <c r="C2395" s="40" t="s">
        <v>4059</v>
      </c>
      <c r="D2395" s="41"/>
      <c r="E2395" s="41" t="s">
        <v>197</v>
      </c>
      <c r="F2395" s="18" t="str">
        <f>IFERROR(__xludf.DUMMYFUNCTION("if(REGEXMATCH(C2395,""x.com"")=TRUE,""Twitter"",if(REGEXMATCH(C2395,""facebook"")=TRUE,""Facebook"",if(REGEXMATCH(C2395,""instagram"")=TRUE,""Instagram"",if(REGEXMATCH(C2395,""youtube"")=TRUE,""Youtube"",if(REGEXMATCH(C2395,""tiktok"")=TRUE,""Tiktok"",if("&amp;"REGEXMATCH(C2395,""threads"")=TRUE,""Threads""))))))"),"Facebook")</f>
        <v>Facebook</v>
      </c>
      <c r="G2395" s="71" t="s">
        <v>4060</v>
      </c>
      <c r="H2395" s="41" t="s">
        <v>779</v>
      </c>
      <c r="I2395" s="41" t="s">
        <v>535</v>
      </c>
      <c r="J2395" s="41" t="s">
        <v>188</v>
      </c>
      <c r="K2395" s="41"/>
      <c r="L2395" s="41"/>
    </row>
    <row r="2396">
      <c r="A2396" s="18">
        <v>2395.0</v>
      </c>
      <c r="B2396" s="69" t="s">
        <v>4038</v>
      </c>
      <c r="C2396" s="40" t="s">
        <v>4061</v>
      </c>
      <c r="D2396" s="41"/>
      <c r="E2396" s="41" t="s">
        <v>197</v>
      </c>
      <c r="F2396" s="18" t="str">
        <f>IFERROR(__xludf.DUMMYFUNCTION("if(REGEXMATCH(C2396,""x.com"")=TRUE,""Twitter"",if(REGEXMATCH(C2396,""facebook"")=TRUE,""Facebook"",if(REGEXMATCH(C2396,""instagram"")=TRUE,""Instagram"",if(REGEXMATCH(C2396,""youtube"")=TRUE,""Youtube"",if(REGEXMATCH(C2396,""tiktok"")=TRUE,""Tiktok"",if("&amp;"REGEXMATCH(C2396,""threads"")=TRUE,""Threads""))))))"),"Facebook")</f>
        <v>Facebook</v>
      </c>
      <c r="G2396" s="70" t="s">
        <v>4062</v>
      </c>
      <c r="H2396" s="41" t="s">
        <v>779</v>
      </c>
      <c r="I2396" s="41" t="s">
        <v>535</v>
      </c>
      <c r="J2396" s="41" t="s">
        <v>188</v>
      </c>
      <c r="K2396" s="41"/>
      <c r="L2396" s="41"/>
    </row>
    <row r="2397">
      <c r="A2397" s="18">
        <v>2396.0</v>
      </c>
      <c r="B2397" s="69" t="s">
        <v>4038</v>
      </c>
      <c r="C2397" s="40" t="s">
        <v>4063</v>
      </c>
      <c r="D2397" s="41"/>
      <c r="E2397" s="41" t="s">
        <v>197</v>
      </c>
      <c r="F2397" s="18" t="str">
        <f>IFERROR(__xludf.DUMMYFUNCTION("if(REGEXMATCH(C2397,""x.com"")=TRUE,""Twitter"",if(REGEXMATCH(C2397,""facebook"")=TRUE,""Facebook"",if(REGEXMATCH(C2397,""instagram"")=TRUE,""Instagram"",if(REGEXMATCH(C2397,""youtube"")=TRUE,""Youtube"",if(REGEXMATCH(C2397,""tiktok"")=TRUE,""Tiktok"",if("&amp;"REGEXMATCH(C2397,""threads"")=TRUE,""Threads""))))))"),"Twitter")</f>
        <v>Twitter</v>
      </c>
      <c r="G2397" s="70" t="s">
        <v>4064</v>
      </c>
      <c r="H2397" s="41" t="s">
        <v>779</v>
      </c>
      <c r="I2397" s="41" t="s">
        <v>535</v>
      </c>
      <c r="J2397" s="41" t="s">
        <v>188</v>
      </c>
      <c r="K2397" s="41"/>
      <c r="L2397" s="41"/>
    </row>
    <row r="2398">
      <c r="A2398" s="18">
        <v>2397.0</v>
      </c>
      <c r="B2398" s="69" t="s">
        <v>4038</v>
      </c>
      <c r="C2398" s="40" t="s">
        <v>4065</v>
      </c>
      <c r="D2398" s="41"/>
      <c r="E2398" s="41" t="s">
        <v>197</v>
      </c>
      <c r="F2398" s="18" t="str">
        <f>IFERROR(__xludf.DUMMYFUNCTION("if(REGEXMATCH(C2398,""x.com"")=TRUE,""Twitter"",if(REGEXMATCH(C2398,""facebook"")=TRUE,""Facebook"",if(REGEXMATCH(C2398,""instagram"")=TRUE,""Instagram"",if(REGEXMATCH(C2398,""youtube"")=TRUE,""Youtube"",if(REGEXMATCH(C2398,""tiktok"")=TRUE,""Tiktok"",if("&amp;"REGEXMATCH(C2398,""threads"")=TRUE,""Threads""))))))"),"Twitter")</f>
        <v>Twitter</v>
      </c>
      <c r="G2398" s="70" t="s">
        <v>4066</v>
      </c>
      <c r="H2398" s="41" t="s">
        <v>779</v>
      </c>
      <c r="I2398" s="41" t="s">
        <v>535</v>
      </c>
      <c r="J2398" s="41" t="s">
        <v>188</v>
      </c>
      <c r="K2398" s="41"/>
      <c r="L2398" s="41"/>
    </row>
    <row r="2399">
      <c r="A2399" s="18">
        <v>2398.0</v>
      </c>
      <c r="B2399" s="69" t="s">
        <v>4038</v>
      </c>
      <c r="C2399" s="40" t="s">
        <v>4067</v>
      </c>
      <c r="D2399" s="41"/>
      <c r="E2399" s="41" t="s">
        <v>557</v>
      </c>
      <c r="F2399" s="18" t="str">
        <f>IFERROR(__xludf.DUMMYFUNCTION("if(REGEXMATCH(C2399,""x.com"")=TRUE,""Twitter"",if(REGEXMATCH(C2399,""facebook"")=TRUE,""Facebook"",if(REGEXMATCH(C2399,""instagram"")=TRUE,""Instagram"",if(REGEXMATCH(C2399,""youtube"")=TRUE,""Youtube"",if(REGEXMATCH(C2399,""tiktok"")=TRUE,""Tiktok"",if("&amp;"REGEXMATCH(C2399,""threads"")=TRUE,""Threads""))))))"),"Facebook")</f>
        <v>Facebook</v>
      </c>
      <c r="G2399" s="70" t="s">
        <v>4068</v>
      </c>
      <c r="H2399" s="41" t="s">
        <v>779</v>
      </c>
      <c r="I2399" s="41" t="s">
        <v>535</v>
      </c>
      <c r="J2399" s="41" t="s">
        <v>188</v>
      </c>
      <c r="K2399" s="41"/>
      <c r="L2399" s="41"/>
    </row>
    <row r="2400">
      <c r="A2400" s="18">
        <v>2399.0</v>
      </c>
      <c r="B2400" s="69" t="s">
        <v>4038</v>
      </c>
      <c r="C2400" s="40" t="s">
        <v>4069</v>
      </c>
      <c r="D2400" s="41"/>
      <c r="E2400" s="41" t="s">
        <v>557</v>
      </c>
      <c r="F2400" s="18" t="str">
        <f>IFERROR(__xludf.DUMMYFUNCTION("if(REGEXMATCH(C2400,""x.com"")=TRUE,""Twitter"",if(REGEXMATCH(C2400,""facebook"")=TRUE,""Facebook"",if(REGEXMATCH(C2400,""instagram"")=TRUE,""Instagram"",if(REGEXMATCH(C2400,""youtube"")=TRUE,""Youtube"",if(REGEXMATCH(C2400,""tiktok"")=TRUE,""Tiktok"",if("&amp;"REGEXMATCH(C2400,""threads"")=TRUE,""Threads""))))))"),"Facebook")</f>
        <v>Facebook</v>
      </c>
      <c r="G2400" s="70" t="s">
        <v>4070</v>
      </c>
      <c r="H2400" s="41" t="s">
        <v>779</v>
      </c>
      <c r="I2400" s="41" t="s">
        <v>535</v>
      </c>
      <c r="J2400" s="41" t="s">
        <v>188</v>
      </c>
      <c r="K2400" s="41"/>
      <c r="L2400" s="41"/>
    </row>
    <row r="2401">
      <c r="A2401" s="18">
        <v>2400.0</v>
      </c>
      <c r="B2401" s="69" t="s">
        <v>4038</v>
      </c>
      <c r="C2401" s="40" t="s">
        <v>4071</v>
      </c>
      <c r="D2401" s="41"/>
      <c r="E2401" s="41" t="s">
        <v>557</v>
      </c>
      <c r="F2401" s="18" t="str">
        <f>IFERROR(__xludf.DUMMYFUNCTION("if(REGEXMATCH(C2401,""x.com"")=TRUE,""Twitter"",if(REGEXMATCH(C2401,""facebook"")=TRUE,""Facebook"",if(REGEXMATCH(C2401,""instagram"")=TRUE,""Instagram"",if(REGEXMATCH(C2401,""youtube"")=TRUE,""Youtube"",if(REGEXMATCH(C2401,""tiktok"")=TRUE,""Tiktok"",if("&amp;"REGEXMATCH(C2401,""threads"")=TRUE,""Threads""))))))"),"Facebook")</f>
        <v>Facebook</v>
      </c>
      <c r="G2401" s="70" t="s">
        <v>4072</v>
      </c>
      <c r="H2401" s="41" t="s">
        <v>779</v>
      </c>
      <c r="I2401" s="41" t="s">
        <v>535</v>
      </c>
      <c r="J2401" s="41" t="s">
        <v>188</v>
      </c>
      <c r="K2401" s="41"/>
      <c r="L2401" s="41"/>
    </row>
    <row r="2402">
      <c r="A2402" s="18">
        <v>2401.0</v>
      </c>
      <c r="B2402" s="69" t="s">
        <v>4038</v>
      </c>
      <c r="C2402" s="40" t="s">
        <v>4073</v>
      </c>
      <c r="D2402" s="41"/>
      <c r="E2402" s="41" t="s">
        <v>197</v>
      </c>
      <c r="F2402" s="18" t="str">
        <f>IFERROR(__xludf.DUMMYFUNCTION("if(REGEXMATCH(C2402,""x.com"")=TRUE,""Twitter"",if(REGEXMATCH(C2402,""facebook"")=TRUE,""Facebook"",if(REGEXMATCH(C2402,""instagram"")=TRUE,""Instagram"",if(REGEXMATCH(C2402,""youtube"")=TRUE,""Youtube"",if(REGEXMATCH(C2402,""tiktok"")=TRUE,""Tiktok"",if("&amp;"REGEXMATCH(C2402,""threads"")=TRUE,""Threads""))))))"),"Tiktok")</f>
        <v>Tiktok</v>
      </c>
      <c r="G2402" s="70" t="s">
        <v>4074</v>
      </c>
      <c r="H2402" s="41" t="s">
        <v>779</v>
      </c>
      <c r="I2402" s="41" t="s">
        <v>535</v>
      </c>
      <c r="J2402" s="41" t="s">
        <v>188</v>
      </c>
      <c r="K2402" s="41"/>
      <c r="L2402" s="41"/>
    </row>
    <row r="2403">
      <c r="A2403" s="18">
        <v>2402.0</v>
      </c>
      <c r="B2403" s="69" t="s">
        <v>4038</v>
      </c>
      <c r="C2403" s="40" t="s">
        <v>4075</v>
      </c>
      <c r="D2403" s="41"/>
      <c r="E2403" s="41" t="s">
        <v>557</v>
      </c>
      <c r="F2403" s="18" t="str">
        <f>IFERROR(__xludf.DUMMYFUNCTION("if(REGEXMATCH(C2403,""x.com"")=TRUE,""Twitter"",if(REGEXMATCH(C2403,""facebook"")=TRUE,""Facebook"",if(REGEXMATCH(C2403,""instagram"")=TRUE,""Instagram"",if(REGEXMATCH(C2403,""youtube"")=TRUE,""Youtube"",if(REGEXMATCH(C2403,""tiktok"")=TRUE,""Tiktok"",if("&amp;"REGEXMATCH(C2403,""threads"")=TRUE,""Threads""))))))"),"Tiktok")</f>
        <v>Tiktok</v>
      </c>
      <c r="G2403" s="70" t="s">
        <v>4076</v>
      </c>
      <c r="H2403" s="41" t="s">
        <v>779</v>
      </c>
      <c r="I2403" s="41" t="s">
        <v>535</v>
      </c>
      <c r="J2403" s="41" t="s">
        <v>188</v>
      </c>
      <c r="K2403" s="41"/>
      <c r="L2403" s="41"/>
    </row>
    <row r="2404">
      <c r="A2404" s="18">
        <v>2403.0</v>
      </c>
      <c r="B2404" s="69" t="s">
        <v>4038</v>
      </c>
      <c r="C2404" s="40" t="s">
        <v>4077</v>
      </c>
      <c r="D2404" s="41"/>
      <c r="E2404" s="41" t="s">
        <v>557</v>
      </c>
      <c r="F2404" s="18" t="str">
        <f>IFERROR(__xludf.DUMMYFUNCTION("if(REGEXMATCH(C2404,""x.com"")=TRUE,""Twitter"",if(REGEXMATCH(C2404,""facebook"")=TRUE,""Facebook"",if(REGEXMATCH(C2404,""instagram"")=TRUE,""Instagram"",if(REGEXMATCH(C2404,""youtube"")=TRUE,""Youtube"",if(REGEXMATCH(C2404,""tiktok"")=TRUE,""Tiktok"",if("&amp;"REGEXMATCH(C2404,""threads"")=TRUE,""Threads""))))))"),"Tiktok")</f>
        <v>Tiktok</v>
      </c>
      <c r="G2404" s="70" t="s">
        <v>4078</v>
      </c>
      <c r="H2404" s="41" t="s">
        <v>779</v>
      </c>
      <c r="I2404" s="41" t="s">
        <v>535</v>
      </c>
      <c r="J2404" s="41" t="s">
        <v>188</v>
      </c>
      <c r="K2404" s="41"/>
      <c r="L2404" s="41"/>
    </row>
    <row r="2405">
      <c r="A2405" s="18">
        <v>2404.0</v>
      </c>
      <c r="B2405" s="69" t="s">
        <v>4038</v>
      </c>
      <c r="C2405" s="40" t="s">
        <v>4079</v>
      </c>
      <c r="D2405" s="41"/>
      <c r="E2405" s="41" t="s">
        <v>2018</v>
      </c>
      <c r="F2405" s="18" t="s">
        <v>622</v>
      </c>
      <c r="G2405" s="44" t="s">
        <v>4080</v>
      </c>
      <c r="H2405" s="41"/>
      <c r="I2405" s="41"/>
      <c r="J2405" s="41" t="s">
        <v>188</v>
      </c>
      <c r="K2405" s="41"/>
      <c r="L2405" s="41"/>
    </row>
    <row r="2406">
      <c r="A2406" s="18">
        <v>2405.0</v>
      </c>
      <c r="B2406" s="69" t="s">
        <v>4038</v>
      </c>
      <c r="C2406" s="40" t="s">
        <v>4081</v>
      </c>
      <c r="D2406" s="41"/>
      <c r="E2406" s="41" t="s">
        <v>2018</v>
      </c>
      <c r="F2406" s="18" t="s">
        <v>622</v>
      </c>
      <c r="G2406" s="41" t="s">
        <v>4082</v>
      </c>
      <c r="H2406" s="41"/>
      <c r="I2406" s="41"/>
      <c r="J2406" s="41" t="s">
        <v>188</v>
      </c>
      <c r="K2406" s="41"/>
      <c r="L2406" s="41"/>
    </row>
    <row r="2407">
      <c r="A2407" s="18">
        <v>2406.0</v>
      </c>
      <c r="B2407" s="69" t="s">
        <v>4038</v>
      </c>
      <c r="C2407" s="40" t="s">
        <v>4083</v>
      </c>
      <c r="D2407" s="41"/>
      <c r="E2407" s="41" t="s">
        <v>2018</v>
      </c>
      <c r="F2407" s="18" t="s">
        <v>622</v>
      </c>
      <c r="G2407" s="41" t="s">
        <v>4082</v>
      </c>
      <c r="H2407" s="41"/>
      <c r="I2407" s="41"/>
      <c r="J2407" s="41" t="s">
        <v>188</v>
      </c>
      <c r="K2407" s="41"/>
      <c r="L2407" s="41"/>
    </row>
    <row r="2408">
      <c r="A2408" s="18">
        <v>2407.0</v>
      </c>
      <c r="B2408" s="64" t="s">
        <v>4084</v>
      </c>
      <c r="C2408" s="40" t="s">
        <v>4085</v>
      </c>
      <c r="D2408" s="41"/>
      <c r="E2408" s="41" t="s">
        <v>557</v>
      </c>
      <c r="F2408" s="18" t="str">
        <f>IFERROR(__xludf.DUMMYFUNCTION("if(REGEXMATCH(C2408,""x.com"")=TRUE,""Twitter"",if(REGEXMATCH(C2408,""facebook"")=TRUE,""Facebook"",if(REGEXMATCH(C2408,""instagram"")=TRUE,""Instagram"",if(REGEXMATCH(C2408,""youtube"")=TRUE,""Youtube"",if(REGEXMATCH(C2408,""tiktok"")=TRUE,""Tiktok"",if("&amp;"REGEXMATCH(C2408,""threads"")=TRUE,""Threads""))))))"),"Twitter")</f>
        <v>Twitter</v>
      </c>
      <c r="G2408" s="41" t="s">
        <v>4086</v>
      </c>
      <c r="H2408" s="52" t="s">
        <v>1782</v>
      </c>
      <c r="I2408" s="52" t="s">
        <v>535</v>
      </c>
      <c r="J2408" s="41" t="s">
        <v>188</v>
      </c>
      <c r="K2408" s="41" t="s">
        <v>1611</v>
      </c>
      <c r="L2408" s="42"/>
    </row>
    <row r="2409">
      <c r="A2409" s="18">
        <v>2408.0</v>
      </c>
      <c r="B2409" s="64" t="s">
        <v>4084</v>
      </c>
      <c r="C2409" s="40" t="s">
        <v>4087</v>
      </c>
      <c r="D2409" s="41"/>
      <c r="E2409" s="41" t="s">
        <v>557</v>
      </c>
      <c r="F2409" s="18" t="str">
        <f>IFERROR(__xludf.DUMMYFUNCTION("if(REGEXMATCH(C2409,""x.com"")=TRUE,""Twitter"",if(REGEXMATCH(C2409,""facebook"")=TRUE,""Facebook"",if(REGEXMATCH(C2409,""instagram"")=TRUE,""Instagram"",if(REGEXMATCH(C2409,""youtube"")=TRUE,""Youtube"",if(REGEXMATCH(C2409,""tiktok"")=TRUE,""Tiktok"",if("&amp;"REGEXMATCH(C2409,""threads"")=TRUE,""Threads""))))))"),"Twitter")</f>
        <v>Twitter</v>
      </c>
      <c r="G2409" s="41" t="s">
        <v>4088</v>
      </c>
      <c r="H2409" s="52" t="s">
        <v>1782</v>
      </c>
      <c r="I2409" s="52" t="s">
        <v>535</v>
      </c>
      <c r="J2409" s="41" t="s">
        <v>188</v>
      </c>
      <c r="K2409" s="41" t="s">
        <v>1611</v>
      </c>
      <c r="L2409" s="42"/>
    </row>
    <row r="2410">
      <c r="A2410" s="18">
        <v>2409.0</v>
      </c>
      <c r="B2410" s="64" t="s">
        <v>4084</v>
      </c>
      <c r="C2410" s="40" t="s">
        <v>4089</v>
      </c>
      <c r="D2410" s="41"/>
      <c r="E2410" s="41" t="s">
        <v>222</v>
      </c>
      <c r="F2410" s="18" t="str">
        <f>IFERROR(__xludf.DUMMYFUNCTION("if(REGEXMATCH(C2410,""x.com"")=TRUE,""Twitter"",if(REGEXMATCH(C2410,""facebook"")=TRUE,""Facebook"",if(REGEXMATCH(C2410,""instagram"")=TRUE,""Instagram"",if(REGEXMATCH(C2410,""youtube"")=TRUE,""Youtube"",if(REGEXMATCH(C2410,""tiktok"")=TRUE,""Tiktok"",if("&amp;"REGEXMATCH(C2410,""threads"")=TRUE,""Threads""))))))"),"Twitter")</f>
        <v>Twitter</v>
      </c>
      <c r="G2410" s="41" t="s">
        <v>4090</v>
      </c>
      <c r="H2410" s="52" t="s">
        <v>1782</v>
      </c>
      <c r="I2410" s="52" t="s">
        <v>535</v>
      </c>
      <c r="J2410" s="41" t="s">
        <v>188</v>
      </c>
      <c r="K2410" s="41" t="s">
        <v>1611</v>
      </c>
      <c r="L2410" s="42"/>
    </row>
    <row r="2411">
      <c r="A2411" s="18">
        <v>2410.0</v>
      </c>
      <c r="B2411" s="64" t="s">
        <v>4084</v>
      </c>
      <c r="C2411" s="40" t="s">
        <v>4091</v>
      </c>
      <c r="D2411" s="41"/>
      <c r="E2411" s="41" t="s">
        <v>230</v>
      </c>
      <c r="F2411" s="18" t="str">
        <f>IFERROR(__xludf.DUMMYFUNCTION("if(REGEXMATCH(C2411,""x.com"")=TRUE,""Twitter"",if(REGEXMATCH(C2411,""facebook"")=TRUE,""Facebook"",if(REGEXMATCH(C2411,""instagram"")=TRUE,""Instagram"",if(REGEXMATCH(C2411,""youtube"")=TRUE,""Youtube"",if(REGEXMATCH(C2411,""tiktok"")=TRUE,""Tiktok"",if("&amp;"REGEXMATCH(C2411,""threads"")=TRUE,""Threads""))))))"),"Instagram")</f>
        <v>Instagram</v>
      </c>
      <c r="G2411" s="41" t="s">
        <v>4092</v>
      </c>
      <c r="H2411" s="52" t="s">
        <v>1782</v>
      </c>
      <c r="I2411" s="52" t="s">
        <v>535</v>
      </c>
      <c r="J2411" s="41" t="s">
        <v>188</v>
      </c>
      <c r="K2411" s="41" t="s">
        <v>1611</v>
      </c>
      <c r="L2411" s="42"/>
    </row>
    <row r="2412">
      <c r="A2412" s="18">
        <v>2411.0</v>
      </c>
      <c r="B2412" s="64" t="s">
        <v>4084</v>
      </c>
      <c r="C2412" s="40" t="s">
        <v>4093</v>
      </c>
      <c r="D2412" s="41"/>
      <c r="E2412" s="41" t="s">
        <v>197</v>
      </c>
      <c r="F2412" s="18" t="str">
        <f>IFERROR(__xludf.DUMMYFUNCTION("if(REGEXMATCH(C2412,""x.com"")=TRUE,""Twitter"",if(REGEXMATCH(C2412,""facebook"")=TRUE,""Facebook"",if(REGEXMATCH(C2412,""instagram"")=TRUE,""Instagram"",if(REGEXMATCH(C2412,""youtube"")=TRUE,""Youtube"",if(REGEXMATCH(C2412,""tiktok"")=TRUE,""Tiktok"",if("&amp;"REGEXMATCH(C2412,""threads"")=TRUE,""Threads""))))))"),"Facebook")</f>
        <v>Facebook</v>
      </c>
      <c r="G2412" s="41" t="s">
        <v>4094</v>
      </c>
      <c r="H2412" s="52" t="s">
        <v>1782</v>
      </c>
      <c r="I2412" s="52" t="s">
        <v>535</v>
      </c>
      <c r="J2412" s="41" t="s">
        <v>188</v>
      </c>
      <c r="K2412" s="41" t="s">
        <v>1611</v>
      </c>
      <c r="L2412" s="42"/>
    </row>
    <row r="2413">
      <c r="A2413" s="18">
        <v>2412.0</v>
      </c>
      <c r="B2413" s="64" t="s">
        <v>4084</v>
      </c>
      <c r="C2413" s="40" t="s">
        <v>4095</v>
      </c>
      <c r="D2413" s="41"/>
      <c r="E2413" s="41" t="s">
        <v>197</v>
      </c>
      <c r="F2413" s="18" t="str">
        <f>IFERROR(__xludf.DUMMYFUNCTION("if(REGEXMATCH(C2413,""x.com"")=TRUE,""Twitter"",if(REGEXMATCH(C2413,""facebook"")=TRUE,""Facebook"",if(REGEXMATCH(C2413,""instagram"")=TRUE,""Instagram"",if(REGEXMATCH(C2413,""youtube"")=TRUE,""Youtube"",if(REGEXMATCH(C2413,""tiktok"")=TRUE,""Tiktok"",if("&amp;"REGEXMATCH(C2413,""threads"")=TRUE,""Threads""))))))"),"Facebook")</f>
        <v>Facebook</v>
      </c>
      <c r="G2413" s="41" t="s">
        <v>4096</v>
      </c>
      <c r="H2413" s="52" t="s">
        <v>1782</v>
      </c>
      <c r="I2413" s="52" t="s">
        <v>535</v>
      </c>
      <c r="J2413" s="41" t="s">
        <v>188</v>
      </c>
      <c r="K2413" s="41" t="s">
        <v>1611</v>
      </c>
      <c r="L2413" s="42"/>
    </row>
    <row r="2414">
      <c r="A2414" s="18">
        <v>2413.0</v>
      </c>
      <c r="B2414" s="64" t="s">
        <v>4084</v>
      </c>
      <c r="C2414" s="40" t="s">
        <v>4097</v>
      </c>
      <c r="D2414" s="41"/>
      <c r="E2414" s="41" t="s">
        <v>197</v>
      </c>
      <c r="F2414" s="18" t="str">
        <f>IFERROR(__xludf.DUMMYFUNCTION("if(REGEXMATCH(C2414,""x.com"")=TRUE,""Twitter"",if(REGEXMATCH(C2414,""facebook"")=TRUE,""Facebook"",if(REGEXMATCH(C2414,""instagram"")=TRUE,""Instagram"",if(REGEXMATCH(C2414,""youtube"")=TRUE,""Youtube"",if(REGEXMATCH(C2414,""tiktok"")=TRUE,""Tiktok"",if("&amp;"REGEXMATCH(C2414,""threads"")=TRUE,""Threads""))))))"),"Facebook")</f>
        <v>Facebook</v>
      </c>
      <c r="G2414" s="41" t="s">
        <v>4098</v>
      </c>
      <c r="H2414" s="52" t="s">
        <v>1782</v>
      </c>
      <c r="I2414" s="52" t="s">
        <v>535</v>
      </c>
      <c r="J2414" s="41" t="s">
        <v>188</v>
      </c>
      <c r="K2414" s="41" t="s">
        <v>1611</v>
      </c>
      <c r="L2414" s="42"/>
    </row>
    <row r="2415">
      <c r="A2415" s="18">
        <v>2414.0</v>
      </c>
      <c r="B2415" s="64" t="s">
        <v>4084</v>
      </c>
      <c r="C2415" s="40" t="s">
        <v>4099</v>
      </c>
      <c r="D2415" s="41"/>
      <c r="E2415" s="41" t="s">
        <v>197</v>
      </c>
      <c r="F2415" s="18" t="str">
        <f>IFERROR(__xludf.DUMMYFUNCTION("if(REGEXMATCH(C2415,""x.com"")=TRUE,""Twitter"",if(REGEXMATCH(C2415,""facebook"")=TRUE,""Facebook"",if(REGEXMATCH(C2415,""instagram"")=TRUE,""Instagram"",if(REGEXMATCH(C2415,""youtube"")=TRUE,""Youtube"",if(REGEXMATCH(C2415,""tiktok"")=TRUE,""Tiktok"",if("&amp;"REGEXMATCH(C2415,""threads"")=TRUE,""Threads""))))))"),"Facebook")</f>
        <v>Facebook</v>
      </c>
      <c r="G2415" s="41" t="s">
        <v>4100</v>
      </c>
      <c r="H2415" s="52" t="s">
        <v>1782</v>
      </c>
      <c r="I2415" s="52" t="s">
        <v>535</v>
      </c>
      <c r="J2415" s="41" t="s">
        <v>188</v>
      </c>
      <c r="K2415" s="41" t="s">
        <v>1611</v>
      </c>
      <c r="L2415" s="42"/>
    </row>
    <row r="2416">
      <c r="A2416" s="18">
        <v>2415.0</v>
      </c>
      <c r="B2416" s="64" t="s">
        <v>4084</v>
      </c>
      <c r="C2416" s="40" t="s">
        <v>4101</v>
      </c>
      <c r="D2416" s="41"/>
      <c r="E2416" s="41" t="s">
        <v>197</v>
      </c>
      <c r="F2416" s="18" t="str">
        <f>IFERROR(__xludf.DUMMYFUNCTION("if(REGEXMATCH(C2416,""x.com"")=TRUE,""Twitter"",if(REGEXMATCH(C2416,""facebook"")=TRUE,""Facebook"",if(REGEXMATCH(C2416,""instagram"")=TRUE,""Instagram"",if(REGEXMATCH(C2416,""youtube"")=TRUE,""Youtube"",if(REGEXMATCH(C2416,""tiktok"")=TRUE,""Tiktok"",if("&amp;"REGEXMATCH(C2416,""threads"")=TRUE,""Threads""))))))"),"Facebook")</f>
        <v>Facebook</v>
      </c>
      <c r="G2416" s="41" t="s">
        <v>4102</v>
      </c>
      <c r="H2416" s="52" t="s">
        <v>1782</v>
      </c>
      <c r="I2416" s="52" t="s">
        <v>535</v>
      </c>
      <c r="J2416" s="41" t="s">
        <v>188</v>
      </c>
      <c r="K2416" s="41" t="s">
        <v>1611</v>
      </c>
      <c r="L2416" s="42"/>
    </row>
    <row r="2417">
      <c r="A2417" s="18">
        <v>2416.0</v>
      </c>
      <c r="B2417" s="64" t="s">
        <v>4084</v>
      </c>
      <c r="C2417" s="40" t="s">
        <v>4103</v>
      </c>
      <c r="D2417" s="41"/>
      <c r="E2417" s="41" t="s">
        <v>197</v>
      </c>
      <c r="F2417" s="18" t="str">
        <f>IFERROR(__xludf.DUMMYFUNCTION("if(REGEXMATCH(C2417,""x.com"")=TRUE,""Twitter"",if(REGEXMATCH(C2417,""facebook"")=TRUE,""Facebook"",if(REGEXMATCH(C2417,""instagram"")=TRUE,""Instagram"",if(REGEXMATCH(C2417,""youtube"")=TRUE,""Youtube"",if(REGEXMATCH(C2417,""tiktok"")=TRUE,""Tiktok"",if("&amp;"REGEXMATCH(C2417,""threads"")=TRUE,""Threads""))))))"),"Facebook")</f>
        <v>Facebook</v>
      </c>
      <c r="G2417" s="41" t="s">
        <v>4104</v>
      </c>
      <c r="H2417" s="52" t="s">
        <v>1782</v>
      </c>
      <c r="I2417" s="52" t="s">
        <v>535</v>
      </c>
      <c r="J2417" s="41" t="s">
        <v>188</v>
      </c>
      <c r="K2417" s="41"/>
      <c r="L2417" s="42"/>
    </row>
    <row r="2418">
      <c r="A2418" s="18">
        <v>2417.0</v>
      </c>
      <c r="B2418" s="64" t="s">
        <v>4084</v>
      </c>
      <c r="C2418" s="40" t="s">
        <v>4105</v>
      </c>
      <c r="D2418" s="41"/>
      <c r="E2418" s="41" t="s">
        <v>197</v>
      </c>
      <c r="F2418" s="18" t="str">
        <f>IFERROR(__xludf.DUMMYFUNCTION("if(REGEXMATCH(C2418,""x.com"")=TRUE,""Twitter"",if(REGEXMATCH(C2418,""facebook"")=TRUE,""Facebook"",if(REGEXMATCH(C2418,""instagram"")=TRUE,""Instagram"",if(REGEXMATCH(C2418,""youtube"")=TRUE,""Youtube"",if(REGEXMATCH(C2418,""tiktok"")=TRUE,""Tiktok"",if("&amp;"REGEXMATCH(C2418,""threads"")=TRUE,""Threads""))))))"),"Facebook")</f>
        <v>Facebook</v>
      </c>
      <c r="G2418" s="41" t="s">
        <v>4106</v>
      </c>
      <c r="H2418" s="52" t="s">
        <v>1782</v>
      </c>
      <c r="I2418" s="52" t="s">
        <v>535</v>
      </c>
      <c r="J2418" s="41" t="s">
        <v>188</v>
      </c>
      <c r="K2418" s="41"/>
      <c r="L2418" s="42"/>
    </row>
    <row r="2419">
      <c r="A2419" s="18">
        <v>2418.0</v>
      </c>
      <c r="B2419" s="64" t="s">
        <v>4084</v>
      </c>
      <c r="C2419" s="40" t="s">
        <v>4107</v>
      </c>
      <c r="D2419" s="41"/>
      <c r="E2419" s="41" t="s">
        <v>222</v>
      </c>
      <c r="F2419" s="18" t="str">
        <f>IFERROR(__xludf.DUMMYFUNCTION("if(REGEXMATCH(C2419,""x.com"")=TRUE,""Twitter"",if(REGEXMATCH(C2419,""facebook"")=TRUE,""Facebook"",if(REGEXMATCH(C2419,""instagram"")=TRUE,""Instagram"",if(REGEXMATCH(C2419,""youtube"")=TRUE,""Youtube"",if(REGEXMATCH(C2419,""tiktok"")=TRUE,""Tiktok"",if("&amp;"REGEXMATCH(C2419,""threads"")=TRUE,""Threads""))))))"),"Facebook")</f>
        <v>Facebook</v>
      </c>
      <c r="G2419" s="41" t="s">
        <v>4108</v>
      </c>
      <c r="H2419" s="52" t="s">
        <v>1782</v>
      </c>
      <c r="I2419" s="52" t="s">
        <v>535</v>
      </c>
      <c r="J2419" s="41" t="s">
        <v>188</v>
      </c>
      <c r="K2419" s="41"/>
      <c r="L2419" s="42"/>
    </row>
    <row r="2420">
      <c r="A2420" s="18">
        <v>2419.0</v>
      </c>
      <c r="B2420" s="64" t="s">
        <v>4084</v>
      </c>
      <c r="C2420" s="40" t="s">
        <v>4109</v>
      </c>
      <c r="D2420" s="41"/>
      <c r="E2420" s="41" t="s">
        <v>197</v>
      </c>
      <c r="F2420" s="18" t="str">
        <f>IFERROR(__xludf.DUMMYFUNCTION("if(REGEXMATCH(C2420,""x.com"")=TRUE,""Twitter"",if(REGEXMATCH(C2420,""facebook"")=TRUE,""Facebook"",if(REGEXMATCH(C2420,""instagram"")=TRUE,""Instagram"",if(REGEXMATCH(C2420,""youtube"")=TRUE,""Youtube"",if(REGEXMATCH(C2420,""tiktok"")=TRUE,""Tiktok"",if("&amp;"REGEXMATCH(C2420,""threads"")=TRUE,""Threads""))))))"),"Facebook")</f>
        <v>Facebook</v>
      </c>
      <c r="G2420" s="41" t="s">
        <v>4110</v>
      </c>
      <c r="H2420" s="52" t="s">
        <v>1782</v>
      </c>
      <c r="I2420" s="52" t="s">
        <v>535</v>
      </c>
      <c r="J2420" s="41" t="s">
        <v>188</v>
      </c>
      <c r="K2420" s="41"/>
      <c r="L2420" s="42"/>
    </row>
    <row r="2421">
      <c r="A2421" s="18">
        <v>2420.0</v>
      </c>
      <c r="B2421" s="64" t="s">
        <v>4084</v>
      </c>
      <c r="C2421" s="46" t="s">
        <v>4111</v>
      </c>
      <c r="D2421" s="41"/>
      <c r="E2421" s="41" t="s">
        <v>401</v>
      </c>
      <c r="F2421" s="18" t="str">
        <f>IFERROR(__xludf.DUMMYFUNCTION("if(REGEXMATCH(C2421,""x.com"")=TRUE,""Twitter"",if(REGEXMATCH(C2421,""facebook"")=TRUE,""Facebook"",if(REGEXMATCH(C2421,""instagram"")=TRUE,""Instagram"",if(REGEXMATCH(C2421,""youtube"")=TRUE,""Youtube"",if(REGEXMATCH(C2421,""tiktok"")=TRUE,""Tiktok"",if("&amp;"REGEXMATCH(C2421,""threads"")=TRUE,""Threads""))))))"),"Facebook")</f>
        <v>Facebook</v>
      </c>
      <c r="G2421" s="41" t="s">
        <v>937</v>
      </c>
      <c r="H2421" s="41" t="s">
        <v>1542</v>
      </c>
      <c r="I2421" s="41" t="s">
        <v>939</v>
      </c>
      <c r="J2421" s="41"/>
      <c r="K2421" s="41"/>
      <c r="L2421" s="42"/>
    </row>
    <row r="2422">
      <c r="A2422" s="18">
        <v>2421.0</v>
      </c>
      <c r="B2422" s="64" t="s">
        <v>4084</v>
      </c>
      <c r="C2422" s="46" t="s">
        <v>4112</v>
      </c>
      <c r="D2422" s="41"/>
      <c r="E2422" s="41" t="s">
        <v>401</v>
      </c>
      <c r="F2422" s="18" t="str">
        <f>IFERROR(__xludf.DUMMYFUNCTION("if(REGEXMATCH(C2422,""x.com"")=TRUE,""Twitter"",if(REGEXMATCH(C2422,""facebook"")=TRUE,""Facebook"",if(REGEXMATCH(C2422,""instagram"")=TRUE,""Instagram"",if(REGEXMATCH(C2422,""youtube"")=TRUE,""Youtube"",if(REGEXMATCH(C2422,""tiktok"")=TRUE,""Tiktok"",if("&amp;"REGEXMATCH(C2422,""threads"")=TRUE,""Threads""))))))"),"Facebook")</f>
        <v>Facebook</v>
      </c>
      <c r="G2422" s="41" t="s">
        <v>937</v>
      </c>
      <c r="H2422" s="41" t="s">
        <v>1542</v>
      </c>
      <c r="I2422" s="41" t="s">
        <v>939</v>
      </c>
      <c r="J2422" s="41"/>
      <c r="K2422" s="41"/>
      <c r="L2422" s="42"/>
    </row>
    <row r="2423">
      <c r="A2423" s="18">
        <v>2422.0</v>
      </c>
      <c r="B2423" s="64" t="s">
        <v>4084</v>
      </c>
      <c r="C2423" s="46" t="s">
        <v>4113</v>
      </c>
      <c r="D2423" s="41"/>
      <c r="E2423" s="41" t="s">
        <v>401</v>
      </c>
      <c r="F2423" s="18" t="str">
        <f>IFERROR(__xludf.DUMMYFUNCTION("if(REGEXMATCH(C2423,""x.com"")=TRUE,""Twitter"",if(REGEXMATCH(C2423,""facebook"")=TRUE,""Facebook"",if(REGEXMATCH(C2423,""instagram"")=TRUE,""Instagram"",if(REGEXMATCH(C2423,""youtube"")=TRUE,""Youtube"",if(REGEXMATCH(C2423,""tiktok"")=TRUE,""Tiktok"",if("&amp;"REGEXMATCH(C2423,""threads"")=TRUE,""Threads""))))))"),"Facebook")</f>
        <v>Facebook</v>
      </c>
      <c r="G2423" s="41" t="s">
        <v>937</v>
      </c>
      <c r="H2423" s="41" t="s">
        <v>1542</v>
      </c>
      <c r="I2423" s="41" t="s">
        <v>939</v>
      </c>
      <c r="J2423" s="41"/>
      <c r="K2423" s="41"/>
      <c r="L2423" s="42"/>
    </row>
    <row r="2424">
      <c r="A2424" s="18">
        <v>2423.0</v>
      </c>
      <c r="B2424" s="64" t="s">
        <v>4084</v>
      </c>
      <c r="C2424" s="46" t="s">
        <v>4114</v>
      </c>
      <c r="D2424" s="41"/>
      <c r="E2424" s="41" t="s">
        <v>401</v>
      </c>
      <c r="F2424" s="18" t="str">
        <f>IFERROR(__xludf.DUMMYFUNCTION("if(REGEXMATCH(C2424,""x.com"")=TRUE,""Twitter"",if(REGEXMATCH(C2424,""facebook"")=TRUE,""Facebook"",if(REGEXMATCH(C2424,""instagram"")=TRUE,""Instagram"",if(REGEXMATCH(C2424,""youtube"")=TRUE,""Youtube"",if(REGEXMATCH(C2424,""tiktok"")=TRUE,""Tiktok"",if("&amp;"REGEXMATCH(C2424,""threads"")=TRUE,""Threads""))))))"),"Facebook")</f>
        <v>Facebook</v>
      </c>
      <c r="G2424" s="41" t="s">
        <v>937</v>
      </c>
      <c r="H2424" s="41" t="s">
        <v>1542</v>
      </c>
      <c r="I2424" s="41" t="s">
        <v>939</v>
      </c>
      <c r="J2424" s="41"/>
      <c r="K2424" s="41"/>
      <c r="L2424" s="42"/>
    </row>
    <row r="2425">
      <c r="A2425" s="18">
        <v>2424.0</v>
      </c>
      <c r="B2425" s="64" t="s">
        <v>4084</v>
      </c>
      <c r="C2425" s="44" t="s">
        <v>4115</v>
      </c>
      <c r="D2425" s="41"/>
      <c r="E2425" s="72" t="s">
        <v>184</v>
      </c>
      <c r="F2425" s="41" t="s">
        <v>622</v>
      </c>
      <c r="G2425" s="41" t="s">
        <v>4116</v>
      </c>
      <c r="H2425" s="41"/>
      <c r="I2425" s="41"/>
      <c r="J2425" s="52" t="s">
        <v>188</v>
      </c>
      <c r="K2425" s="41"/>
      <c r="L2425" s="42"/>
    </row>
    <row r="2426">
      <c r="A2426" s="18">
        <v>2425.0</v>
      </c>
      <c r="B2426" s="64" t="s">
        <v>4084</v>
      </c>
      <c r="C2426" s="44" t="s">
        <v>4117</v>
      </c>
      <c r="D2426" s="41"/>
      <c r="E2426" s="72" t="s">
        <v>184</v>
      </c>
      <c r="F2426" s="41" t="s">
        <v>622</v>
      </c>
      <c r="G2426" s="41" t="s">
        <v>4116</v>
      </c>
      <c r="H2426" s="41"/>
      <c r="I2426" s="41"/>
      <c r="J2426" s="52" t="s">
        <v>188</v>
      </c>
      <c r="K2426" s="41"/>
      <c r="L2426" s="42"/>
    </row>
    <row r="2427">
      <c r="A2427" s="18">
        <v>2426.0</v>
      </c>
      <c r="B2427" s="64" t="s">
        <v>4084</v>
      </c>
      <c r="C2427" s="44" t="s">
        <v>4118</v>
      </c>
      <c r="D2427" s="41"/>
      <c r="E2427" s="72" t="s">
        <v>184</v>
      </c>
      <c r="F2427" s="41" t="s">
        <v>622</v>
      </c>
      <c r="G2427" s="41" t="s">
        <v>4116</v>
      </c>
      <c r="H2427" s="41"/>
      <c r="I2427" s="41"/>
      <c r="J2427" s="52" t="s">
        <v>188</v>
      </c>
      <c r="K2427" s="41"/>
      <c r="L2427" s="42"/>
    </row>
    <row r="2428">
      <c r="A2428" s="18">
        <v>2427.0</v>
      </c>
      <c r="B2428" s="64" t="s">
        <v>4084</v>
      </c>
      <c r="C2428" s="40" t="s">
        <v>4119</v>
      </c>
      <c r="D2428" s="41"/>
      <c r="E2428" s="72" t="s">
        <v>184</v>
      </c>
      <c r="F2428" s="41" t="s">
        <v>622</v>
      </c>
      <c r="G2428" s="41" t="s">
        <v>4116</v>
      </c>
      <c r="H2428" s="41"/>
      <c r="I2428" s="41"/>
      <c r="J2428" s="41"/>
      <c r="K2428" s="41"/>
      <c r="L2428" s="42"/>
    </row>
    <row r="2429">
      <c r="A2429" s="18">
        <v>2428.0</v>
      </c>
      <c r="B2429" s="64" t="s">
        <v>4084</v>
      </c>
      <c r="C2429" s="40" t="s">
        <v>4120</v>
      </c>
      <c r="D2429" s="41"/>
      <c r="E2429" s="72" t="s">
        <v>184</v>
      </c>
      <c r="F2429" s="41" t="s">
        <v>622</v>
      </c>
      <c r="G2429" s="41" t="s">
        <v>4116</v>
      </c>
      <c r="H2429" s="41"/>
      <c r="I2429" s="41"/>
      <c r="J2429" s="41"/>
      <c r="K2429" s="41"/>
      <c r="L2429" s="42"/>
    </row>
    <row r="2430">
      <c r="A2430" s="18">
        <v>2429.0</v>
      </c>
      <c r="B2430" s="64" t="s">
        <v>4084</v>
      </c>
      <c r="C2430" s="40" t="s">
        <v>4121</v>
      </c>
      <c r="D2430" s="41"/>
      <c r="E2430" s="72" t="s">
        <v>184</v>
      </c>
      <c r="F2430" s="41" t="s">
        <v>622</v>
      </c>
      <c r="G2430" s="41" t="s">
        <v>4116</v>
      </c>
      <c r="H2430" s="41"/>
      <c r="I2430" s="41"/>
      <c r="J2430" s="41"/>
      <c r="K2430" s="41"/>
      <c r="L2430" s="42"/>
    </row>
    <row r="2431">
      <c r="A2431" s="18">
        <v>2430.0</v>
      </c>
      <c r="B2431" s="64" t="s">
        <v>4084</v>
      </c>
      <c r="C2431" s="40" t="s">
        <v>4122</v>
      </c>
      <c r="D2431" s="41"/>
      <c r="E2431" s="72" t="s">
        <v>184</v>
      </c>
      <c r="F2431" s="41" t="s">
        <v>686</v>
      </c>
      <c r="G2431" s="41" t="s">
        <v>4116</v>
      </c>
      <c r="H2431" s="41"/>
      <c r="I2431" s="41"/>
      <c r="J2431" s="41"/>
      <c r="K2431" s="41"/>
      <c r="L2431" s="42"/>
    </row>
    <row r="2432">
      <c r="A2432" s="18">
        <v>2431.0</v>
      </c>
      <c r="B2432" s="64" t="s">
        <v>4084</v>
      </c>
      <c r="C2432" s="40" t="s">
        <v>4123</v>
      </c>
      <c r="D2432" s="41"/>
      <c r="E2432" s="72" t="s">
        <v>184</v>
      </c>
      <c r="F2432" s="41" t="s">
        <v>686</v>
      </c>
      <c r="G2432" s="41" t="s">
        <v>4116</v>
      </c>
      <c r="H2432" s="41"/>
      <c r="I2432" s="41"/>
      <c r="J2432" s="41"/>
      <c r="K2432" s="41"/>
      <c r="L2432" s="42"/>
    </row>
    <row r="2433">
      <c r="A2433" s="18">
        <v>2432.0</v>
      </c>
      <c r="B2433" s="64" t="s">
        <v>4084</v>
      </c>
      <c r="C2433" s="40" t="s">
        <v>4124</v>
      </c>
      <c r="D2433" s="41"/>
      <c r="E2433" s="72" t="s">
        <v>184</v>
      </c>
      <c r="F2433" s="41" t="s">
        <v>686</v>
      </c>
      <c r="G2433" s="41" t="s">
        <v>4116</v>
      </c>
      <c r="H2433" s="41"/>
      <c r="I2433" s="41"/>
      <c r="J2433" s="41"/>
      <c r="K2433" s="41"/>
      <c r="L2433" s="42"/>
    </row>
    <row r="2434">
      <c r="A2434" s="18">
        <v>2433.0</v>
      </c>
      <c r="B2434" s="64" t="s">
        <v>4084</v>
      </c>
      <c r="C2434" s="40" t="s">
        <v>4125</v>
      </c>
      <c r="D2434" s="41"/>
      <c r="E2434" s="72" t="s">
        <v>184</v>
      </c>
      <c r="F2434" s="41" t="s">
        <v>686</v>
      </c>
      <c r="G2434" s="41" t="s">
        <v>4116</v>
      </c>
      <c r="H2434" s="41"/>
      <c r="I2434" s="41"/>
      <c r="J2434" s="41"/>
      <c r="K2434" s="41"/>
      <c r="L2434" s="42"/>
    </row>
    <row r="2435">
      <c r="A2435" s="18">
        <v>2434.0</v>
      </c>
      <c r="B2435" s="64" t="s">
        <v>4084</v>
      </c>
      <c r="C2435" s="40" t="s">
        <v>4126</v>
      </c>
      <c r="D2435" s="41"/>
      <c r="E2435" s="72" t="s">
        <v>184</v>
      </c>
      <c r="F2435" s="41" t="s">
        <v>686</v>
      </c>
      <c r="G2435" s="41" t="s">
        <v>4116</v>
      </c>
      <c r="H2435" s="41"/>
      <c r="I2435" s="41"/>
      <c r="J2435" s="41"/>
      <c r="K2435" s="41"/>
      <c r="L2435" s="42"/>
    </row>
    <row r="2436">
      <c r="A2436" s="18">
        <v>2435.0</v>
      </c>
      <c r="B2436" s="64" t="s">
        <v>4084</v>
      </c>
      <c r="C2436" s="40" t="s">
        <v>4127</v>
      </c>
      <c r="D2436" s="41"/>
      <c r="E2436" s="72" t="s">
        <v>184</v>
      </c>
      <c r="F2436" s="41" t="s">
        <v>686</v>
      </c>
      <c r="G2436" s="41" t="s">
        <v>4116</v>
      </c>
      <c r="H2436" s="41"/>
      <c r="I2436" s="41"/>
      <c r="J2436" s="41"/>
      <c r="K2436" s="41"/>
      <c r="L2436" s="42"/>
    </row>
    <row r="2437">
      <c r="A2437" s="18">
        <v>2436.0</v>
      </c>
      <c r="B2437" s="64" t="s">
        <v>4084</v>
      </c>
      <c r="C2437" s="40" t="s">
        <v>4128</v>
      </c>
      <c r="D2437" s="41"/>
      <c r="E2437" s="72" t="s">
        <v>184</v>
      </c>
      <c r="F2437" s="41" t="s">
        <v>686</v>
      </c>
      <c r="G2437" s="41" t="s">
        <v>4116</v>
      </c>
      <c r="H2437" s="41"/>
      <c r="I2437" s="41"/>
      <c r="J2437" s="41"/>
      <c r="K2437" s="41"/>
      <c r="L2437" s="42"/>
    </row>
    <row r="2438">
      <c r="A2438" s="18">
        <v>2437.0</v>
      </c>
      <c r="B2438" s="64" t="s">
        <v>4084</v>
      </c>
      <c r="C2438" s="40" t="s">
        <v>4129</v>
      </c>
      <c r="D2438" s="41"/>
      <c r="E2438" s="72" t="s">
        <v>184</v>
      </c>
      <c r="F2438" s="41" t="s">
        <v>686</v>
      </c>
      <c r="G2438" s="41" t="s">
        <v>4116</v>
      </c>
      <c r="H2438" s="41"/>
      <c r="I2438" s="41"/>
      <c r="J2438" s="41"/>
      <c r="K2438" s="41"/>
      <c r="L2438" s="42"/>
    </row>
    <row r="2439">
      <c r="A2439" s="18">
        <v>2438.0</v>
      </c>
      <c r="B2439" s="64" t="s">
        <v>4084</v>
      </c>
      <c r="C2439" s="40" t="s">
        <v>4130</v>
      </c>
      <c r="D2439" s="41"/>
      <c r="E2439" s="72" t="s">
        <v>184</v>
      </c>
      <c r="F2439" s="41" t="s">
        <v>686</v>
      </c>
      <c r="G2439" s="41" t="s">
        <v>4116</v>
      </c>
      <c r="H2439" s="41"/>
      <c r="I2439" s="41"/>
      <c r="J2439" s="41"/>
      <c r="K2439" s="41"/>
      <c r="L2439" s="42"/>
    </row>
    <row r="2440">
      <c r="A2440" s="18">
        <v>2439.0</v>
      </c>
      <c r="B2440" s="64" t="s">
        <v>4131</v>
      </c>
      <c r="C2440" s="40" t="s">
        <v>4132</v>
      </c>
      <c r="D2440" s="41"/>
      <c r="E2440" s="41" t="s">
        <v>557</v>
      </c>
      <c r="F2440" s="18" t="str">
        <f>IFERROR(__xludf.DUMMYFUNCTION("if(REGEXMATCH(C2440,""x.com"")=TRUE,""Twitter"",if(REGEXMATCH(C2440,""facebook"")=TRUE,""Facebook"",if(REGEXMATCH(C2440,""instagram"")=TRUE,""Instagram"",if(REGEXMATCH(C2440,""youtube"")=TRUE,""Youtube"",if(REGEXMATCH(C2440,""tiktok"")=TRUE,""Tiktok"",if("&amp;"REGEXMATCH(C2440,""threads"")=TRUE,""Threads""))))))"),"Tiktok")</f>
        <v>Tiktok</v>
      </c>
      <c r="G2440" s="41" t="s">
        <v>4133</v>
      </c>
      <c r="H2440" s="52" t="s">
        <v>779</v>
      </c>
      <c r="I2440" s="52" t="s">
        <v>535</v>
      </c>
      <c r="J2440" s="41" t="s">
        <v>188</v>
      </c>
      <c r="K2440" s="41" t="s">
        <v>1611</v>
      </c>
      <c r="L2440" s="42"/>
    </row>
    <row r="2441">
      <c r="A2441" s="18">
        <v>2440.0</v>
      </c>
      <c r="B2441" s="64" t="s">
        <v>4131</v>
      </c>
      <c r="C2441" s="40" t="s">
        <v>4134</v>
      </c>
      <c r="D2441" s="41"/>
      <c r="E2441" s="41" t="s">
        <v>557</v>
      </c>
      <c r="F2441" s="18" t="str">
        <f>IFERROR(__xludf.DUMMYFUNCTION("if(REGEXMATCH(C2441,""x.com"")=TRUE,""Twitter"",if(REGEXMATCH(C2441,""facebook"")=TRUE,""Facebook"",if(REGEXMATCH(C2441,""instagram"")=TRUE,""Instagram"",if(REGEXMATCH(C2441,""youtube"")=TRUE,""Youtube"",if(REGEXMATCH(C2441,""tiktok"")=TRUE,""Tiktok"",if("&amp;"REGEXMATCH(C2441,""threads"")=TRUE,""Threads""))))))"),"Tiktok")</f>
        <v>Tiktok</v>
      </c>
      <c r="G2441" s="41" t="s">
        <v>4135</v>
      </c>
      <c r="H2441" s="52" t="s">
        <v>779</v>
      </c>
      <c r="I2441" s="52" t="s">
        <v>535</v>
      </c>
      <c r="J2441" s="41" t="s">
        <v>188</v>
      </c>
      <c r="K2441" s="41" t="s">
        <v>1611</v>
      </c>
      <c r="L2441" s="42"/>
    </row>
    <row r="2442">
      <c r="A2442" s="18">
        <v>2441.0</v>
      </c>
      <c r="B2442" s="64" t="s">
        <v>4131</v>
      </c>
      <c r="C2442" s="40" t="s">
        <v>4136</v>
      </c>
      <c r="D2442" s="41"/>
      <c r="E2442" s="41" t="s">
        <v>197</v>
      </c>
      <c r="F2442" s="18" t="str">
        <f>IFERROR(__xludf.DUMMYFUNCTION("if(REGEXMATCH(C2442,""x.com"")=TRUE,""Twitter"",if(REGEXMATCH(C2442,""facebook"")=TRUE,""Facebook"",if(REGEXMATCH(C2442,""instagram"")=TRUE,""Instagram"",if(REGEXMATCH(C2442,""youtube"")=TRUE,""Youtube"",if(REGEXMATCH(C2442,""tiktok"")=TRUE,""Tiktok"",if("&amp;"REGEXMATCH(C2442,""threads"")=TRUE,""Threads""))))))"),"Tiktok")</f>
        <v>Tiktok</v>
      </c>
      <c r="G2442" s="41" t="s">
        <v>4137</v>
      </c>
      <c r="H2442" s="52" t="s">
        <v>779</v>
      </c>
      <c r="I2442" s="52" t="s">
        <v>535</v>
      </c>
      <c r="J2442" s="41" t="s">
        <v>188</v>
      </c>
      <c r="K2442" s="41" t="s">
        <v>1611</v>
      </c>
      <c r="L2442" s="42"/>
    </row>
    <row r="2443">
      <c r="A2443" s="18">
        <v>2442.0</v>
      </c>
      <c r="B2443" s="64" t="s">
        <v>4131</v>
      </c>
      <c r="C2443" s="40" t="s">
        <v>4138</v>
      </c>
      <c r="D2443" s="41"/>
      <c r="E2443" s="41" t="s">
        <v>197</v>
      </c>
      <c r="F2443" s="18" t="str">
        <f>IFERROR(__xludf.DUMMYFUNCTION("if(REGEXMATCH(C2443,""x.com"")=TRUE,""Twitter"",if(REGEXMATCH(C2443,""facebook"")=TRUE,""Facebook"",if(REGEXMATCH(C2443,""instagram"")=TRUE,""Instagram"",if(REGEXMATCH(C2443,""youtube"")=TRUE,""Youtube"",if(REGEXMATCH(C2443,""tiktok"")=TRUE,""Tiktok"",if("&amp;"REGEXMATCH(C2443,""threads"")=TRUE,""Threads""))))))"),"Tiktok")</f>
        <v>Tiktok</v>
      </c>
      <c r="G2443" s="41" t="s">
        <v>4139</v>
      </c>
      <c r="H2443" s="52" t="s">
        <v>779</v>
      </c>
      <c r="I2443" s="52" t="s">
        <v>535</v>
      </c>
      <c r="J2443" s="41" t="s">
        <v>188</v>
      </c>
      <c r="K2443" s="41" t="s">
        <v>1611</v>
      </c>
      <c r="L2443" s="42"/>
    </row>
    <row r="2444">
      <c r="A2444" s="18">
        <v>2443.0</v>
      </c>
      <c r="B2444" s="64" t="s">
        <v>4131</v>
      </c>
      <c r="C2444" s="40" t="s">
        <v>4140</v>
      </c>
      <c r="D2444" s="41"/>
      <c r="E2444" s="41" t="s">
        <v>557</v>
      </c>
      <c r="F2444" s="18" t="str">
        <f>IFERROR(__xludf.DUMMYFUNCTION("if(REGEXMATCH(C2444,""x.com"")=TRUE,""Twitter"",if(REGEXMATCH(C2444,""facebook"")=TRUE,""Facebook"",if(REGEXMATCH(C2444,""instagram"")=TRUE,""Instagram"",if(REGEXMATCH(C2444,""youtube"")=TRUE,""Youtube"",if(REGEXMATCH(C2444,""tiktok"")=TRUE,""Tiktok"",if("&amp;"REGEXMATCH(C2444,""threads"")=TRUE,""Threads""))))))"),"Facebook")</f>
        <v>Facebook</v>
      </c>
      <c r="G2444" s="41" t="s">
        <v>4141</v>
      </c>
      <c r="H2444" s="52" t="s">
        <v>779</v>
      </c>
      <c r="I2444" s="52" t="s">
        <v>535</v>
      </c>
      <c r="J2444" s="41" t="s">
        <v>188</v>
      </c>
      <c r="K2444" s="41" t="s">
        <v>1611</v>
      </c>
      <c r="L2444" s="42"/>
    </row>
    <row r="2445">
      <c r="A2445" s="18">
        <v>2444.0</v>
      </c>
      <c r="B2445" s="64" t="s">
        <v>4131</v>
      </c>
      <c r="C2445" s="40" t="s">
        <v>4142</v>
      </c>
      <c r="D2445" s="41"/>
      <c r="E2445" s="41" t="s">
        <v>197</v>
      </c>
      <c r="F2445" s="18" t="str">
        <f>IFERROR(__xludf.DUMMYFUNCTION("if(REGEXMATCH(C2445,""x.com"")=TRUE,""Twitter"",if(REGEXMATCH(C2445,""facebook"")=TRUE,""Facebook"",if(REGEXMATCH(C2445,""instagram"")=TRUE,""Instagram"",if(REGEXMATCH(C2445,""youtube"")=TRUE,""Youtube"",if(REGEXMATCH(C2445,""tiktok"")=TRUE,""Tiktok"",if("&amp;"REGEXMATCH(C2445,""threads"")=TRUE,""Threads""))))))"),"Facebook")</f>
        <v>Facebook</v>
      </c>
      <c r="G2445" s="41" t="s">
        <v>4143</v>
      </c>
      <c r="H2445" s="52" t="s">
        <v>779</v>
      </c>
      <c r="I2445" s="52" t="s">
        <v>535</v>
      </c>
      <c r="J2445" s="41" t="s">
        <v>188</v>
      </c>
      <c r="K2445" s="41" t="s">
        <v>1611</v>
      </c>
      <c r="L2445" s="42"/>
    </row>
    <row r="2446">
      <c r="A2446" s="18">
        <v>2445.0</v>
      </c>
      <c r="B2446" s="64" t="s">
        <v>4131</v>
      </c>
      <c r="C2446" s="40" t="s">
        <v>4144</v>
      </c>
      <c r="D2446" s="41"/>
      <c r="E2446" s="41" t="s">
        <v>230</v>
      </c>
      <c r="F2446" s="18" t="str">
        <f>IFERROR(__xludf.DUMMYFUNCTION("if(REGEXMATCH(C2446,""x.com"")=TRUE,""Twitter"",if(REGEXMATCH(C2446,""facebook"")=TRUE,""Facebook"",if(REGEXMATCH(C2446,""instagram"")=TRUE,""Instagram"",if(REGEXMATCH(C2446,""youtube"")=TRUE,""Youtube"",if(REGEXMATCH(C2446,""tiktok"")=TRUE,""Tiktok"",if("&amp;"REGEXMATCH(C2446,""threads"")=TRUE,""Threads""))))))"),"Twitter")</f>
        <v>Twitter</v>
      </c>
      <c r="G2446" s="41" t="s">
        <v>4145</v>
      </c>
      <c r="H2446" s="52" t="s">
        <v>779</v>
      </c>
      <c r="I2446" s="52" t="s">
        <v>535</v>
      </c>
      <c r="J2446" s="41" t="s">
        <v>188</v>
      </c>
      <c r="K2446" s="41" t="s">
        <v>1611</v>
      </c>
      <c r="L2446" s="42"/>
    </row>
    <row r="2447">
      <c r="A2447" s="18">
        <v>2446.0</v>
      </c>
      <c r="B2447" s="64" t="s">
        <v>4131</v>
      </c>
      <c r="C2447" s="40" t="s">
        <v>4146</v>
      </c>
      <c r="D2447" s="41"/>
      <c r="E2447" s="41" t="s">
        <v>197</v>
      </c>
      <c r="F2447" s="18" t="str">
        <f>IFERROR(__xludf.DUMMYFUNCTION("if(REGEXMATCH(C2447,""x.com"")=TRUE,""Twitter"",if(REGEXMATCH(C2447,""facebook"")=TRUE,""Facebook"",if(REGEXMATCH(C2447,""instagram"")=TRUE,""Instagram"",if(REGEXMATCH(C2447,""youtube"")=TRUE,""Youtube"",if(REGEXMATCH(C2447,""tiktok"")=TRUE,""Tiktok"",if("&amp;"REGEXMATCH(C2447,""threads"")=TRUE,""Threads""))))))"),"Twitter")</f>
        <v>Twitter</v>
      </c>
      <c r="G2447" s="41" t="s">
        <v>4147</v>
      </c>
      <c r="H2447" s="52" t="s">
        <v>779</v>
      </c>
      <c r="I2447" s="52" t="s">
        <v>535</v>
      </c>
      <c r="J2447" s="41" t="s">
        <v>188</v>
      </c>
      <c r="K2447" s="41" t="s">
        <v>1611</v>
      </c>
      <c r="L2447" s="42"/>
    </row>
    <row r="2448">
      <c r="A2448" s="18">
        <v>2447.0</v>
      </c>
      <c r="B2448" s="64" t="s">
        <v>4131</v>
      </c>
      <c r="C2448" s="40" t="s">
        <v>4148</v>
      </c>
      <c r="D2448" s="41"/>
      <c r="E2448" s="41" t="s">
        <v>197</v>
      </c>
      <c r="F2448" s="18" t="str">
        <f>IFERROR(__xludf.DUMMYFUNCTION("if(REGEXMATCH(C2448,""x.com"")=TRUE,""Twitter"",if(REGEXMATCH(C2448,""facebook"")=TRUE,""Facebook"",if(REGEXMATCH(C2448,""instagram"")=TRUE,""Instagram"",if(REGEXMATCH(C2448,""youtube"")=TRUE,""Youtube"",if(REGEXMATCH(C2448,""tiktok"")=TRUE,""Tiktok"",if("&amp;"REGEXMATCH(C2448,""threads"")=TRUE,""Threads""))))))"),"Twitter")</f>
        <v>Twitter</v>
      </c>
      <c r="G2448" s="41" t="s">
        <v>4149</v>
      </c>
      <c r="H2448" s="52" t="s">
        <v>779</v>
      </c>
      <c r="I2448" s="52" t="s">
        <v>535</v>
      </c>
      <c r="J2448" s="41" t="s">
        <v>188</v>
      </c>
      <c r="K2448" s="41"/>
      <c r="L2448" s="42"/>
    </row>
    <row r="2449">
      <c r="A2449" s="18">
        <v>2448.0</v>
      </c>
      <c r="B2449" s="64" t="s">
        <v>4131</v>
      </c>
      <c r="C2449" s="40" t="s">
        <v>4150</v>
      </c>
      <c r="D2449" s="41"/>
      <c r="E2449" s="41" t="s">
        <v>197</v>
      </c>
      <c r="F2449" s="18" t="str">
        <f>IFERROR(__xludf.DUMMYFUNCTION("if(REGEXMATCH(C2449,""x.com"")=TRUE,""Twitter"",if(REGEXMATCH(C2449,""facebook"")=TRUE,""Facebook"",if(REGEXMATCH(C2449,""instagram"")=TRUE,""Instagram"",if(REGEXMATCH(C2449,""youtube"")=TRUE,""Youtube"",if(REGEXMATCH(C2449,""tiktok"")=TRUE,""Tiktok"",if("&amp;"REGEXMATCH(C2449,""threads"")=TRUE,""Threads""))))))"),"Facebook")</f>
        <v>Facebook</v>
      </c>
      <c r="G2449" s="41" t="s">
        <v>4151</v>
      </c>
      <c r="H2449" s="52" t="s">
        <v>779</v>
      </c>
      <c r="I2449" s="52" t="s">
        <v>535</v>
      </c>
      <c r="J2449" s="41" t="s">
        <v>188</v>
      </c>
      <c r="K2449" s="41"/>
      <c r="L2449" s="42"/>
    </row>
    <row r="2450">
      <c r="A2450" s="18">
        <v>2449.0</v>
      </c>
      <c r="B2450" s="64" t="s">
        <v>4131</v>
      </c>
      <c r="C2450" s="40" t="s">
        <v>4152</v>
      </c>
      <c r="D2450" s="41"/>
      <c r="E2450" s="41" t="s">
        <v>197</v>
      </c>
      <c r="F2450" s="18" t="str">
        <f>IFERROR(__xludf.DUMMYFUNCTION("if(REGEXMATCH(C2450,""x.com"")=TRUE,""Twitter"",if(REGEXMATCH(C2450,""facebook"")=TRUE,""Facebook"",if(REGEXMATCH(C2450,""instagram"")=TRUE,""Instagram"",if(REGEXMATCH(C2450,""youtube"")=TRUE,""Youtube"",if(REGEXMATCH(C2450,""tiktok"")=TRUE,""Tiktok"",if("&amp;"REGEXMATCH(C2450,""threads"")=TRUE,""Threads""))))))"),"Facebook")</f>
        <v>Facebook</v>
      </c>
      <c r="G2450" s="41" t="s">
        <v>4153</v>
      </c>
      <c r="H2450" s="52" t="s">
        <v>779</v>
      </c>
      <c r="I2450" s="52" t="s">
        <v>535</v>
      </c>
      <c r="J2450" s="41" t="s">
        <v>188</v>
      </c>
      <c r="K2450" s="41"/>
      <c r="L2450" s="42"/>
    </row>
    <row r="2451">
      <c r="A2451" s="18">
        <v>2450.0</v>
      </c>
      <c r="B2451" s="64" t="s">
        <v>4131</v>
      </c>
      <c r="C2451" s="40" t="s">
        <v>4154</v>
      </c>
      <c r="D2451" s="41"/>
      <c r="E2451" s="41" t="s">
        <v>197</v>
      </c>
      <c r="F2451" s="18" t="str">
        <f>IFERROR(__xludf.DUMMYFUNCTION("if(REGEXMATCH(C2451,""x.com"")=TRUE,""Twitter"",if(REGEXMATCH(C2451,""facebook"")=TRUE,""Facebook"",if(REGEXMATCH(C2451,""instagram"")=TRUE,""Instagram"",if(REGEXMATCH(C2451,""youtube"")=TRUE,""Youtube"",if(REGEXMATCH(C2451,""tiktok"")=TRUE,""Tiktok"",if("&amp;"REGEXMATCH(C2451,""threads"")=TRUE,""Threads""))))))"),"Facebook")</f>
        <v>Facebook</v>
      </c>
      <c r="G2451" s="41" t="s">
        <v>4155</v>
      </c>
      <c r="H2451" s="52" t="s">
        <v>779</v>
      </c>
      <c r="I2451" s="52" t="s">
        <v>535</v>
      </c>
      <c r="J2451" s="41" t="s">
        <v>188</v>
      </c>
      <c r="K2451" s="41"/>
      <c r="L2451" s="42"/>
    </row>
    <row r="2452">
      <c r="A2452" s="18">
        <v>2451.0</v>
      </c>
      <c r="B2452" s="64" t="s">
        <v>4131</v>
      </c>
      <c r="C2452" s="40" t="s">
        <v>4156</v>
      </c>
      <c r="D2452" s="41"/>
      <c r="E2452" s="41" t="s">
        <v>197</v>
      </c>
      <c r="F2452" s="18" t="str">
        <f>IFERROR(__xludf.DUMMYFUNCTION("if(REGEXMATCH(C2452,""x.com"")=TRUE,""Twitter"",if(REGEXMATCH(C2452,""facebook"")=TRUE,""Facebook"",if(REGEXMATCH(C2452,""instagram"")=TRUE,""Instagram"",if(REGEXMATCH(C2452,""youtube"")=TRUE,""Youtube"",if(REGEXMATCH(C2452,""tiktok"")=TRUE,""Tiktok"",if("&amp;"REGEXMATCH(C2452,""threads"")=TRUE,""Threads""))))))"),"Facebook")</f>
        <v>Facebook</v>
      </c>
      <c r="G2452" s="41" t="s">
        <v>4157</v>
      </c>
      <c r="H2452" s="52" t="s">
        <v>779</v>
      </c>
      <c r="I2452" s="52" t="s">
        <v>535</v>
      </c>
      <c r="J2452" s="41" t="s">
        <v>188</v>
      </c>
      <c r="K2452" s="41"/>
      <c r="L2452" s="42"/>
    </row>
    <row r="2453">
      <c r="A2453" s="18">
        <v>2452.0</v>
      </c>
      <c r="B2453" s="64" t="s">
        <v>4131</v>
      </c>
      <c r="C2453" s="40" t="s">
        <v>4158</v>
      </c>
      <c r="D2453" s="41"/>
      <c r="E2453" s="41" t="s">
        <v>197</v>
      </c>
      <c r="F2453" s="18" t="str">
        <f>IFERROR(__xludf.DUMMYFUNCTION("if(REGEXMATCH(C2453,""x.com"")=TRUE,""Twitter"",if(REGEXMATCH(C2453,""facebook"")=TRUE,""Facebook"",if(REGEXMATCH(C2453,""instagram"")=TRUE,""Instagram"",if(REGEXMATCH(C2453,""youtube"")=TRUE,""Youtube"",if(REGEXMATCH(C2453,""tiktok"")=TRUE,""Tiktok"",if("&amp;"REGEXMATCH(C2453,""threads"")=TRUE,""Threads""))))))"),"Facebook")</f>
        <v>Facebook</v>
      </c>
      <c r="G2453" s="41" t="s">
        <v>4159</v>
      </c>
      <c r="H2453" s="52" t="s">
        <v>779</v>
      </c>
      <c r="I2453" s="52" t="s">
        <v>535</v>
      </c>
      <c r="J2453" s="41" t="s">
        <v>188</v>
      </c>
      <c r="K2453" s="41"/>
      <c r="L2453" s="42"/>
    </row>
    <row r="2454">
      <c r="A2454" s="18">
        <v>2453.0</v>
      </c>
      <c r="B2454" s="64" t="s">
        <v>4131</v>
      </c>
      <c r="C2454" s="40" t="s">
        <v>4160</v>
      </c>
      <c r="D2454" s="41"/>
      <c r="E2454" s="41" t="s">
        <v>197</v>
      </c>
      <c r="F2454" s="18" t="str">
        <f>IFERROR(__xludf.DUMMYFUNCTION("if(REGEXMATCH(C2454,""x.com"")=TRUE,""Twitter"",if(REGEXMATCH(C2454,""facebook"")=TRUE,""Facebook"",if(REGEXMATCH(C2454,""instagram"")=TRUE,""Instagram"",if(REGEXMATCH(C2454,""youtube"")=TRUE,""Youtube"",if(REGEXMATCH(C2454,""tiktok"")=TRUE,""Tiktok"",if("&amp;"REGEXMATCH(C2454,""threads"")=TRUE,""Threads""))))))"),"Facebook")</f>
        <v>Facebook</v>
      </c>
      <c r="G2454" s="41" t="s">
        <v>4161</v>
      </c>
      <c r="H2454" s="52" t="s">
        <v>779</v>
      </c>
      <c r="I2454" s="52" t="s">
        <v>535</v>
      </c>
      <c r="J2454" s="41" t="s">
        <v>188</v>
      </c>
      <c r="K2454" s="41"/>
      <c r="L2454" s="42"/>
    </row>
    <row r="2455">
      <c r="A2455" s="18">
        <v>2454.0</v>
      </c>
      <c r="B2455" s="64" t="s">
        <v>4131</v>
      </c>
      <c r="C2455" s="40" t="s">
        <v>4162</v>
      </c>
      <c r="D2455" s="41"/>
      <c r="E2455" s="41" t="s">
        <v>557</v>
      </c>
      <c r="F2455" s="18" t="str">
        <f>IFERROR(__xludf.DUMMYFUNCTION("if(REGEXMATCH(C2455,""x.com"")=TRUE,""Twitter"",if(REGEXMATCH(C2455,""facebook"")=TRUE,""Facebook"",if(REGEXMATCH(C2455,""instagram"")=TRUE,""Instagram"",if(REGEXMATCH(C2455,""youtube"")=TRUE,""Youtube"",if(REGEXMATCH(C2455,""tiktok"")=TRUE,""Tiktok"",if("&amp;"REGEXMATCH(C2455,""threads"")=TRUE,""Threads""))))))"),"Facebook")</f>
        <v>Facebook</v>
      </c>
      <c r="G2455" s="41" t="s">
        <v>4163</v>
      </c>
      <c r="H2455" s="52" t="s">
        <v>779</v>
      </c>
      <c r="I2455" s="52" t="s">
        <v>535</v>
      </c>
      <c r="J2455" s="41" t="s">
        <v>188</v>
      </c>
      <c r="K2455" s="41"/>
      <c r="L2455" s="42"/>
    </row>
    <row r="2456">
      <c r="A2456" s="18">
        <v>2455.0</v>
      </c>
      <c r="B2456" s="64" t="s">
        <v>4131</v>
      </c>
      <c r="C2456" s="40" t="s">
        <v>4164</v>
      </c>
      <c r="D2456" s="41"/>
      <c r="E2456" s="41" t="s">
        <v>557</v>
      </c>
      <c r="F2456" s="18" t="str">
        <f>IFERROR(__xludf.DUMMYFUNCTION("if(REGEXMATCH(C2456,""x.com"")=TRUE,""Twitter"",if(REGEXMATCH(C2456,""facebook"")=TRUE,""Facebook"",if(REGEXMATCH(C2456,""instagram"")=TRUE,""Instagram"",if(REGEXMATCH(C2456,""youtube"")=TRUE,""Youtube"",if(REGEXMATCH(C2456,""tiktok"")=TRUE,""Tiktok"",if("&amp;"REGEXMATCH(C2456,""threads"")=TRUE,""Threads""))))))"),"Facebook")</f>
        <v>Facebook</v>
      </c>
      <c r="G2456" s="41" t="s">
        <v>4165</v>
      </c>
      <c r="H2456" s="52" t="s">
        <v>779</v>
      </c>
      <c r="I2456" s="52" t="s">
        <v>535</v>
      </c>
      <c r="J2456" s="41" t="s">
        <v>188</v>
      </c>
      <c r="K2456" s="41"/>
      <c r="L2456" s="42"/>
    </row>
    <row r="2457">
      <c r="A2457" s="18">
        <v>2456.0</v>
      </c>
      <c r="B2457" s="64" t="s">
        <v>4131</v>
      </c>
      <c r="C2457" s="40" t="s">
        <v>4166</v>
      </c>
      <c r="D2457" s="41"/>
      <c r="E2457" s="41" t="s">
        <v>401</v>
      </c>
      <c r="F2457" s="18" t="str">
        <f>IFERROR(__xludf.DUMMYFUNCTION("if(REGEXMATCH(C2457,""x.com"")=TRUE,""Twitter"",if(REGEXMATCH(C2457,""facebook"")=TRUE,""Facebook"",if(REGEXMATCH(C2457,""instagram"")=TRUE,""Instagram"",if(REGEXMATCH(C2457,""youtube"")=TRUE,""Youtube"",if(REGEXMATCH(C2457,""tiktok"")=TRUE,""Tiktok"",if("&amp;"REGEXMATCH(C2457,""threads"")=TRUE,""Threads""))))))"),"Facebook")</f>
        <v>Facebook</v>
      </c>
      <c r="G2457" s="41" t="s">
        <v>937</v>
      </c>
      <c r="H2457" s="41" t="s">
        <v>1542</v>
      </c>
      <c r="I2457" s="41" t="s">
        <v>939</v>
      </c>
      <c r="J2457" s="41" t="s">
        <v>188</v>
      </c>
      <c r="K2457" s="41"/>
      <c r="L2457" s="42"/>
    </row>
    <row r="2458">
      <c r="A2458" s="18">
        <v>2457.0</v>
      </c>
      <c r="B2458" s="64" t="s">
        <v>4131</v>
      </c>
      <c r="C2458" s="40" t="s">
        <v>4167</v>
      </c>
      <c r="D2458" s="41"/>
      <c r="E2458" s="41" t="s">
        <v>401</v>
      </c>
      <c r="F2458" s="18" t="str">
        <f>IFERROR(__xludf.DUMMYFUNCTION("if(REGEXMATCH(C2458,""x.com"")=TRUE,""Twitter"",if(REGEXMATCH(C2458,""facebook"")=TRUE,""Facebook"",if(REGEXMATCH(C2458,""instagram"")=TRUE,""Instagram"",if(REGEXMATCH(C2458,""youtube"")=TRUE,""Youtube"",if(REGEXMATCH(C2458,""tiktok"")=TRUE,""Tiktok"",if("&amp;"REGEXMATCH(C2458,""threads"")=TRUE,""Threads""))))))"),"Facebook")</f>
        <v>Facebook</v>
      </c>
      <c r="G2458" s="41" t="s">
        <v>937</v>
      </c>
      <c r="H2458" s="41" t="s">
        <v>1542</v>
      </c>
      <c r="I2458" s="41" t="s">
        <v>939</v>
      </c>
      <c r="J2458" s="41" t="s">
        <v>188</v>
      </c>
      <c r="K2458" s="41"/>
      <c r="L2458" s="42"/>
    </row>
    <row r="2459">
      <c r="A2459" s="18">
        <v>2458.0</v>
      </c>
      <c r="B2459" s="64" t="s">
        <v>4131</v>
      </c>
      <c r="C2459" s="40" t="s">
        <v>4168</v>
      </c>
      <c r="D2459" s="41"/>
      <c r="E2459" s="41" t="s">
        <v>401</v>
      </c>
      <c r="F2459" s="18" t="str">
        <f>IFERROR(__xludf.DUMMYFUNCTION("if(REGEXMATCH(C2459,""x.com"")=TRUE,""Twitter"",if(REGEXMATCH(C2459,""facebook"")=TRUE,""Facebook"",if(REGEXMATCH(C2459,""instagram"")=TRUE,""Instagram"",if(REGEXMATCH(C2459,""youtube"")=TRUE,""Youtube"",if(REGEXMATCH(C2459,""tiktok"")=TRUE,""Tiktok"",if("&amp;"REGEXMATCH(C2459,""threads"")=TRUE,""Threads""))))))"),"Facebook")</f>
        <v>Facebook</v>
      </c>
      <c r="G2459" s="41" t="s">
        <v>937</v>
      </c>
      <c r="H2459" s="41" t="s">
        <v>1542</v>
      </c>
      <c r="I2459" s="41" t="s">
        <v>939</v>
      </c>
      <c r="J2459" s="41" t="s">
        <v>188</v>
      </c>
      <c r="K2459" s="41"/>
      <c r="L2459" s="42"/>
    </row>
    <row r="2460">
      <c r="A2460" s="18">
        <v>2459.0</v>
      </c>
      <c r="B2460" s="64" t="s">
        <v>4131</v>
      </c>
      <c r="C2460" s="40" t="s">
        <v>4169</v>
      </c>
      <c r="D2460" s="41"/>
      <c r="E2460" s="41" t="s">
        <v>401</v>
      </c>
      <c r="F2460" s="18" t="str">
        <f>IFERROR(__xludf.DUMMYFUNCTION("if(REGEXMATCH(C2460,""x.com"")=TRUE,""Twitter"",if(REGEXMATCH(C2460,""facebook"")=TRUE,""Facebook"",if(REGEXMATCH(C2460,""instagram"")=TRUE,""Instagram"",if(REGEXMATCH(C2460,""youtube"")=TRUE,""Youtube"",if(REGEXMATCH(C2460,""tiktok"")=TRUE,""Tiktok"",if("&amp;"REGEXMATCH(C2460,""threads"")=TRUE,""Threads""))))))"),"Facebook")</f>
        <v>Facebook</v>
      </c>
      <c r="G2460" s="41" t="s">
        <v>937</v>
      </c>
      <c r="H2460" s="41" t="s">
        <v>1542</v>
      </c>
      <c r="I2460" s="41" t="s">
        <v>939</v>
      </c>
      <c r="J2460" s="41" t="s">
        <v>188</v>
      </c>
      <c r="K2460" s="41"/>
      <c r="L2460" s="42"/>
    </row>
    <row r="2461">
      <c r="A2461" s="18">
        <v>2460.0</v>
      </c>
      <c r="B2461" s="64" t="s">
        <v>4131</v>
      </c>
      <c r="C2461" s="40" t="s">
        <v>4170</v>
      </c>
      <c r="D2461" s="41"/>
      <c r="E2461" s="41" t="s">
        <v>401</v>
      </c>
      <c r="F2461" s="18" t="str">
        <f>IFERROR(__xludf.DUMMYFUNCTION("if(REGEXMATCH(C2461,""x.com"")=TRUE,""Twitter"",if(REGEXMATCH(C2461,""facebook"")=TRUE,""Facebook"",if(REGEXMATCH(C2461,""instagram"")=TRUE,""Instagram"",if(REGEXMATCH(C2461,""youtube"")=TRUE,""Youtube"",if(REGEXMATCH(C2461,""tiktok"")=TRUE,""Tiktok"",if("&amp;"REGEXMATCH(C2461,""threads"")=TRUE,""Threads""))))))"),"Facebook")</f>
        <v>Facebook</v>
      </c>
      <c r="G2461" s="41" t="s">
        <v>937</v>
      </c>
      <c r="H2461" s="41" t="s">
        <v>1542</v>
      </c>
      <c r="I2461" s="41" t="s">
        <v>939</v>
      </c>
      <c r="J2461" s="41" t="s">
        <v>188</v>
      </c>
      <c r="K2461" s="41"/>
      <c r="L2461" s="42"/>
    </row>
    <row r="2462">
      <c r="A2462" s="18">
        <v>2461.0</v>
      </c>
      <c r="B2462" s="64" t="s">
        <v>4131</v>
      </c>
      <c r="C2462" s="73" t="s">
        <v>4171</v>
      </c>
      <c r="D2462" s="41"/>
      <c r="E2462" s="41" t="s">
        <v>401</v>
      </c>
      <c r="F2462" s="18" t="str">
        <f>IFERROR(__xludf.DUMMYFUNCTION("if(REGEXMATCH(C2462,""x.com"")=TRUE,""Twitter"",if(REGEXMATCH(C2462,""facebook"")=TRUE,""Facebook"",if(REGEXMATCH(C2462,""instagram"")=TRUE,""Instagram"",if(REGEXMATCH(C2462,""youtube"")=TRUE,""Youtube"",if(REGEXMATCH(C2462,""tiktok"")=TRUE,""Tiktok"",if("&amp;"REGEXMATCH(C2462,""threads"")=TRUE,""Threads""))))))"),"Facebook")</f>
        <v>Facebook</v>
      </c>
      <c r="G2462" s="41" t="s">
        <v>937</v>
      </c>
      <c r="H2462" s="41" t="s">
        <v>1542</v>
      </c>
      <c r="I2462" s="41" t="s">
        <v>939</v>
      </c>
      <c r="J2462" s="41" t="s">
        <v>188</v>
      </c>
      <c r="K2462" s="41"/>
      <c r="L2462" s="42"/>
    </row>
    <row r="2463">
      <c r="A2463" s="18">
        <v>2462.0</v>
      </c>
      <c r="B2463" s="64" t="s">
        <v>4131</v>
      </c>
      <c r="C2463" s="46" t="s">
        <v>4172</v>
      </c>
      <c r="D2463" s="41"/>
      <c r="E2463" s="41" t="s">
        <v>401</v>
      </c>
      <c r="F2463" s="18" t="str">
        <f>IFERROR(__xludf.DUMMYFUNCTION("if(REGEXMATCH(C2463,""x.com"")=TRUE,""Twitter"",if(REGEXMATCH(C2463,""facebook"")=TRUE,""Facebook"",if(REGEXMATCH(C2463,""instagram"")=TRUE,""Instagram"",if(REGEXMATCH(C2463,""youtube"")=TRUE,""Youtube"",if(REGEXMATCH(C2463,""tiktok"")=TRUE,""Tiktok"",if("&amp;"REGEXMATCH(C2463,""threads"")=TRUE,""Threads""))))))"),"Facebook")</f>
        <v>Facebook</v>
      </c>
      <c r="G2463" s="41" t="s">
        <v>937</v>
      </c>
      <c r="H2463" s="41" t="s">
        <v>1542</v>
      </c>
      <c r="I2463" s="41" t="s">
        <v>939</v>
      </c>
      <c r="J2463" s="41" t="s">
        <v>188</v>
      </c>
      <c r="K2463" s="41"/>
      <c r="L2463" s="42"/>
    </row>
    <row r="2464">
      <c r="A2464" s="18">
        <v>2463.0</v>
      </c>
      <c r="B2464" s="64" t="s">
        <v>4131</v>
      </c>
      <c r="C2464" s="46" t="s">
        <v>4173</v>
      </c>
      <c r="D2464" s="41"/>
      <c r="E2464" s="41" t="s">
        <v>401</v>
      </c>
      <c r="F2464" s="18" t="str">
        <f>IFERROR(__xludf.DUMMYFUNCTION("if(REGEXMATCH(C2464,""x.com"")=TRUE,""Twitter"",if(REGEXMATCH(C2464,""facebook"")=TRUE,""Facebook"",if(REGEXMATCH(C2464,""instagram"")=TRUE,""Instagram"",if(REGEXMATCH(C2464,""youtube"")=TRUE,""Youtube"",if(REGEXMATCH(C2464,""tiktok"")=TRUE,""Tiktok"",if("&amp;"REGEXMATCH(C2464,""threads"")=TRUE,""Threads""))))))"),"Facebook")</f>
        <v>Facebook</v>
      </c>
      <c r="G2464" s="41" t="s">
        <v>937</v>
      </c>
      <c r="H2464" s="41" t="s">
        <v>1542</v>
      </c>
      <c r="I2464" s="41" t="s">
        <v>939</v>
      </c>
      <c r="J2464" s="41" t="s">
        <v>188</v>
      </c>
      <c r="K2464" s="41"/>
      <c r="L2464" s="42"/>
    </row>
    <row r="2465">
      <c r="A2465" s="18">
        <v>2464.0</v>
      </c>
      <c r="B2465" s="64" t="s">
        <v>4131</v>
      </c>
      <c r="C2465" s="22" t="s">
        <v>4174</v>
      </c>
      <c r="D2465" s="41"/>
      <c r="E2465" s="52" t="s">
        <v>184</v>
      </c>
      <c r="F2465" s="18" t="str">
        <f>IFERROR(__xludf.DUMMYFUNCTION("if(REGEXMATCH(C2465,""x.com"")=TRUE,""Twitter"",if(REGEXMATCH(C2465,""facebook"")=TRUE,""Facebook"",if(REGEXMATCH(C2465,""instagram"")=TRUE,""Instagram"",if(REGEXMATCH(C2465,""youtube"")=TRUE,""Youtube"",if(REGEXMATCH(C2465,""tiktok"")=TRUE,""Tiktok"",if("&amp;"REGEXMATCH(C2465,""threads"")=TRUE,""Threads""))))))"),"Instagram")</f>
        <v>Instagram</v>
      </c>
      <c r="G2465" s="52" t="s">
        <v>4116</v>
      </c>
      <c r="H2465" s="41"/>
      <c r="I2465" s="41"/>
      <c r="J2465" s="52" t="s">
        <v>188</v>
      </c>
      <c r="K2465" s="41"/>
      <c r="L2465" s="42"/>
    </row>
    <row r="2466">
      <c r="A2466" s="18">
        <v>2465.0</v>
      </c>
      <c r="B2466" s="64" t="s">
        <v>4131</v>
      </c>
      <c r="C2466" s="57" t="s">
        <v>4175</v>
      </c>
      <c r="D2466" s="41"/>
      <c r="E2466" s="52" t="s">
        <v>184</v>
      </c>
      <c r="F2466" s="18" t="str">
        <f>IFERROR(__xludf.DUMMYFUNCTION("if(REGEXMATCH(C2466,""x.com"")=TRUE,""Twitter"",if(REGEXMATCH(C2466,""facebook"")=TRUE,""Facebook"",if(REGEXMATCH(C2466,""instagram"")=TRUE,""Instagram"",if(REGEXMATCH(C2466,""youtube"")=TRUE,""Youtube"",if(REGEXMATCH(C2466,""tiktok"")=TRUE,""Tiktok"",if("&amp;"REGEXMATCH(C2466,""threads"")=TRUE,""Threads""))))))"),"Instagram")</f>
        <v>Instagram</v>
      </c>
      <c r="G2466" s="52" t="s">
        <v>4116</v>
      </c>
      <c r="H2466" s="41"/>
      <c r="I2466" s="41"/>
      <c r="J2466" s="52" t="s">
        <v>188</v>
      </c>
      <c r="K2466" s="52" t="s">
        <v>4176</v>
      </c>
      <c r="L2466" s="42"/>
    </row>
    <row r="2467">
      <c r="A2467" s="18">
        <v>2466.0</v>
      </c>
      <c r="B2467" s="64" t="s">
        <v>4131</v>
      </c>
      <c r="C2467" s="57" t="s">
        <v>4177</v>
      </c>
      <c r="D2467" s="41"/>
      <c r="E2467" s="52" t="s">
        <v>184</v>
      </c>
      <c r="F2467" s="18" t="str">
        <f>IFERROR(__xludf.DUMMYFUNCTION("if(REGEXMATCH(C2467,""x.com"")=TRUE,""Twitter"",if(REGEXMATCH(C2467,""facebook"")=TRUE,""Facebook"",if(REGEXMATCH(C2467,""instagram"")=TRUE,""Instagram"",if(REGEXMATCH(C2467,""youtube"")=TRUE,""Youtube"",if(REGEXMATCH(C2467,""tiktok"")=TRUE,""Tiktok"",if("&amp;"REGEXMATCH(C2467,""threads"")=TRUE,""Threads""))))))"),"Instagram")</f>
        <v>Instagram</v>
      </c>
      <c r="G2467" s="52" t="s">
        <v>4116</v>
      </c>
      <c r="H2467" s="41"/>
      <c r="I2467" s="41"/>
      <c r="J2467" s="52" t="s">
        <v>188</v>
      </c>
      <c r="K2467" s="52" t="s">
        <v>4176</v>
      </c>
      <c r="L2467" s="42"/>
    </row>
    <row r="2468">
      <c r="A2468" s="18">
        <v>2467.0</v>
      </c>
      <c r="B2468" s="64" t="s">
        <v>4178</v>
      </c>
      <c r="C2468" s="40" t="s">
        <v>4179</v>
      </c>
      <c r="D2468" s="41"/>
      <c r="E2468" s="41" t="s">
        <v>197</v>
      </c>
      <c r="F2468" s="18" t="str">
        <f>IFERROR(__xludf.DUMMYFUNCTION("if(REGEXMATCH(C2468,""x.com"")=TRUE,""Twitter"",if(REGEXMATCH(C2468,""facebook"")=TRUE,""Facebook"",if(REGEXMATCH(C2468,""instagram"")=TRUE,""Instagram"",if(REGEXMATCH(C2468,""youtube"")=TRUE,""Youtube"",if(REGEXMATCH(C2468,""tiktok"")=TRUE,""Tiktok"",if("&amp;"REGEXMATCH(C2468,""threads"")=TRUE,""Threads""))))))"),"Facebook")</f>
        <v>Facebook</v>
      </c>
      <c r="G2468" s="70" t="s">
        <v>4180</v>
      </c>
      <c r="H2468" s="52" t="s">
        <v>4181</v>
      </c>
      <c r="I2468" s="52" t="s">
        <v>535</v>
      </c>
      <c r="J2468" s="41" t="s">
        <v>188</v>
      </c>
      <c r="K2468" s="41" t="s">
        <v>1611</v>
      </c>
      <c r="L2468" s="42"/>
    </row>
    <row r="2469">
      <c r="A2469" s="18">
        <v>2468.0</v>
      </c>
      <c r="B2469" s="64" t="s">
        <v>4178</v>
      </c>
      <c r="C2469" s="40" t="s">
        <v>4182</v>
      </c>
      <c r="D2469" s="41"/>
      <c r="E2469" s="41" t="s">
        <v>557</v>
      </c>
      <c r="F2469" s="18" t="str">
        <f>IFERROR(__xludf.DUMMYFUNCTION("if(REGEXMATCH(C2469,""x.com"")=TRUE,""Twitter"",if(REGEXMATCH(C2469,""facebook"")=TRUE,""Facebook"",if(REGEXMATCH(C2469,""instagram"")=TRUE,""Instagram"",if(REGEXMATCH(C2469,""youtube"")=TRUE,""Youtube"",if(REGEXMATCH(C2469,""tiktok"")=TRUE,""Tiktok"",if("&amp;"REGEXMATCH(C2469,""threads"")=TRUE,""Threads""))))))"),"Facebook")</f>
        <v>Facebook</v>
      </c>
      <c r="G2469" s="41" t="s">
        <v>4183</v>
      </c>
      <c r="H2469" s="52" t="s">
        <v>4181</v>
      </c>
      <c r="I2469" s="52" t="s">
        <v>535</v>
      </c>
      <c r="J2469" s="41" t="s">
        <v>188</v>
      </c>
      <c r="K2469" s="41" t="s">
        <v>1611</v>
      </c>
      <c r="L2469" s="42"/>
    </row>
    <row r="2470">
      <c r="A2470" s="18">
        <v>2469.0</v>
      </c>
      <c r="B2470" s="64" t="s">
        <v>4178</v>
      </c>
      <c r="C2470" s="40" t="s">
        <v>4184</v>
      </c>
      <c r="D2470" s="41"/>
      <c r="E2470" s="41" t="s">
        <v>372</v>
      </c>
      <c r="F2470" s="18" t="str">
        <f>IFERROR(__xludf.DUMMYFUNCTION("if(REGEXMATCH(C2470,""x.com"")=TRUE,""Twitter"",if(REGEXMATCH(C2470,""facebook"")=TRUE,""Facebook"",if(REGEXMATCH(C2470,""instagram"")=TRUE,""Instagram"",if(REGEXMATCH(C2470,""youtube"")=TRUE,""Youtube"",if(REGEXMATCH(C2470,""tiktok"")=TRUE,""Tiktok"",if("&amp;"REGEXMATCH(C2470,""threads"")=TRUE,""Threads""))))))"),"Facebook")</f>
        <v>Facebook</v>
      </c>
      <c r="G2470" s="70" t="s">
        <v>4185</v>
      </c>
      <c r="H2470" s="52" t="s">
        <v>4181</v>
      </c>
      <c r="I2470" s="52" t="s">
        <v>535</v>
      </c>
      <c r="J2470" s="41" t="s">
        <v>188</v>
      </c>
      <c r="K2470" s="41" t="s">
        <v>1611</v>
      </c>
      <c r="L2470" s="42"/>
    </row>
    <row r="2471">
      <c r="A2471" s="18">
        <v>2470.0</v>
      </c>
      <c r="B2471" s="64" t="s">
        <v>4178</v>
      </c>
      <c r="C2471" s="40" t="s">
        <v>4186</v>
      </c>
      <c r="D2471" s="41"/>
      <c r="E2471" s="41" t="s">
        <v>197</v>
      </c>
      <c r="F2471" s="18" t="str">
        <f>IFERROR(__xludf.DUMMYFUNCTION("if(REGEXMATCH(C2471,""x.com"")=TRUE,""Twitter"",if(REGEXMATCH(C2471,""facebook"")=TRUE,""Facebook"",if(REGEXMATCH(C2471,""instagram"")=TRUE,""Instagram"",if(REGEXMATCH(C2471,""youtube"")=TRUE,""Youtube"",if(REGEXMATCH(C2471,""tiktok"")=TRUE,""Tiktok"",if("&amp;"REGEXMATCH(C2471,""threads"")=TRUE,""Threads""))))))"),"Facebook")</f>
        <v>Facebook</v>
      </c>
      <c r="G2471" s="41" t="s">
        <v>4187</v>
      </c>
      <c r="H2471" s="52" t="s">
        <v>4181</v>
      </c>
      <c r="I2471" s="52" t="s">
        <v>535</v>
      </c>
      <c r="J2471" s="41" t="s">
        <v>188</v>
      </c>
      <c r="K2471" s="41" t="s">
        <v>1611</v>
      </c>
      <c r="L2471" s="42"/>
    </row>
    <row r="2472">
      <c r="A2472" s="18">
        <v>2471.0</v>
      </c>
      <c r="B2472" s="64" t="s">
        <v>4178</v>
      </c>
      <c r="C2472" s="40" t="s">
        <v>4188</v>
      </c>
      <c r="D2472" s="41"/>
      <c r="E2472" s="41" t="s">
        <v>557</v>
      </c>
      <c r="F2472" s="18" t="str">
        <f>IFERROR(__xludf.DUMMYFUNCTION("if(REGEXMATCH(C2472,""x.com"")=TRUE,""Twitter"",if(REGEXMATCH(C2472,""facebook"")=TRUE,""Facebook"",if(REGEXMATCH(C2472,""instagram"")=TRUE,""Instagram"",if(REGEXMATCH(C2472,""youtube"")=TRUE,""Youtube"",if(REGEXMATCH(C2472,""tiktok"")=TRUE,""Tiktok"",if("&amp;"REGEXMATCH(C2472,""threads"")=TRUE,""Threads""))))))"),"Tiktok")</f>
        <v>Tiktok</v>
      </c>
      <c r="G2472" s="70" t="s">
        <v>4189</v>
      </c>
      <c r="H2472" s="52" t="s">
        <v>4181</v>
      </c>
      <c r="I2472" s="52" t="s">
        <v>535</v>
      </c>
      <c r="J2472" s="41" t="s">
        <v>188</v>
      </c>
      <c r="K2472" s="41" t="s">
        <v>1611</v>
      </c>
      <c r="L2472" s="42"/>
    </row>
    <row r="2473">
      <c r="A2473" s="18">
        <v>2472.0</v>
      </c>
      <c r="B2473" s="64" t="s">
        <v>4178</v>
      </c>
      <c r="C2473" s="40" t="s">
        <v>4190</v>
      </c>
      <c r="D2473" s="41"/>
      <c r="E2473" s="41" t="s">
        <v>197</v>
      </c>
      <c r="F2473" s="18" t="str">
        <f>IFERROR(__xludf.DUMMYFUNCTION("if(REGEXMATCH(C2473,""x.com"")=TRUE,""Twitter"",if(REGEXMATCH(C2473,""facebook"")=TRUE,""Facebook"",if(REGEXMATCH(C2473,""instagram"")=TRUE,""Instagram"",if(REGEXMATCH(C2473,""youtube"")=TRUE,""Youtube"",if(REGEXMATCH(C2473,""tiktok"")=TRUE,""Tiktok"",if("&amp;"REGEXMATCH(C2473,""threads"")=TRUE,""Threads""))))))"),"Tiktok")</f>
        <v>Tiktok</v>
      </c>
      <c r="G2473" s="70" t="s">
        <v>4191</v>
      </c>
      <c r="H2473" s="52" t="s">
        <v>4181</v>
      </c>
      <c r="I2473" s="52" t="s">
        <v>535</v>
      </c>
      <c r="J2473" s="41" t="s">
        <v>188</v>
      </c>
      <c r="K2473" s="41" t="s">
        <v>1611</v>
      </c>
      <c r="L2473" s="42"/>
    </row>
    <row r="2474">
      <c r="A2474" s="18">
        <v>2473.0</v>
      </c>
      <c r="B2474" s="64" t="s">
        <v>4178</v>
      </c>
      <c r="C2474" s="40" t="s">
        <v>4192</v>
      </c>
      <c r="D2474" s="41"/>
      <c r="E2474" s="41" t="s">
        <v>4193</v>
      </c>
      <c r="F2474" s="18" t="str">
        <f>IFERROR(__xludf.DUMMYFUNCTION("if(REGEXMATCH(C2474,""x.com"")=TRUE,""Twitter"",if(REGEXMATCH(C2474,""facebook"")=TRUE,""Facebook"",if(REGEXMATCH(C2474,""instagram"")=TRUE,""Instagram"",if(REGEXMATCH(C2474,""youtube"")=TRUE,""Youtube"",if(REGEXMATCH(C2474,""tiktok"")=TRUE,""Tiktok"",if("&amp;"REGEXMATCH(C2474,""threads"")=TRUE,""Threads""))))))"),"Facebook")</f>
        <v>Facebook</v>
      </c>
      <c r="G2474" s="70" t="s">
        <v>4194</v>
      </c>
      <c r="H2474" s="52" t="s">
        <v>4181</v>
      </c>
      <c r="I2474" s="52" t="s">
        <v>535</v>
      </c>
      <c r="J2474" s="41" t="s">
        <v>188</v>
      </c>
      <c r="K2474" s="41" t="s">
        <v>1611</v>
      </c>
      <c r="L2474" s="42"/>
    </row>
    <row r="2475">
      <c r="A2475" s="18">
        <v>2474.0</v>
      </c>
      <c r="B2475" s="64" t="s">
        <v>4178</v>
      </c>
      <c r="C2475" s="40" t="s">
        <v>4195</v>
      </c>
      <c r="D2475" s="41"/>
      <c r="E2475" s="41" t="s">
        <v>4193</v>
      </c>
      <c r="F2475" s="18" t="str">
        <f>IFERROR(__xludf.DUMMYFUNCTION("if(REGEXMATCH(C2475,""x.com"")=TRUE,""Twitter"",if(REGEXMATCH(C2475,""facebook"")=TRUE,""Facebook"",if(REGEXMATCH(C2475,""instagram"")=TRUE,""Instagram"",if(REGEXMATCH(C2475,""youtube"")=TRUE,""Youtube"",if(REGEXMATCH(C2475,""tiktok"")=TRUE,""Tiktok"",if("&amp;"REGEXMATCH(C2475,""threads"")=TRUE,""Threads""))))))"),"Facebook")</f>
        <v>Facebook</v>
      </c>
      <c r="G2475" s="70" t="s">
        <v>4196</v>
      </c>
      <c r="H2475" s="52" t="s">
        <v>4181</v>
      </c>
      <c r="I2475" s="52" t="s">
        <v>535</v>
      </c>
      <c r="J2475" s="41" t="s">
        <v>188</v>
      </c>
      <c r="K2475" s="41" t="s">
        <v>1611</v>
      </c>
      <c r="L2475" s="42"/>
    </row>
    <row r="2476">
      <c r="A2476" s="18">
        <v>2475.0</v>
      </c>
      <c r="B2476" s="64" t="s">
        <v>4178</v>
      </c>
      <c r="C2476" s="40" t="s">
        <v>4197</v>
      </c>
      <c r="D2476" s="41"/>
      <c r="E2476" s="41" t="s">
        <v>372</v>
      </c>
      <c r="F2476" s="18" t="str">
        <f>IFERROR(__xludf.DUMMYFUNCTION("if(REGEXMATCH(C2476,""x.com"")=TRUE,""Twitter"",if(REGEXMATCH(C2476,""facebook"")=TRUE,""Facebook"",if(REGEXMATCH(C2476,""instagram"")=TRUE,""Instagram"",if(REGEXMATCH(C2476,""youtube"")=TRUE,""Youtube"",if(REGEXMATCH(C2476,""tiktok"")=TRUE,""Tiktok"",if("&amp;"REGEXMATCH(C2476,""threads"")=TRUE,""Threads""))))))"),"Twitter")</f>
        <v>Twitter</v>
      </c>
      <c r="G2476" s="44" t="s">
        <v>4198</v>
      </c>
      <c r="H2476" s="52" t="s">
        <v>4181</v>
      </c>
      <c r="I2476" s="52" t="s">
        <v>535</v>
      </c>
      <c r="J2476" s="41" t="s">
        <v>188</v>
      </c>
      <c r="K2476" s="41"/>
      <c r="L2476" s="42"/>
    </row>
    <row r="2477">
      <c r="A2477" s="18">
        <v>2476.0</v>
      </c>
      <c r="B2477" s="64" t="s">
        <v>4178</v>
      </c>
      <c r="C2477" s="40" t="s">
        <v>4199</v>
      </c>
      <c r="D2477" s="41"/>
      <c r="E2477" s="41" t="s">
        <v>197</v>
      </c>
      <c r="F2477" s="18" t="str">
        <f>IFERROR(__xludf.DUMMYFUNCTION("if(REGEXMATCH(C2477,""x.com"")=TRUE,""Twitter"",if(REGEXMATCH(C2477,""facebook"")=TRUE,""Facebook"",if(REGEXMATCH(C2477,""instagram"")=TRUE,""Instagram"",if(REGEXMATCH(C2477,""youtube"")=TRUE,""Youtube"",if(REGEXMATCH(C2477,""tiktok"")=TRUE,""Tiktok"",if("&amp;"REGEXMATCH(C2477,""threads"")=TRUE,""Threads""))))))"),"Facebook")</f>
        <v>Facebook</v>
      </c>
      <c r="G2477" s="70" t="s">
        <v>4200</v>
      </c>
      <c r="H2477" s="52" t="s">
        <v>4181</v>
      </c>
      <c r="I2477" s="52" t="s">
        <v>535</v>
      </c>
      <c r="J2477" s="41" t="s">
        <v>188</v>
      </c>
      <c r="K2477" s="41"/>
      <c r="L2477" s="42"/>
    </row>
    <row r="2478">
      <c r="A2478" s="18">
        <v>2477.0</v>
      </c>
      <c r="B2478" s="64" t="s">
        <v>4178</v>
      </c>
      <c r="C2478" s="40" t="s">
        <v>4201</v>
      </c>
      <c r="D2478" s="41"/>
      <c r="E2478" s="41" t="s">
        <v>372</v>
      </c>
      <c r="F2478" s="18" t="str">
        <f>IFERROR(__xludf.DUMMYFUNCTION("if(REGEXMATCH(C2478,""x.com"")=TRUE,""Twitter"",if(REGEXMATCH(C2478,""facebook"")=TRUE,""Facebook"",if(REGEXMATCH(C2478,""instagram"")=TRUE,""Instagram"",if(REGEXMATCH(C2478,""youtube"")=TRUE,""Youtube"",if(REGEXMATCH(C2478,""tiktok"")=TRUE,""Tiktok"",if("&amp;"REGEXMATCH(C2478,""threads"")=TRUE,""Threads""))))))"),"Facebook")</f>
        <v>Facebook</v>
      </c>
      <c r="G2478" s="44" t="s">
        <v>4202</v>
      </c>
      <c r="H2478" s="52" t="s">
        <v>4181</v>
      </c>
      <c r="I2478" s="52" t="s">
        <v>535</v>
      </c>
      <c r="J2478" s="41" t="s">
        <v>188</v>
      </c>
      <c r="K2478" s="41"/>
      <c r="L2478" s="42"/>
    </row>
    <row r="2479">
      <c r="A2479" s="18">
        <v>2478.0</v>
      </c>
      <c r="B2479" s="64" t="s">
        <v>4178</v>
      </c>
      <c r="C2479" s="40" t="s">
        <v>4203</v>
      </c>
      <c r="D2479" s="41"/>
      <c r="E2479" s="41" t="s">
        <v>197</v>
      </c>
      <c r="F2479" s="18" t="str">
        <f>IFERROR(__xludf.DUMMYFUNCTION("if(REGEXMATCH(C2479,""x.com"")=TRUE,""Twitter"",if(REGEXMATCH(C2479,""facebook"")=TRUE,""Facebook"",if(REGEXMATCH(C2479,""instagram"")=TRUE,""Instagram"",if(REGEXMATCH(C2479,""youtube"")=TRUE,""Youtube"",if(REGEXMATCH(C2479,""tiktok"")=TRUE,""Tiktok"",if("&amp;"REGEXMATCH(C2479,""threads"")=TRUE,""Threads""))))))"),"Facebook")</f>
        <v>Facebook</v>
      </c>
      <c r="G2479" s="70" t="s">
        <v>4204</v>
      </c>
      <c r="H2479" s="52" t="s">
        <v>4181</v>
      </c>
      <c r="I2479" s="52" t="s">
        <v>535</v>
      </c>
      <c r="J2479" s="41" t="s">
        <v>188</v>
      </c>
      <c r="K2479" s="41"/>
      <c r="L2479" s="42"/>
    </row>
    <row r="2480">
      <c r="A2480" s="18">
        <v>2479.0</v>
      </c>
      <c r="B2480" s="64" t="s">
        <v>4178</v>
      </c>
      <c r="C2480" s="40" t="s">
        <v>4205</v>
      </c>
      <c r="D2480" s="41"/>
      <c r="E2480" s="41" t="s">
        <v>197</v>
      </c>
      <c r="F2480" s="18" t="str">
        <f>IFERROR(__xludf.DUMMYFUNCTION("if(REGEXMATCH(C2480,""x.com"")=TRUE,""Twitter"",if(REGEXMATCH(C2480,""facebook"")=TRUE,""Facebook"",if(REGEXMATCH(C2480,""instagram"")=TRUE,""Instagram"",if(REGEXMATCH(C2480,""youtube"")=TRUE,""Youtube"",if(REGEXMATCH(C2480,""tiktok"")=TRUE,""Tiktok"",if("&amp;"REGEXMATCH(C2480,""threads"")=TRUE,""Threads""))))))"),"Facebook")</f>
        <v>Facebook</v>
      </c>
      <c r="G2480" s="70" t="s">
        <v>4206</v>
      </c>
      <c r="H2480" s="52" t="s">
        <v>4181</v>
      </c>
      <c r="I2480" s="52" t="s">
        <v>535</v>
      </c>
      <c r="J2480" s="41" t="s">
        <v>188</v>
      </c>
      <c r="K2480" s="41"/>
      <c r="L2480" s="42"/>
    </row>
    <row r="2481">
      <c r="A2481" s="18">
        <v>2480.0</v>
      </c>
      <c r="B2481" s="64" t="s">
        <v>4178</v>
      </c>
      <c r="C2481" s="40" t="s">
        <v>4207</v>
      </c>
      <c r="D2481" s="41"/>
      <c r="E2481" s="41" t="s">
        <v>197</v>
      </c>
      <c r="F2481" s="18" t="str">
        <f>IFERROR(__xludf.DUMMYFUNCTION("if(REGEXMATCH(C2481,""x.com"")=TRUE,""Twitter"",if(REGEXMATCH(C2481,""facebook"")=TRUE,""Facebook"",if(REGEXMATCH(C2481,""instagram"")=TRUE,""Instagram"",if(REGEXMATCH(C2481,""youtube"")=TRUE,""Youtube"",if(REGEXMATCH(C2481,""tiktok"")=TRUE,""Tiktok"",if("&amp;"REGEXMATCH(C2481,""threads"")=TRUE,""Threads""))))))"),"Facebook")</f>
        <v>Facebook</v>
      </c>
      <c r="G2481" s="70" t="s">
        <v>4204</v>
      </c>
      <c r="H2481" s="52" t="s">
        <v>4181</v>
      </c>
      <c r="I2481" s="52" t="s">
        <v>535</v>
      </c>
      <c r="J2481" s="41" t="s">
        <v>188</v>
      </c>
      <c r="K2481" s="41"/>
      <c r="L2481" s="42"/>
    </row>
    <row r="2482">
      <c r="A2482" s="18">
        <v>2481.0</v>
      </c>
      <c r="B2482" s="64" t="s">
        <v>4178</v>
      </c>
      <c r="C2482" s="40" t="s">
        <v>4208</v>
      </c>
      <c r="D2482" s="41"/>
      <c r="E2482" s="41" t="s">
        <v>197</v>
      </c>
      <c r="F2482" s="18" t="str">
        <f>IFERROR(__xludf.DUMMYFUNCTION("if(REGEXMATCH(C2482,""x.com"")=TRUE,""Twitter"",if(REGEXMATCH(C2482,""facebook"")=TRUE,""Facebook"",if(REGEXMATCH(C2482,""instagram"")=TRUE,""Instagram"",if(REGEXMATCH(C2482,""youtube"")=TRUE,""Youtube"",if(REGEXMATCH(C2482,""tiktok"")=TRUE,""Tiktok"",if("&amp;"REGEXMATCH(C2482,""threads"")=TRUE,""Threads""))))))"),"Facebook")</f>
        <v>Facebook</v>
      </c>
      <c r="G2482" s="70" t="s">
        <v>4209</v>
      </c>
      <c r="H2482" s="52" t="s">
        <v>4181</v>
      </c>
      <c r="I2482" s="52" t="s">
        <v>535</v>
      </c>
      <c r="J2482" s="41" t="s">
        <v>188</v>
      </c>
      <c r="K2482" s="41"/>
      <c r="L2482" s="42"/>
    </row>
    <row r="2483">
      <c r="A2483" s="18">
        <v>2482.0</v>
      </c>
      <c r="B2483" s="64" t="s">
        <v>4178</v>
      </c>
      <c r="C2483" s="40" t="s">
        <v>4210</v>
      </c>
      <c r="D2483" s="41"/>
      <c r="E2483" s="41" t="s">
        <v>197</v>
      </c>
      <c r="F2483" s="18" t="str">
        <f>IFERROR(__xludf.DUMMYFUNCTION("if(REGEXMATCH(C2483,""x.com"")=TRUE,""Twitter"",if(REGEXMATCH(C2483,""facebook"")=TRUE,""Facebook"",if(REGEXMATCH(C2483,""instagram"")=TRUE,""Instagram"",if(REGEXMATCH(C2483,""youtube"")=TRUE,""Youtube"",if(REGEXMATCH(C2483,""tiktok"")=TRUE,""Tiktok"",if("&amp;"REGEXMATCH(C2483,""threads"")=TRUE,""Threads""))))))"),"Facebook")</f>
        <v>Facebook</v>
      </c>
      <c r="G2483" s="70" t="s">
        <v>4211</v>
      </c>
      <c r="H2483" s="52" t="s">
        <v>4181</v>
      </c>
      <c r="I2483" s="52" t="s">
        <v>535</v>
      </c>
      <c r="J2483" s="41" t="s">
        <v>188</v>
      </c>
      <c r="K2483" s="41"/>
      <c r="L2483" s="42"/>
    </row>
    <row r="2484">
      <c r="A2484" s="18">
        <v>2483.0</v>
      </c>
      <c r="B2484" s="64" t="s">
        <v>4178</v>
      </c>
      <c r="C2484" s="40" t="s">
        <v>4212</v>
      </c>
      <c r="D2484" s="41"/>
      <c r="E2484" s="41" t="s">
        <v>4213</v>
      </c>
      <c r="F2484" s="18" t="str">
        <f>IFERROR(__xludf.DUMMYFUNCTION("if(REGEXMATCH(C2484,""x.com"")=TRUE,""Twitter"",if(REGEXMATCH(C2484,""facebook"")=TRUE,""Facebook"",if(REGEXMATCH(C2484,""instagram"")=TRUE,""Instagram"",if(REGEXMATCH(C2484,""youtube"")=TRUE,""Youtube"",if(REGEXMATCH(C2484,""tiktok"")=TRUE,""Tiktok"",if("&amp;"REGEXMATCH(C2484,""threads"")=TRUE,""Threads""))))))"),"Facebook")</f>
        <v>Facebook</v>
      </c>
      <c r="G2484" s="70" t="s">
        <v>4214</v>
      </c>
      <c r="H2484" s="52" t="s">
        <v>4181</v>
      </c>
      <c r="I2484" s="52" t="s">
        <v>535</v>
      </c>
      <c r="J2484" s="41" t="s">
        <v>188</v>
      </c>
      <c r="K2484" s="41"/>
      <c r="L2484" s="42"/>
    </row>
    <row r="2485">
      <c r="A2485" s="18">
        <v>2484.0</v>
      </c>
      <c r="B2485" s="64" t="s">
        <v>4178</v>
      </c>
      <c r="C2485" s="41" t="s">
        <v>4215</v>
      </c>
      <c r="D2485" s="41"/>
      <c r="E2485" s="41" t="s">
        <v>184</v>
      </c>
      <c r="F2485" s="41" t="s">
        <v>4216</v>
      </c>
      <c r="G2485" s="41" t="s">
        <v>4116</v>
      </c>
      <c r="H2485" s="41" t="s">
        <v>1974</v>
      </c>
      <c r="I2485" s="41"/>
      <c r="J2485" s="41" t="s">
        <v>188</v>
      </c>
      <c r="K2485" s="41"/>
      <c r="L2485" s="42"/>
    </row>
    <row r="2486">
      <c r="A2486" s="18">
        <v>2485.0</v>
      </c>
      <c r="B2486" s="64" t="s">
        <v>4178</v>
      </c>
      <c r="C2486" s="41" t="s">
        <v>4217</v>
      </c>
      <c r="D2486" s="41"/>
      <c r="E2486" s="41" t="s">
        <v>184</v>
      </c>
      <c r="F2486" s="41" t="s">
        <v>4216</v>
      </c>
      <c r="G2486" s="41" t="s">
        <v>4116</v>
      </c>
      <c r="H2486" s="41" t="s">
        <v>1974</v>
      </c>
      <c r="I2486" s="41"/>
      <c r="J2486" s="41" t="s">
        <v>188</v>
      </c>
      <c r="K2486" s="41"/>
      <c r="L2486" s="42"/>
    </row>
    <row r="2487">
      <c r="A2487" s="18">
        <v>2486.0</v>
      </c>
      <c r="B2487" s="64" t="s">
        <v>4178</v>
      </c>
      <c r="C2487" s="41" t="s">
        <v>4218</v>
      </c>
      <c r="D2487" s="41"/>
      <c r="E2487" s="41" t="s">
        <v>184</v>
      </c>
      <c r="F2487" s="41" t="s">
        <v>4216</v>
      </c>
      <c r="G2487" s="41" t="s">
        <v>4116</v>
      </c>
      <c r="H2487" s="41" t="s">
        <v>1974</v>
      </c>
      <c r="I2487" s="41"/>
      <c r="J2487" s="41" t="s">
        <v>188</v>
      </c>
      <c r="K2487" s="41"/>
      <c r="L2487" s="42"/>
    </row>
    <row r="2488">
      <c r="A2488" s="18">
        <v>2487.0</v>
      </c>
      <c r="B2488" s="64" t="s">
        <v>4178</v>
      </c>
      <c r="C2488" s="41" t="s">
        <v>4219</v>
      </c>
      <c r="D2488" s="41"/>
      <c r="E2488" s="41" t="s">
        <v>184</v>
      </c>
      <c r="F2488" s="41" t="s">
        <v>4216</v>
      </c>
      <c r="G2488" s="41" t="s">
        <v>4116</v>
      </c>
      <c r="H2488" s="41" t="s">
        <v>1974</v>
      </c>
      <c r="I2488" s="41"/>
      <c r="J2488" s="41" t="s">
        <v>188</v>
      </c>
      <c r="K2488" s="41"/>
      <c r="L2488" s="42"/>
    </row>
    <row r="2489">
      <c r="A2489" s="18">
        <v>2488.0</v>
      </c>
      <c r="B2489" s="64" t="s">
        <v>4178</v>
      </c>
      <c r="C2489" s="41" t="s">
        <v>4220</v>
      </c>
      <c r="D2489" s="41"/>
      <c r="E2489" s="41" t="s">
        <v>184</v>
      </c>
      <c r="F2489" s="41" t="s">
        <v>4216</v>
      </c>
      <c r="G2489" s="41" t="s">
        <v>4116</v>
      </c>
      <c r="H2489" s="41" t="s">
        <v>1974</v>
      </c>
      <c r="I2489" s="41"/>
      <c r="J2489" s="41" t="s">
        <v>188</v>
      </c>
      <c r="K2489" s="41"/>
      <c r="L2489" s="42"/>
    </row>
    <row r="2490">
      <c r="A2490" s="18">
        <v>2489.0</v>
      </c>
      <c r="B2490" s="64" t="s">
        <v>4221</v>
      </c>
      <c r="C2490" s="40" t="s">
        <v>4222</v>
      </c>
      <c r="D2490" s="41"/>
      <c r="E2490" s="41" t="s">
        <v>197</v>
      </c>
      <c r="F2490" s="18" t="str">
        <f>IFERROR(__xludf.DUMMYFUNCTION("if(REGEXMATCH(C2490,""x.com"")=TRUE,""Twitter"",if(REGEXMATCH(C2490,""facebook"")=TRUE,""Facebook"",if(REGEXMATCH(C2490,""instagram"")=TRUE,""Instagram"",if(REGEXMATCH(C2490,""youtube"")=TRUE,""Youtube"",if(REGEXMATCH(C2490,""tiktok"")=TRUE,""Tiktok"",if("&amp;"REGEXMATCH(C2490,""threads"")=TRUE,""Threads""))))))"),"Facebook")</f>
        <v>Facebook</v>
      </c>
      <c r="G2490" s="70" t="s">
        <v>4223</v>
      </c>
      <c r="H2490" s="52" t="s">
        <v>779</v>
      </c>
      <c r="I2490" s="52" t="s">
        <v>535</v>
      </c>
      <c r="J2490" s="41" t="s">
        <v>188</v>
      </c>
      <c r="K2490" s="41" t="s">
        <v>1611</v>
      </c>
      <c r="L2490" s="42"/>
    </row>
    <row r="2491">
      <c r="A2491" s="18">
        <v>2490.0</v>
      </c>
      <c r="B2491" s="64" t="s">
        <v>4221</v>
      </c>
      <c r="C2491" s="40" t="s">
        <v>4224</v>
      </c>
      <c r="D2491" s="41"/>
      <c r="E2491" s="41" t="s">
        <v>197</v>
      </c>
      <c r="F2491" s="18" t="str">
        <f>IFERROR(__xludf.DUMMYFUNCTION("if(REGEXMATCH(C2491,""x.com"")=TRUE,""Twitter"",if(REGEXMATCH(C2491,""facebook"")=TRUE,""Facebook"",if(REGEXMATCH(C2491,""instagram"")=TRUE,""Instagram"",if(REGEXMATCH(C2491,""youtube"")=TRUE,""Youtube"",if(REGEXMATCH(C2491,""tiktok"")=TRUE,""Tiktok"",if("&amp;"REGEXMATCH(C2491,""threads"")=TRUE,""Threads""))))))"),"Facebook")</f>
        <v>Facebook</v>
      </c>
      <c r="G2491" s="41" t="s">
        <v>4225</v>
      </c>
      <c r="H2491" s="52" t="s">
        <v>779</v>
      </c>
      <c r="I2491" s="52" t="s">
        <v>535</v>
      </c>
      <c r="J2491" s="41" t="s">
        <v>188</v>
      </c>
      <c r="K2491" s="41" t="s">
        <v>1611</v>
      </c>
      <c r="L2491" s="42"/>
    </row>
    <row r="2492">
      <c r="A2492" s="18">
        <v>2491.0</v>
      </c>
      <c r="B2492" s="64" t="s">
        <v>4221</v>
      </c>
      <c r="C2492" s="40" t="s">
        <v>4226</v>
      </c>
      <c r="D2492" s="41"/>
      <c r="E2492" s="41" t="s">
        <v>197</v>
      </c>
      <c r="F2492" s="18" t="str">
        <f>IFERROR(__xludf.DUMMYFUNCTION("if(REGEXMATCH(C2492,""x.com"")=TRUE,""Twitter"",if(REGEXMATCH(C2492,""facebook"")=TRUE,""Facebook"",if(REGEXMATCH(C2492,""instagram"")=TRUE,""Instagram"",if(REGEXMATCH(C2492,""youtube"")=TRUE,""Youtube"",if(REGEXMATCH(C2492,""tiktok"")=TRUE,""Tiktok"",if("&amp;"REGEXMATCH(C2492,""threads"")=TRUE,""Threads""))))))"),"Facebook")</f>
        <v>Facebook</v>
      </c>
      <c r="G2492" s="70" t="s">
        <v>4227</v>
      </c>
      <c r="H2492" s="52" t="s">
        <v>779</v>
      </c>
      <c r="I2492" s="52" t="s">
        <v>535</v>
      </c>
      <c r="J2492" s="41" t="s">
        <v>188</v>
      </c>
      <c r="K2492" s="41" t="s">
        <v>1611</v>
      </c>
      <c r="L2492" s="42"/>
    </row>
    <row r="2493">
      <c r="A2493" s="18">
        <v>2492.0</v>
      </c>
      <c r="B2493" s="64" t="s">
        <v>4221</v>
      </c>
      <c r="C2493" s="40" t="s">
        <v>4228</v>
      </c>
      <c r="D2493" s="41"/>
      <c r="E2493" s="41" t="s">
        <v>447</v>
      </c>
      <c r="F2493" s="18" t="str">
        <f>IFERROR(__xludf.DUMMYFUNCTION("if(REGEXMATCH(C2493,""x.com"")=TRUE,""Twitter"",if(REGEXMATCH(C2493,""facebook"")=TRUE,""Facebook"",if(REGEXMATCH(C2493,""instagram"")=TRUE,""Instagram"",if(REGEXMATCH(C2493,""youtube"")=TRUE,""Youtube"",if(REGEXMATCH(C2493,""tiktok"")=TRUE,""Tiktok"",if("&amp;"REGEXMATCH(C2493,""threads"")=TRUE,""Threads""))))))"),"Facebook")</f>
        <v>Facebook</v>
      </c>
      <c r="G2493" s="41" t="s">
        <v>4229</v>
      </c>
      <c r="H2493" s="52" t="s">
        <v>779</v>
      </c>
      <c r="I2493" s="52" t="s">
        <v>535</v>
      </c>
      <c r="J2493" s="41" t="s">
        <v>188</v>
      </c>
      <c r="K2493" s="41" t="s">
        <v>1611</v>
      </c>
      <c r="L2493" s="42"/>
    </row>
    <row r="2494">
      <c r="A2494" s="18">
        <v>2493.0</v>
      </c>
      <c r="B2494" s="64" t="s">
        <v>4221</v>
      </c>
      <c r="C2494" s="40" t="s">
        <v>4230</v>
      </c>
      <c r="D2494" s="41"/>
      <c r="E2494" s="41" t="s">
        <v>372</v>
      </c>
      <c r="F2494" s="18" t="str">
        <f>IFERROR(__xludf.DUMMYFUNCTION("if(REGEXMATCH(C2494,""x.com"")=TRUE,""Twitter"",if(REGEXMATCH(C2494,""facebook"")=TRUE,""Facebook"",if(REGEXMATCH(C2494,""instagram"")=TRUE,""Instagram"",if(REGEXMATCH(C2494,""youtube"")=TRUE,""Youtube"",if(REGEXMATCH(C2494,""tiktok"")=TRUE,""Tiktok"",if("&amp;"REGEXMATCH(C2494,""threads"")=TRUE,""Threads""))))))"),"Twitter")</f>
        <v>Twitter</v>
      </c>
      <c r="G2494" s="70" t="s">
        <v>4231</v>
      </c>
      <c r="H2494" s="52" t="s">
        <v>779</v>
      </c>
      <c r="I2494" s="52" t="s">
        <v>535</v>
      </c>
      <c r="J2494" s="41" t="s">
        <v>188</v>
      </c>
      <c r="K2494" s="41" t="s">
        <v>1611</v>
      </c>
      <c r="L2494" s="42"/>
    </row>
    <row r="2495">
      <c r="A2495" s="18">
        <v>2494.0</v>
      </c>
      <c r="B2495" s="64" t="s">
        <v>4221</v>
      </c>
      <c r="C2495" s="40" t="s">
        <v>4232</v>
      </c>
      <c r="D2495" s="41"/>
      <c r="E2495" s="41" t="s">
        <v>1178</v>
      </c>
      <c r="F2495" s="18" t="str">
        <f>IFERROR(__xludf.DUMMYFUNCTION("if(REGEXMATCH(C2495,""x.com"")=TRUE,""Twitter"",if(REGEXMATCH(C2495,""facebook"")=TRUE,""Facebook"",if(REGEXMATCH(C2495,""instagram"")=TRUE,""Instagram"",if(REGEXMATCH(C2495,""youtube"")=TRUE,""Youtube"",if(REGEXMATCH(C2495,""tiktok"")=TRUE,""Tiktok"",if("&amp;"REGEXMATCH(C2495,""threads"")=TRUE,""Threads""))))))"),"Twitter")</f>
        <v>Twitter</v>
      </c>
      <c r="G2495" s="70" t="s">
        <v>4233</v>
      </c>
      <c r="H2495" s="52" t="s">
        <v>779</v>
      </c>
      <c r="I2495" s="52" t="s">
        <v>535</v>
      </c>
      <c r="J2495" s="41" t="s">
        <v>188</v>
      </c>
      <c r="K2495" s="41" t="s">
        <v>1611</v>
      </c>
      <c r="L2495" s="42"/>
    </row>
    <row r="2496">
      <c r="A2496" s="18">
        <v>2495.0</v>
      </c>
      <c r="B2496" s="64" t="s">
        <v>4221</v>
      </c>
      <c r="C2496" s="40" t="s">
        <v>4234</v>
      </c>
      <c r="D2496" s="41"/>
      <c r="E2496" s="41" t="s">
        <v>197</v>
      </c>
      <c r="F2496" s="18" t="str">
        <f>IFERROR(__xludf.DUMMYFUNCTION("if(REGEXMATCH(C2496,""x.com"")=TRUE,""Twitter"",if(REGEXMATCH(C2496,""facebook"")=TRUE,""Facebook"",if(REGEXMATCH(C2496,""instagram"")=TRUE,""Instagram"",if(REGEXMATCH(C2496,""youtube"")=TRUE,""Youtube"",if(REGEXMATCH(C2496,""tiktok"")=TRUE,""Tiktok"",if("&amp;"REGEXMATCH(C2496,""threads"")=TRUE,""Threads""))))))"),"Youtube")</f>
        <v>Youtube</v>
      </c>
      <c r="G2496" s="41" t="s">
        <v>4235</v>
      </c>
      <c r="H2496" s="52" t="s">
        <v>779</v>
      </c>
      <c r="I2496" s="52" t="s">
        <v>535</v>
      </c>
      <c r="J2496" s="41" t="s">
        <v>188</v>
      </c>
      <c r="K2496" s="41" t="s">
        <v>1611</v>
      </c>
      <c r="L2496" s="42"/>
    </row>
    <row r="2497">
      <c r="A2497" s="18">
        <v>2496.0</v>
      </c>
      <c r="B2497" s="64" t="s">
        <v>4221</v>
      </c>
      <c r="C2497" s="40" t="s">
        <v>4236</v>
      </c>
      <c r="D2497" s="41"/>
      <c r="E2497" s="41" t="s">
        <v>1178</v>
      </c>
      <c r="F2497" s="18" t="str">
        <f>IFERROR(__xludf.DUMMYFUNCTION("if(REGEXMATCH(C2497,""x.com"")=TRUE,""Twitter"",if(REGEXMATCH(C2497,""facebook"")=TRUE,""Facebook"",if(REGEXMATCH(C2497,""instagram"")=TRUE,""Instagram"",if(REGEXMATCH(C2497,""youtube"")=TRUE,""Youtube"",if(REGEXMATCH(C2497,""tiktok"")=TRUE,""Tiktok"",if("&amp;"REGEXMATCH(C2497,""threads"")=TRUE,""Threads""))))))"),"Youtube")</f>
        <v>Youtube</v>
      </c>
      <c r="G2497" s="41" t="s">
        <v>4237</v>
      </c>
      <c r="H2497" s="52" t="s">
        <v>779</v>
      </c>
      <c r="I2497" s="52" t="s">
        <v>535</v>
      </c>
      <c r="J2497" s="41" t="s">
        <v>188</v>
      </c>
      <c r="K2497" s="41" t="s">
        <v>1611</v>
      </c>
      <c r="L2497" s="42"/>
    </row>
    <row r="2498">
      <c r="A2498" s="18">
        <v>2497.0</v>
      </c>
      <c r="B2498" s="64" t="s">
        <v>4221</v>
      </c>
      <c r="C2498" s="40" t="s">
        <v>4238</v>
      </c>
      <c r="D2498" s="41"/>
      <c r="E2498" s="41" t="s">
        <v>4213</v>
      </c>
      <c r="F2498" s="18" t="str">
        <f>IFERROR(__xludf.DUMMYFUNCTION("if(REGEXMATCH(C2498,""x.com"")=TRUE,""Twitter"",if(REGEXMATCH(C2498,""facebook"")=TRUE,""Facebook"",if(REGEXMATCH(C2498,""instagram"")=TRUE,""Instagram"",if(REGEXMATCH(C2498,""youtube"")=TRUE,""Youtube"",if(REGEXMATCH(C2498,""tiktok"")=TRUE,""Tiktok"",if("&amp;"REGEXMATCH(C2498,""threads"")=TRUE,""Threads""))))))"),"Facebook")</f>
        <v>Facebook</v>
      </c>
      <c r="G2498" s="41" t="s">
        <v>4239</v>
      </c>
      <c r="H2498" s="52" t="s">
        <v>779</v>
      </c>
      <c r="I2498" s="52" t="s">
        <v>535</v>
      </c>
      <c r="J2498" s="41" t="s">
        <v>188</v>
      </c>
      <c r="K2498" s="41"/>
      <c r="L2498" s="42"/>
    </row>
    <row r="2499">
      <c r="A2499" s="18">
        <v>2498.0</v>
      </c>
      <c r="B2499" s="64" t="s">
        <v>4221</v>
      </c>
      <c r="C2499" s="40" t="s">
        <v>4240</v>
      </c>
      <c r="D2499" s="41"/>
      <c r="E2499" s="41" t="s">
        <v>197</v>
      </c>
      <c r="F2499" s="18" t="str">
        <f>IFERROR(__xludf.DUMMYFUNCTION("if(REGEXMATCH(C2499,""x.com"")=TRUE,""Twitter"",if(REGEXMATCH(C2499,""facebook"")=TRUE,""Facebook"",if(REGEXMATCH(C2499,""instagram"")=TRUE,""Instagram"",if(REGEXMATCH(C2499,""youtube"")=TRUE,""Youtube"",if(REGEXMATCH(C2499,""tiktok"")=TRUE,""Tiktok"",if("&amp;"REGEXMATCH(C2499,""threads"")=TRUE,""Threads""))))))"),"Facebook")</f>
        <v>Facebook</v>
      </c>
      <c r="G2499" s="70" t="s">
        <v>4241</v>
      </c>
      <c r="H2499" s="52" t="s">
        <v>779</v>
      </c>
      <c r="I2499" s="52" t="s">
        <v>535</v>
      </c>
      <c r="J2499" s="41" t="s">
        <v>188</v>
      </c>
      <c r="K2499" s="41"/>
      <c r="L2499" s="42"/>
    </row>
    <row r="2500">
      <c r="A2500" s="18">
        <v>2499.0</v>
      </c>
      <c r="B2500" s="64" t="s">
        <v>4221</v>
      </c>
      <c r="C2500" s="40" t="s">
        <v>4242</v>
      </c>
      <c r="D2500" s="41"/>
      <c r="E2500" s="41" t="s">
        <v>4213</v>
      </c>
      <c r="F2500" s="18" t="str">
        <f>IFERROR(__xludf.DUMMYFUNCTION("if(REGEXMATCH(C2500,""x.com"")=TRUE,""Twitter"",if(REGEXMATCH(C2500,""facebook"")=TRUE,""Facebook"",if(REGEXMATCH(C2500,""instagram"")=TRUE,""Instagram"",if(REGEXMATCH(C2500,""youtube"")=TRUE,""Youtube"",if(REGEXMATCH(C2500,""tiktok"")=TRUE,""Tiktok"",if("&amp;"REGEXMATCH(C2500,""threads"")=TRUE,""Threads""))))))"),"Facebook")</f>
        <v>Facebook</v>
      </c>
      <c r="G2500" s="44" t="s">
        <v>4243</v>
      </c>
      <c r="H2500" s="52" t="s">
        <v>779</v>
      </c>
      <c r="I2500" s="52" t="s">
        <v>535</v>
      </c>
      <c r="J2500" s="41" t="s">
        <v>188</v>
      </c>
      <c r="K2500" s="41"/>
      <c r="L2500" s="42"/>
    </row>
    <row r="2501">
      <c r="A2501" s="18">
        <v>2500.0</v>
      </c>
      <c r="B2501" s="64" t="s">
        <v>4221</v>
      </c>
      <c r="C2501" s="40" t="s">
        <v>4244</v>
      </c>
      <c r="D2501" s="41"/>
      <c r="E2501" s="41" t="s">
        <v>4213</v>
      </c>
      <c r="F2501" s="18" t="str">
        <f>IFERROR(__xludf.DUMMYFUNCTION("if(REGEXMATCH(C2501,""x.com"")=TRUE,""Twitter"",if(REGEXMATCH(C2501,""facebook"")=TRUE,""Facebook"",if(REGEXMATCH(C2501,""instagram"")=TRUE,""Instagram"",if(REGEXMATCH(C2501,""youtube"")=TRUE,""Youtube"",if(REGEXMATCH(C2501,""tiktok"")=TRUE,""Tiktok"",if("&amp;"REGEXMATCH(C2501,""threads"")=TRUE,""Threads""))))))"),"Facebook")</f>
        <v>Facebook</v>
      </c>
      <c r="G2501" s="41" t="s">
        <v>4245</v>
      </c>
      <c r="H2501" s="52" t="s">
        <v>779</v>
      </c>
      <c r="I2501" s="52" t="s">
        <v>535</v>
      </c>
      <c r="J2501" s="41" t="s">
        <v>188</v>
      </c>
      <c r="K2501" s="41"/>
      <c r="L2501" s="42"/>
    </row>
    <row r="2502">
      <c r="A2502" s="18">
        <v>2501.0</v>
      </c>
      <c r="B2502" s="64" t="s">
        <v>4221</v>
      </c>
      <c r="C2502" s="40" t="s">
        <v>4246</v>
      </c>
      <c r="D2502" s="41"/>
      <c r="E2502" s="41" t="s">
        <v>4213</v>
      </c>
      <c r="F2502" s="18" t="str">
        <f>IFERROR(__xludf.DUMMYFUNCTION("if(REGEXMATCH(C2502,""x.com"")=TRUE,""Twitter"",if(REGEXMATCH(C2502,""facebook"")=TRUE,""Facebook"",if(REGEXMATCH(C2502,""instagram"")=TRUE,""Instagram"",if(REGEXMATCH(C2502,""youtube"")=TRUE,""Youtube"",if(REGEXMATCH(C2502,""tiktok"")=TRUE,""Tiktok"",if("&amp;"REGEXMATCH(C2502,""threads"")=TRUE,""Threads""))))))"),"Facebook")</f>
        <v>Facebook</v>
      </c>
      <c r="G2502" s="70" t="s">
        <v>4247</v>
      </c>
      <c r="H2502" s="52" t="s">
        <v>779</v>
      </c>
      <c r="I2502" s="52" t="s">
        <v>535</v>
      </c>
      <c r="J2502" s="41" t="s">
        <v>188</v>
      </c>
      <c r="K2502" s="41"/>
      <c r="L2502" s="42"/>
    </row>
    <row r="2503">
      <c r="A2503" s="18">
        <v>2502.0</v>
      </c>
      <c r="B2503" s="64" t="s">
        <v>4221</v>
      </c>
      <c r="C2503" s="40" t="s">
        <v>4248</v>
      </c>
      <c r="D2503" s="41"/>
      <c r="E2503" s="41" t="s">
        <v>4193</v>
      </c>
      <c r="F2503" s="18" t="str">
        <f>IFERROR(__xludf.DUMMYFUNCTION("if(REGEXMATCH(C2503,""x.com"")=TRUE,""Twitter"",if(REGEXMATCH(C2503,""facebook"")=TRUE,""Facebook"",if(REGEXMATCH(C2503,""instagram"")=TRUE,""Instagram"",if(REGEXMATCH(C2503,""youtube"")=TRUE,""Youtube"",if(REGEXMATCH(C2503,""tiktok"")=TRUE,""Tiktok"",if("&amp;"REGEXMATCH(C2503,""threads"")=TRUE,""Threads""))))))"),"Facebook")</f>
        <v>Facebook</v>
      </c>
      <c r="G2503" s="70" t="s">
        <v>4249</v>
      </c>
      <c r="H2503" s="52" t="s">
        <v>779</v>
      </c>
      <c r="I2503" s="52" t="s">
        <v>535</v>
      </c>
      <c r="J2503" s="41" t="s">
        <v>188</v>
      </c>
      <c r="K2503" s="41"/>
      <c r="L2503" s="42"/>
    </row>
    <row r="2504">
      <c r="A2504" s="18">
        <v>2503.0</v>
      </c>
      <c r="B2504" s="64" t="s">
        <v>4221</v>
      </c>
      <c r="C2504" s="40" t="s">
        <v>4250</v>
      </c>
      <c r="D2504" s="41"/>
      <c r="E2504" s="41" t="s">
        <v>1178</v>
      </c>
      <c r="F2504" s="18" t="str">
        <f>IFERROR(__xludf.DUMMYFUNCTION("if(REGEXMATCH(C2504,""x.com"")=TRUE,""Twitter"",if(REGEXMATCH(C2504,""facebook"")=TRUE,""Facebook"",if(REGEXMATCH(C2504,""instagram"")=TRUE,""Instagram"",if(REGEXMATCH(C2504,""youtube"")=TRUE,""Youtube"",if(REGEXMATCH(C2504,""tiktok"")=TRUE,""Tiktok"",if("&amp;"REGEXMATCH(C2504,""threads"")=TRUE,""Threads""))))))"),"Facebook")</f>
        <v>Facebook</v>
      </c>
      <c r="G2504" s="41" t="s">
        <v>4251</v>
      </c>
      <c r="H2504" s="52" t="s">
        <v>779</v>
      </c>
      <c r="I2504" s="52" t="s">
        <v>535</v>
      </c>
      <c r="J2504" s="41" t="s">
        <v>188</v>
      </c>
      <c r="K2504" s="41"/>
      <c r="L2504" s="42"/>
    </row>
    <row r="2505">
      <c r="A2505" s="18">
        <v>2504.0</v>
      </c>
      <c r="B2505" s="64" t="s">
        <v>4221</v>
      </c>
      <c r="C2505" s="40" t="s">
        <v>4252</v>
      </c>
      <c r="D2505" s="41"/>
      <c r="E2505" s="41" t="s">
        <v>197</v>
      </c>
      <c r="F2505" s="18" t="str">
        <f>IFERROR(__xludf.DUMMYFUNCTION("if(REGEXMATCH(C2505,""x.com"")=TRUE,""Twitter"",if(REGEXMATCH(C2505,""facebook"")=TRUE,""Facebook"",if(REGEXMATCH(C2505,""instagram"")=TRUE,""Instagram"",if(REGEXMATCH(C2505,""youtube"")=TRUE,""Youtube"",if(REGEXMATCH(C2505,""tiktok"")=TRUE,""Tiktok"",if("&amp;"REGEXMATCH(C2505,""threads"")=TRUE,""Threads""))))))"),"Twitter")</f>
        <v>Twitter</v>
      </c>
      <c r="G2505" s="41" t="s">
        <v>4253</v>
      </c>
      <c r="H2505" s="52" t="s">
        <v>779</v>
      </c>
      <c r="I2505" s="52" t="s">
        <v>535</v>
      </c>
      <c r="J2505" s="41" t="s">
        <v>188</v>
      </c>
      <c r="K2505" s="41"/>
      <c r="L2505" s="42"/>
    </row>
    <row r="2506">
      <c r="A2506" s="18">
        <v>2505.0</v>
      </c>
      <c r="B2506" s="64" t="s">
        <v>4221</v>
      </c>
      <c r="C2506" s="44" t="s">
        <v>4254</v>
      </c>
      <c r="D2506" s="41"/>
      <c r="E2506" s="41" t="s">
        <v>372</v>
      </c>
      <c r="F2506" s="18" t="str">
        <f>IFERROR(__xludf.DUMMYFUNCTION("if(REGEXMATCH(C2506,""x.com"")=TRUE,""Twitter"",if(REGEXMATCH(C2506,""facebook"")=TRUE,""Facebook"",if(REGEXMATCH(C2506,""instagram"")=TRUE,""Instagram"",if(REGEXMATCH(C2506,""youtube"")=TRUE,""Youtube"",if(REGEXMATCH(C2506,""tiktok"")=TRUE,""Tiktok"",if("&amp;"REGEXMATCH(C2506,""threads"")=TRUE,""Threads""))))))"),"Youtube")</f>
        <v>Youtube</v>
      </c>
      <c r="G2506" s="41" t="s">
        <v>4255</v>
      </c>
      <c r="H2506" s="52" t="s">
        <v>779</v>
      </c>
      <c r="I2506" s="52" t="s">
        <v>535</v>
      </c>
      <c r="J2506" s="41" t="s">
        <v>188</v>
      </c>
      <c r="K2506" s="41"/>
      <c r="L2506" s="42"/>
    </row>
    <row r="2507">
      <c r="A2507" s="18">
        <v>2506.0</v>
      </c>
      <c r="B2507" s="64" t="s">
        <v>4221</v>
      </c>
      <c r="C2507" s="44" t="s">
        <v>4256</v>
      </c>
      <c r="D2507" s="41"/>
      <c r="E2507" s="41" t="s">
        <v>4213</v>
      </c>
      <c r="F2507" s="18" t="str">
        <f>IFERROR(__xludf.DUMMYFUNCTION("if(REGEXMATCH(C2507,""x.com"")=TRUE,""Twitter"",if(REGEXMATCH(C2507,""facebook"")=TRUE,""Facebook"",if(REGEXMATCH(C2507,""instagram"")=TRUE,""Instagram"",if(REGEXMATCH(C2507,""youtube"")=TRUE,""Youtube"",if(REGEXMATCH(C2507,""tiktok"")=TRUE,""Tiktok"",if("&amp;"REGEXMATCH(C2507,""threads"")=TRUE,""Threads""))))))"),"Youtube")</f>
        <v>Youtube</v>
      </c>
      <c r="G2507" s="41" t="s">
        <v>4257</v>
      </c>
      <c r="H2507" s="52" t="s">
        <v>779</v>
      </c>
      <c r="I2507" s="52" t="s">
        <v>535</v>
      </c>
      <c r="J2507" s="41" t="s">
        <v>188</v>
      </c>
      <c r="K2507" s="41"/>
      <c r="L2507" s="42"/>
    </row>
    <row r="2508">
      <c r="A2508" s="18">
        <v>2507.0</v>
      </c>
      <c r="B2508" s="64" t="s">
        <v>4221</v>
      </c>
      <c r="C2508" s="40" t="s">
        <v>4258</v>
      </c>
      <c r="D2508" s="41"/>
      <c r="E2508" s="41" t="s">
        <v>1385</v>
      </c>
      <c r="F2508" s="18" t="str">
        <f>IFERROR(__xludf.DUMMYFUNCTION("if(REGEXMATCH(C2508,""x.com"")=TRUE,""Twitter"",if(REGEXMATCH(C2508,""facebook"")=TRUE,""Facebook"",if(REGEXMATCH(C2508,""instagram"")=TRUE,""Instagram"",if(REGEXMATCH(C2508,""youtube"")=TRUE,""Youtube"",if(REGEXMATCH(C2508,""tiktok"")=TRUE,""Tiktok"",if("&amp;"REGEXMATCH(C2508,""threads"")=TRUE,""Threads""))))))"),"Facebook")</f>
        <v>Facebook</v>
      </c>
      <c r="G2508" s="41" t="s">
        <v>4259</v>
      </c>
      <c r="H2508" s="52" t="s">
        <v>779</v>
      </c>
      <c r="I2508" s="52" t="s">
        <v>535</v>
      </c>
      <c r="J2508" s="41" t="s">
        <v>188</v>
      </c>
      <c r="K2508" s="41"/>
      <c r="L2508" s="42"/>
    </row>
    <row r="2509">
      <c r="A2509" s="18">
        <v>2508.0</v>
      </c>
      <c r="B2509" s="64" t="s">
        <v>4221</v>
      </c>
      <c r="C2509" s="40" t="s">
        <v>4260</v>
      </c>
      <c r="D2509" s="41"/>
      <c r="E2509" s="41" t="s">
        <v>4213</v>
      </c>
      <c r="F2509" s="18" t="str">
        <f>IFERROR(__xludf.DUMMYFUNCTION("if(REGEXMATCH(C2509,""x.com"")=TRUE,""Twitter"",if(REGEXMATCH(C2509,""facebook"")=TRUE,""Facebook"",if(REGEXMATCH(C2509,""instagram"")=TRUE,""Instagram"",if(REGEXMATCH(C2509,""youtube"")=TRUE,""Youtube"",if(REGEXMATCH(C2509,""tiktok"")=TRUE,""Tiktok"",if("&amp;"REGEXMATCH(C2509,""threads"")=TRUE,""Threads""))))))"),"Facebook")</f>
        <v>Facebook</v>
      </c>
      <c r="G2509" s="41" t="s">
        <v>4261</v>
      </c>
      <c r="H2509" s="52" t="s">
        <v>779</v>
      </c>
      <c r="I2509" s="52" t="s">
        <v>535</v>
      </c>
      <c r="J2509" s="41" t="s">
        <v>188</v>
      </c>
      <c r="K2509" s="41"/>
      <c r="L2509" s="42"/>
    </row>
    <row r="2510">
      <c r="A2510" s="18">
        <v>2509.0</v>
      </c>
      <c r="B2510" s="64" t="s">
        <v>4221</v>
      </c>
      <c r="C2510" s="40" t="s">
        <v>4262</v>
      </c>
      <c r="D2510" s="41"/>
      <c r="E2510" s="41" t="s">
        <v>447</v>
      </c>
      <c r="F2510" s="18" t="str">
        <f>IFERROR(__xludf.DUMMYFUNCTION("if(REGEXMATCH(C2510,""x.com"")=TRUE,""Twitter"",if(REGEXMATCH(C2510,""facebook"")=TRUE,""Facebook"",if(REGEXMATCH(C2510,""instagram"")=TRUE,""Instagram"",if(REGEXMATCH(C2510,""youtube"")=TRUE,""Youtube"",if(REGEXMATCH(C2510,""tiktok"")=TRUE,""Tiktok"",if("&amp;"REGEXMATCH(C2510,""threads"")=TRUE,""Threads""))))))"),"Facebook")</f>
        <v>Facebook</v>
      </c>
      <c r="G2510" s="44" t="s">
        <v>4263</v>
      </c>
      <c r="H2510" s="52" t="s">
        <v>779</v>
      </c>
      <c r="I2510" s="52" t="s">
        <v>535</v>
      </c>
      <c r="J2510" s="41" t="s">
        <v>188</v>
      </c>
      <c r="K2510" s="41"/>
      <c r="L2510" s="42"/>
    </row>
    <row r="2511">
      <c r="A2511" s="18">
        <v>2510.0</v>
      </c>
      <c r="B2511" s="64" t="s">
        <v>4221</v>
      </c>
      <c r="C2511" s="40" t="s">
        <v>4264</v>
      </c>
      <c r="D2511" s="41"/>
      <c r="E2511" s="41" t="s">
        <v>401</v>
      </c>
      <c r="F2511" s="18" t="str">
        <f>IFERROR(__xludf.DUMMYFUNCTION("if(REGEXMATCH(C2511,""x.com"")=TRUE,""Twitter"",if(REGEXMATCH(C2511,""facebook"")=TRUE,""Facebook"",if(REGEXMATCH(C2511,""instagram"")=TRUE,""Instagram"",if(REGEXMATCH(C2511,""youtube"")=TRUE,""Youtube"",if(REGEXMATCH(C2511,""tiktok"")=TRUE,""Tiktok"",if("&amp;"REGEXMATCH(C2511,""threads"")=TRUE,""Threads""))))))"),"Facebook")</f>
        <v>Facebook</v>
      </c>
      <c r="G2511" s="41" t="s">
        <v>937</v>
      </c>
      <c r="H2511" s="41" t="s">
        <v>1542</v>
      </c>
      <c r="I2511" s="41" t="s">
        <v>939</v>
      </c>
      <c r="J2511" s="41" t="s">
        <v>188</v>
      </c>
      <c r="K2511" s="41"/>
      <c r="L2511" s="42"/>
    </row>
    <row r="2512">
      <c r="A2512" s="18">
        <v>2511.0</v>
      </c>
      <c r="B2512" s="64" t="s">
        <v>4221</v>
      </c>
      <c r="C2512" s="44" t="s">
        <v>4265</v>
      </c>
      <c r="D2512" s="41"/>
      <c r="E2512" s="41" t="s">
        <v>401</v>
      </c>
      <c r="F2512" s="18" t="str">
        <f>IFERROR(__xludf.DUMMYFUNCTION("if(REGEXMATCH(C2512,""x.com"")=TRUE,""Twitter"",if(REGEXMATCH(C2512,""facebook"")=TRUE,""Facebook"",if(REGEXMATCH(C2512,""instagram"")=TRUE,""Instagram"",if(REGEXMATCH(C2512,""youtube"")=TRUE,""Youtube"",if(REGEXMATCH(C2512,""tiktok"")=TRUE,""Tiktok"",if("&amp;"REGEXMATCH(C2512,""threads"")=TRUE,""Threads""))))))"),"Facebook")</f>
        <v>Facebook</v>
      </c>
      <c r="G2512" s="41" t="s">
        <v>937</v>
      </c>
      <c r="H2512" s="41" t="s">
        <v>1542</v>
      </c>
      <c r="I2512" s="41" t="s">
        <v>939</v>
      </c>
      <c r="J2512" s="41" t="s">
        <v>188</v>
      </c>
      <c r="K2512" s="41"/>
      <c r="L2512" s="42"/>
    </row>
    <row r="2513">
      <c r="A2513" s="18">
        <v>2512.0</v>
      </c>
      <c r="B2513" s="64" t="s">
        <v>4221</v>
      </c>
      <c r="C2513" s="40" t="s">
        <v>4266</v>
      </c>
      <c r="D2513" s="41"/>
      <c r="E2513" s="41" t="s">
        <v>401</v>
      </c>
      <c r="F2513" s="18" t="str">
        <f>IFERROR(__xludf.DUMMYFUNCTION("if(REGEXMATCH(C2513,""x.com"")=TRUE,""Twitter"",if(REGEXMATCH(C2513,""facebook"")=TRUE,""Facebook"",if(REGEXMATCH(C2513,""instagram"")=TRUE,""Instagram"",if(REGEXMATCH(C2513,""youtube"")=TRUE,""Youtube"",if(REGEXMATCH(C2513,""tiktok"")=TRUE,""Tiktok"",if("&amp;"REGEXMATCH(C2513,""threads"")=TRUE,""Threads""))))))"),"Facebook")</f>
        <v>Facebook</v>
      </c>
      <c r="G2513" s="41" t="s">
        <v>937</v>
      </c>
      <c r="H2513" s="41" t="s">
        <v>1542</v>
      </c>
      <c r="I2513" s="41" t="s">
        <v>939</v>
      </c>
      <c r="J2513" s="41" t="s">
        <v>188</v>
      </c>
      <c r="K2513" s="41"/>
      <c r="L2513" s="42"/>
    </row>
    <row r="2514">
      <c r="A2514" s="18">
        <v>2513.0</v>
      </c>
      <c r="B2514" s="64" t="s">
        <v>4221</v>
      </c>
      <c r="C2514" s="40" t="s">
        <v>4267</v>
      </c>
      <c r="D2514" s="41"/>
      <c r="E2514" s="41" t="s">
        <v>401</v>
      </c>
      <c r="F2514" s="18" t="str">
        <f>IFERROR(__xludf.DUMMYFUNCTION("if(REGEXMATCH(C2514,""x.com"")=TRUE,""Twitter"",if(REGEXMATCH(C2514,""facebook"")=TRUE,""Facebook"",if(REGEXMATCH(C2514,""instagram"")=TRUE,""Instagram"",if(REGEXMATCH(C2514,""youtube"")=TRUE,""Youtube"",if(REGEXMATCH(C2514,""tiktok"")=TRUE,""Tiktok"",if("&amp;"REGEXMATCH(C2514,""threads"")=TRUE,""Threads""))))))"),"Facebook")</f>
        <v>Facebook</v>
      </c>
      <c r="G2514" s="41" t="s">
        <v>937</v>
      </c>
      <c r="H2514" s="41" t="s">
        <v>1542</v>
      </c>
      <c r="I2514" s="41" t="s">
        <v>939</v>
      </c>
      <c r="J2514" s="41" t="s">
        <v>188</v>
      </c>
      <c r="K2514" s="41"/>
      <c r="L2514" s="42"/>
    </row>
    <row r="2515">
      <c r="A2515" s="18">
        <v>2514.0</v>
      </c>
      <c r="B2515" s="64" t="s">
        <v>4221</v>
      </c>
      <c r="C2515" s="40" t="s">
        <v>4268</v>
      </c>
      <c r="D2515" s="41"/>
      <c r="E2515" s="41" t="s">
        <v>401</v>
      </c>
      <c r="F2515" s="18" t="str">
        <f>IFERROR(__xludf.DUMMYFUNCTION("if(REGEXMATCH(C2515,""x.com"")=TRUE,""Twitter"",if(REGEXMATCH(C2515,""facebook"")=TRUE,""Facebook"",if(REGEXMATCH(C2515,""instagram"")=TRUE,""Instagram"",if(REGEXMATCH(C2515,""youtube"")=TRUE,""Youtube"",if(REGEXMATCH(C2515,""tiktok"")=TRUE,""Tiktok"",if("&amp;"REGEXMATCH(C2515,""threads"")=TRUE,""Threads""))))))"),"Facebook")</f>
        <v>Facebook</v>
      </c>
      <c r="G2515" s="41" t="s">
        <v>937</v>
      </c>
      <c r="H2515" s="41" t="s">
        <v>1542</v>
      </c>
      <c r="I2515" s="41" t="s">
        <v>939</v>
      </c>
      <c r="J2515" s="41" t="s">
        <v>188</v>
      </c>
      <c r="K2515" s="41"/>
      <c r="L2515" s="42"/>
    </row>
    <row r="2516">
      <c r="A2516" s="18">
        <v>2515.0</v>
      </c>
      <c r="B2516" s="64" t="s">
        <v>4221</v>
      </c>
      <c r="C2516" s="40" t="s">
        <v>4269</v>
      </c>
      <c r="D2516" s="41"/>
      <c r="E2516" s="41" t="s">
        <v>401</v>
      </c>
      <c r="F2516" s="18" t="str">
        <f>IFERROR(__xludf.DUMMYFUNCTION("if(REGEXMATCH(C2516,""x.com"")=TRUE,""Twitter"",if(REGEXMATCH(C2516,""facebook"")=TRUE,""Facebook"",if(REGEXMATCH(C2516,""instagram"")=TRUE,""Instagram"",if(REGEXMATCH(C2516,""youtube"")=TRUE,""Youtube"",if(REGEXMATCH(C2516,""tiktok"")=TRUE,""Tiktok"",if("&amp;"REGEXMATCH(C2516,""threads"")=TRUE,""Threads""))))))"),"Facebook")</f>
        <v>Facebook</v>
      </c>
      <c r="G2516" s="41" t="s">
        <v>937</v>
      </c>
      <c r="H2516" s="41" t="s">
        <v>1542</v>
      </c>
      <c r="I2516" s="41" t="s">
        <v>939</v>
      </c>
      <c r="J2516" s="41" t="s">
        <v>188</v>
      </c>
      <c r="K2516" s="41"/>
      <c r="L2516" s="42"/>
    </row>
    <row r="2517">
      <c r="A2517" s="18">
        <v>2516.0</v>
      </c>
      <c r="B2517" s="64" t="s">
        <v>4221</v>
      </c>
      <c r="C2517" s="47" t="s">
        <v>4270</v>
      </c>
      <c r="D2517" s="41"/>
      <c r="E2517" s="41" t="s">
        <v>401</v>
      </c>
      <c r="F2517" s="18" t="str">
        <f>IFERROR(__xludf.DUMMYFUNCTION("if(REGEXMATCH(C2517,""x.com"")=TRUE,""Twitter"",if(REGEXMATCH(C2517,""facebook"")=TRUE,""Facebook"",if(REGEXMATCH(C2517,""instagram"")=TRUE,""Instagram"",if(REGEXMATCH(C2517,""youtube"")=TRUE,""Youtube"",if(REGEXMATCH(C2517,""tiktok"")=TRUE,""Tiktok"",if("&amp;"REGEXMATCH(C2517,""threads"")=TRUE,""Threads""))))))"),"Facebook")</f>
        <v>Facebook</v>
      </c>
      <c r="G2517" s="41" t="s">
        <v>937</v>
      </c>
      <c r="H2517" s="41" t="s">
        <v>1542</v>
      </c>
      <c r="I2517" s="41" t="s">
        <v>939</v>
      </c>
      <c r="J2517" s="41" t="s">
        <v>188</v>
      </c>
      <c r="K2517" s="41"/>
      <c r="L2517" s="42"/>
    </row>
    <row r="2518">
      <c r="A2518" s="18">
        <v>2517.0</v>
      </c>
      <c r="B2518" s="64" t="s">
        <v>4221</v>
      </c>
      <c r="C2518" s="47" t="s">
        <v>4271</v>
      </c>
      <c r="D2518" s="41"/>
      <c r="E2518" s="41" t="s">
        <v>401</v>
      </c>
      <c r="F2518" s="18" t="str">
        <f>IFERROR(__xludf.DUMMYFUNCTION("if(REGEXMATCH(C2518,""x.com"")=TRUE,""Twitter"",if(REGEXMATCH(C2518,""facebook"")=TRUE,""Facebook"",if(REGEXMATCH(C2518,""instagram"")=TRUE,""Instagram"",if(REGEXMATCH(C2518,""youtube"")=TRUE,""Youtube"",if(REGEXMATCH(C2518,""tiktok"")=TRUE,""Tiktok"",if("&amp;"REGEXMATCH(C2518,""threads"")=TRUE,""Threads""))))))"),"Facebook")</f>
        <v>Facebook</v>
      </c>
      <c r="G2518" s="41" t="s">
        <v>937</v>
      </c>
      <c r="H2518" s="41" t="s">
        <v>1542</v>
      </c>
      <c r="I2518" s="41" t="s">
        <v>939</v>
      </c>
      <c r="J2518" s="41" t="s">
        <v>188</v>
      </c>
      <c r="K2518" s="41"/>
      <c r="L2518" s="42"/>
    </row>
    <row r="2519">
      <c r="A2519" s="18">
        <v>2518.0</v>
      </c>
      <c r="B2519" s="64" t="s">
        <v>4221</v>
      </c>
      <c r="C2519" s="47" t="s">
        <v>4272</v>
      </c>
      <c r="D2519" s="41"/>
      <c r="E2519" s="41" t="s">
        <v>401</v>
      </c>
      <c r="F2519" s="18" t="str">
        <f>IFERROR(__xludf.DUMMYFUNCTION("if(REGEXMATCH(C2519,""x.com"")=TRUE,""Twitter"",if(REGEXMATCH(C2519,""facebook"")=TRUE,""Facebook"",if(REGEXMATCH(C2519,""instagram"")=TRUE,""Instagram"",if(REGEXMATCH(C2519,""youtube"")=TRUE,""Youtube"",if(REGEXMATCH(C2519,""tiktok"")=TRUE,""Tiktok"",if("&amp;"REGEXMATCH(C2519,""threads"")=TRUE,""Threads""))))))"),"Facebook")</f>
        <v>Facebook</v>
      </c>
      <c r="G2519" s="41" t="s">
        <v>937</v>
      </c>
      <c r="H2519" s="41" t="s">
        <v>1542</v>
      </c>
      <c r="I2519" s="41" t="s">
        <v>939</v>
      </c>
      <c r="J2519" s="41" t="s">
        <v>188</v>
      </c>
      <c r="K2519" s="41"/>
      <c r="L2519" s="42"/>
    </row>
    <row r="2520">
      <c r="A2520" s="18">
        <v>2519.0</v>
      </c>
      <c r="B2520" s="64" t="s">
        <v>4221</v>
      </c>
      <c r="C2520" s="47" t="s">
        <v>4273</v>
      </c>
      <c r="D2520" s="41"/>
      <c r="E2520" s="41" t="s">
        <v>401</v>
      </c>
      <c r="F2520" s="18" t="str">
        <f>IFERROR(__xludf.DUMMYFUNCTION("if(REGEXMATCH(C2520,""x.com"")=TRUE,""Twitter"",if(REGEXMATCH(C2520,""facebook"")=TRUE,""Facebook"",if(REGEXMATCH(C2520,""instagram"")=TRUE,""Instagram"",if(REGEXMATCH(C2520,""youtube"")=TRUE,""Youtube"",if(REGEXMATCH(C2520,""tiktok"")=TRUE,""Tiktok"",if("&amp;"REGEXMATCH(C2520,""threads"")=TRUE,""Threads""))))))"),"Facebook")</f>
        <v>Facebook</v>
      </c>
      <c r="G2520" s="41" t="s">
        <v>937</v>
      </c>
      <c r="H2520" s="41" t="s">
        <v>1542</v>
      </c>
      <c r="I2520" s="41" t="s">
        <v>939</v>
      </c>
      <c r="J2520" s="41" t="s">
        <v>188</v>
      </c>
      <c r="K2520" s="41"/>
      <c r="L2520" s="42"/>
    </row>
    <row r="2521">
      <c r="A2521" s="18">
        <v>2520.0</v>
      </c>
      <c r="B2521" s="64" t="s">
        <v>4221</v>
      </c>
      <c r="C2521" s="40" t="s">
        <v>4274</v>
      </c>
      <c r="D2521" s="41"/>
      <c r="E2521" s="41" t="s">
        <v>401</v>
      </c>
      <c r="F2521" s="18" t="str">
        <f>IFERROR(__xludf.DUMMYFUNCTION("if(REGEXMATCH(C2521,""x.com"")=TRUE,""Twitter"",if(REGEXMATCH(C2521,""facebook"")=TRUE,""Facebook"",if(REGEXMATCH(C2521,""instagram"")=TRUE,""Instagram"",if(REGEXMATCH(C2521,""youtube"")=TRUE,""Youtube"",if(REGEXMATCH(C2521,""tiktok"")=TRUE,""Tiktok"",if("&amp;"REGEXMATCH(C2521,""threads"")=TRUE,""Threads""))))))"),"Facebook")</f>
        <v>Facebook</v>
      </c>
      <c r="G2521" s="41" t="s">
        <v>937</v>
      </c>
      <c r="H2521" s="41" t="s">
        <v>1542</v>
      </c>
      <c r="I2521" s="41" t="s">
        <v>939</v>
      </c>
      <c r="J2521" s="41" t="s">
        <v>188</v>
      </c>
      <c r="K2521" s="41"/>
      <c r="L2521" s="42"/>
    </row>
    <row r="2522">
      <c r="A2522" s="18">
        <v>2521.0</v>
      </c>
      <c r="B2522" s="64" t="s">
        <v>4221</v>
      </c>
      <c r="C2522" s="40" t="s">
        <v>4275</v>
      </c>
      <c r="D2522" s="41"/>
      <c r="E2522" s="41" t="s">
        <v>401</v>
      </c>
      <c r="F2522" s="18" t="str">
        <f>IFERROR(__xludf.DUMMYFUNCTION("if(REGEXMATCH(C2522,""x.com"")=TRUE,""Twitter"",if(REGEXMATCH(C2522,""facebook"")=TRUE,""Facebook"",if(REGEXMATCH(C2522,""instagram"")=TRUE,""Instagram"",if(REGEXMATCH(C2522,""youtube"")=TRUE,""Youtube"",if(REGEXMATCH(C2522,""tiktok"")=TRUE,""Tiktok"",if("&amp;"REGEXMATCH(C2522,""threads"")=TRUE,""Threads""))))))"),"Facebook")</f>
        <v>Facebook</v>
      </c>
      <c r="G2522" s="41" t="s">
        <v>937</v>
      </c>
      <c r="H2522" s="41" t="s">
        <v>1542</v>
      </c>
      <c r="I2522" s="41" t="s">
        <v>939</v>
      </c>
      <c r="J2522" s="41" t="s">
        <v>188</v>
      </c>
      <c r="K2522" s="41"/>
      <c r="L2522" s="42"/>
    </row>
    <row r="2523">
      <c r="A2523" s="18">
        <v>2522.0</v>
      </c>
      <c r="B2523" s="64" t="s">
        <v>4221</v>
      </c>
      <c r="C2523" s="40" t="s">
        <v>4276</v>
      </c>
      <c r="D2523" s="41"/>
      <c r="E2523" s="41" t="s">
        <v>401</v>
      </c>
      <c r="F2523" s="18" t="str">
        <f>IFERROR(__xludf.DUMMYFUNCTION("if(REGEXMATCH(C2523,""x.com"")=TRUE,""Twitter"",if(REGEXMATCH(C2523,""facebook"")=TRUE,""Facebook"",if(REGEXMATCH(C2523,""instagram"")=TRUE,""Instagram"",if(REGEXMATCH(C2523,""youtube"")=TRUE,""Youtube"",if(REGEXMATCH(C2523,""tiktok"")=TRUE,""Tiktok"",if("&amp;"REGEXMATCH(C2523,""threads"")=TRUE,""Threads""))))))"),"Facebook")</f>
        <v>Facebook</v>
      </c>
      <c r="G2523" s="41" t="s">
        <v>937</v>
      </c>
      <c r="H2523" s="41" t="s">
        <v>1542</v>
      </c>
      <c r="I2523" s="41" t="s">
        <v>939</v>
      </c>
      <c r="J2523" s="41" t="s">
        <v>188</v>
      </c>
      <c r="K2523" s="41"/>
      <c r="L2523" s="42"/>
    </row>
    <row r="2524">
      <c r="A2524" s="18">
        <v>2523.0</v>
      </c>
      <c r="B2524" s="64" t="s">
        <v>4221</v>
      </c>
      <c r="C2524" s="40" t="s">
        <v>4277</v>
      </c>
      <c r="D2524" s="41"/>
      <c r="E2524" s="41" t="s">
        <v>401</v>
      </c>
      <c r="F2524" s="18" t="str">
        <f>IFERROR(__xludf.DUMMYFUNCTION("if(REGEXMATCH(C2524,""x.com"")=TRUE,""Twitter"",if(REGEXMATCH(C2524,""facebook"")=TRUE,""Facebook"",if(REGEXMATCH(C2524,""instagram"")=TRUE,""Instagram"",if(REGEXMATCH(C2524,""youtube"")=TRUE,""Youtube"",if(REGEXMATCH(C2524,""tiktok"")=TRUE,""Tiktok"",if("&amp;"REGEXMATCH(C2524,""threads"")=TRUE,""Threads""))))))"),"Facebook")</f>
        <v>Facebook</v>
      </c>
      <c r="G2524" s="41" t="s">
        <v>937</v>
      </c>
      <c r="H2524" s="41" t="s">
        <v>1542</v>
      </c>
      <c r="I2524" s="41" t="s">
        <v>939</v>
      </c>
      <c r="J2524" s="41" t="s">
        <v>188</v>
      </c>
      <c r="K2524" s="41"/>
      <c r="L2524" s="42"/>
    </row>
    <row r="2525">
      <c r="A2525" s="18">
        <v>2524.0</v>
      </c>
      <c r="B2525" s="64" t="s">
        <v>4221</v>
      </c>
      <c r="C2525" s="40" t="s">
        <v>4278</v>
      </c>
      <c r="D2525" s="41"/>
      <c r="E2525" s="41" t="s">
        <v>401</v>
      </c>
      <c r="F2525" s="18" t="str">
        <f>IFERROR(__xludf.DUMMYFUNCTION("if(REGEXMATCH(C2525,""x.com"")=TRUE,""Twitter"",if(REGEXMATCH(C2525,""facebook"")=TRUE,""Facebook"",if(REGEXMATCH(C2525,""instagram"")=TRUE,""Instagram"",if(REGEXMATCH(C2525,""youtube"")=TRUE,""Youtube"",if(REGEXMATCH(C2525,""tiktok"")=TRUE,""Tiktok"",if("&amp;"REGEXMATCH(C2525,""threads"")=TRUE,""Threads""))))))"),"Facebook")</f>
        <v>Facebook</v>
      </c>
      <c r="G2525" s="41" t="s">
        <v>937</v>
      </c>
      <c r="H2525" s="41" t="s">
        <v>1542</v>
      </c>
      <c r="I2525" s="41" t="s">
        <v>939</v>
      </c>
      <c r="J2525" s="41" t="s">
        <v>188</v>
      </c>
      <c r="K2525" s="41"/>
      <c r="L2525" s="42"/>
    </row>
    <row r="2526">
      <c r="A2526" s="18">
        <v>2525.0</v>
      </c>
      <c r="B2526" s="64" t="s">
        <v>4221</v>
      </c>
      <c r="C2526" s="40" t="s">
        <v>4279</v>
      </c>
      <c r="D2526" s="41"/>
      <c r="E2526" s="41" t="s">
        <v>401</v>
      </c>
      <c r="F2526" s="18" t="str">
        <f>IFERROR(__xludf.DUMMYFUNCTION("if(REGEXMATCH(C2526,""x.com"")=TRUE,""Twitter"",if(REGEXMATCH(C2526,""facebook"")=TRUE,""Facebook"",if(REGEXMATCH(C2526,""instagram"")=TRUE,""Instagram"",if(REGEXMATCH(C2526,""youtube"")=TRUE,""Youtube"",if(REGEXMATCH(C2526,""tiktok"")=TRUE,""Tiktok"",if("&amp;"REGEXMATCH(C2526,""threads"")=TRUE,""Threads""))))))"),"Facebook")</f>
        <v>Facebook</v>
      </c>
      <c r="G2526" s="41" t="s">
        <v>937</v>
      </c>
      <c r="H2526" s="41" t="s">
        <v>1542</v>
      </c>
      <c r="I2526" s="41" t="s">
        <v>939</v>
      </c>
      <c r="J2526" s="41" t="s">
        <v>188</v>
      </c>
      <c r="K2526" s="41"/>
      <c r="L2526" s="42"/>
    </row>
    <row r="2527">
      <c r="A2527" s="18">
        <v>2526.0</v>
      </c>
      <c r="B2527" s="64" t="s">
        <v>4221</v>
      </c>
      <c r="C2527" s="74" t="s">
        <v>4280</v>
      </c>
      <c r="D2527" s="41"/>
      <c r="E2527" s="52" t="s">
        <v>184</v>
      </c>
      <c r="F2527" s="65" t="str">
        <f>IFERROR(__xludf.DUMMYFUNCTION("if(REGEXMATCH(C2527,""x.com"")=TRUE,""Twitter"",if(REGEXMATCH(C2527,""facebook"")=TRUE,""Facebook"",if(REGEXMATCH(C2527,""instagram"")=TRUE,""Instagram"",if(REGEXMATCH(C2527,""youtube"")=TRUE,""Youtube"",if(REGEXMATCH(C2527,""tiktok"")=TRUE,""Tiktok"",if("&amp;"REGEXMATCH(C2527,""threads"")=TRUE,""Threads""))))))"),"Instagram")</f>
        <v>Instagram</v>
      </c>
      <c r="G2527" s="52" t="s">
        <v>4281</v>
      </c>
      <c r="H2527" s="52" t="s">
        <v>1974</v>
      </c>
      <c r="I2527" s="41"/>
      <c r="J2527" s="41" t="s">
        <v>188</v>
      </c>
      <c r="K2527" s="41"/>
      <c r="L2527" s="42"/>
    </row>
    <row r="2528">
      <c r="A2528" s="18">
        <v>2527.0</v>
      </c>
      <c r="B2528" s="64" t="s">
        <v>4282</v>
      </c>
      <c r="C2528" s="40" t="s">
        <v>4283</v>
      </c>
      <c r="D2528" s="41"/>
      <c r="E2528" s="41" t="s">
        <v>197</v>
      </c>
      <c r="F2528" s="41" t="str">
        <f>IFERROR(__xludf.DUMMYFUNCTION("if(REGEXMATCH(C2528,""x.com"")=TRUE,""Twitter"",if(REGEXMATCH(C2528,""facebook"")=TRUE,""Facebook"",if(REGEXMATCH(C2528,""instagram"")=TRUE,""Instagram"",if(REGEXMATCH(C2528,""youtube"")=TRUE,""Youtube"",if(REGEXMATCH(C2528,""tiktok"")=TRUE,""Tiktok"",if("&amp;"REGEXMATCH(C2528,""threads"")=TRUE,""Threads""))))))"),"Facebook")</f>
        <v>Facebook</v>
      </c>
      <c r="G2528" s="41" t="s">
        <v>4284</v>
      </c>
      <c r="H2528" s="52" t="s">
        <v>4285</v>
      </c>
      <c r="I2528" s="52" t="s">
        <v>4286</v>
      </c>
      <c r="J2528" s="41" t="s">
        <v>188</v>
      </c>
      <c r="K2528" s="41" t="s">
        <v>1611</v>
      </c>
      <c r="L2528" s="42"/>
    </row>
    <row r="2529">
      <c r="A2529" s="18">
        <v>2528.0</v>
      </c>
      <c r="B2529" s="64" t="s">
        <v>4282</v>
      </c>
      <c r="C2529" s="40" t="s">
        <v>4287</v>
      </c>
      <c r="D2529" s="41"/>
      <c r="E2529" s="41" t="s">
        <v>197</v>
      </c>
      <c r="F2529" s="41" t="str">
        <f>IFERROR(__xludf.DUMMYFUNCTION("if(REGEXMATCH(C2529,""x.com"")=TRUE,""Twitter"",if(REGEXMATCH(C2529,""facebook"")=TRUE,""Facebook"",if(REGEXMATCH(C2529,""instagram"")=TRUE,""Instagram"",if(REGEXMATCH(C2529,""youtube"")=TRUE,""Youtube"",if(REGEXMATCH(C2529,""tiktok"")=TRUE,""Tiktok"",if("&amp;"REGEXMATCH(C2529,""threads"")=TRUE,""Threads""))))))"),"Facebook")</f>
        <v>Facebook</v>
      </c>
      <c r="G2529" s="41" t="s">
        <v>4288</v>
      </c>
      <c r="H2529" s="52" t="s">
        <v>4285</v>
      </c>
      <c r="I2529" s="52" t="s">
        <v>4286</v>
      </c>
      <c r="J2529" s="41" t="s">
        <v>188</v>
      </c>
      <c r="K2529" s="41" t="s">
        <v>1611</v>
      </c>
      <c r="L2529" s="42"/>
    </row>
    <row r="2530">
      <c r="A2530" s="18">
        <v>2529.0</v>
      </c>
      <c r="B2530" s="64" t="s">
        <v>4282</v>
      </c>
      <c r="C2530" s="40" t="s">
        <v>4289</v>
      </c>
      <c r="D2530" s="41"/>
      <c r="E2530" s="41" t="s">
        <v>197</v>
      </c>
      <c r="F2530" s="41" t="str">
        <f>IFERROR(__xludf.DUMMYFUNCTION("if(REGEXMATCH(C2530,""x.com"")=TRUE,""Twitter"",if(REGEXMATCH(C2530,""facebook"")=TRUE,""Facebook"",if(REGEXMATCH(C2530,""instagram"")=TRUE,""Instagram"",if(REGEXMATCH(C2530,""youtube"")=TRUE,""Youtube"",if(REGEXMATCH(C2530,""tiktok"")=TRUE,""Tiktok"",if("&amp;"REGEXMATCH(C2530,""threads"")=TRUE,""Threads""))))))"),"Facebook")</f>
        <v>Facebook</v>
      </c>
      <c r="G2530" s="41" t="s">
        <v>4290</v>
      </c>
      <c r="H2530" s="52" t="s">
        <v>4285</v>
      </c>
      <c r="I2530" s="52" t="s">
        <v>4286</v>
      </c>
      <c r="J2530" s="41" t="s">
        <v>188</v>
      </c>
      <c r="K2530" s="41" t="s">
        <v>1611</v>
      </c>
      <c r="L2530" s="42"/>
    </row>
    <row r="2531">
      <c r="A2531" s="18">
        <v>2530.0</v>
      </c>
      <c r="B2531" s="64" t="s">
        <v>4282</v>
      </c>
      <c r="C2531" s="40" t="s">
        <v>4291</v>
      </c>
      <c r="D2531" s="41"/>
      <c r="E2531" s="41" t="s">
        <v>197</v>
      </c>
      <c r="F2531" s="41" t="str">
        <f>IFERROR(__xludf.DUMMYFUNCTION("if(REGEXMATCH(C2531,""x.com"")=TRUE,""Twitter"",if(REGEXMATCH(C2531,""facebook"")=TRUE,""Facebook"",if(REGEXMATCH(C2531,""instagram"")=TRUE,""Instagram"",if(REGEXMATCH(C2531,""youtube"")=TRUE,""Youtube"",if(REGEXMATCH(C2531,""tiktok"")=TRUE,""Tiktok"",if("&amp;"REGEXMATCH(C2531,""threads"")=TRUE,""Threads""))))))"),"Facebook")</f>
        <v>Facebook</v>
      </c>
      <c r="G2531" s="41" t="s">
        <v>4292</v>
      </c>
      <c r="H2531" s="52" t="s">
        <v>4285</v>
      </c>
      <c r="I2531" s="52" t="s">
        <v>4286</v>
      </c>
      <c r="J2531" s="41" t="s">
        <v>188</v>
      </c>
      <c r="K2531" s="41" t="s">
        <v>1611</v>
      </c>
      <c r="L2531" s="42"/>
    </row>
    <row r="2532">
      <c r="A2532" s="18">
        <v>2531.0</v>
      </c>
      <c r="B2532" s="64" t="s">
        <v>4282</v>
      </c>
      <c r="C2532" s="40" t="s">
        <v>4293</v>
      </c>
      <c r="D2532" s="41"/>
      <c r="E2532" s="41" t="s">
        <v>197</v>
      </c>
      <c r="F2532" s="41" t="str">
        <f>IFERROR(__xludf.DUMMYFUNCTION("if(REGEXMATCH(C2532,""x.com"")=TRUE,""Twitter"",if(REGEXMATCH(C2532,""facebook"")=TRUE,""Facebook"",if(REGEXMATCH(C2532,""instagram"")=TRUE,""Instagram"",if(REGEXMATCH(C2532,""youtube"")=TRUE,""Youtube"",if(REGEXMATCH(C2532,""tiktok"")=TRUE,""Tiktok"",if("&amp;"REGEXMATCH(C2532,""threads"")=TRUE,""Threads""))))))"),"Facebook")</f>
        <v>Facebook</v>
      </c>
      <c r="G2532" s="41" t="s">
        <v>4294</v>
      </c>
      <c r="H2532" s="52" t="s">
        <v>4285</v>
      </c>
      <c r="I2532" s="52" t="s">
        <v>4286</v>
      </c>
      <c r="J2532" s="41" t="s">
        <v>188</v>
      </c>
      <c r="K2532" s="41" t="s">
        <v>1611</v>
      </c>
      <c r="L2532" s="42"/>
    </row>
    <row r="2533">
      <c r="A2533" s="18">
        <v>2532.0</v>
      </c>
      <c r="B2533" s="64" t="s">
        <v>4282</v>
      </c>
      <c r="C2533" s="40" t="s">
        <v>4295</v>
      </c>
      <c r="D2533" s="41"/>
      <c r="E2533" s="41" t="s">
        <v>197</v>
      </c>
      <c r="F2533" s="41" t="str">
        <f>IFERROR(__xludf.DUMMYFUNCTION("if(REGEXMATCH(C2533,""x.com"")=TRUE,""Twitter"",if(REGEXMATCH(C2533,""facebook"")=TRUE,""Facebook"",if(REGEXMATCH(C2533,""instagram"")=TRUE,""Instagram"",if(REGEXMATCH(C2533,""youtube"")=TRUE,""Youtube"",if(REGEXMATCH(C2533,""tiktok"")=TRUE,""Tiktok"",if("&amp;"REGEXMATCH(C2533,""threads"")=TRUE,""Threads""))))))"),"Facebook")</f>
        <v>Facebook</v>
      </c>
      <c r="G2533" s="41" t="s">
        <v>4296</v>
      </c>
      <c r="H2533" s="52" t="s">
        <v>4285</v>
      </c>
      <c r="I2533" s="52" t="s">
        <v>4286</v>
      </c>
      <c r="J2533" s="41" t="s">
        <v>188</v>
      </c>
      <c r="K2533" s="41" t="s">
        <v>1611</v>
      </c>
      <c r="L2533" s="42"/>
    </row>
    <row r="2534">
      <c r="A2534" s="18">
        <v>2533.0</v>
      </c>
      <c r="B2534" s="64" t="s">
        <v>4282</v>
      </c>
      <c r="C2534" s="40" t="s">
        <v>4297</v>
      </c>
      <c r="D2534" s="41"/>
      <c r="E2534" s="41" t="s">
        <v>197</v>
      </c>
      <c r="F2534" s="41" t="str">
        <f>IFERROR(__xludf.DUMMYFUNCTION("if(REGEXMATCH(C2534,""x.com"")=TRUE,""Twitter"",if(REGEXMATCH(C2534,""facebook"")=TRUE,""Facebook"",if(REGEXMATCH(C2534,""instagram"")=TRUE,""Instagram"",if(REGEXMATCH(C2534,""youtube"")=TRUE,""Youtube"",if(REGEXMATCH(C2534,""tiktok"")=TRUE,""Tiktok"",if("&amp;"REGEXMATCH(C2534,""threads"")=TRUE,""Threads""))))))"),"Tiktok")</f>
        <v>Tiktok</v>
      </c>
      <c r="G2534" s="41" t="s">
        <v>4298</v>
      </c>
      <c r="H2534" s="52" t="s">
        <v>4285</v>
      </c>
      <c r="I2534" s="52" t="s">
        <v>4286</v>
      </c>
      <c r="J2534" s="41" t="s">
        <v>188</v>
      </c>
      <c r="K2534" s="41" t="s">
        <v>1611</v>
      </c>
      <c r="L2534" s="42"/>
    </row>
    <row r="2535">
      <c r="A2535" s="18">
        <v>2534.0</v>
      </c>
      <c r="B2535" s="64" t="s">
        <v>4282</v>
      </c>
      <c r="C2535" s="40" t="s">
        <v>4299</v>
      </c>
      <c r="D2535" s="41"/>
      <c r="E2535" s="41" t="s">
        <v>197</v>
      </c>
      <c r="F2535" s="41" t="str">
        <f>IFERROR(__xludf.DUMMYFUNCTION("if(REGEXMATCH(C2535,""x.com"")=TRUE,""Twitter"",if(REGEXMATCH(C2535,""facebook"")=TRUE,""Facebook"",if(REGEXMATCH(C2535,""instagram"")=TRUE,""Instagram"",if(REGEXMATCH(C2535,""youtube"")=TRUE,""Youtube"",if(REGEXMATCH(C2535,""tiktok"")=TRUE,""Tiktok"",if("&amp;"REGEXMATCH(C2535,""threads"")=TRUE,""Threads""))))))"),"Tiktok")</f>
        <v>Tiktok</v>
      </c>
      <c r="G2535" s="41" t="s">
        <v>4300</v>
      </c>
      <c r="H2535" s="52" t="s">
        <v>4285</v>
      </c>
      <c r="I2535" s="52" t="s">
        <v>4286</v>
      </c>
      <c r="J2535" s="41" t="s">
        <v>188</v>
      </c>
      <c r="K2535" s="41" t="s">
        <v>1611</v>
      </c>
      <c r="L2535" s="42"/>
    </row>
    <row r="2536">
      <c r="A2536" s="18">
        <v>2535.0</v>
      </c>
      <c r="B2536" s="64" t="s">
        <v>4282</v>
      </c>
      <c r="C2536" s="44" t="s">
        <v>4301</v>
      </c>
      <c r="D2536" s="41"/>
      <c r="E2536" s="41" t="s">
        <v>4302</v>
      </c>
      <c r="F2536" s="41" t="str">
        <f>IFERROR(__xludf.DUMMYFUNCTION("if(REGEXMATCH(C2536,""x.com"")=TRUE,""Twitter"",if(REGEXMATCH(C2536,""facebook"")=TRUE,""Facebook"",if(REGEXMATCH(C2536,""instagram"")=TRUE,""Instagram"",if(REGEXMATCH(C2536,""youtube"")=TRUE,""Youtube"",if(REGEXMATCH(C2536,""tiktok"")=TRUE,""Tiktok"",if("&amp;"REGEXMATCH(C2536,""threads"")=TRUE,""Threads""))))))"),"Tiktok")</f>
        <v>Tiktok</v>
      </c>
      <c r="G2536" s="41" t="s">
        <v>4303</v>
      </c>
      <c r="H2536" s="52" t="s">
        <v>4285</v>
      </c>
      <c r="I2536" s="52" t="s">
        <v>4286</v>
      </c>
      <c r="J2536" s="41" t="s">
        <v>188</v>
      </c>
      <c r="K2536" s="41"/>
      <c r="L2536" s="42"/>
    </row>
    <row r="2537">
      <c r="A2537" s="18">
        <v>2536.0</v>
      </c>
      <c r="B2537" s="64" t="s">
        <v>4282</v>
      </c>
      <c r="C2537" s="44" t="s">
        <v>4304</v>
      </c>
      <c r="D2537" s="41"/>
      <c r="E2537" s="41" t="s">
        <v>197</v>
      </c>
      <c r="F2537" s="41" t="str">
        <f>IFERROR(__xludf.DUMMYFUNCTION("if(REGEXMATCH(C2537,""x.com"")=TRUE,""Twitter"",if(REGEXMATCH(C2537,""facebook"")=TRUE,""Facebook"",if(REGEXMATCH(C2537,""instagram"")=TRUE,""Instagram"",if(REGEXMATCH(C2537,""youtube"")=TRUE,""Youtube"",if(REGEXMATCH(C2537,""tiktok"")=TRUE,""Tiktok"",if("&amp;"REGEXMATCH(C2537,""threads"")=TRUE,""Threads""))))))"),"Tiktok")</f>
        <v>Tiktok</v>
      </c>
      <c r="G2537" s="41" t="s">
        <v>4305</v>
      </c>
      <c r="H2537" s="52" t="s">
        <v>4285</v>
      </c>
      <c r="I2537" s="52" t="s">
        <v>4286</v>
      </c>
      <c r="J2537" s="41" t="s">
        <v>188</v>
      </c>
      <c r="K2537" s="41"/>
      <c r="L2537" s="42"/>
    </row>
    <row r="2538">
      <c r="A2538" s="18">
        <v>2537.0</v>
      </c>
      <c r="B2538" s="64" t="s">
        <v>4282</v>
      </c>
      <c r="C2538" s="44" t="s">
        <v>4306</v>
      </c>
      <c r="D2538" s="41"/>
      <c r="E2538" s="41" t="s">
        <v>197</v>
      </c>
      <c r="F2538" s="41" t="str">
        <f>IFERROR(__xludf.DUMMYFUNCTION("if(REGEXMATCH(C2538,""x.com"")=TRUE,""Twitter"",if(REGEXMATCH(C2538,""facebook"")=TRUE,""Facebook"",if(REGEXMATCH(C2538,""instagram"")=TRUE,""Instagram"",if(REGEXMATCH(C2538,""youtube"")=TRUE,""Youtube"",if(REGEXMATCH(C2538,""tiktok"")=TRUE,""Tiktok"",if("&amp;"REGEXMATCH(C2538,""threads"")=TRUE,""Threads""))))))"),"Tiktok")</f>
        <v>Tiktok</v>
      </c>
      <c r="G2538" s="41" t="s">
        <v>4307</v>
      </c>
      <c r="H2538" s="52" t="s">
        <v>4285</v>
      </c>
      <c r="I2538" s="52" t="s">
        <v>4286</v>
      </c>
      <c r="J2538" s="41" t="s">
        <v>188</v>
      </c>
      <c r="K2538" s="41"/>
      <c r="L2538" s="42"/>
    </row>
    <row r="2539">
      <c r="A2539" s="18">
        <v>2538.0</v>
      </c>
      <c r="B2539" s="64" t="s">
        <v>4282</v>
      </c>
      <c r="C2539" s="44" t="s">
        <v>4308</v>
      </c>
      <c r="D2539" s="41"/>
      <c r="E2539" s="41" t="s">
        <v>4309</v>
      </c>
      <c r="F2539" s="41" t="str">
        <f>IFERROR(__xludf.DUMMYFUNCTION("if(REGEXMATCH(C2539,""x.com"")=TRUE,""Twitter"",if(REGEXMATCH(C2539,""facebook"")=TRUE,""Facebook"",if(REGEXMATCH(C2539,""instagram"")=TRUE,""Instagram"",if(REGEXMATCH(C2539,""youtube"")=TRUE,""Youtube"",if(REGEXMATCH(C2539,""tiktok"")=TRUE,""Tiktok"",if("&amp;"REGEXMATCH(C2539,""threads"")=TRUE,""Threads""))))))"),"Tiktok")</f>
        <v>Tiktok</v>
      </c>
      <c r="G2539" s="41" t="s">
        <v>4310</v>
      </c>
      <c r="H2539" s="52" t="s">
        <v>4285</v>
      </c>
      <c r="I2539" s="52" t="s">
        <v>4286</v>
      </c>
      <c r="J2539" s="41" t="s">
        <v>188</v>
      </c>
      <c r="K2539" s="41"/>
      <c r="L2539" s="42"/>
    </row>
    <row r="2540">
      <c r="A2540" s="18">
        <v>2539.0</v>
      </c>
      <c r="B2540" s="64" t="s">
        <v>4282</v>
      </c>
      <c r="C2540" s="44" t="s">
        <v>4311</v>
      </c>
      <c r="D2540" s="41"/>
      <c r="E2540" s="41" t="s">
        <v>222</v>
      </c>
      <c r="F2540" s="41" t="str">
        <f>IFERROR(__xludf.DUMMYFUNCTION("if(REGEXMATCH(C2540,""x.com"")=TRUE,""Twitter"",if(REGEXMATCH(C2540,""facebook"")=TRUE,""Facebook"",if(REGEXMATCH(C2540,""instagram"")=TRUE,""Instagram"",if(REGEXMATCH(C2540,""youtube"")=TRUE,""Youtube"",if(REGEXMATCH(C2540,""tiktok"")=TRUE,""Tiktok"",if("&amp;"REGEXMATCH(C2540,""threads"")=TRUE,""Threads""))))))"),"Tiktok")</f>
        <v>Tiktok</v>
      </c>
      <c r="G2540" s="41" t="s">
        <v>4312</v>
      </c>
      <c r="H2540" s="52" t="s">
        <v>4285</v>
      </c>
      <c r="I2540" s="52" t="s">
        <v>4286</v>
      </c>
      <c r="J2540" s="41" t="s">
        <v>188</v>
      </c>
      <c r="K2540" s="41"/>
      <c r="L2540" s="42"/>
    </row>
    <row r="2541">
      <c r="A2541" s="18">
        <v>2540.0</v>
      </c>
      <c r="B2541" s="64" t="s">
        <v>4282</v>
      </c>
      <c r="C2541" s="44" t="s">
        <v>4313</v>
      </c>
      <c r="D2541" s="41"/>
      <c r="E2541" s="41" t="s">
        <v>197</v>
      </c>
      <c r="F2541" s="41" t="str">
        <f>IFERROR(__xludf.DUMMYFUNCTION("if(REGEXMATCH(C2541,""x.com"")=TRUE,""Twitter"",if(REGEXMATCH(C2541,""facebook"")=TRUE,""Facebook"",if(REGEXMATCH(C2541,""instagram"")=TRUE,""Instagram"",if(REGEXMATCH(C2541,""youtube"")=TRUE,""Youtube"",if(REGEXMATCH(C2541,""tiktok"")=TRUE,""Tiktok"",if("&amp;"REGEXMATCH(C2541,""threads"")=TRUE,""Threads""))))))"),"Facebook")</f>
        <v>Facebook</v>
      </c>
      <c r="G2541" s="41" t="s">
        <v>4314</v>
      </c>
      <c r="H2541" s="52" t="s">
        <v>4285</v>
      </c>
      <c r="I2541" s="52" t="s">
        <v>4286</v>
      </c>
      <c r="J2541" s="41" t="s">
        <v>188</v>
      </c>
      <c r="K2541" s="41"/>
      <c r="L2541" s="42"/>
    </row>
    <row r="2542">
      <c r="A2542" s="18">
        <v>2541.0</v>
      </c>
      <c r="B2542" s="64" t="s">
        <v>4282</v>
      </c>
      <c r="C2542" s="44" t="s">
        <v>4315</v>
      </c>
      <c r="D2542" s="41"/>
      <c r="E2542" s="41" t="s">
        <v>4316</v>
      </c>
      <c r="F2542" s="41" t="str">
        <f>IFERROR(__xludf.DUMMYFUNCTION("if(REGEXMATCH(C2542,""x.com"")=TRUE,""Twitter"",if(REGEXMATCH(C2542,""facebook"")=TRUE,""Facebook"",if(REGEXMATCH(C2542,""instagram"")=TRUE,""Instagram"",if(REGEXMATCH(C2542,""youtube"")=TRUE,""Youtube"",if(REGEXMATCH(C2542,""tiktok"")=TRUE,""Tiktok"",if("&amp;"REGEXMATCH(C2542,""threads"")=TRUE,""Threads""))))))"),"Facebook")</f>
        <v>Facebook</v>
      </c>
      <c r="G2542" s="41" t="s">
        <v>4317</v>
      </c>
      <c r="H2542" s="52" t="s">
        <v>4285</v>
      </c>
      <c r="I2542" s="52" t="s">
        <v>4286</v>
      </c>
      <c r="J2542" s="41" t="s">
        <v>188</v>
      </c>
      <c r="K2542" s="41"/>
      <c r="L2542" s="42"/>
    </row>
    <row r="2543">
      <c r="A2543" s="18">
        <v>2542.0</v>
      </c>
      <c r="B2543" s="64" t="s">
        <v>4282</v>
      </c>
      <c r="C2543" s="44" t="s">
        <v>4318</v>
      </c>
      <c r="D2543" s="41"/>
      <c r="E2543" s="41" t="s">
        <v>4319</v>
      </c>
      <c r="F2543" s="41" t="str">
        <f>IFERROR(__xludf.DUMMYFUNCTION("if(REGEXMATCH(C2543,""x.com"")=TRUE,""Twitter"",if(REGEXMATCH(C2543,""facebook"")=TRUE,""Facebook"",if(REGEXMATCH(C2543,""instagram"")=TRUE,""Instagram"",if(REGEXMATCH(C2543,""youtube"")=TRUE,""Youtube"",if(REGEXMATCH(C2543,""tiktok"")=TRUE,""Tiktok"",if("&amp;"REGEXMATCH(C2543,""threads"")=TRUE,""Threads""))))))"),"Facebook")</f>
        <v>Facebook</v>
      </c>
      <c r="G2543" s="41" t="s">
        <v>4320</v>
      </c>
      <c r="H2543" s="52" t="s">
        <v>4285</v>
      </c>
      <c r="I2543" s="52" t="s">
        <v>4286</v>
      </c>
      <c r="J2543" s="41" t="s">
        <v>188</v>
      </c>
      <c r="K2543" s="41"/>
      <c r="L2543" s="42"/>
    </row>
    <row r="2544">
      <c r="A2544" s="18">
        <v>2543.0</v>
      </c>
      <c r="B2544" s="64" t="s">
        <v>4282</v>
      </c>
      <c r="C2544" s="44" t="s">
        <v>4321</v>
      </c>
      <c r="D2544" s="41"/>
      <c r="E2544" s="41" t="s">
        <v>197</v>
      </c>
      <c r="F2544" s="41" t="str">
        <f>IFERROR(__xludf.DUMMYFUNCTION("if(REGEXMATCH(C2544,""x.com"")=TRUE,""Twitter"",if(REGEXMATCH(C2544,""facebook"")=TRUE,""Facebook"",if(REGEXMATCH(C2544,""instagram"")=TRUE,""Instagram"",if(REGEXMATCH(C2544,""youtube"")=TRUE,""Youtube"",if(REGEXMATCH(C2544,""tiktok"")=TRUE,""Tiktok"",if("&amp;"REGEXMATCH(C2544,""threads"")=TRUE,""Threads""))))))"),"Twitter")</f>
        <v>Twitter</v>
      </c>
      <c r="G2544" s="41" t="s">
        <v>4322</v>
      </c>
      <c r="H2544" s="52" t="s">
        <v>4285</v>
      </c>
      <c r="I2544" s="52" t="s">
        <v>4286</v>
      </c>
      <c r="J2544" s="41" t="s">
        <v>188</v>
      </c>
      <c r="K2544" s="41"/>
      <c r="L2544" s="42"/>
    </row>
    <row r="2545">
      <c r="A2545" s="18">
        <v>2544.0</v>
      </c>
      <c r="B2545" s="64" t="s">
        <v>4282</v>
      </c>
      <c r="C2545" s="40" t="s">
        <v>4323</v>
      </c>
      <c r="D2545" s="41"/>
      <c r="E2545" s="41" t="s">
        <v>401</v>
      </c>
      <c r="F2545" s="41" t="str">
        <f>IFERROR(__xludf.DUMMYFUNCTION("if(REGEXMATCH(C2545,""x.com"")=TRUE,""Twitter"",if(REGEXMATCH(C2545,""facebook"")=TRUE,""Facebook"",if(REGEXMATCH(C2545,""instagram"")=TRUE,""Instagram"",if(REGEXMATCH(C2545,""youtube"")=TRUE,""Youtube"",if(REGEXMATCH(C2545,""tiktok"")=TRUE,""Tiktok"",if("&amp;"REGEXMATCH(C2545,""threads"")=TRUE,""Threads""))))))"),"Facebook")</f>
        <v>Facebook</v>
      </c>
      <c r="G2545" s="41" t="s">
        <v>937</v>
      </c>
      <c r="H2545" s="41" t="s">
        <v>1542</v>
      </c>
      <c r="I2545" s="41" t="s">
        <v>939</v>
      </c>
      <c r="J2545" s="41" t="s">
        <v>188</v>
      </c>
      <c r="K2545" s="41" t="s">
        <v>1921</v>
      </c>
      <c r="L2545" s="42"/>
    </row>
    <row r="2546">
      <c r="A2546" s="18">
        <v>2545.0</v>
      </c>
      <c r="B2546" s="64" t="s">
        <v>4282</v>
      </c>
      <c r="C2546" s="40" t="s">
        <v>4324</v>
      </c>
      <c r="D2546" s="41"/>
      <c r="E2546" s="41" t="s">
        <v>401</v>
      </c>
      <c r="F2546" s="41" t="str">
        <f>IFERROR(__xludf.DUMMYFUNCTION("if(REGEXMATCH(C2546,""x.com"")=TRUE,""Twitter"",if(REGEXMATCH(C2546,""facebook"")=TRUE,""Facebook"",if(REGEXMATCH(C2546,""instagram"")=TRUE,""Instagram"",if(REGEXMATCH(C2546,""youtube"")=TRUE,""Youtube"",if(REGEXMATCH(C2546,""tiktok"")=TRUE,""Tiktok"",if("&amp;"REGEXMATCH(C2546,""threads"")=TRUE,""Threads""))))))"),"Facebook")</f>
        <v>Facebook</v>
      </c>
      <c r="G2546" s="41" t="s">
        <v>937</v>
      </c>
      <c r="H2546" s="41" t="s">
        <v>1542</v>
      </c>
      <c r="I2546" s="41" t="s">
        <v>939</v>
      </c>
      <c r="J2546" s="41" t="s">
        <v>188</v>
      </c>
      <c r="K2546" s="41"/>
      <c r="L2546" s="42"/>
    </row>
    <row r="2547">
      <c r="A2547" s="18">
        <v>2546.0</v>
      </c>
      <c r="B2547" s="64" t="s">
        <v>4282</v>
      </c>
      <c r="C2547" s="40" t="s">
        <v>4325</v>
      </c>
      <c r="D2547" s="41"/>
      <c r="E2547" s="41" t="s">
        <v>401</v>
      </c>
      <c r="F2547" s="41" t="str">
        <f>IFERROR(__xludf.DUMMYFUNCTION("if(REGEXMATCH(C2547,""x.com"")=TRUE,""Twitter"",if(REGEXMATCH(C2547,""facebook"")=TRUE,""Facebook"",if(REGEXMATCH(C2547,""instagram"")=TRUE,""Instagram"",if(REGEXMATCH(C2547,""youtube"")=TRUE,""Youtube"",if(REGEXMATCH(C2547,""tiktok"")=TRUE,""Tiktok"",if("&amp;"REGEXMATCH(C2547,""threads"")=TRUE,""Threads""))))))"),"Facebook")</f>
        <v>Facebook</v>
      </c>
      <c r="G2547" s="41" t="s">
        <v>937</v>
      </c>
      <c r="H2547" s="41" t="s">
        <v>1542</v>
      </c>
      <c r="I2547" s="41" t="s">
        <v>939</v>
      </c>
      <c r="J2547" s="41" t="s">
        <v>188</v>
      </c>
      <c r="K2547" s="41"/>
      <c r="L2547" s="42"/>
    </row>
    <row r="2548">
      <c r="A2548" s="18">
        <v>2547.0</v>
      </c>
      <c r="B2548" s="64" t="s">
        <v>4282</v>
      </c>
      <c r="C2548" s="40" t="s">
        <v>4326</v>
      </c>
      <c r="D2548" s="41"/>
      <c r="E2548" s="41" t="s">
        <v>401</v>
      </c>
      <c r="F2548" s="41" t="str">
        <f>IFERROR(__xludf.DUMMYFUNCTION("if(REGEXMATCH(C2548,""x.com"")=TRUE,""Twitter"",if(REGEXMATCH(C2548,""facebook"")=TRUE,""Facebook"",if(REGEXMATCH(C2548,""instagram"")=TRUE,""Instagram"",if(REGEXMATCH(C2548,""youtube"")=TRUE,""Youtube"",if(REGEXMATCH(C2548,""tiktok"")=TRUE,""Tiktok"",if("&amp;"REGEXMATCH(C2548,""threads"")=TRUE,""Threads""))))))"),"Facebook")</f>
        <v>Facebook</v>
      </c>
      <c r="G2548" s="41" t="s">
        <v>937</v>
      </c>
      <c r="H2548" s="41" t="s">
        <v>1542</v>
      </c>
      <c r="I2548" s="41" t="s">
        <v>939</v>
      </c>
      <c r="J2548" s="41" t="s">
        <v>188</v>
      </c>
      <c r="K2548" s="41"/>
      <c r="L2548" s="42"/>
    </row>
    <row r="2549">
      <c r="A2549" s="18">
        <v>2548.0</v>
      </c>
      <c r="B2549" s="64" t="s">
        <v>4282</v>
      </c>
      <c r="C2549" s="40" t="s">
        <v>4327</v>
      </c>
      <c r="D2549" s="41"/>
      <c r="E2549" s="41" t="s">
        <v>401</v>
      </c>
      <c r="F2549" s="41" t="str">
        <f>IFERROR(__xludf.DUMMYFUNCTION("if(REGEXMATCH(C2549,""x.com"")=TRUE,""Twitter"",if(REGEXMATCH(C2549,""facebook"")=TRUE,""Facebook"",if(REGEXMATCH(C2549,""instagram"")=TRUE,""Instagram"",if(REGEXMATCH(C2549,""youtube"")=TRUE,""Youtube"",if(REGEXMATCH(C2549,""tiktok"")=TRUE,""Tiktok"",if("&amp;"REGEXMATCH(C2549,""threads"")=TRUE,""Threads""))))))"),"Facebook")</f>
        <v>Facebook</v>
      </c>
      <c r="G2549" s="41" t="s">
        <v>937</v>
      </c>
      <c r="H2549" s="41" t="s">
        <v>1542</v>
      </c>
      <c r="I2549" s="41" t="s">
        <v>939</v>
      </c>
      <c r="J2549" s="41" t="s">
        <v>188</v>
      </c>
      <c r="K2549" s="41"/>
      <c r="L2549" s="42"/>
    </row>
    <row r="2550">
      <c r="A2550" s="18">
        <v>2549.0</v>
      </c>
      <c r="B2550" s="64" t="s">
        <v>4282</v>
      </c>
      <c r="C2550" s="40" t="s">
        <v>4328</v>
      </c>
      <c r="D2550" s="41"/>
      <c r="E2550" s="41" t="s">
        <v>401</v>
      </c>
      <c r="F2550" s="41" t="str">
        <f>IFERROR(__xludf.DUMMYFUNCTION("if(REGEXMATCH(C2550,""x.com"")=TRUE,""Twitter"",if(REGEXMATCH(C2550,""facebook"")=TRUE,""Facebook"",if(REGEXMATCH(C2550,""instagram"")=TRUE,""Instagram"",if(REGEXMATCH(C2550,""youtube"")=TRUE,""Youtube"",if(REGEXMATCH(C2550,""tiktok"")=TRUE,""Tiktok"",if("&amp;"REGEXMATCH(C2550,""threads"")=TRUE,""Threads""))))))"),"Facebook")</f>
        <v>Facebook</v>
      </c>
      <c r="G2550" s="41" t="s">
        <v>937</v>
      </c>
      <c r="H2550" s="41" t="s">
        <v>1542</v>
      </c>
      <c r="I2550" s="41" t="s">
        <v>939</v>
      </c>
      <c r="J2550" s="41" t="s">
        <v>188</v>
      </c>
      <c r="K2550" s="41"/>
      <c r="L2550" s="42"/>
    </row>
    <row r="2551">
      <c r="A2551" s="18">
        <v>2550.0</v>
      </c>
      <c r="B2551" s="64" t="s">
        <v>4282</v>
      </c>
      <c r="C2551" s="40" t="s">
        <v>4329</v>
      </c>
      <c r="D2551" s="41"/>
      <c r="E2551" s="41" t="s">
        <v>401</v>
      </c>
      <c r="F2551" s="41" t="str">
        <f>IFERROR(__xludf.DUMMYFUNCTION("if(REGEXMATCH(C2551,""x.com"")=TRUE,""Twitter"",if(REGEXMATCH(C2551,""facebook"")=TRUE,""Facebook"",if(REGEXMATCH(C2551,""instagram"")=TRUE,""Instagram"",if(REGEXMATCH(C2551,""youtube"")=TRUE,""Youtube"",if(REGEXMATCH(C2551,""tiktok"")=TRUE,""Tiktok"",if("&amp;"REGEXMATCH(C2551,""threads"")=TRUE,""Threads""))))))"),"Facebook")</f>
        <v>Facebook</v>
      </c>
      <c r="G2551" s="41" t="s">
        <v>937</v>
      </c>
      <c r="H2551" s="41" t="s">
        <v>1542</v>
      </c>
      <c r="I2551" s="41" t="s">
        <v>939</v>
      </c>
      <c r="J2551" s="41" t="s">
        <v>188</v>
      </c>
      <c r="K2551" s="18"/>
      <c r="L2551" s="42"/>
    </row>
    <row r="2552">
      <c r="A2552" s="18">
        <v>2551.0</v>
      </c>
      <c r="B2552" s="64" t="s">
        <v>4282</v>
      </c>
      <c r="C2552" s="75" t="s">
        <v>4330</v>
      </c>
      <c r="D2552" s="41"/>
      <c r="E2552" s="52" t="s">
        <v>3684</v>
      </c>
      <c r="F2552" s="65" t="s">
        <v>686</v>
      </c>
      <c r="G2552" s="52" t="s">
        <v>4331</v>
      </c>
      <c r="H2552" s="52" t="s">
        <v>2228</v>
      </c>
      <c r="I2552" s="41"/>
      <c r="J2552" s="52" t="s">
        <v>188</v>
      </c>
      <c r="K2552" s="52" t="s">
        <v>3490</v>
      </c>
      <c r="L2552" s="42"/>
    </row>
    <row r="2553">
      <c r="A2553" s="18">
        <v>2552.0</v>
      </c>
      <c r="B2553" s="64" t="s">
        <v>4332</v>
      </c>
      <c r="C2553" s="40" t="s">
        <v>4333</v>
      </c>
      <c r="D2553" s="41"/>
      <c r="E2553" s="41" t="s">
        <v>197</v>
      </c>
      <c r="F2553" s="41" t="str">
        <f>IFERROR(__xludf.DUMMYFUNCTION("if(REGEXMATCH(C2553,""x.com"")=TRUE,""Twitter"",if(REGEXMATCH(C2553,""facebook"")=TRUE,""Facebook"",if(REGEXMATCH(C2553,""instagram"")=TRUE,""Instagram"",if(REGEXMATCH(C2553,""youtube"")=TRUE,""Youtube"",if(REGEXMATCH(C2553,""tiktok"")=TRUE,""Tiktok"",if("&amp;"REGEXMATCH(C2553,""threads"")=TRUE,""Threads""))))))"),"Facebook")</f>
        <v>Facebook</v>
      </c>
      <c r="G2553" s="41" t="s">
        <v>4334</v>
      </c>
      <c r="H2553" s="52" t="s">
        <v>4335</v>
      </c>
      <c r="I2553" s="52" t="s">
        <v>535</v>
      </c>
      <c r="J2553" s="41" t="s">
        <v>188</v>
      </c>
      <c r="K2553" s="41" t="s">
        <v>1611</v>
      </c>
      <c r="L2553" s="42"/>
    </row>
    <row r="2554">
      <c r="A2554" s="18">
        <v>2553.0</v>
      </c>
      <c r="B2554" s="64" t="s">
        <v>4332</v>
      </c>
      <c r="C2554" s="40" t="s">
        <v>4336</v>
      </c>
      <c r="D2554" s="41"/>
      <c r="E2554" s="41" t="s">
        <v>197</v>
      </c>
      <c r="F2554" s="41" t="str">
        <f>IFERROR(__xludf.DUMMYFUNCTION("if(REGEXMATCH(C2554,""x.com"")=TRUE,""Twitter"",if(REGEXMATCH(C2554,""facebook"")=TRUE,""Facebook"",if(REGEXMATCH(C2554,""instagram"")=TRUE,""Instagram"",if(REGEXMATCH(C2554,""youtube"")=TRUE,""Youtube"",if(REGEXMATCH(C2554,""tiktok"")=TRUE,""Tiktok"",if("&amp;"REGEXMATCH(C2554,""threads"")=TRUE,""Threads""))))))"),"Facebook")</f>
        <v>Facebook</v>
      </c>
      <c r="G2554" s="41" t="s">
        <v>4337</v>
      </c>
      <c r="H2554" s="52" t="s">
        <v>4335</v>
      </c>
      <c r="I2554" s="52" t="s">
        <v>535</v>
      </c>
      <c r="J2554" s="41" t="s">
        <v>188</v>
      </c>
      <c r="K2554" s="41" t="s">
        <v>1611</v>
      </c>
      <c r="L2554" s="42"/>
    </row>
    <row r="2555">
      <c r="A2555" s="18">
        <v>2554.0</v>
      </c>
      <c r="B2555" s="64" t="s">
        <v>4332</v>
      </c>
      <c r="C2555" s="40" t="s">
        <v>4289</v>
      </c>
      <c r="D2555" s="41"/>
      <c r="E2555" s="41" t="s">
        <v>197</v>
      </c>
      <c r="F2555" s="41" t="str">
        <f>IFERROR(__xludf.DUMMYFUNCTION("if(REGEXMATCH(C2555,""x.com"")=TRUE,""Twitter"",if(REGEXMATCH(C2555,""facebook"")=TRUE,""Facebook"",if(REGEXMATCH(C2555,""instagram"")=TRUE,""Instagram"",if(REGEXMATCH(C2555,""youtube"")=TRUE,""Youtube"",if(REGEXMATCH(C2555,""tiktok"")=TRUE,""Tiktok"",if("&amp;"REGEXMATCH(C2555,""threads"")=TRUE,""Threads""))))))"),"Facebook")</f>
        <v>Facebook</v>
      </c>
      <c r="G2555" s="41" t="s">
        <v>4338</v>
      </c>
      <c r="H2555" s="52" t="s">
        <v>4335</v>
      </c>
      <c r="I2555" s="52" t="s">
        <v>535</v>
      </c>
      <c r="J2555" s="41" t="s">
        <v>188</v>
      </c>
      <c r="K2555" s="41" t="s">
        <v>1611</v>
      </c>
      <c r="L2555" s="42"/>
    </row>
    <row r="2556">
      <c r="A2556" s="18">
        <v>2555.0</v>
      </c>
      <c r="B2556" s="64" t="s">
        <v>4332</v>
      </c>
      <c r="C2556" s="40" t="s">
        <v>4339</v>
      </c>
      <c r="D2556" s="41"/>
      <c r="E2556" s="41" t="s">
        <v>197</v>
      </c>
      <c r="F2556" s="41" t="str">
        <f>IFERROR(__xludf.DUMMYFUNCTION("if(REGEXMATCH(C2556,""x.com"")=TRUE,""Twitter"",if(REGEXMATCH(C2556,""facebook"")=TRUE,""Facebook"",if(REGEXMATCH(C2556,""instagram"")=TRUE,""Instagram"",if(REGEXMATCH(C2556,""youtube"")=TRUE,""Youtube"",if(REGEXMATCH(C2556,""tiktok"")=TRUE,""Tiktok"",if("&amp;"REGEXMATCH(C2556,""threads"")=TRUE,""Threads""))))))"),"Facebook")</f>
        <v>Facebook</v>
      </c>
      <c r="G2556" s="41" t="s">
        <v>4340</v>
      </c>
      <c r="H2556" s="52" t="s">
        <v>4335</v>
      </c>
      <c r="I2556" s="52" t="s">
        <v>535</v>
      </c>
      <c r="J2556" s="41" t="s">
        <v>188</v>
      </c>
      <c r="K2556" s="41" t="s">
        <v>1611</v>
      </c>
      <c r="L2556" s="42"/>
    </row>
    <row r="2557">
      <c r="A2557" s="18">
        <v>2556.0</v>
      </c>
      <c r="B2557" s="64" t="s">
        <v>4332</v>
      </c>
      <c r="C2557" s="40" t="s">
        <v>4341</v>
      </c>
      <c r="D2557" s="41"/>
      <c r="E2557" s="41" t="s">
        <v>197</v>
      </c>
      <c r="F2557" s="41" t="str">
        <f>IFERROR(__xludf.DUMMYFUNCTION("if(REGEXMATCH(C2557,""x.com"")=TRUE,""Twitter"",if(REGEXMATCH(C2557,""facebook"")=TRUE,""Facebook"",if(REGEXMATCH(C2557,""instagram"")=TRUE,""Instagram"",if(REGEXMATCH(C2557,""youtube"")=TRUE,""Youtube"",if(REGEXMATCH(C2557,""tiktok"")=TRUE,""Tiktok"",if("&amp;"REGEXMATCH(C2557,""threads"")=TRUE,""Threads""))))))"),"Facebook")</f>
        <v>Facebook</v>
      </c>
      <c r="G2557" s="41" t="s">
        <v>4342</v>
      </c>
      <c r="H2557" s="52" t="s">
        <v>4335</v>
      </c>
      <c r="I2557" s="52" t="s">
        <v>535</v>
      </c>
      <c r="J2557" s="41" t="s">
        <v>188</v>
      </c>
      <c r="K2557" s="41" t="s">
        <v>1611</v>
      </c>
      <c r="L2557" s="42"/>
    </row>
    <row r="2558">
      <c r="A2558" s="18">
        <v>2557.0</v>
      </c>
      <c r="B2558" s="64" t="s">
        <v>4332</v>
      </c>
      <c r="C2558" s="40" t="s">
        <v>4343</v>
      </c>
      <c r="D2558" s="41"/>
      <c r="E2558" s="41" t="s">
        <v>197</v>
      </c>
      <c r="F2558" s="41" t="str">
        <f>IFERROR(__xludf.DUMMYFUNCTION("if(REGEXMATCH(C2558,""x.com"")=TRUE,""Twitter"",if(REGEXMATCH(C2558,""facebook"")=TRUE,""Facebook"",if(REGEXMATCH(C2558,""instagram"")=TRUE,""Instagram"",if(REGEXMATCH(C2558,""youtube"")=TRUE,""Youtube"",if(REGEXMATCH(C2558,""tiktok"")=TRUE,""Tiktok"",if("&amp;"REGEXMATCH(C2558,""threads"")=TRUE,""Threads""))))))"),"Facebook")</f>
        <v>Facebook</v>
      </c>
      <c r="G2558" s="41" t="s">
        <v>4344</v>
      </c>
      <c r="H2558" s="52" t="s">
        <v>4335</v>
      </c>
      <c r="I2558" s="52" t="s">
        <v>535</v>
      </c>
      <c r="J2558" s="41" t="s">
        <v>188</v>
      </c>
      <c r="K2558" s="41" t="s">
        <v>1611</v>
      </c>
      <c r="L2558" s="42"/>
    </row>
    <row r="2559">
      <c r="A2559" s="18">
        <v>2558.0</v>
      </c>
      <c r="B2559" s="64" t="s">
        <v>4332</v>
      </c>
      <c r="C2559" s="40" t="s">
        <v>4345</v>
      </c>
      <c r="D2559" s="41"/>
      <c r="E2559" s="41" t="s">
        <v>4346</v>
      </c>
      <c r="F2559" s="41" t="str">
        <f>IFERROR(__xludf.DUMMYFUNCTION("if(REGEXMATCH(C2559,""x.com"")=TRUE,""Twitter"",if(REGEXMATCH(C2559,""facebook"")=TRUE,""Facebook"",if(REGEXMATCH(C2559,""instagram"")=TRUE,""Instagram"",if(REGEXMATCH(C2559,""youtube"")=TRUE,""Youtube"",if(REGEXMATCH(C2559,""tiktok"")=TRUE,""Tiktok"",if("&amp;"REGEXMATCH(C2559,""threads"")=TRUE,""Threads""))))))"),"Facebook")</f>
        <v>Facebook</v>
      </c>
      <c r="G2559" s="41" t="s">
        <v>4347</v>
      </c>
      <c r="H2559" s="52" t="s">
        <v>4335</v>
      </c>
      <c r="I2559" s="52" t="s">
        <v>535</v>
      </c>
      <c r="J2559" s="41" t="s">
        <v>188</v>
      </c>
      <c r="K2559" s="41" t="s">
        <v>1611</v>
      </c>
      <c r="L2559" s="42"/>
    </row>
    <row r="2560">
      <c r="A2560" s="18">
        <v>2559.0</v>
      </c>
      <c r="B2560" s="64" t="s">
        <v>4332</v>
      </c>
      <c r="C2560" s="40" t="s">
        <v>4348</v>
      </c>
      <c r="D2560" s="41"/>
      <c r="E2560" s="41" t="s">
        <v>4346</v>
      </c>
      <c r="F2560" s="41" t="str">
        <f>IFERROR(__xludf.DUMMYFUNCTION("if(REGEXMATCH(C2560,""x.com"")=TRUE,""Twitter"",if(REGEXMATCH(C2560,""facebook"")=TRUE,""Facebook"",if(REGEXMATCH(C2560,""instagram"")=TRUE,""Instagram"",if(REGEXMATCH(C2560,""youtube"")=TRUE,""Youtube"",if(REGEXMATCH(C2560,""tiktok"")=TRUE,""Tiktok"",if("&amp;"REGEXMATCH(C2560,""threads"")=TRUE,""Threads""))))))"),"Facebook")</f>
        <v>Facebook</v>
      </c>
      <c r="G2560" s="41" t="s">
        <v>4349</v>
      </c>
      <c r="H2560" s="52" t="s">
        <v>4335</v>
      </c>
      <c r="I2560" s="52" t="s">
        <v>535</v>
      </c>
      <c r="J2560" s="41" t="s">
        <v>188</v>
      </c>
      <c r="K2560" s="41" t="s">
        <v>1611</v>
      </c>
      <c r="L2560" s="42"/>
    </row>
    <row r="2561">
      <c r="A2561" s="18">
        <v>2560.0</v>
      </c>
      <c r="B2561" s="64" t="s">
        <v>4332</v>
      </c>
      <c r="C2561" s="40" t="s">
        <v>4350</v>
      </c>
      <c r="D2561" s="41"/>
      <c r="E2561" s="41" t="s">
        <v>4346</v>
      </c>
      <c r="F2561" s="41" t="str">
        <f>IFERROR(__xludf.DUMMYFUNCTION("if(REGEXMATCH(C2561,""x.com"")=TRUE,""Twitter"",if(REGEXMATCH(C2561,""facebook"")=TRUE,""Facebook"",if(REGEXMATCH(C2561,""instagram"")=TRUE,""Instagram"",if(REGEXMATCH(C2561,""youtube"")=TRUE,""Youtube"",if(REGEXMATCH(C2561,""tiktok"")=TRUE,""Tiktok"",if("&amp;"REGEXMATCH(C2561,""threads"")=TRUE,""Threads""))))))"),"Facebook")</f>
        <v>Facebook</v>
      </c>
      <c r="G2561" s="41" t="s">
        <v>4351</v>
      </c>
      <c r="H2561" s="52" t="s">
        <v>4335</v>
      </c>
      <c r="I2561" s="52" t="s">
        <v>535</v>
      </c>
      <c r="J2561" s="41" t="s">
        <v>188</v>
      </c>
      <c r="K2561" s="41"/>
      <c r="L2561" s="42"/>
    </row>
    <row r="2562">
      <c r="A2562" s="18">
        <v>2561.0</v>
      </c>
      <c r="B2562" s="64" t="s">
        <v>4332</v>
      </c>
      <c r="C2562" s="40" t="s">
        <v>4352</v>
      </c>
      <c r="D2562" s="41"/>
      <c r="E2562" s="41" t="s">
        <v>197</v>
      </c>
      <c r="F2562" s="41" t="str">
        <f>IFERROR(__xludf.DUMMYFUNCTION("if(REGEXMATCH(C2562,""x.com"")=TRUE,""Twitter"",if(REGEXMATCH(C2562,""facebook"")=TRUE,""Facebook"",if(REGEXMATCH(C2562,""instagram"")=TRUE,""Instagram"",if(REGEXMATCH(C2562,""youtube"")=TRUE,""Youtube"",if(REGEXMATCH(C2562,""tiktok"")=TRUE,""Tiktok"",if("&amp;"REGEXMATCH(C2562,""threads"")=TRUE,""Threads""))))))"),"Twitter")</f>
        <v>Twitter</v>
      </c>
      <c r="G2562" s="41" t="s">
        <v>4353</v>
      </c>
      <c r="H2562" s="52" t="s">
        <v>4335</v>
      </c>
      <c r="I2562" s="52" t="s">
        <v>535</v>
      </c>
      <c r="J2562" s="41" t="s">
        <v>188</v>
      </c>
      <c r="K2562" s="41"/>
      <c r="L2562" s="42"/>
    </row>
    <row r="2563">
      <c r="A2563" s="18">
        <v>2562.0</v>
      </c>
      <c r="B2563" s="64" t="s">
        <v>4332</v>
      </c>
      <c r="C2563" s="44" t="s">
        <v>4354</v>
      </c>
      <c r="D2563" s="41"/>
      <c r="E2563" s="41" t="s">
        <v>4355</v>
      </c>
      <c r="F2563" s="41" t="str">
        <f>IFERROR(__xludf.DUMMYFUNCTION("if(REGEXMATCH(C2563,""x.com"")=TRUE,""Twitter"",if(REGEXMATCH(C2563,""facebook"")=TRUE,""Facebook"",if(REGEXMATCH(C2563,""instagram"")=TRUE,""Instagram"",if(REGEXMATCH(C2563,""youtube"")=TRUE,""Youtube"",if(REGEXMATCH(C2563,""tiktok"")=TRUE,""Tiktok"",if("&amp;"REGEXMATCH(C2563,""threads"")=TRUE,""Threads""))))))"),"Tiktok")</f>
        <v>Tiktok</v>
      </c>
      <c r="G2563" s="41" t="s">
        <v>4356</v>
      </c>
      <c r="H2563" s="52" t="s">
        <v>4335</v>
      </c>
      <c r="I2563" s="52" t="s">
        <v>535</v>
      </c>
      <c r="J2563" s="41" t="s">
        <v>188</v>
      </c>
      <c r="K2563" s="41"/>
      <c r="L2563" s="42"/>
    </row>
    <row r="2564">
      <c r="A2564" s="18">
        <v>2563.0</v>
      </c>
      <c r="B2564" s="64" t="s">
        <v>4332</v>
      </c>
      <c r="C2564" s="44" t="s">
        <v>4357</v>
      </c>
      <c r="D2564" s="41"/>
      <c r="E2564" s="41" t="s">
        <v>4355</v>
      </c>
      <c r="F2564" s="41" t="str">
        <f>IFERROR(__xludf.DUMMYFUNCTION("if(REGEXMATCH(C2564,""x.com"")=TRUE,""Twitter"",if(REGEXMATCH(C2564,""facebook"")=TRUE,""Facebook"",if(REGEXMATCH(C2564,""instagram"")=TRUE,""Instagram"",if(REGEXMATCH(C2564,""youtube"")=TRUE,""Youtube"",if(REGEXMATCH(C2564,""tiktok"")=TRUE,""Tiktok"",if("&amp;"REGEXMATCH(C2564,""threads"")=TRUE,""Threads""))))))"),"Tiktok")</f>
        <v>Tiktok</v>
      </c>
      <c r="G2564" s="41" t="s">
        <v>4358</v>
      </c>
      <c r="H2564" s="52" t="s">
        <v>4335</v>
      </c>
      <c r="I2564" s="52" t="s">
        <v>535</v>
      </c>
      <c r="J2564" s="41" t="s">
        <v>188</v>
      </c>
      <c r="K2564" s="41"/>
      <c r="L2564" s="42"/>
    </row>
    <row r="2565">
      <c r="A2565" s="18">
        <v>2564.0</v>
      </c>
      <c r="B2565" s="64" t="s">
        <v>4332</v>
      </c>
      <c r="C2565" s="44" t="s">
        <v>4359</v>
      </c>
      <c r="D2565" s="41"/>
      <c r="E2565" s="41" t="s">
        <v>4355</v>
      </c>
      <c r="F2565" s="41" t="str">
        <f>IFERROR(__xludf.DUMMYFUNCTION("if(REGEXMATCH(C2565,""x.com"")=TRUE,""Twitter"",if(REGEXMATCH(C2565,""facebook"")=TRUE,""Facebook"",if(REGEXMATCH(C2565,""instagram"")=TRUE,""Instagram"",if(REGEXMATCH(C2565,""youtube"")=TRUE,""Youtube"",if(REGEXMATCH(C2565,""tiktok"")=TRUE,""Tiktok"",if("&amp;"REGEXMATCH(C2565,""threads"")=TRUE,""Threads""))))))"),"Tiktok")</f>
        <v>Tiktok</v>
      </c>
      <c r="G2565" s="41" t="s">
        <v>4358</v>
      </c>
      <c r="H2565" s="52" t="s">
        <v>4335</v>
      </c>
      <c r="I2565" s="52" t="s">
        <v>535</v>
      </c>
      <c r="J2565" s="41" t="s">
        <v>188</v>
      </c>
      <c r="K2565" s="41"/>
      <c r="L2565" s="42"/>
    </row>
    <row r="2566">
      <c r="A2566" s="18">
        <v>2565.0</v>
      </c>
      <c r="B2566" s="64" t="s">
        <v>4332</v>
      </c>
      <c r="C2566" s="44" t="s">
        <v>4321</v>
      </c>
      <c r="D2566" s="41"/>
      <c r="E2566" s="41" t="s">
        <v>197</v>
      </c>
      <c r="F2566" s="41" t="str">
        <f>IFERROR(__xludf.DUMMYFUNCTION("if(REGEXMATCH(C2566,""x.com"")=TRUE,""Twitter"",if(REGEXMATCH(C2566,""facebook"")=TRUE,""Facebook"",if(REGEXMATCH(C2566,""instagram"")=TRUE,""Instagram"",if(REGEXMATCH(C2566,""youtube"")=TRUE,""Youtube"",if(REGEXMATCH(C2566,""tiktok"")=TRUE,""Tiktok"",if("&amp;"REGEXMATCH(C2566,""threads"")=TRUE,""Threads""))))))"),"Twitter")</f>
        <v>Twitter</v>
      </c>
      <c r="G2566" s="41" t="s">
        <v>4360</v>
      </c>
      <c r="H2566" s="52" t="s">
        <v>4335</v>
      </c>
      <c r="I2566" s="52" t="s">
        <v>535</v>
      </c>
      <c r="J2566" s="41" t="s">
        <v>188</v>
      </c>
      <c r="K2566" s="41"/>
      <c r="L2566" s="42"/>
    </row>
    <row r="2567">
      <c r="A2567" s="18">
        <v>2566.0</v>
      </c>
      <c r="B2567" s="64" t="s">
        <v>4332</v>
      </c>
      <c r="C2567" s="44" t="s">
        <v>4361</v>
      </c>
      <c r="D2567" s="41"/>
      <c r="E2567" s="41" t="s">
        <v>197</v>
      </c>
      <c r="F2567" s="41" t="str">
        <f>IFERROR(__xludf.DUMMYFUNCTION("if(REGEXMATCH(C2567,""x.com"")=TRUE,""Twitter"",if(REGEXMATCH(C2567,""facebook"")=TRUE,""Facebook"",if(REGEXMATCH(C2567,""instagram"")=TRUE,""Instagram"",if(REGEXMATCH(C2567,""youtube"")=TRUE,""Youtube"",if(REGEXMATCH(C2567,""tiktok"")=TRUE,""Tiktok"",if("&amp;"REGEXMATCH(C2567,""threads"")=TRUE,""Threads""))))))"),"Twitter")</f>
        <v>Twitter</v>
      </c>
      <c r="G2567" s="41" t="s">
        <v>4362</v>
      </c>
      <c r="H2567" s="52" t="s">
        <v>4335</v>
      </c>
      <c r="I2567" s="52" t="s">
        <v>535</v>
      </c>
      <c r="J2567" s="41" t="s">
        <v>188</v>
      </c>
      <c r="K2567" s="41"/>
      <c r="L2567" s="42"/>
    </row>
    <row r="2568">
      <c r="A2568" s="18">
        <v>2567.0</v>
      </c>
      <c r="B2568" s="64" t="s">
        <v>4332</v>
      </c>
      <c r="C2568" s="44" t="s">
        <v>4363</v>
      </c>
      <c r="D2568" s="41"/>
      <c r="E2568" s="41" t="s">
        <v>197</v>
      </c>
      <c r="F2568" s="41" t="str">
        <f>IFERROR(__xludf.DUMMYFUNCTION("if(REGEXMATCH(C2568,""x.com"")=TRUE,""Twitter"",if(REGEXMATCH(C2568,""facebook"")=TRUE,""Facebook"",if(REGEXMATCH(C2568,""instagram"")=TRUE,""Instagram"",if(REGEXMATCH(C2568,""youtube"")=TRUE,""Youtube"",if(REGEXMATCH(C2568,""tiktok"")=TRUE,""Tiktok"",if("&amp;"REGEXMATCH(C2568,""threads"")=TRUE,""Threads""))))))"),"Facebook")</f>
        <v>Facebook</v>
      </c>
      <c r="G2568" s="41" t="s">
        <v>4364</v>
      </c>
      <c r="H2568" s="52" t="s">
        <v>4335</v>
      </c>
      <c r="I2568" s="52" t="s">
        <v>535</v>
      </c>
      <c r="J2568" s="41" t="s">
        <v>188</v>
      </c>
      <c r="K2568" s="41"/>
      <c r="L2568" s="42"/>
    </row>
    <row r="2569">
      <c r="A2569" s="18">
        <v>2568.0</v>
      </c>
      <c r="B2569" s="64" t="s">
        <v>4332</v>
      </c>
      <c r="C2569" s="44" t="s">
        <v>4365</v>
      </c>
      <c r="D2569" s="41"/>
      <c r="E2569" s="41" t="s">
        <v>197</v>
      </c>
      <c r="F2569" s="41" t="str">
        <f>IFERROR(__xludf.DUMMYFUNCTION("if(REGEXMATCH(C2569,""x.com"")=TRUE,""Twitter"",if(REGEXMATCH(C2569,""facebook"")=TRUE,""Facebook"",if(REGEXMATCH(C2569,""instagram"")=TRUE,""Instagram"",if(REGEXMATCH(C2569,""youtube"")=TRUE,""Youtube"",if(REGEXMATCH(C2569,""tiktok"")=TRUE,""Tiktok"",if("&amp;"REGEXMATCH(C2569,""threads"")=TRUE,""Threads""))))))"),"Facebook")</f>
        <v>Facebook</v>
      </c>
      <c r="G2569" s="41" t="s">
        <v>4366</v>
      </c>
      <c r="H2569" s="52" t="s">
        <v>4335</v>
      </c>
      <c r="I2569" s="52" t="s">
        <v>535</v>
      </c>
      <c r="J2569" s="41" t="s">
        <v>188</v>
      </c>
      <c r="K2569" s="41"/>
      <c r="L2569" s="42"/>
    </row>
    <row r="2570">
      <c r="A2570" s="18">
        <v>2569.0</v>
      </c>
      <c r="B2570" s="64" t="s">
        <v>4332</v>
      </c>
      <c r="C2570" s="46" t="s">
        <v>4367</v>
      </c>
      <c r="D2570" s="41"/>
      <c r="E2570" s="41" t="s">
        <v>401</v>
      </c>
      <c r="F2570" s="41" t="str">
        <f>IFERROR(__xludf.DUMMYFUNCTION("if(REGEXMATCH(C2570,""x.com"")=TRUE,""Twitter"",if(REGEXMATCH(C2570,""facebook"")=TRUE,""Facebook"",if(REGEXMATCH(C2570,""instagram"")=TRUE,""Instagram"",if(REGEXMATCH(C2570,""youtube"")=TRUE,""Youtube"",if(REGEXMATCH(C2570,""tiktok"")=TRUE,""Tiktok"",if("&amp;"REGEXMATCH(C2570,""threads"")=TRUE,""Threads""))))))"),"Facebook")</f>
        <v>Facebook</v>
      </c>
      <c r="G2570" s="41" t="s">
        <v>937</v>
      </c>
      <c r="H2570" s="41" t="s">
        <v>1542</v>
      </c>
      <c r="I2570" s="41" t="s">
        <v>939</v>
      </c>
      <c r="J2570" s="41" t="s">
        <v>188</v>
      </c>
      <c r="K2570" s="41"/>
      <c r="L2570" s="42"/>
    </row>
    <row r="2571">
      <c r="A2571" s="18">
        <v>2570.0</v>
      </c>
      <c r="B2571" s="64" t="s">
        <v>4332</v>
      </c>
      <c r="C2571" s="46" t="s">
        <v>4368</v>
      </c>
      <c r="D2571" s="41"/>
      <c r="E2571" s="41" t="s">
        <v>401</v>
      </c>
      <c r="F2571" s="41" t="str">
        <f>IFERROR(__xludf.DUMMYFUNCTION("if(REGEXMATCH(C2571,""x.com"")=TRUE,""Twitter"",if(REGEXMATCH(C2571,""facebook"")=TRUE,""Facebook"",if(REGEXMATCH(C2571,""instagram"")=TRUE,""Instagram"",if(REGEXMATCH(C2571,""youtube"")=TRUE,""Youtube"",if(REGEXMATCH(C2571,""tiktok"")=TRUE,""Tiktok"",if("&amp;"REGEXMATCH(C2571,""threads"")=TRUE,""Threads""))))))"),"Facebook")</f>
        <v>Facebook</v>
      </c>
      <c r="G2571" s="41" t="s">
        <v>937</v>
      </c>
      <c r="H2571" s="41" t="s">
        <v>1542</v>
      </c>
      <c r="I2571" s="41" t="s">
        <v>939</v>
      </c>
      <c r="J2571" s="41" t="s">
        <v>188</v>
      </c>
      <c r="K2571" s="41"/>
      <c r="L2571" s="42"/>
    </row>
    <row r="2572">
      <c r="A2572" s="18">
        <v>2571.0</v>
      </c>
      <c r="B2572" s="64" t="s">
        <v>4332</v>
      </c>
      <c r="C2572" s="46" t="s">
        <v>4369</v>
      </c>
      <c r="D2572" s="41"/>
      <c r="E2572" s="41" t="s">
        <v>401</v>
      </c>
      <c r="F2572" s="41" t="str">
        <f>IFERROR(__xludf.DUMMYFUNCTION("if(REGEXMATCH(C2572,""x.com"")=TRUE,""Twitter"",if(REGEXMATCH(C2572,""facebook"")=TRUE,""Facebook"",if(REGEXMATCH(C2572,""instagram"")=TRUE,""Instagram"",if(REGEXMATCH(C2572,""youtube"")=TRUE,""Youtube"",if(REGEXMATCH(C2572,""tiktok"")=TRUE,""Tiktok"",if("&amp;"REGEXMATCH(C2572,""threads"")=TRUE,""Threads""))))))"),"Facebook")</f>
        <v>Facebook</v>
      </c>
      <c r="G2572" s="41" t="s">
        <v>937</v>
      </c>
      <c r="H2572" s="41" t="s">
        <v>1542</v>
      </c>
      <c r="I2572" s="41" t="s">
        <v>939</v>
      </c>
      <c r="J2572" s="41" t="s">
        <v>188</v>
      </c>
      <c r="K2572" s="41"/>
      <c r="L2572" s="42"/>
    </row>
    <row r="2573">
      <c r="A2573" s="18">
        <v>2572.0</v>
      </c>
      <c r="B2573" s="64" t="s">
        <v>4332</v>
      </c>
      <c r="C2573" s="46" t="s">
        <v>4370</v>
      </c>
      <c r="D2573" s="41"/>
      <c r="E2573" s="41" t="s">
        <v>401</v>
      </c>
      <c r="F2573" s="41" t="str">
        <f>IFERROR(__xludf.DUMMYFUNCTION("if(REGEXMATCH(C2573,""x.com"")=TRUE,""Twitter"",if(REGEXMATCH(C2573,""facebook"")=TRUE,""Facebook"",if(REGEXMATCH(C2573,""instagram"")=TRUE,""Instagram"",if(REGEXMATCH(C2573,""youtube"")=TRUE,""Youtube"",if(REGEXMATCH(C2573,""tiktok"")=TRUE,""Tiktok"",if("&amp;"REGEXMATCH(C2573,""threads"")=TRUE,""Threads""))))))"),"Facebook")</f>
        <v>Facebook</v>
      </c>
      <c r="G2573" s="41" t="s">
        <v>937</v>
      </c>
      <c r="H2573" s="41" t="s">
        <v>1542</v>
      </c>
      <c r="I2573" s="41" t="s">
        <v>939</v>
      </c>
      <c r="J2573" s="41" t="s">
        <v>188</v>
      </c>
      <c r="K2573" s="41"/>
      <c r="L2573" s="42"/>
    </row>
    <row r="2574">
      <c r="A2574" s="18">
        <v>2573.0</v>
      </c>
      <c r="B2574" s="64" t="s">
        <v>4332</v>
      </c>
      <c r="C2574" s="46" t="s">
        <v>4371</v>
      </c>
      <c r="D2574" s="41"/>
      <c r="E2574" s="41" t="s">
        <v>401</v>
      </c>
      <c r="F2574" s="41" t="str">
        <f>IFERROR(__xludf.DUMMYFUNCTION("if(REGEXMATCH(C2574,""x.com"")=TRUE,""Twitter"",if(REGEXMATCH(C2574,""facebook"")=TRUE,""Facebook"",if(REGEXMATCH(C2574,""instagram"")=TRUE,""Instagram"",if(REGEXMATCH(C2574,""youtube"")=TRUE,""Youtube"",if(REGEXMATCH(C2574,""tiktok"")=TRUE,""Tiktok"",if("&amp;"REGEXMATCH(C2574,""threads"")=TRUE,""Threads""))))))"),"Facebook")</f>
        <v>Facebook</v>
      </c>
      <c r="G2574" s="41" t="s">
        <v>937</v>
      </c>
      <c r="H2574" s="41" t="s">
        <v>1542</v>
      </c>
      <c r="I2574" s="41" t="s">
        <v>939</v>
      </c>
      <c r="J2574" s="41" t="s">
        <v>188</v>
      </c>
      <c r="K2574" s="41"/>
      <c r="L2574" s="42"/>
    </row>
    <row r="2575">
      <c r="A2575" s="18">
        <v>2574.0</v>
      </c>
      <c r="B2575" s="64" t="s">
        <v>4332</v>
      </c>
      <c r="C2575" s="46" t="s">
        <v>4372</v>
      </c>
      <c r="D2575" s="41"/>
      <c r="E2575" s="41" t="s">
        <v>401</v>
      </c>
      <c r="F2575" s="41" t="str">
        <f>IFERROR(__xludf.DUMMYFUNCTION("if(REGEXMATCH(C2575,""x.com"")=TRUE,""Twitter"",if(REGEXMATCH(C2575,""facebook"")=TRUE,""Facebook"",if(REGEXMATCH(C2575,""instagram"")=TRUE,""Instagram"",if(REGEXMATCH(C2575,""youtube"")=TRUE,""Youtube"",if(REGEXMATCH(C2575,""tiktok"")=TRUE,""Tiktok"",if("&amp;"REGEXMATCH(C2575,""threads"")=TRUE,""Threads""))))))"),"Facebook")</f>
        <v>Facebook</v>
      </c>
      <c r="G2575" s="41" t="s">
        <v>937</v>
      </c>
      <c r="H2575" s="41" t="s">
        <v>1542</v>
      </c>
      <c r="I2575" s="41" t="s">
        <v>939</v>
      </c>
      <c r="J2575" s="41" t="s">
        <v>188</v>
      </c>
      <c r="K2575" s="18"/>
      <c r="L2575" s="42"/>
    </row>
    <row r="2576">
      <c r="A2576" s="18">
        <v>2575.0</v>
      </c>
      <c r="B2576" s="64" t="s">
        <v>4332</v>
      </c>
      <c r="C2576" s="46" t="s">
        <v>4373</v>
      </c>
      <c r="D2576" s="41"/>
      <c r="E2576" s="41" t="s">
        <v>401</v>
      </c>
      <c r="F2576" s="41" t="str">
        <f>IFERROR(__xludf.DUMMYFUNCTION("if(REGEXMATCH(C2576,""x.com"")=TRUE,""Twitter"",if(REGEXMATCH(C2576,""facebook"")=TRUE,""Facebook"",if(REGEXMATCH(C2576,""instagram"")=TRUE,""Instagram"",if(REGEXMATCH(C2576,""youtube"")=TRUE,""Youtube"",if(REGEXMATCH(C2576,""tiktok"")=TRUE,""Tiktok"",if("&amp;"REGEXMATCH(C2576,""threads"")=TRUE,""Threads""))))))"),"Facebook")</f>
        <v>Facebook</v>
      </c>
      <c r="G2576" s="41" t="s">
        <v>937</v>
      </c>
      <c r="H2576" s="41" t="s">
        <v>1542</v>
      </c>
      <c r="I2576" s="41" t="s">
        <v>939</v>
      </c>
      <c r="J2576" s="41" t="s">
        <v>188</v>
      </c>
      <c r="K2576" s="41"/>
      <c r="L2576" s="42"/>
    </row>
    <row r="2577">
      <c r="A2577" s="18">
        <v>2576.0</v>
      </c>
      <c r="B2577" s="64" t="s">
        <v>4332</v>
      </c>
      <c r="C2577" s="46" t="s">
        <v>4374</v>
      </c>
      <c r="D2577" s="41"/>
      <c r="E2577" s="41" t="s">
        <v>401</v>
      </c>
      <c r="F2577" s="41" t="str">
        <f>IFERROR(__xludf.DUMMYFUNCTION("if(REGEXMATCH(C2577,""x.com"")=TRUE,""Twitter"",if(REGEXMATCH(C2577,""facebook"")=TRUE,""Facebook"",if(REGEXMATCH(C2577,""instagram"")=TRUE,""Instagram"",if(REGEXMATCH(C2577,""youtube"")=TRUE,""Youtube"",if(REGEXMATCH(C2577,""tiktok"")=TRUE,""Tiktok"",if("&amp;"REGEXMATCH(C2577,""threads"")=TRUE,""Threads""))))))"),"Facebook")</f>
        <v>Facebook</v>
      </c>
      <c r="G2577" s="41" t="s">
        <v>937</v>
      </c>
      <c r="H2577" s="41" t="s">
        <v>1542</v>
      </c>
      <c r="I2577" s="41" t="s">
        <v>939</v>
      </c>
      <c r="J2577" s="41" t="s">
        <v>188</v>
      </c>
      <c r="K2577" s="41"/>
      <c r="L2577" s="42"/>
    </row>
    <row r="2578">
      <c r="A2578" s="18">
        <v>2577.0</v>
      </c>
      <c r="B2578" s="64" t="s">
        <v>4332</v>
      </c>
      <c r="C2578" s="46" t="s">
        <v>4375</v>
      </c>
      <c r="D2578" s="41"/>
      <c r="E2578" s="41" t="s">
        <v>401</v>
      </c>
      <c r="F2578" s="41" t="str">
        <f>IFERROR(__xludf.DUMMYFUNCTION("if(REGEXMATCH(C2578,""x.com"")=TRUE,""Twitter"",if(REGEXMATCH(C2578,""facebook"")=TRUE,""Facebook"",if(REGEXMATCH(C2578,""instagram"")=TRUE,""Instagram"",if(REGEXMATCH(C2578,""youtube"")=TRUE,""Youtube"",if(REGEXMATCH(C2578,""tiktok"")=TRUE,""Tiktok"",if("&amp;"REGEXMATCH(C2578,""threads"")=TRUE,""Threads""))))))"),"Facebook")</f>
        <v>Facebook</v>
      </c>
      <c r="G2578" s="41" t="s">
        <v>937</v>
      </c>
      <c r="H2578" s="41" t="s">
        <v>1542</v>
      </c>
      <c r="I2578" s="41" t="s">
        <v>939</v>
      </c>
      <c r="J2578" s="41" t="s">
        <v>188</v>
      </c>
      <c r="K2578" s="41"/>
      <c r="L2578" s="42"/>
    </row>
    <row r="2579">
      <c r="A2579" s="18">
        <v>2578.0</v>
      </c>
      <c r="B2579" s="64" t="s">
        <v>4332</v>
      </c>
      <c r="C2579" s="46" t="s">
        <v>4376</v>
      </c>
      <c r="D2579" s="41"/>
      <c r="E2579" s="41" t="s">
        <v>401</v>
      </c>
      <c r="F2579" s="41" t="str">
        <f>IFERROR(__xludf.DUMMYFUNCTION("if(REGEXMATCH(C2579,""x.com"")=TRUE,""Twitter"",if(REGEXMATCH(C2579,""facebook"")=TRUE,""Facebook"",if(REGEXMATCH(C2579,""instagram"")=TRUE,""Instagram"",if(REGEXMATCH(C2579,""youtube"")=TRUE,""Youtube"",if(REGEXMATCH(C2579,""tiktok"")=TRUE,""Tiktok"",if("&amp;"REGEXMATCH(C2579,""threads"")=TRUE,""Threads""))))))"),"Facebook")</f>
        <v>Facebook</v>
      </c>
      <c r="G2579" s="41" t="s">
        <v>937</v>
      </c>
      <c r="H2579" s="41" t="s">
        <v>1542</v>
      </c>
      <c r="I2579" s="41" t="s">
        <v>939</v>
      </c>
      <c r="J2579" s="41" t="s">
        <v>188</v>
      </c>
      <c r="K2579" s="41"/>
      <c r="L2579" s="42"/>
    </row>
    <row r="2580">
      <c r="A2580" s="18">
        <v>2579.0</v>
      </c>
      <c r="B2580" s="64" t="s">
        <v>4332</v>
      </c>
      <c r="C2580" s="74" t="s">
        <v>4377</v>
      </c>
      <c r="D2580" s="41"/>
      <c r="E2580" s="52" t="s">
        <v>184</v>
      </c>
      <c r="F2580" s="72" t="str">
        <f>IFERROR(__xludf.DUMMYFUNCTION("if(REGEXMATCH(C2580,""x.com"")=TRUE,""Twitter"",if(REGEXMATCH(C2580,""facebook"")=TRUE,""Facebook"",if(REGEXMATCH(C2580,""instagram"")=TRUE,""Instagram"",if(REGEXMATCH(C2580,""youtube"")=TRUE,""Youtube"",if(REGEXMATCH(C2580,""tiktok"")=TRUE,""Tiktok"",if("&amp;"REGEXMATCH(C2580,""threads"")=TRUE,""Threads""))))))"),"Instagram")</f>
        <v>Instagram</v>
      </c>
      <c r="G2580" s="52" t="s">
        <v>4378</v>
      </c>
      <c r="H2580" s="52" t="s">
        <v>1974</v>
      </c>
      <c r="I2580" s="41"/>
      <c r="J2580" s="52" t="s">
        <v>188</v>
      </c>
      <c r="K2580" s="41"/>
      <c r="L2580" s="42"/>
    </row>
    <row r="2581">
      <c r="A2581" s="18">
        <v>2580.0</v>
      </c>
      <c r="B2581" s="76" t="s">
        <v>4379</v>
      </c>
      <c r="C2581" s="77" t="s">
        <v>4380</v>
      </c>
      <c r="D2581" s="42"/>
      <c r="E2581" s="78" t="s">
        <v>447</v>
      </c>
      <c r="F2581" s="41" t="str">
        <f>IFERROR(__xludf.DUMMYFUNCTION("if(REGEXMATCH(C2581,""x.com"")=TRUE,""Twitter"",if(REGEXMATCH(C2581,""facebook"")=TRUE,""Facebook"",if(REGEXMATCH(C2581,""instagram"")=TRUE,""Instagram"",if(REGEXMATCH(C2581,""youtube"")=TRUE,""Youtube"",if(REGEXMATCH(C2581,""tiktok"")=TRUE,""Tiktok"",if("&amp;"REGEXMATCH(C2581,""threads"")=TRUE,""Threads""))))))"),"Facebook")</f>
        <v>Facebook</v>
      </c>
      <c r="G2581" s="41" t="s">
        <v>4381</v>
      </c>
      <c r="H2581" s="42"/>
      <c r="I2581" s="42"/>
      <c r="J2581" s="41" t="s">
        <v>188</v>
      </c>
      <c r="K2581" s="42"/>
      <c r="L2581" s="42"/>
    </row>
    <row r="2582">
      <c r="A2582" s="18">
        <v>2581.0</v>
      </c>
      <c r="B2582" s="76" t="s">
        <v>4379</v>
      </c>
      <c r="C2582" s="47" t="s">
        <v>4382</v>
      </c>
      <c r="D2582" s="41"/>
      <c r="E2582" s="41" t="s">
        <v>447</v>
      </c>
      <c r="F2582" s="41" t="str">
        <f>IFERROR(__xludf.DUMMYFUNCTION("if(REGEXMATCH(C2582,""x.com"")=TRUE,""Twitter"",if(REGEXMATCH(C2582,""facebook"")=TRUE,""Facebook"",if(REGEXMATCH(C2582,""instagram"")=TRUE,""Instagram"",if(REGEXMATCH(C2582,""youtube"")=TRUE,""Youtube"",if(REGEXMATCH(C2582,""tiktok"")=TRUE,""Tiktok"",if("&amp;"REGEXMATCH(C2582,""threads"")=TRUE,""Threads""))))))"),"Instagram")</f>
        <v>Instagram</v>
      </c>
      <c r="G2582" s="41" t="s">
        <v>4381</v>
      </c>
      <c r="H2582" s="42"/>
      <c r="I2582" s="42"/>
      <c r="J2582" s="41" t="s">
        <v>188</v>
      </c>
      <c r="K2582" s="42"/>
      <c r="L2582" s="42"/>
    </row>
    <row r="2583">
      <c r="A2583" s="18">
        <v>2582.0</v>
      </c>
      <c r="B2583" s="76" t="s">
        <v>4379</v>
      </c>
      <c r="C2583" s="47" t="s">
        <v>4383</v>
      </c>
      <c r="D2583" s="41"/>
      <c r="E2583" s="41" t="s">
        <v>447</v>
      </c>
      <c r="F2583" s="41" t="str">
        <f>IFERROR(__xludf.DUMMYFUNCTION("if(REGEXMATCH(C2583,""x.com"")=TRUE,""Twitter"",if(REGEXMATCH(C2583,""facebook"")=TRUE,""Facebook"",if(REGEXMATCH(C2583,""instagram"")=TRUE,""Instagram"",if(REGEXMATCH(C2583,""youtube"")=TRUE,""Youtube"",if(REGEXMATCH(C2583,""tiktok"")=TRUE,""Tiktok"",if("&amp;"REGEXMATCH(C2583,""threads"")=TRUE,""Threads""))))))"),"Youtube")</f>
        <v>Youtube</v>
      </c>
      <c r="G2583" s="41" t="s">
        <v>4381</v>
      </c>
      <c r="H2583" s="42"/>
      <c r="I2583" s="42"/>
      <c r="J2583" s="41" t="s">
        <v>188</v>
      </c>
      <c r="K2583" s="42"/>
      <c r="L2583" s="42"/>
    </row>
    <row r="2584">
      <c r="A2584" s="18">
        <v>2583.0</v>
      </c>
      <c r="B2584" s="76" t="s">
        <v>4379</v>
      </c>
      <c r="C2584" s="47" t="s">
        <v>4384</v>
      </c>
      <c r="D2584" s="41"/>
      <c r="E2584" s="41" t="s">
        <v>197</v>
      </c>
      <c r="F2584" s="41" t="str">
        <f>IFERROR(__xludf.DUMMYFUNCTION("if(REGEXMATCH(C2584,""x.com"")=TRUE,""Twitter"",if(REGEXMATCH(C2584,""facebook"")=TRUE,""Facebook"",if(REGEXMATCH(C2584,""instagram"")=TRUE,""Instagram"",if(REGEXMATCH(C2584,""youtube"")=TRUE,""Youtube"",if(REGEXMATCH(C2584,""tiktok"")=TRUE,""Tiktok"",if("&amp;"REGEXMATCH(C2584,""threads"")=TRUE,""Threads""))))))"),"Facebook")</f>
        <v>Facebook</v>
      </c>
      <c r="G2584" s="41" t="s">
        <v>4385</v>
      </c>
      <c r="H2584" s="42"/>
      <c r="I2584" s="42"/>
      <c r="J2584" s="41" t="s">
        <v>188</v>
      </c>
      <c r="K2584" s="42"/>
      <c r="L2584" s="42"/>
    </row>
    <row r="2585">
      <c r="A2585" s="18">
        <v>2584.0</v>
      </c>
      <c r="B2585" s="76" t="s">
        <v>4379</v>
      </c>
      <c r="C2585" s="47" t="s">
        <v>4386</v>
      </c>
      <c r="D2585" s="41"/>
      <c r="E2585" s="41" t="s">
        <v>447</v>
      </c>
      <c r="F2585" s="41" t="str">
        <f>IFERROR(__xludf.DUMMYFUNCTION("if(REGEXMATCH(C2585,""x.com"")=TRUE,""Twitter"",if(REGEXMATCH(C2585,""facebook"")=TRUE,""Facebook"",if(REGEXMATCH(C2585,""instagram"")=TRUE,""Instagram"",if(REGEXMATCH(C2585,""youtube"")=TRUE,""Youtube"",if(REGEXMATCH(C2585,""tiktok"")=TRUE,""Tiktok"",if("&amp;"REGEXMATCH(C2585,""threads"")=TRUE,""Threads""))))))"),"Facebook")</f>
        <v>Facebook</v>
      </c>
      <c r="G2585" s="41" t="s">
        <v>4387</v>
      </c>
      <c r="H2585" s="42"/>
      <c r="I2585" s="42"/>
      <c r="J2585" s="41" t="s">
        <v>188</v>
      </c>
      <c r="K2585" s="42"/>
      <c r="L2585" s="42"/>
    </row>
    <row r="2586">
      <c r="A2586" s="18">
        <v>2585.0</v>
      </c>
      <c r="B2586" s="76" t="s">
        <v>4379</v>
      </c>
      <c r="C2586" s="47" t="s">
        <v>4388</v>
      </c>
      <c r="D2586" s="41"/>
      <c r="E2586" s="41" t="s">
        <v>447</v>
      </c>
      <c r="F2586" s="41" t="str">
        <f>IFERROR(__xludf.DUMMYFUNCTION("if(REGEXMATCH(C2586,""x.com"")=TRUE,""Twitter"",if(REGEXMATCH(C2586,""facebook"")=TRUE,""Facebook"",if(REGEXMATCH(C2586,""instagram"")=TRUE,""Instagram"",if(REGEXMATCH(C2586,""youtube"")=TRUE,""Youtube"",if(REGEXMATCH(C2586,""tiktok"")=TRUE,""Tiktok"",if("&amp;"REGEXMATCH(C2586,""threads"")=TRUE,""Threads""))))))"),"Facebook")</f>
        <v>Facebook</v>
      </c>
      <c r="G2586" s="41" t="s">
        <v>4389</v>
      </c>
      <c r="H2586" s="42"/>
      <c r="I2586" s="42"/>
      <c r="J2586" s="41" t="s">
        <v>188</v>
      </c>
      <c r="K2586" s="42"/>
      <c r="L2586" s="42"/>
    </row>
    <row r="2587">
      <c r="A2587" s="18">
        <v>2586.0</v>
      </c>
      <c r="B2587" s="76" t="s">
        <v>4379</v>
      </c>
      <c r="C2587" s="47" t="s">
        <v>4390</v>
      </c>
      <c r="D2587" s="41"/>
      <c r="E2587" s="41" t="s">
        <v>1178</v>
      </c>
      <c r="F2587" s="41" t="str">
        <f>IFERROR(__xludf.DUMMYFUNCTION("if(REGEXMATCH(C2587,""x.com"")=TRUE,""Twitter"",if(REGEXMATCH(C2587,""facebook"")=TRUE,""Facebook"",if(REGEXMATCH(C2587,""instagram"")=TRUE,""Instagram"",if(REGEXMATCH(C2587,""youtube"")=TRUE,""Youtube"",if(REGEXMATCH(C2587,""tiktok"")=TRUE,""Tiktok"",if("&amp;"REGEXMATCH(C2587,""threads"")=TRUE,""Threads""))))))"),"Facebook")</f>
        <v>Facebook</v>
      </c>
      <c r="G2587" s="41" t="s">
        <v>4391</v>
      </c>
      <c r="H2587" s="42"/>
      <c r="I2587" s="42"/>
      <c r="J2587" s="41" t="s">
        <v>188</v>
      </c>
      <c r="K2587" s="42"/>
      <c r="L2587" s="42"/>
    </row>
    <row r="2588">
      <c r="A2588" s="18">
        <v>2587.0</v>
      </c>
      <c r="B2588" s="76" t="s">
        <v>4379</v>
      </c>
      <c r="C2588" s="47" t="s">
        <v>4388</v>
      </c>
      <c r="D2588" s="41"/>
      <c r="E2588" s="41" t="s">
        <v>4392</v>
      </c>
      <c r="F2588" s="41" t="str">
        <f>IFERROR(__xludf.DUMMYFUNCTION("if(REGEXMATCH(C2588,""x.com"")=TRUE,""Twitter"",if(REGEXMATCH(C2588,""facebook"")=TRUE,""Facebook"",if(REGEXMATCH(C2588,""instagram"")=TRUE,""Instagram"",if(REGEXMATCH(C2588,""youtube"")=TRUE,""Youtube"",if(REGEXMATCH(C2588,""tiktok"")=TRUE,""Tiktok"",if("&amp;"REGEXMATCH(C2588,""threads"")=TRUE,""Threads""))))))"),"Facebook")</f>
        <v>Facebook</v>
      </c>
      <c r="G2588" s="41" t="s">
        <v>4389</v>
      </c>
      <c r="H2588" s="42"/>
      <c r="I2588" s="42"/>
      <c r="J2588" s="41" t="s">
        <v>188</v>
      </c>
      <c r="K2588" s="42"/>
      <c r="L2588" s="42"/>
    </row>
    <row r="2589">
      <c r="A2589" s="18">
        <v>2588.0</v>
      </c>
      <c r="B2589" s="76" t="s">
        <v>4379</v>
      </c>
      <c r="C2589" s="47" t="s">
        <v>4393</v>
      </c>
      <c r="D2589" s="41"/>
      <c r="E2589" s="41" t="s">
        <v>447</v>
      </c>
      <c r="F2589" s="41" t="str">
        <f>IFERROR(__xludf.DUMMYFUNCTION("if(REGEXMATCH(C2589,""x.com"")=TRUE,""Twitter"",if(REGEXMATCH(C2589,""facebook"")=TRUE,""Facebook"",if(REGEXMATCH(C2589,""instagram"")=TRUE,""Instagram"",if(REGEXMATCH(C2589,""youtube"")=TRUE,""Youtube"",if(REGEXMATCH(C2589,""tiktok"")=TRUE,""Tiktok"",if("&amp;"REGEXMATCH(C2589,""threads"")=TRUE,""Threads""))))))"),"Facebook")</f>
        <v>Facebook</v>
      </c>
      <c r="G2589" s="41" t="s">
        <v>4394</v>
      </c>
      <c r="H2589" s="42"/>
      <c r="I2589" s="42"/>
      <c r="J2589" s="41" t="s">
        <v>188</v>
      </c>
      <c r="K2589" s="42"/>
      <c r="L2589" s="42"/>
    </row>
    <row r="2590">
      <c r="A2590" s="18">
        <v>2589.0</v>
      </c>
      <c r="B2590" s="76" t="s">
        <v>4395</v>
      </c>
      <c r="C2590" s="44" t="s">
        <v>4396</v>
      </c>
      <c r="D2590" s="41"/>
      <c r="E2590" s="41" t="s">
        <v>197</v>
      </c>
      <c r="F2590" s="41" t="str">
        <f>IFERROR(__xludf.DUMMYFUNCTION("if(REGEXMATCH(C2590,""x.com"")=TRUE,""Twitter"",if(REGEXMATCH(C2590,""facebook"")=TRUE,""Facebook"",if(REGEXMATCH(C2590,""instagram"")=TRUE,""Instagram"",if(REGEXMATCH(C2590,""youtube"")=TRUE,""Youtube"",if(REGEXMATCH(C2590,""tiktok"")=TRUE,""Tiktok"",if("&amp;"REGEXMATCH(C2590,""threads"")=TRUE,""Threads""))))))"),"Facebook")</f>
        <v>Facebook</v>
      </c>
      <c r="G2590" s="41" t="s">
        <v>4397</v>
      </c>
      <c r="H2590" s="43" t="s">
        <v>4398</v>
      </c>
      <c r="I2590" s="43" t="s">
        <v>4399</v>
      </c>
      <c r="J2590" s="41" t="s">
        <v>188</v>
      </c>
      <c r="K2590" s="41"/>
      <c r="L2590" s="42"/>
    </row>
    <row r="2591">
      <c r="A2591" s="18">
        <v>2590.0</v>
      </c>
      <c r="B2591" s="76" t="s">
        <v>4395</v>
      </c>
      <c r="C2591" s="44" t="s">
        <v>4400</v>
      </c>
      <c r="D2591" s="41"/>
      <c r="E2591" s="41" t="s">
        <v>197</v>
      </c>
      <c r="F2591" s="41" t="str">
        <f>IFERROR(__xludf.DUMMYFUNCTION("if(REGEXMATCH(C2591,""x.com"")=TRUE,""Twitter"",if(REGEXMATCH(C2591,""facebook"")=TRUE,""Facebook"",if(REGEXMATCH(C2591,""instagram"")=TRUE,""Instagram"",if(REGEXMATCH(C2591,""youtube"")=TRUE,""Youtube"",if(REGEXMATCH(C2591,""tiktok"")=TRUE,""Tiktok"",if("&amp;"REGEXMATCH(C2591,""threads"")=TRUE,""Threads""))))))"),"Facebook")</f>
        <v>Facebook</v>
      </c>
      <c r="G2591" s="41" t="s">
        <v>4401</v>
      </c>
      <c r="H2591" s="36"/>
      <c r="I2591" s="36"/>
      <c r="J2591" s="41" t="s">
        <v>188</v>
      </c>
      <c r="K2591" s="41"/>
      <c r="L2591" s="42"/>
    </row>
    <row r="2592">
      <c r="A2592" s="18">
        <v>2591.0</v>
      </c>
      <c r="B2592" s="76" t="s">
        <v>4395</v>
      </c>
      <c r="C2592" s="44" t="s">
        <v>4402</v>
      </c>
      <c r="D2592" s="41"/>
      <c r="E2592" s="41" t="s">
        <v>447</v>
      </c>
      <c r="F2592" s="41" t="str">
        <f>IFERROR(__xludf.DUMMYFUNCTION("if(REGEXMATCH(C2592,""x.com"")=TRUE,""Twitter"",if(REGEXMATCH(C2592,""facebook"")=TRUE,""Facebook"",if(REGEXMATCH(C2592,""instagram"")=TRUE,""Instagram"",if(REGEXMATCH(C2592,""youtube"")=TRUE,""Youtube"",if(REGEXMATCH(C2592,""tiktok"")=TRUE,""Tiktok"",if("&amp;"REGEXMATCH(C2592,""threads"")=TRUE,""Threads""))))))"),"Facebook")</f>
        <v>Facebook</v>
      </c>
      <c r="G2592" s="41" t="s">
        <v>4403</v>
      </c>
      <c r="H2592" s="36"/>
      <c r="I2592" s="36"/>
      <c r="J2592" s="41" t="s">
        <v>188</v>
      </c>
      <c r="K2592" s="41"/>
      <c r="L2592" s="42"/>
    </row>
    <row r="2593">
      <c r="A2593" s="18">
        <v>2592.0</v>
      </c>
      <c r="B2593" s="76" t="s">
        <v>4395</v>
      </c>
      <c r="C2593" s="44" t="s">
        <v>4404</v>
      </c>
      <c r="D2593" s="41"/>
      <c r="E2593" s="41" t="s">
        <v>447</v>
      </c>
      <c r="F2593" s="41" t="str">
        <f>IFERROR(__xludf.DUMMYFUNCTION("if(REGEXMATCH(C2593,""x.com"")=TRUE,""Twitter"",if(REGEXMATCH(C2593,""facebook"")=TRUE,""Facebook"",if(REGEXMATCH(C2593,""instagram"")=TRUE,""Instagram"",if(REGEXMATCH(C2593,""youtube"")=TRUE,""Youtube"",if(REGEXMATCH(C2593,""tiktok"")=TRUE,""Tiktok"",if("&amp;"REGEXMATCH(C2593,""threads"")=TRUE,""Threads""))))))"),"Facebook")</f>
        <v>Facebook</v>
      </c>
      <c r="G2593" s="41" t="s">
        <v>4405</v>
      </c>
      <c r="H2593" s="36"/>
      <c r="I2593" s="36"/>
      <c r="J2593" s="41" t="s">
        <v>188</v>
      </c>
      <c r="K2593" s="41"/>
      <c r="L2593" s="42"/>
    </row>
    <row r="2594">
      <c r="A2594" s="18">
        <v>2593.0</v>
      </c>
      <c r="B2594" s="76" t="s">
        <v>4395</v>
      </c>
      <c r="C2594" s="44" t="s">
        <v>4406</v>
      </c>
      <c r="D2594" s="41"/>
      <c r="E2594" s="41" t="s">
        <v>447</v>
      </c>
      <c r="F2594" s="41" t="str">
        <f>IFERROR(__xludf.DUMMYFUNCTION("if(REGEXMATCH(C2594,""x.com"")=TRUE,""Twitter"",if(REGEXMATCH(C2594,""facebook"")=TRUE,""Facebook"",if(REGEXMATCH(C2594,""instagram"")=TRUE,""Instagram"",if(REGEXMATCH(C2594,""youtube"")=TRUE,""Youtube"",if(REGEXMATCH(C2594,""tiktok"")=TRUE,""Tiktok"",if("&amp;"REGEXMATCH(C2594,""threads"")=TRUE,""Threads""))))))"),"Facebook")</f>
        <v>Facebook</v>
      </c>
      <c r="G2594" s="41" t="s">
        <v>4407</v>
      </c>
      <c r="H2594" s="36"/>
      <c r="I2594" s="36"/>
      <c r="J2594" s="41" t="s">
        <v>188</v>
      </c>
      <c r="K2594" s="41"/>
      <c r="L2594" s="42"/>
    </row>
    <row r="2595">
      <c r="A2595" s="18">
        <v>2594.0</v>
      </c>
      <c r="B2595" s="76" t="s">
        <v>4395</v>
      </c>
      <c r="C2595" s="44" t="s">
        <v>4408</v>
      </c>
      <c r="D2595" s="41"/>
      <c r="E2595" s="41" t="s">
        <v>447</v>
      </c>
      <c r="F2595" s="41" t="str">
        <f>IFERROR(__xludf.DUMMYFUNCTION("if(REGEXMATCH(C2595,""x.com"")=TRUE,""Twitter"",if(REGEXMATCH(C2595,""facebook"")=TRUE,""Facebook"",if(REGEXMATCH(C2595,""instagram"")=TRUE,""Instagram"",if(REGEXMATCH(C2595,""youtube"")=TRUE,""Youtube"",if(REGEXMATCH(C2595,""tiktok"")=TRUE,""Tiktok"",if("&amp;"REGEXMATCH(C2595,""threads"")=TRUE,""Threads""))))))"),"Facebook")</f>
        <v>Facebook</v>
      </c>
      <c r="G2595" s="41" t="s">
        <v>4409</v>
      </c>
      <c r="H2595" s="36"/>
      <c r="I2595" s="36"/>
      <c r="J2595" s="41" t="s">
        <v>188</v>
      </c>
      <c r="K2595" s="41"/>
      <c r="L2595" s="42"/>
    </row>
    <row r="2596">
      <c r="A2596" s="18">
        <v>2595.0</v>
      </c>
      <c r="B2596" s="76" t="s">
        <v>4395</v>
      </c>
      <c r="C2596" s="44" t="s">
        <v>4410</v>
      </c>
      <c r="D2596" s="41"/>
      <c r="E2596" s="41" t="s">
        <v>197</v>
      </c>
      <c r="F2596" s="41" t="str">
        <f>IFERROR(__xludf.DUMMYFUNCTION("if(REGEXMATCH(C2596,""x.com"")=TRUE,""Twitter"",if(REGEXMATCH(C2596,""facebook"")=TRUE,""Facebook"",if(REGEXMATCH(C2596,""instagram"")=TRUE,""Instagram"",if(REGEXMATCH(C2596,""youtube"")=TRUE,""Youtube"",if(REGEXMATCH(C2596,""tiktok"")=TRUE,""Tiktok"",if("&amp;"REGEXMATCH(C2596,""threads"")=TRUE,""Threads""))))))"),"Facebook")</f>
        <v>Facebook</v>
      </c>
      <c r="G2596" s="41" t="s">
        <v>4411</v>
      </c>
      <c r="H2596" s="36"/>
      <c r="I2596" s="36"/>
      <c r="J2596" s="41" t="s">
        <v>188</v>
      </c>
      <c r="K2596" s="41"/>
      <c r="L2596" s="42"/>
    </row>
    <row r="2597">
      <c r="A2597" s="18">
        <v>2596.0</v>
      </c>
      <c r="B2597" s="76" t="s">
        <v>4395</v>
      </c>
      <c r="C2597" s="44" t="s">
        <v>4412</v>
      </c>
      <c r="D2597" s="41"/>
      <c r="E2597" s="41" t="s">
        <v>447</v>
      </c>
      <c r="F2597" s="41" t="str">
        <f>IFERROR(__xludf.DUMMYFUNCTION("if(REGEXMATCH(C2597,""x.com"")=TRUE,""Twitter"",if(REGEXMATCH(C2597,""facebook"")=TRUE,""Facebook"",if(REGEXMATCH(C2597,""instagram"")=TRUE,""Instagram"",if(REGEXMATCH(C2597,""youtube"")=TRUE,""Youtube"",if(REGEXMATCH(C2597,""tiktok"")=TRUE,""Tiktok"",if("&amp;"REGEXMATCH(C2597,""threads"")=TRUE,""Threads""))))))"),"Tiktok")</f>
        <v>Tiktok</v>
      </c>
      <c r="G2597" s="41" t="s">
        <v>4413</v>
      </c>
      <c r="H2597" s="36"/>
      <c r="I2597" s="36"/>
      <c r="J2597" s="41" t="s">
        <v>188</v>
      </c>
      <c r="K2597" s="41"/>
      <c r="L2597" s="42"/>
    </row>
    <row r="2598">
      <c r="A2598" s="18">
        <v>2597.0</v>
      </c>
      <c r="B2598" s="76" t="s">
        <v>4395</v>
      </c>
      <c r="C2598" s="44" t="s">
        <v>4414</v>
      </c>
      <c r="D2598" s="41"/>
      <c r="E2598" s="41" t="s">
        <v>447</v>
      </c>
      <c r="F2598" s="41" t="str">
        <f>IFERROR(__xludf.DUMMYFUNCTION("if(REGEXMATCH(C2598,""x.com"")=TRUE,""Twitter"",if(REGEXMATCH(C2598,""facebook"")=TRUE,""Facebook"",if(REGEXMATCH(C2598,""instagram"")=TRUE,""Instagram"",if(REGEXMATCH(C2598,""youtube"")=TRUE,""Youtube"",if(REGEXMATCH(C2598,""tiktok"")=TRUE,""Tiktok"",if("&amp;"REGEXMATCH(C2598,""threads"")=TRUE,""Threads""))))))"),"Tiktok")</f>
        <v>Tiktok</v>
      </c>
      <c r="G2598" s="41" t="s">
        <v>4415</v>
      </c>
      <c r="H2598" s="36"/>
      <c r="I2598" s="36"/>
      <c r="J2598" s="41" t="s">
        <v>188</v>
      </c>
      <c r="K2598" s="41"/>
      <c r="L2598" s="42"/>
    </row>
    <row r="2599">
      <c r="A2599" s="18">
        <v>2598.0</v>
      </c>
      <c r="B2599" s="76" t="s">
        <v>4395</v>
      </c>
      <c r="C2599" s="44" t="s">
        <v>4416</v>
      </c>
      <c r="D2599" s="41"/>
      <c r="E2599" s="41" t="s">
        <v>447</v>
      </c>
      <c r="F2599" s="41" t="str">
        <f>IFERROR(__xludf.DUMMYFUNCTION("if(REGEXMATCH(C2599,""x.com"")=TRUE,""Twitter"",if(REGEXMATCH(C2599,""facebook"")=TRUE,""Facebook"",if(REGEXMATCH(C2599,""instagram"")=TRUE,""Instagram"",if(REGEXMATCH(C2599,""youtube"")=TRUE,""Youtube"",if(REGEXMATCH(C2599,""tiktok"")=TRUE,""Tiktok"",if("&amp;"REGEXMATCH(C2599,""threads"")=TRUE,""Threads""))))))"),"Tiktok")</f>
        <v>Tiktok</v>
      </c>
      <c r="G2599" s="41" t="s">
        <v>4417</v>
      </c>
      <c r="H2599" s="35"/>
      <c r="I2599" s="35"/>
      <c r="J2599" s="41" t="s">
        <v>188</v>
      </c>
      <c r="K2599" s="41"/>
      <c r="L2599" s="42"/>
    </row>
    <row r="2600">
      <c r="A2600" s="18">
        <v>2599.0</v>
      </c>
      <c r="B2600" s="76" t="s">
        <v>4418</v>
      </c>
      <c r="C2600" s="44" t="s">
        <v>4419</v>
      </c>
      <c r="D2600" s="41"/>
      <c r="E2600" s="41" t="s">
        <v>1178</v>
      </c>
      <c r="F2600" s="41" t="str">
        <f>IFERROR(__xludf.DUMMYFUNCTION("if(REGEXMATCH(C2600,""x.com"")=TRUE,""Twitter"",if(REGEXMATCH(C2600,""facebook"")=TRUE,""Facebook"",if(REGEXMATCH(C2600,""instagram"")=TRUE,""Instagram"",if(REGEXMATCH(C2600,""youtube"")=TRUE,""Youtube"",if(REGEXMATCH(C2600,""tiktok"")=TRUE,""Tiktok"",if("&amp;"REGEXMATCH(C2600,""threads"")=TRUE,""Threads""))))))"),"Tiktok")</f>
        <v>Tiktok</v>
      </c>
      <c r="G2600" s="41" t="s">
        <v>4420</v>
      </c>
      <c r="H2600" s="43" t="s">
        <v>4398</v>
      </c>
      <c r="I2600" s="43" t="s">
        <v>4399</v>
      </c>
      <c r="J2600" s="41" t="s">
        <v>188</v>
      </c>
      <c r="K2600" s="41"/>
      <c r="L2600" s="42"/>
    </row>
    <row r="2601">
      <c r="A2601" s="18">
        <v>2600.0</v>
      </c>
      <c r="B2601" s="76" t="s">
        <v>4418</v>
      </c>
      <c r="C2601" s="44" t="s">
        <v>4421</v>
      </c>
      <c r="D2601" s="41"/>
      <c r="E2601" s="41" t="s">
        <v>447</v>
      </c>
      <c r="F2601" s="41" t="str">
        <f>IFERROR(__xludf.DUMMYFUNCTION("if(REGEXMATCH(C2601,""x.com"")=TRUE,""Twitter"",if(REGEXMATCH(C2601,""facebook"")=TRUE,""Facebook"",if(REGEXMATCH(C2601,""instagram"")=TRUE,""Instagram"",if(REGEXMATCH(C2601,""youtube"")=TRUE,""Youtube"",if(REGEXMATCH(C2601,""tiktok"")=TRUE,""Tiktok"",if("&amp;"REGEXMATCH(C2601,""threads"")=TRUE,""Threads""))))))"),"Tiktok")</f>
        <v>Tiktok</v>
      </c>
      <c r="G2601" s="41" t="s">
        <v>4422</v>
      </c>
      <c r="H2601" s="36"/>
      <c r="I2601" s="36"/>
      <c r="J2601" s="41" t="s">
        <v>188</v>
      </c>
      <c r="K2601" s="41"/>
      <c r="L2601" s="42"/>
    </row>
    <row r="2602">
      <c r="A2602" s="18">
        <v>2601.0</v>
      </c>
      <c r="B2602" s="76" t="s">
        <v>4418</v>
      </c>
      <c r="C2602" s="44" t="s">
        <v>4423</v>
      </c>
      <c r="D2602" s="41"/>
      <c r="E2602" s="41" t="s">
        <v>197</v>
      </c>
      <c r="F2602" s="41" t="str">
        <f>IFERROR(__xludf.DUMMYFUNCTION("if(REGEXMATCH(C2602,""x.com"")=TRUE,""Twitter"",if(REGEXMATCH(C2602,""facebook"")=TRUE,""Facebook"",if(REGEXMATCH(C2602,""instagram"")=TRUE,""Instagram"",if(REGEXMATCH(C2602,""youtube"")=TRUE,""Youtube"",if(REGEXMATCH(C2602,""tiktok"")=TRUE,""Tiktok"",if("&amp;"REGEXMATCH(C2602,""threads"")=TRUE,""Threads""))))))"),"Facebook")</f>
        <v>Facebook</v>
      </c>
      <c r="G2602" s="41" t="s">
        <v>4424</v>
      </c>
      <c r="H2602" s="36"/>
      <c r="I2602" s="36"/>
      <c r="J2602" s="41" t="s">
        <v>188</v>
      </c>
      <c r="K2602" s="41"/>
      <c r="L2602" s="42"/>
    </row>
    <row r="2603">
      <c r="A2603" s="18">
        <v>2602.0</v>
      </c>
      <c r="B2603" s="76" t="s">
        <v>4418</v>
      </c>
      <c r="C2603" s="44" t="s">
        <v>4425</v>
      </c>
      <c r="D2603" s="41"/>
      <c r="E2603" s="41" t="s">
        <v>197</v>
      </c>
      <c r="F2603" s="41" t="str">
        <f>IFERROR(__xludf.DUMMYFUNCTION("if(REGEXMATCH(C2603,""x.com"")=TRUE,""Twitter"",if(REGEXMATCH(C2603,""facebook"")=TRUE,""Facebook"",if(REGEXMATCH(C2603,""instagram"")=TRUE,""Instagram"",if(REGEXMATCH(C2603,""youtube"")=TRUE,""Youtube"",if(REGEXMATCH(C2603,""tiktok"")=TRUE,""Tiktok"",if("&amp;"REGEXMATCH(C2603,""threads"")=TRUE,""Threads""))))))"),"Facebook")</f>
        <v>Facebook</v>
      </c>
      <c r="G2603" s="41" t="s">
        <v>4426</v>
      </c>
      <c r="H2603" s="36"/>
      <c r="I2603" s="36"/>
      <c r="J2603" s="41" t="s">
        <v>188</v>
      </c>
      <c r="K2603" s="41"/>
      <c r="L2603" s="42"/>
    </row>
    <row r="2604">
      <c r="A2604" s="18">
        <v>2603.0</v>
      </c>
      <c r="B2604" s="76" t="s">
        <v>4418</v>
      </c>
      <c r="C2604" s="44" t="s">
        <v>4427</v>
      </c>
      <c r="D2604" s="41"/>
      <c r="E2604" s="41" t="s">
        <v>447</v>
      </c>
      <c r="F2604" s="41" t="str">
        <f>IFERROR(__xludf.DUMMYFUNCTION("if(REGEXMATCH(C2604,""x.com"")=TRUE,""Twitter"",if(REGEXMATCH(C2604,""facebook"")=TRUE,""Facebook"",if(REGEXMATCH(C2604,""instagram"")=TRUE,""Instagram"",if(REGEXMATCH(C2604,""youtube"")=TRUE,""Youtube"",if(REGEXMATCH(C2604,""tiktok"")=TRUE,""Tiktok"",if("&amp;"REGEXMATCH(C2604,""threads"")=TRUE,""Threads""))))))"),"Facebook")</f>
        <v>Facebook</v>
      </c>
      <c r="G2604" s="41" t="s">
        <v>4428</v>
      </c>
      <c r="H2604" s="36"/>
      <c r="I2604" s="36"/>
      <c r="J2604" s="41" t="s">
        <v>188</v>
      </c>
      <c r="K2604" s="41"/>
      <c r="L2604" s="42"/>
    </row>
    <row r="2605">
      <c r="A2605" s="18">
        <v>2604.0</v>
      </c>
      <c r="B2605" s="76" t="s">
        <v>4418</v>
      </c>
      <c r="C2605" s="44" t="s">
        <v>4429</v>
      </c>
      <c r="D2605" s="41"/>
      <c r="E2605" s="41" t="s">
        <v>197</v>
      </c>
      <c r="F2605" s="41" t="str">
        <f>IFERROR(__xludf.DUMMYFUNCTION("if(REGEXMATCH(C2605,""x.com"")=TRUE,""Twitter"",if(REGEXMATCH(C2605,""facebook"")=TRUE,""Facebook"",if(REGEXMATCH(C2605,""instagram"")=TRUE,""Instagram"",if(REGEXMATCH(C2605,""youtube"")=TRUE,""Youtube"",if(REGEXMATCH(C2605,""tiktok"")=TRUE,""Tiktok"",if("&amp;"REGEXMATCH(C2605,""threads"")=TRUE,""Threads""))))))"),"Facebook")</f>
        <v>Facebook</v>
      </c>
      <c r="G2605" s="41" t="s">
        <v>4430</v>
      </c>
      <c r="H2605" s="36"/>
      <c r="I2605" s="36"/>
      <c r="J2605" s="41" t="s">
        <v>188</v>
      </c>
      <c r="K2605" s="41"/>
      <c r="L2605" s="42"/>
    </row>
    <row r="2606">
      <c r="A2606" s="18">
        <v>2605.0</v>
      </c>
      <c r="B2606" s="76" t="s">
        <v>4418</v>
      </c>
      <c r="C2606" s="44" t="s">
        <v>4431</v>
      </c>
      <c r="D2606" s="41"/>
      <c r="E2606" s="41" t="s">
        <v>447</v>
      </c>
      <c r="F2606" s="41" t="str">
        <f>IFERROR(__xludf.DUMMYFUNCTION("if(REGEXMATCH(C2606,""x.com"")=TRUE,""Twitter"",if(REGEXMATCH(C2606,""facebook"")=TRUE,""Facebook"",if(REGEXMATCH(C2606,""instagram"")=TRUE,""Instagram"",if(REGEXMATCH(C2606,""youtube"")=TRUE,""Youtube"",if(REGEXMATCH(C2606,""tiktok"")=TRUE,""Tiktok"",if("&amp;"REGEXMATCH(C2606,""threads"")=TRUE,""Threads""))))))"),"Facebook")</f>
        <v>Facebook</v>
      </c>
      <c r="G2606" s="41" t="s">
        <v>4432</v>
      </c>
      <c r="H2606" s="36"/>
      <c r="I2606" s="36"/>
      <c r="J2606" s="41" t="s">
        <v>188</v>
      </c>
      <c r="K2606" s="41"/>
      <c r="L2606" s="42"/>
    </row>
    <row r="2607">
      <c r="A2607" s="18">
        <v>2606.0</v>
      </c>
      <c r="B2607" s="76" t="s">
        <v>4418</v>
      </c>
      <c r="C2607" s="44" t="s">
        <v>4433</v>
      </c>
      <c r="D2607" s="41"/>
      <c r="E2607" s="41" t="s">
        <v>447</v>
      </c>
      <c r="F2607" s="41" t="str">
        <f>IFERROR(__xludf.DUMMYFUNCTION("if(REGEXMATCH(C2607,""x.com"")=TRUE,""Twitter"",if(REGEXMATCH(C2607,""facebook"")=TRUE,""Facebook"",if(REGEXMATCH(C2607,""instagram"")=TRUE,""Instagram"",if(REGEXMATCH(C2607,""youtube"")=TRUE,""Youtube"",if(REGEXMATCH(C2607,""tiktok"")=TRUE,""Tiktok"",if("&amp;"REGEXMATCH(C2607,""threads"")=TRUE,""Threads""))))))"),"Facebook")</f>
        <v>Facebook</v>
      </c>
      <c r="G2607" s="41" t="s">
        <v>4434</v>
      </c>
      <c r="H2607" s="36"/>
      <c r="I2607" s="36"/>
      <c r="J2607" s="41" t="s">
        <v>188</v>
      </c>
      <c r="K2607" s="41"/>
      <c r="L2607" s="42"/>
    </row>
    <row r="2608">
      <c r="A2608" s="18">
        <v>2607.0</v>
      </c>
      <c r="B2608" s="76" t="s">
        <v>4418</v>
      </c>
      <c r="C2608" s="44" t="s">
        <v>4435</v>
      </c>
      <c r="D2608" s="41"/>
      <c r="E2608" s="41" t="s">
        <v>447</v>
      </c>
      <c r="F2608" s="41" t="str">
        <f>IFERROR(__xludf.DUMMYFUNCTION("if(REGEXMATCH(C2608,""x.com"")=TRUE,""Twitter"",if(REGEXMATCH(C2608,""facebook"")=TRUE,""Facebook"",if(REGEXMATCH(C2608,""instagram"")=TRUE,""Instagram"",if(REGEXMATCH(C2608,""youtube"")=TRUE,""Youtube"",if(REGEXMATCH(C2608,""tiktok"")=TRUE,""Tiktok"",if("&amp;"REGEXMATCH(C2608,""threads"")=TRUE,""Threads""))))))"),"Facebook")</f>
        <v>Facebook</v>
      </c>
      <c r="G2608" s="41" t="s">
        <v>4436</v>
      </c>
      <c r="H2608" s="36"/>
      <c r="I2608" s="36"/>
      <c r="J2608" s="41" t="s">
        <v>188</v>
      </c>
      <c r="K2608" s="41"/>
      <c r="L2608" s="42"/>
    </row>
    <row r="2609">
      <c r="A2609" s="18">
        <v>2608.0</v>
      </c>
      <c r="B2609" s="76" t="s">
        <v>4418</v>
      </c>
      <c r="C2609" s="44" t="s">
        <v>4437</v>
      </c>
      <c r="D2609" s="41"/>
      <c r="E2609" s="41" t="s">
        <v>4438</v>
      </c>
      <c r="F2609" s="41" t="str">
        <f>IFERROR(__xludf.DUMMYFUNCTION("if(REGEXMATCH(C2609,""x.com"")=TRUE,""Twitter"",if(REGEXMATCH(C2609,""facebook"")=TRUE,""Facebook"",if(REGEXMATCH(C2609,""instagram"")=TRUE,""Instagram"",if(REGEXMATCH(C2609,""youtube"")=TRUE,""Youtube"",if(REGEXMATCH(C2609,""tiktok"")=TRUE,""Tiktok"",if("&amp;"REGEXMATCH(C2609,""threads"")=TRUE,""Threads""))))))"),"Tiktok")</f>
        <v>Tiktok</v>
      </c>
      <c r="G2609" s="41" t="s">
        <v>4439</v>
      </c>
      <c r="H2609" s="35"/>
      <c r="I2609" s="35"/>
      <c r="J2609" s="41" t="s">
        <v>188</v>
      </c>
      <c r="K2609" s="41"/>
      <c r="L2609" s="42"/>
    </row>
    <row r="2610">
      <c r="A2610" s="18">
        <v>2609.0</v>
      </c>
      <c r="B2610" s="76" t="s">
        <v>4440</v>
      </c>
      <c r="C2610" s="73" t="s">
        <v>4441</v>
      </c>
      <c r="D2610" s="41"/>
      <c r="E2610" s="41" t="s">
        <v>197</v>
      </c>
      <c r="F2610" s="41" t="str">
        <f>IFERROR(__xludf.DUMMYFUNCTION("if(REGEXMATCH(C2610,""x.com"")=TRUE,""Twitter"",if(REGEXMATCH(C2610,""facebook"")=TRUE,""Facebook"",if(REGEXMATCH(C2610,""instagram"")=TRUE,""Instagram"",if(REGEXMATCH(C2610,""youtube"")=TRUE,""Youtube"",if(REGEXMATCH(C2610,""tiktok"")=TRUE,""Tiktok"",if("&amp;"REGEXMATCH(C2610,""threads"")=TRUE,""Threads""))))))"),"Tiktok")</f>
        <v>Tiktok</v>
      </c>
      <c r="G2610" s="41" t="s">
        <v>4442</v>
      </c>
      <c r="H2610" s="43" t="s">
        <v>4398</v>
      </c>
      <c r="I2610" s="43" t="s">
        <v>4399</v>
      </c>
      <c r="J2610" s="41" t="s">
        <v>188</v>
      </c>
      <c r="K2610" s="41"/>
      <c r="L2610" s="42"/>
    </row>
    <row r="2611">
      <c r="A2611" s="18">
        <v>2610.0</v>
      </c>
      <c r="B2611" s="76" t="s">
        <v>4440</v>
      </c>
      <c r="C2611" s="73" t="s">
        <v>4443</v>
      </c>
      <c r="D2611" s="41"/>
      <c r="E2611" s="41" t="s">
        <v>4444</v>
      </c>
      <c r="F2611" s="41" t="str">
        <f>IFERROR(__xludf.DUMMYFUNCTION("if(REGEXMATCH(C2611,""x.com"")=TRUE,""Twitter"",if(REGEXMATCH(C2611,""facebook"")=TRUE,""Facebook"",if(REGEXMATCH(C2611,""instagram"")=TRUE,""Instagram"",if(REGEXMATCH(C2611,""youtube"")=TRUE,""Youtube"",if(REGEXMATCH(C2611,""tiktok"")=TRUE,""Tiktok"",if("&amp;"REGEXMATCH(C2611,""threads"")=TRUE,""Threads""))))))"),"Tiktok")</f>
        <v>Tiktok</v>
      </c>
      <c r="G2611" s="41" t="s">
        <v>4445</v>
      </c>
      <c r="H2611" s="36"/>
      <c r="I2611" s="36"/>
      <c r="J2611" s="41" t="s">
        <v>188</v>
      </c>
      <c r="K2611" s="41"/>
      <c r="L2611" s="42"/>
    </row>
    <row r="2612">
      <c r="A2612" s="18">
        <v>2611.0</v>
      </c>
      <c r="B2612" s="76" t="s">
        <v>4440</v>
      </c>
      <c r="C2612" s="73" t="s">
        <v>4446</v>
      </c>
      <c r="D2612" s="41"/>
      <c r="E2612" s="41" t="s">
        <v>3329</v>
      </c>
      <c r="F2612" s="41" t="str">
        <f>IFERROR(__xludf.DUMMYFUNCTION("if(REGEXMATCH(C2612,""x.com"")=TRUE,""Twitter"",if(REGEXMATCH(C2612,""facebook"")=TRUE,""Facebook"",if(REGEXMATCH(C2612,""instagram"")=TRUE,""Instagram"",if(REGEXMATCH(C2612,""youtube"")=TRUE,""Youtube"",if(REGEXMATCH(C2612,""tiktok"")=TRUE,""Tiktok"",if("&amp;"REGEXMATCH(C2612,""threads"")=TRUE,""Threads""))))))"),"Tiktok")</f>
        <v>Tiktok</v>
      </c>
      <c r="G2612" s="41" t="s">
        <v>4447</v>
      </c>
      <c r="H2612" s="36"/>
      <c r="I2612" s="36"/>
      <c r="J2612" s="41" t="s">
        <v>188</v>
      </c>
      <c r="K2612" s="41"/>
      <c r="L2612" s="42"/>
    </row>
    <row r="2613">
      <c r="A2613" s="18">
        <v>2612.0</v>
      </c>
      <c r="B2613" s="76" t="s">
        <v>4440</v>
      </c>
      <c r="C2613" s="73" t="s">
        <v>4448</v>
      </c>
      <c r="D2613" s="41"/>
      <c r="E2613" s="41" t="s">
        <v>4449</v>
      </c>
      <c r="F2613" s="41" t="str">
        <f>IFERROR(__xludf.DUMMYFUNCTION("if(REGEXMATCH(C2613,""x.com"")=TRUE,""Twitter"",if(REGEXMATCH(C2613,""facebook"")=TRUE,""Facebook"",if(REGEXMATCH(C2613,""instagram"")=TRUE,""Instagram"",if(REGEXMATCH(C2613,""youtube"")=TRUE,""Youtube"",if(REGEXMATCH(C2613,""tiktok"")=TRUE,""Tiktok"",if("&amp;"REGEXMATCH(C2613,""threads"")=TRUE,""Threads""))))))"),"Tiktok")</f>
        <v>Tiktok</v>
      </c>
      <c r="G2613" s="41" t="s">
        <v>4450</v>
      </c>
      <c r="H2613" s="36"/>
      <c r="I2613" s="36"/>
      <c r="J2613" s="41" t="s">
        <v>188</v>
      </c>
      <c r="K2613" s="41"/>
      <c r="L2613" s="42"/>
    </row>
    <row r="2614">
      <c r="A2614" s="18">
        <v>2613.0</v>
      </c>
      <c r="B2614" s="76" t="s">
        <v>4440</v>
      </c>
      <c r="C2614" s="73" t="s">
        <v>4451</v>
      </c>
      <c r="D2614" s="41"/>
      <c r="E2614" s="41" t="s">
        <v>197</v>
      </c>
      <c r="F2614" s="41" t="str">
        <f>IFERROR(__xludf.DUMMYFUNCTION("if(REGEXMATCH(C2614,""x.com"")=TRUE,""Twitter"",if(REGEXMATCH(C2614,""facebook"")=TRUE,""Facebook"",if(REGEXMATCH(C2614,""instagram"")=TRUE,""Instagram"",if(REGEXMATCH(C2614,""youtube"")=TRUE,""Youtube"",if(REGEXMATCH(C2614,""tiktok"")=TRUE,""Tiktok"",if("&amp;"REGEXMATCH(C2614,""threads"")=TRUE,""Threads""))))))"),"Twitter")</f>
        <v>Twitter</v>
      </c>
      <c r="G2614" s="41" t="s">
        <v>4452</v>
      </c>
      <c r="H2614" s="36"/>
      <c r="I2614" s="36"/>
      <c r="J2614" s="41" t="s">
        <v>188</v>
      </c>
      <c r="K2614" s="41"/>
      <c r="L2614" s="42"/>
    </row>
    <row r="2615">
      <c r="A2615" s="18">
        <v>2614.0</v>
      </c>
      <c r="B2615" s="76" t="s">
        <v>4440</v>
      </c>
      <c r="C2615" s="73" t="s">
        <v>4453</v>
      </c>
      <c r="D2615" s="41"/>
      <c r="E2615" s="41" t="s">
        <v>197</v>
      </c>
      <c r="F2615" s="41" t="str">
        <f>IFERROR(__xludf.DUMMYFUNCTION("if(REGEXMATCH(C2615,""x.com"")=TRUE,""Twitter"",if(REGEXMATCH(C2615,""facebook"")=TRUE,""Facebook"",if(REGEXMATCH(C2615,""instagram"")=TRUE,""Instagram"",if(REGEXMATCH(C2615,""youtube"")=TRUE,""Youtube"",if(REGEXMATCH(C2615,""tiktok"")=TRUE,""Tiktok"",if("&amp;"REGEXMATCH(C2615,""threads"")=TRUE,""Threads""))))))"),"Facebook")</f>
        <v>Facebook</v>
      </c>
      <c r="G2615" s="41" t="s">
        <v>4454</v>
      </c>
      <c r="H2615" s="36"/>
      <c r="I2615" s="36"/>
      <c r="J2615" s="41" t="s">
        <v>188</v>
      </c>
      <c r="K2615" s="41"/>
      <c r="L2615" s="42"/>
    </row>
    <row r="2616">
      <c r="A2616" s="18">
        <v>2615.0</v>
      </c>
      <c r="B2616" s="76" t="s">
        <v>4440</v>
      </c>
      <c r="C2616" s="73" t="s">
        <v>4455</v>
      </c>
      <c r="D2616" s="41"/>
      <c r="E2616" s="41" t="s">
        <v>197</v>
      </c>
      <c r="F2616" s="41" t="str">
        <f>IFERROR(__xludf.DUMMYFUNCTION("if(REGEXMATCH(C2616,""x.com"")=TRUE,""Twitter"",if(REGEXMATCH(C2616,""facebook"")=TRUE,""Facebook"",if(REGEXMATCH(C2616,""instagram"")=TRUE,""Instagram"",if(REGEXMATCH(C2616,""youtube"")=TRUE,""Youtube"",if(REGEXMATCH(C2616,""tiktok"")=TRUE,""Tiktok"",if("&amp;"REGEXMATCH(C2616,""threads"")=TRUE,""Threads""))))))"),"Facebook")</f>
        <v>Facebook</v>
      </c>
      <c r="G2616" s="41" t="s">
        <v>4456</v>
      </c>
      <c r="H2616" s="36"/>
      <c r="I2616" s="36"/>
      <c r="J2616" s="41" t="s">
        <v>188</v>
      </c>
      <c r="K2616" s="41"/>
      <c r="L2616" s="42"/>
    </row>
    <row r="2617">
      <c r="A2617" s="18">
        <v>2616.0</v>
      </c>
      <c r="B2617" s="76" t="s">
        <v>4440</v>
      </c>
      <c r="C2617" s="73" t="s">
        <v>4457</v>
      </c>
      <c r="D2617" s="41"/>
      <c r="E2617" s="41" t="s">
        <v>197</v>
      </c>
      <c r="F2617" s="41" t="str">
        <f>IFERROR(__xludf.DUMMYFUNCTION("if(REGEXMATCH(C2617,""x.com"")=TRUE,""Twitter"",if(REGEXMATCH(C2617,""facebook"")=TRUE,""Facebook"",if(REGEXMATCH(C2617,""instagram"")=TRUE,""Instagram"",if(REGEXMATCH(C2617,""youtube"")=TRUE,""Youtube"",if(REGEXMATCH(C2617,""tiktok"")=TRUE,""Tiktok"",if("&amp;"REGEXMATCH(C2617,""threads"")=TRUE,""Threads""))))))"),"Facebook")</f>
        <v>Facebook</v>
      </c>
      <c r="G2617" s="41" t="s">
        <v>4458</v>
      </c>
      <c r="H2617" s="36"/>
      <c r="I2617" s="36"/>
      <c r="J2617" s="41" t="s">
        <v>188</v>
      </c>
      <c r="K2617" s="41"/>
      <c r="L2617" s="42"/>
    </row>
    <row r="2618">
      <c r="A2618" s="18">
        <v>2617.0</v>
      </c>
      <c r="B2618" s="76" t="s">
        <v>4440</v>
      </c>
      <c r="C2618" s="73" t="s">
        <v>4459</v>
      </c>
      <c r="D2618" s="41"/>
      <c r="E2618" s="41" t="s">
        <v>197</v>
      </c>
      <c r="F2618" s="41" t="str">
        <f>IFERROR(__xludf.DUMMYFUNCTION("if(REGEXMATCH(C2618,""x.com"")=TRUE,""Twitter"",if(REGEXMATCH(C2618,""facebook"")=TRUE,""Facebook"",if(REGEXMATCH(C2618,""instagram"")=TRUE,""Instagram"",if(REGEXMATCH(C2618,""youtube"")=TRUE,""Youtube"",if(REGEXMATCH(C2618,""tiktok"")=TRUE,""Tiktok"",if("&amp;"REGEXMATCH(C2618,""threads"")=TRUE,""Threads""))))))"),"Facebook")</f>
        <v>Facebook</v>
      </c>
      <c r="G2618" s="41" t="s">
        <v>4460</v>
      </c>
      <c r="H2618" s="35"/>
      <c r="I2618" s="35"/>
      <c r="J2618" s="41" t="s">
        <v>188</v>
      </c>
      <c r="K2618" s="41"/>
      <c r="L2618" s="42"/>
    </row>
    <row r="2619">
      <c r="A2619" s="18">
        <v>2618.0</v>
      </c>
      <c r="B2619" s="76" t="s">
        <v>4461</v>
      </c>
      <c r="C2619" s="73" t="s">
        <v>4462</v>
      </c>
      <c r="D2619" s="41"/>
      <c r="E2619" s="41" t="s">
        <v>557</v>
      </c>
      <c r="F2619" s="41" t="s">
        <v>686</v>
      </c>
      <c r="G2619" s="41" t="s">
        <v>4463</v>
      </c>
      <c r="H2619" s="41" t="s">
        <v>4398</v>
      </c>
      <c r="I2619" s="41" t="s">
        <v>4399</v>
      </c>
      <c r="J2619" s="41" t="s">
        <v>188</v>
      </c>
      <c r="K2619" s="41" t="str">
        <f t="shared" ref="K2619:K2626" si="1">G2619&amp;" Analisis Dampak: 
"&amp;I2619</f>
        <v>Konten ini bersifat provokatif gerakan separatisme Gerakan Aceh Merdeka dengan narasi “Indonesia telah merampas kedaulatan Aceh, Indonesia tidak berhak menguasai bumi Aceh” dan menampilkan bendera GAM.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19" s="42"/>
    </row>
    <row r="2620">
      <c r="A2620" s="18">
        <v>2619.0</v>
      </c>
      <c r="B2620" s="76" t="s">
        <v>4461</v>
      </c>
      <c r="C2620" s="73" t="s">
        <v>4464</v>
      </c>
      <c r="D2620" s="41"/>
      <c r="E2620" s="41" t="s">
        <v>3329</v>
      </c>
      <c r="F2620" s="41" t="s">
        <v>686</v>
      </c>
      <c r="G2620" s="41" t="s">
        <v>4465</v>
      </c>
      <c r="H2620" s="41" t="s">
        <v>4398</v>
      </c>
      <c r="I2620" s="41" t="s">
        <v>4399</v>
      </c>
      <c r="J2620" s="41" t="s">
        <v>188</v>
      </c>
      <c r="K2620" s="41" t="str">
        <f t="shared" si="1"/>
        <v>Ditemukan konten disinformasi berupa fabricated content yang menampilkan sebuah foto hasil rekayasa AI mata uang Aceh dan memuat narasi separatisme terkait Gerakan Aceh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20" s="42"/>
    </row>
    <row r="2621">
      <c r="A2621" s="18">
        <v>2620.0</v>
      </c>
      <c r="B2621" s="76" t="s">
        <v>4461</v>
      </c>
      <c r="C2621" s="73" t="s">
        <v>4466</v>
      </c>
      <c r="D2621" s="41"/>
      <c r="E2621" s="41" t="s">
        <v>557</v>
      </c>
      <c r="F2621" s="41" t="str">
        <f>IFERROR(__xludf.DUMMYFUNCTION("if(REGEXMATCH(C2621,""x.com"")=TRUE,""Twitter"",if(REGEXMATCH(C2621,""facebook"")=TRUE,""Facebook"",if(REGEXMATCH(C2621,""instagram"")=TRUE,""Instagram"",if(REGEXMATCH(C2621,""youtube"")=TRUE,""Youtube"",if(REGEXMATCH(C2621,""tiktok"")=TRUE,""Tiktok"",if("&amp;"REGEXMATCH(C2621,""threads"")=TRUE,""Threads""))))))"),"Twitter")</f>
        <v>Twitter</v>
      </c>
      <c r="G2621" s="41" t="s">
        <v>4467</v>
      </c>
      <c r="H2621" s="41" t="s">
        <v>4398</v>
      </c>
      <c r="I2621" s="41" t="s">
        <v>4399</v>
      </c>
      <c r="J2621" s="41" t="s">
        <v>188</v>
      </c>
      <c r="K2621" s="41" t="str">
        <f t="shared" si="1"/>
        <v>Konten tersebut memuat unsur provokatif gerakan separatisme “Gerakan Aceh Merdeka” dengan narasi “gw dukung dah kalo aceh/Papua mau merdeka, sumpah mending dilepas aja lah, dipertahanin percuma ya ga diperhatiin pemerintah” serta kalimat cacian kasar terhadap Pemerintah 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21" s="42"/>
    </row>
    <row r="2622">
      <c r="A2622" s="18">
        <v>2621.0</v>
      </c>
      <c r="B2622" s="76" t="s">
        <v>4461</v>
      </c>
      <c r="C2622" s="73" t="s">
        <v>4468</v>
      </c>
      <c r="D2622" s="41"/>
      <c r="E2622" s="41" t="s">
        <v>557</v>
      </c>
      <c r="F2622" s="41" t="str">
        <f>IFERROR(__xludf.DUMMYFUNCTION("if(REGEXMATCH(C2622,""x.com"")=TRUE,""Twitter"",if(REGEXMATCH(C2622,""facebook"")=TRUE,""Facebook"",if(REGEXMATCH(C2622,""instagram"")=TRUE,""Instagram"",if(REGEXMATCH(C2622,""youtube"")=TRUE,""Youtube"",if(REGEXMATCH(C2622,""tiktok"")=TRUE,""Tiktok"",if("&amp;"REGEXMATCH(C2622,""threads"")=TRUE,""Threads""))))))"),"Twitter")</f>
        <v>Twitter</v>
      </c>
      <c r="G2622" s="41" t="s">
        <v>4469</v>
      </c>
      <c r="H2622" s="41" t="s">
        <v>4398</v>
      </c>
      <c r="I2622" s="41" t="s">
        <v>4399</v>
      </c>
      <c r="J2622" s="41" t="s">
        <v>188</v>
      </c>
      <c r="K2622" s="41" t="str">
        <f t="shared" si="1"/>
        <v>Konten tersebut memuat unsur provokatif gerakan separatisme “Gerakan Aceh Merdeka” dengan narasi “Merdeka lah Aceh!”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22" s="42"/>
    </row>
    <row r="2623">
      <c r="A2623" s="18">
        <v>2622.0</v>
      </c>
      <c r="B2623" s="76" t="s">
        <v>4461</v>
      </c>
      <c r="C2623" s="73" t="s">
        <v>4470</v>
      </c>
      <c r="D2623" s="41"/>
      <c r="E2623" s="41" t="s">
        <v>197</v>
      </c>
      <c r="F2623" s="41" t="str">
        <f>IFERROR(__xludf.DUMMYFUNCTION("if(REGEXMATCH(C2623,""x.com"")=TRUE,""Twitter"",if(REGEXMATCH(C2623,""facebook"")=TRUE,""Facebook"",if(REGEXMATCH(C2623,""instagram"")=TRUE,""Instagram"",if(REGEXMATCH(C2623,""youtube"")=TRUE,""Youtube"",if(REGEXMATCH(C2623,""tiktok"")=TRUE,""Tiktok"",if("&amp;"REGEXMATCH(C2623,""threads"")=TRUE,""Threads""))))))"),"Twitter")</f>
        <v>Twitter</v>
      </c>
      <c r="G2623" s="41" t="s">
        <v>4471</v>
      </c>
      <c r="H2623" s="41" t="s">
        <v>4398</v>
      </c>
      <c r="I2623" s="41" t="s">
        <v>4399</v>
      </c>
      <c r="J2623" s="41" t="s">
        <v>188</v>
      </c>
      <c r="K2623" s="41" t="str">
        <f t="shared" si="1"/>
        <v>Konten tersebut memuat unsur provokatif dengan narasi “Nepalkan” terhadap bapak Prabowo Subianto dan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23" s="42"/>
    </row>
    <row r="2624">
      <c r="A2624" s="18">
        <v>2623.0</v>
      </c>
      <c r="B2624" s="76" t="s">
        <v>4461</v>
      </c>
      <c r="C2624" s="73" t="s">
        <v>4472</v>
      </c>
      <c r="D2624" s="41"/>
      <c r="E2624" s="41" t="s">
        <v>197</v>
      </c>
      <c r="F2624" s="41" t="str">
        <f>IFERROR(__xludf.DUMMYFUNCTION("if(REGEXMATCH(C2624,""x.com"")=TRUE,""Twitter"",if(REGEXMATCH(C2624,""facebook"")=TRUE,""Facebook"",if(REGEXMATCH(C2624,""instagram"")=TRUE,""Instagram"",if(REGEXMATCH(C2624,""youtube"")=TRUE,""Youtube"",if(REGEXMATCH(C2624,""tiktok"")=TRUE,""Tiktok"",if("&amp;"REGEXMATCH(C2624,""threads"")=TRUE,""Threads""))))))"),"Twitter")</f>
        <v>Twitter</v>
      </c>
      <c r="G2624" s="41" t="s">
        <v>4473</v>
      </c>
      <c r="H2624" s="41" t="s">
        <v>4398</v>
      </c>
      <c r="I2624" s="41" t="s">
        <v>4399</v>
      </c>
      <c r="J2624" s="41" t="s">
        <v>188</v>
      </c>
      <c r="K2624" s="41" t="str">
        <f t="shared" si="1"/>
        <v>Konten tersebut memuat unsur provokatif dengan narasi “Nepalkan” terhadap Joko Widodo yang merujuk pada polemik ijazah terkait.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24" s="42"/>
    </row>
    <row r="2625">
      <c r="A2625" s="18">
        <v>2624.0</v>
      </c>
      <c r="B2625" s="76" t="s">
        <v>4461</v>
      </c>
      <c r="C2625" s="73" t="s">
        <v>4474</v>
      </c>
      <c r="D2625" s="41"/>
      <c r="E2625" s="41" t="s">
        <v>197</v>
      </c>
      <c r="F2625" s="41" t="str">
        <f>IFERROR(__xludf.DUMMYFUNCTION("if(REGEXMATCH(C2625,""x.com"")=TRUE,""Twitter"",if(REGEXMATCH(C2625,""facebook"")=TRUE,""Facebook"",if(REGEXMATCH(C2625,""instagram"")=TRUE,""Instagram"",if(REGEXMATCH(C2625,""youtube"")=TRUE,""Youtube"",if(REGEXMATCH(C2625,""tiktok"")=TRUE,""Tiktok"",if("&amp;"REGEXMATCH(C2625,""threads"")=TRUE,""Threads""))))))"),"Twitter")</f>
        <v>Twitter</v>
      </c>
      <c r="G2625" s="41" t="s">
        <v>4475</v>
      </c>
      <c r="H2625" s="41" t="s">
        <v>4398</v>
      </c>
      <c r="I2625" s="41" t="s">
        <v>4399</v>
      </c>
      <c r="J2625" s="41" t="s">
        <v>188</v>
      </c>
      <c r="K2625" s="41" t="str">
        <f t="shared" si="1"/>
        <v>Konten tersebut diduga memuat unsur provokatif aksi anarkis dengan narasi “Nepalkan” terhadap bapak Prabowo Subianto dan Joko Widodo dengan tuduhan bahwa bapak Prabowo melindungi Joko Widodo dalam polemik ijazah dengan tagar #JokowiPengacauNegara dan kalimat “Nepalkan semua pelindung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25" s="42"/>
    </row>
    <row r="2626">
      <c r="A2626" s="18">
        <v>2625.0</v>
      </c>
      <c r="B2626" s="76" t="s">
        <v>4461</v>
      </c>
      <c r="C2626" s="73" t="s">
        <v>4476</v>
      </c>
      <c r="D2626" s="41"/>
      <c r="E2626" s="41" t="s">
        <v>197</v>
      </c>
      <c r="F2626" s="41" t="str">
        <f>IFERROR(__xludf.DUMMYFUNCTION("if(REGEXMATCH(C2626,""x.com"")=TRUE,""Twitter"",if(REGEXMATCH(C2626,""facebook"")=TRUE,""Facebook"",if(REGEXMATCH(C2626,""instagram"")=TRUE,""Instagram"",if(REGEXMATCH(C2626,""youtube"")=TRUE,""Youtube"",if(REGEXMATCH(C2626,""tiktok"")=TRUE,""Tiktok"",if("&amp;"REGEXMATCH(C2626,""threads"")=TRUE,""Threads""))))))"),"Twitter")</f>
        <v>Twitter</v>
      </c>
      <c r="G2626" s="41" t="s">
        <v>4458</v>
      </c>
      <c r="H2626" s="41" t="s">
        <v>4398</v>
      </c>
      <c r="I2626" s="41" t="s">
        <v>4399</v>
      </c>
      <c r="J2626" s="41" t="s">
        <v>188</v>
      </c>
      <c r="K2626" s="41" t="str">
        <f t="shared" si="1"/>
        <v>Konten tersebut diduga memuat unsur provokatif aksi anarkis dengan narasi “Nepalkan” terhadap Joko Widodo.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26" s="42"/>
    </row>
    <row r="2627">
      <c r="A2627" s="18">
        <v>2626.0</v>
      </c>
      <c r="B2627" s="76" t="s">
        <v>4477</v>
      </c>
      <c r="C2627" s="44" t="s">
        <v>4478</v>
      </c>
      <c r="D2627" s="41"/>
      <c r="E2627" s="41" t="s">
        <v>447</v>
      </c>
      <c r="F2627" s="41" t="str">
        <f>IFERROR(__xludf.DUMMYFUNCTION("if(REGEXMATCH(C2627,""x.com"")=TRUE,""Twitter"",if(REGEXMATCH(C2627,""facebook"")=TRUE,""Facebook"",if(REGEXMATCH(C2627,""instagram"")=TRUE,""Instagram"",if(REGEXMATCH(C2627,""youtube"")=TRUE,""Youtube"",if(REGEXMATCH(C2627,""tiktok"")=TRUE,""Tiktok"",if("&amp;"REGEXMATCH(C2627,""threads"")=TRUE,""Threads""))))))"),"Tiktok")</f>
        <v>Tiktok</v>
      </c>
      <c r="G2627" s="41" t="s">
        <v>4479</v>
      </c>
      <c r="H2627" s="43" t="s">
        <v>4480</v>
      </c>
      <c r="I2627" s="43" t="s">
        <v>4399</v>
      </c>
      <c r="J2627" s="41" t="s">
        <v>188</v>
      </c>
      <c r="K2627" s="42"/>
      <c r="L2627" s="42"/>
    </row>
    <row r="2628">
      <c r="A2628" s="18">
        <v>2627.0</v>
      </c>
      <c r="B2628" s="76" t="s">
        <v>4477</v>
      </c>
      <c r="C2628" s="44" t="s">
        <v>4481</v>
      </c>
      <c r="D2628" s="41"/>
      <c r="E2628" s="41" t="s">
        <v>447</v>
      </c>
      <c r="F2628" s="41" t="str">
        <f>IFERROR(__xludf.DUMMYFUNCTION("if(REGEXMATCH(C2628,""x.com"")=TRUE,""Twitter"",if(REGEXMATCH(C2628,""facebook"")=TRUE,""Facebook"",if(REGEXMATCH(C2628,""instagram"")=TRUE,""Instagram"",if(REGEXMATCH(C2628,""youtube"")=TRUE,""Youtube"",if(REGEXMATCH(C2628,""tiktok"")=TRUE,""Tiktok"",if("&amp;"REGEXMATCH(C2628,""threads"")=TRUE,""Threads""))))))"),"Tiktok")</f>
        <v>Tiktok</v>
      </c>
      <c r="G2628" s="41" t="s">
        <v>4479</v>
      </c>
      <c r="H2628" s="36"/>
      <c r="I2628" s="36"/>
      <c r="J2628" s="41" t="s">
        <v>188</v>
      </c>
      <c r="K2628" s="42"/>
      <c r="L2628" s="42"/>
    </row>
    <row r="2629">
      <c r="A2629" s="18">
        <v>2628.0</v>
      </c>
      <c r="B2629" s="76" t="s">
        <v>4477</v>
      </c>
      <c r="C2629" s="44" t="s">
        <v>4482</v>
      </c>
      <c r="D2629" s="41"/>
      <c r="E2629" s="41" t="s">
        <v>447</v>
      </c>
      <c r="F2629" s="41" t="str">
        <f>IFERROR(__xludf.DUMMYFUNCTION("if(REGEXMATCH(C2629,""x.com"")=TRUE,""Twitter"",if(REGEXMATCH(C2629,""facebook"")=TRUE,""Facebook"",if(REGEXMATCH(C2629,""instagram"")=TRUE,""Instagram"",if(REGEXMATCH(C2629,""youtube"")=TRUE,""Youtube"",if(REGEXMATCH(C2629,""tiktok"")=TRUE,""Tiktok"",if("&amp;"REGEXMATCH(C2629,""threads"")=TRUE,""Threads""))))))"),"Tiktok")</f>
        <v>Tiktok</v>
      </c>
      <c r="G2629" s="41" t="s">
        <v>4479</v>
      </c>
      <c r="H2629" s="36"/>
      <c r="I2629" s="36"/>
      <c r="J2629" s="41" t="s">
        <v>188</v>
      </c>
      <c r="K2629" s="42"/>
      <c r="L2629" s="42"/>
    </row>
    <row r="2630">
      <c r="A2630" s="18">
        <v>2629.0</v>
      </c>
      <c r="B2630" s="76" t="s">
        <v>4477</v>
      </c>
      <c r="C2630" s="44" t="s">
        <v>4483</v>
      </c>
      <c r="D2630" s="41"/>
      <c r="E2630" s="41" t="s">
        <v>447</v>
      </c>
      <c r="F2630" s="41" t="str">
        <f>IFERROR(__xludf.DUMMYFUNCTION("if(REGEXMATCH(C2630,""x.com"")=TRUE,""Twitter"",if(REGEXMATCH(C2630,""facebook"")=TRUE,""Facebook"",if(REGEXMATCH(C2630,""instagram"")=TRUE,""Instagram"",if(REGEXMATCH(C2630,""youtube"")=TRUE,""Youtube"",if(REGEXMATCH(C2630,""tiktok"")=TRUE,""Tiktok"",if("&amp;"REGEXMATCH(C2630,""threads"")=TRUE,""Threads""))))))"),"Tiktok")</f>
        <v>Tiktok</v>
      </c>
      <c r="G2630" s="41" t="s">
        <v>4479</v>
      </c>
      <c r="H2630" s="36"/>
      <c r="I2630" s="36"/>
      <c r="J2630" s="41" t="s">
        <v>188</v>
      </c>
      <c r="K2630" s="42"/>
      <c r="L2630" s="42"/>
    </row>
    <row r="2631">
      <c r="A2631" s="18">
        <v>2630.0</v>
      </c>
      <c r="B2631" s="76" t="s">
        <v>4477</v>
      </c>
      <c r="C2631" s="44" t="s">
        <v>4484</v>
      </c>
      <c r="D2631" s="41"/>
      <c r="E2631" s="41" t="s">
        <v>447</v>
      </c>
      <c r="F2631" s="41" t="str">
        <f>IFERROR(__xludf.DUMMYFUNCTION("if(REGEXMATCH(C2631,""x.com"")=TRUE,""Twitter"",if(REGEXMATCH(C2631,""facebook"")=TRUE,""Facebook"",if(REGEXMATCH(C2631,""instagram"")=TRUE,""Instagram"",if(REGEXMATCH(C2631,""youtube"")=TRUE,""Youtube"",if(REGEXMATCH(C2631,""tiktok"")=TRUE,""Tiktok"",if("&amp;"REGEXMATCH(C2631,""threads"")=TRUE,""Threads""))))))"),"Tiktok")</f>
        <v>Tiktok</v>
      </c>
      <c r="G2631" s="41" t="s">
        <v>4479</v>
      </c>
      <c r="H2631" s="36"/>
      <c r="I2631" s="36"/>
      <c r="J2631" s="41" t="s">
        <v>188</v>
      </c>
      <c r="K2631" s="42"/>
      <c r="L2631" s="42"/>
    </row>
    <row r="2632">
      <c r="A2632" s="18">
        <v>2631.0</v>
      </c>
      <c r="B2632" s="76" t="s">
        <v>4477</v>
      </c>
      <c r="C2632" s="44" t="s">
        <v>4485</v>
      </c>
      <c r="D2632" s="41"/>
      <c r="E2632" s="41" t="s">
        <v>447</v>
      </c>
      <c r="F2632" s="41" t="str">
        <f>IFERROR(__xludf.DUMMYFUNCTION("if(REGEXMATCH(C2632,""x.com"")=TRUE,""Twitter"",if(REGEXMATCH(C2632,""facebook"")=TRUE,""Facebook"",if(REGEXMATCH(C2632,""instagram"")=TRUE,""Instagram"",if(REGEXMATCH(C2632,""youtube"")=TRUE,""Youtube"",if(REGEXMATCH(C2632,""tiktok"")=TRUE,""Tiktok"",if("&amp;"REGEXMATCH(C2632,""threads"")=TRUE,""Threads""))))))"),"Tiktok")</f>
        <v>Tiktok</v>
      </c>
      <c r="G2632" s="41" t="s">
        <v>4479</v>
      </c>
      <c r="H2632" s="36"/>
      <c r="I2632" s="36"/>
      <c r="J2632" s="41" t="s">
        <v>188</v>
      </c>
      <c r="K2632" s="42"/>
      <c r="L2632" s="42"/>
    </row>
    <row r="2633">
      <c r="A2633" s="18">
        <v>2632.0</v>
      </c>
      <c r="B2633" s="76" t="s">
        <v>4477</v>
      </c>
      <c r="C2633" s="40" t="s">
        <v>4486</v>
      </c>
      <c r="D2633" s="41"/>
      <c r="E2633" s="41" t="s">
        <v>447</v>
      </c>
      <c r="F2633" s="41" t="str">
        <f>IFERROR(__xludf.DUMMYFUNCTION("if(REGEXMATCH(C2633,""x.com"")=TRUE,""Twitter"",if(REGEXMATCH(C2633,""facebook"")=TRUE,""Facebook"",if(REGEXMATCH(C2633,""instagram"")=TRUE,""Instagram"",if(REGEXMATCH(C2633,""youtube"")=TRUE,""Youtube"",if(REGEXMATCH(C2633,""tiktok"")=TRUE,""Tiktok"",if("&amp;"REGEXMATCH(C2633,""threads"")=TRUE,""Threads""))))))"),"Tiktok")</f>
        <v>Tiktok</v>
      </c>
      <c r="G2633" s="41" t="s">
        <v>4479</v>
      </c>
      <c r="H2633" s="36"/>
      <c r="I2633" s="36"/>
      <c r="J2633" s="41" t="s">
        <v>188</v>
      </c>
      <c r="K2633" s="42"/>
      <c r="L2633" s="42"/>
    </row>
    <row r="2634">
      <c r="A2634" s="18">
        <v>2633.0</v>
      </c>
      <c r="B2634" s="76" t="s">
        <v>4477</v>
      </c>
      <c r="C2634" s="44" t="s">
        <v>4487</v>
      </c>
      <c r="D2634" s="41"/>
      <c r="E2634" s="41" t="s">
        <v>447</v>
      </c>
      <c r="F2634" s="41" t="str">
        <f>IFERROR(__xludf.DUMMYFUNCTION("if(REGEXMATCH(C2634,""x.com"")=TRUE,""Twitter"",if(REGEXMATCH(C2634,""facebook"")=TRUE,""Facebook"",if(REGEXMATCH(C2634,""instagram"")=TRUE,""Instagram"",if(REGEXMATCH(C2634,""youtube"")=TRUE,""Youtube"",if(REGEXMATCH(C2634,""tiktok"")=TRUE,""Tiktok"",if("&amp;"REGEXMATCH(C2634,""threads"")=TRUE,""Threads""))))))"),"Tiktok")</f>
        <v>Tiktok</v>
      </c>
      <c r="G2634" s="41" t="s">
        <v>4479</v>
      </c>
      <c r="H2634" s="36"/>
      <c r="I2634" s="36"/>
      <c r="J2634" s="41" t="s">
        <v>188</v>
      </c>
      <c r="K2634" s="42"/>
      <c r="L2634" s="42"/>
    </row>
    <row r="2635">
      <c r="A2635" s="18">
        <v>2634.0</v>
      </c>
      <c r="B2635" s="76" t="s">
        <v>4477</v>
      </c>
      <c r="C2635" s="44" t="s">
        <v>4488</v>
      </c>
      <c r="D2635" s="41"/>
      <c r="E2635" s="41" t="s">
        <v>447</v>
      </c>
      <c r="F2635" s="41" t="str">
        <f>IFERROR(__xludf.DUMMYFUNCTION("if(REGEXMATCH(C2635,""x.com"")=TRUE,""Twitter"",if(REGEXMATCH(C2635,""facebook"")=TRUE,""Facebook"",if(REGEXMATCH(C2635,""instagram"")=TRUE,""Instagram"",if(REGEXMATCH(C2635,""youtube"")=TRUE,""Youtube"",if(REGEXMATCH(C2635,""tiktok"")=TRUE,""Tiktok"",if("&amp;"REGEXMATCH(C2635,""threads"")=TRUE,""Threads""))))))"),"Tiktok")</f>
        <v>Tiktok</v>
      </c>
      <c r="G2635" s="41" t="s">
        <v>4479</v>
      </c>
      <c r="H2635" s="36"/>
      <c r="I2635" s="36"/>
      <c r="J2635" s="41" t="s">
        <v>188</v>
      </c>
      <c r="K2635" s="42"/>
      <c r="L2635" s="42"/>
    </row>
    <row r="2636">
      <c r="A2636" s="18">
        <v>2635.0</v>
      </c>
      <c r="B2636" s="76" t="s">
        <v>4477</v>
      </c>
      <c r="C2636" s="44" t="s">
        <v>4489</v>
      </c>
      <c r="D2636" s="41"/>
      <c r="E2636" s="41" t="s">
        <v>447</v>
      </c>
      <c r="F2636" s="41" t="str">
        <f>IFERROR(__xludf.DUMMYFUNCTION("if(REGEXMATCH(C2636,""x.com"")=TRUE,""Twitter"",if(REGEXMATCH(C2636,""facebook"")=TRUE,""Facebook"",if(REGEXMATCH(C2636,""instagram"")=TRUE,""Instagram"",if(REGEXMATCH(C2636,""youtube"")=TRUE,""Youtube"",if(REGEXMATCH(C2636,""tiktok"")=TRUE,""Tiktok"",if("&amp;"REGEXMATCH(C2636,""threads"")=TRUE,""Threads""))))))"),"Tiktok")</f>
        <v>Tiktok</v>
      </c>
      <c r="G2636" s="41" t="s">
        <v>4479</v>
      </c>
      <c r="H2636" s="35"/>
      <c r="I2636" s="35"/>
      <c r="J2636" s="41" t="s">
        <v>188</v>
      </c>
      <c r="K2636" s="42"/>
      <c r="L2636" s="42"/>
    </row>
    <row r="2637">
      <c r="A2637" s="18">
        <v>2636.0</v>
      </c>
      <c r="B2637" s="76" t="s">
        <v>4490</v>
      </c>
      <c r="C2637" s="73" t="s">
        <v>4491</v>
      </c>
      <c r="D2637" s="41"/>
      <c r="E2637" s="41" t="s">
        <v>447</v>
      </c>
      <c r="F2637" s="41" t="str">
        <f>IFERROR(__xludf.DUMMYFUNCTION("if(REGEXMATCH(C2637,""x.com"")=TRUE,""Twitter"",if(REGEXMATCH(C2637,""facebook"")=TRUE,""Facebook"",if(REGEXMATCH(C2637,""instagram"")=TRUE,""Instagram"",if(REGEXMATCH(C2637,""youtube"")=TRUE,""Youtube"",if(REGEXMATCH(C2637,""tiktok"")=TRUE,""Tiktok"",if("&amp;"REGEXMATCH(C2637,""threads"")=TRUE,""Threads""))))))"),"Tiktok")</f>
        <v>Tiktok</v>
      </c>
      <c r="G2637" s="41" t="s">
        <v>4492</v>
      </c>
      <c r="H2637" s="43" t="s">
        <v>4480</v>
      </c>
      <c r="I2637" s="43" t="s">
        <v>4493</v>
      </c>
      <c r="J2637" s="41" t="s">
        <v>188</v>
      </c>
      <c r="K2637" s="41"/>
      <c r="L2637" s="42"/>
    </row>
    <row r="2638">
      <c r="A2638" s="18">
        <v>2637.0</v>
      </c>
      <c r="B2638" s="76" t="s">
        <v>4490</v>
      </c>
      <c r="C2638" s="73" t="s">
        <v>4494</v>
      </c>
      <c r="D2638" s="41"/>
      <c r="E2638" s="41" t="s">
        <v>447</v>
      </c>
      <c r="F2638" s="41" t="str">
        <f>IFERROR(__xludf.DUMMYFUNCTION("if(REGEXMATCH(C2638,""x.com"")=TRUE,""Twitter"",if(REGEXMATCH(C2638,""facebook"")=TRUE,""Facebook"",if(REGEXMATCH(C2638,""instagram"")=TRUE,""Instagram"",if(REGEXMATCH(C2638,""youtube"")=TRUE,""Youtube"",if(REGEXMATCH(C2638,""tiktok"")=TRUE,""Tiktok"",if("&amp;"REGEXMATCH(C2638,""threads"")=TRUE,""Threads""))))))"),"Tiktok")</f>
        <v>Tiktok</v>
      </c>
      <c r="G2638" s="41" t="s">
        <v>4495</v>
      </c>
      <c r="H2638" s="36"/>
      <c r="I2638" s="36"/>
      <c r="J2638" s="41" t="s">
        <v>188</v>
      </c>
      <c r="K2638" s="41"/>
      <c r="L2638" s="42"/>
    </row>
    <row r="2639">
      <c r="A2639" s="18">
        <v>2638.0</v>
      </c>
      <c r="B2639" s="76" t="s">
        <v>4490</v>
      </c>
      <c r="C2639" s="73" t="s">
        <v>4496</v>
      </c>
      <c r="D2639" s="41"/>
      <c r="E2639" s="41" t="s">
        <v>447</v>
      </c>
      <c r="F2639" s="41" t="str">
        <f>IFERROR(__xludf.DUMMYFUNCTION("if(REGEXMATCH(C2639,""x.com"")=TRUE,""Twitter"",if(REGEXMATCH(C2639,""facebook"")=TRUE,""Facebook"",if(REGEXMATCH(C2639,""instagram"")=TRUE,""Instagram"",if(REGEXMATCH(C2639,""youtube"")=TRUE,""Youtube"",if(REGEXMATCH(C2639,""tiktok"")=TRUE,""Tiktok"",if("&amp;"REGEXMATCH(C2639,""threads"")=TRUE,""Threads""))))))"),"Tiktok")</f>
        <v>Tiktok</v>
      </c>
      <c r="G2639" s="41" t="s">
        <v>4497</v>
      </c>
      <c r="H2639" s="36"/>
      <c r="I2639" s="36"/>
      <c r="J2639" s="41" t="s">
        <v>188</v>
      </c>
      <c r="K2639" s="41"/>
      <c r="L2639" s="42"/>
    </row>
    <row r="2640">
      <c r="A2640" s="18">
        <v>2639.0</v>
      </c>
      <c r="B2640" s="76" t="s">
        <v>4490</v>
      </c>
      <c r="C2640" s="73" t="s">
        <v>4498</v>
      </c>
      <c r="D2640" s="41"/>
      <c r="E2640" s="41" t="s">
        <v>447</v>
      </c>
      <c r="F2640" s="41" t="str">
        <f>IFERROR(__xludf.DUMMYFUNCTION("if(REGEXMATCH(C2640,""x.com"")=TRUE,""Twitter"",if(REGEXMATCH(C2640,""facebook"")=TRUE,""Facebook"",if(REGEXMATCH(C2640,""instagram"")=TRUE,""Instagram"",if(REGEXMATCH(C2640,""youtube"")=TRUE,""Youtube"",if(REGEXMATCH(C2640,""tiktok"")=TRUE,""Tiktok"",if("&amp;"REGEXMATCH(C2640,""threads"")=TRUE,""Threads""))))))"),"Tiktok")</f>
        <v>Tiktok</v>
      </c>
      <c r="G2640" s="41" t="s">
        <v>4499</v>
      </c>
      <c r="H2640" s="36"/>
      <c r="I2640" s="36"/>
      <c r="J2640" s="41" t="s">
        <v>188</v>
      </c>
      <c r="K2640" s="41"/>
      <c r="L2640" s="42"/>
    </row>
    <row r="2641">
      <c r="A2641" s="18">
        <v>2640.0</v>
      </c>
      <c r="B2641" s="76" t="s">
        <v>4490</v>
      </c>
      <c r="C2641" s="73" t="s">
        <v>4500</v>
      </c>
      <c r="D2641" s="41"/>
      <c r="E2641" s="41" t="s">
        <v>447</v>
      </c>
      <c r="F2641" s="41" t="str">
        <f>IFERROR(__xludf.DUMMYFUNCTION("if(REGEXMATCH(C2641,""x.com"")=TRUE,""Twitter"",if(REGEXMATCH(C2641,""facebook"")=TRUE,""Facebook"",if(REGEXMATCH(C2641,""instagram"")=TRUE,""Instagram"",if(REGEXMATCH(C2641,""youtube"")=TRUE,""Youtube"",if(REGEXMATCH(C2641,""tiktok"")=TRUE,""Tiktok"",if("&amp;"REGEXMATCH(C2641,""threads"")=TRUE,""Threads""))))))"),"Tiktok")</f>
        <v>Tiktok</v>
      </c>
      <c r="G2641" s="41" t="s">
        <v>4501</v>
      </c>
      <c r="H2641" s="36"/>
      <c r="I2641" s="36"/>
      <c r="J2641" s="41" t="s">
        <v>188</v>
      </c>
      <c r="K2641" s="41"/>
      <c r="L2641" s="42"/>
    </row>
    <row r="2642">
      <c r="A2642" s="18">
        <v>2641.0</v>
      </c>
      <c r="B2642" s="76" t="s">
        <v>4490</v>
      </c>
      <c r="C2642" s="73" t="s">
        <v>4502</v>
      </c>
      <c r="D2642" s="41"/>
      <c r="E2642" s="41" t="s">
        <v>447</v>
      </c>
      <c r="F2642" s="41" t="str">
        <f>IFERROR(__xludf.DUMMYFUNCTION("if(REGEXMATCH(C2642,""x.com"")=TRUE,""Twitter"",if(REGEXMATCH(C2642,""facebook"")=TRUE,""Facebook"",if(REGEXMATCH(C2642,""instagram"")=TRUE,""Instagram"",if(REGEXMATCH(C2642,""youtube"")=TRUE,""Youtube"",if(REGEXMATCH(C2642,""tiktok"")=TRUE,""Tiktok"",if("&amp;"REGEXMATCH(C2642,""threads"")=TRUE,""Threads""))))))"),"Tiktok")</f>
        <v>Tiktok</v>
      </c>
      <c r="G2642" s="41" t="s">
        <v>4503</v>
      </c>
      <c r="H2642" s="36"/>
      <c r="I2642" s="36"/>
      <c r="J2642" s="41" t="s">
        <v>188</v>
      </c>
      <c r="K2642" s="41"/>
      <c r="L2642" s="42"/>
    </row>
    <row r="2643">
      <c r="A2643" s="18">
        <v>2642.0</v>
      </c>
      <c r="B2643" s="76" t="s">
        <v>4490</v>
      </c>
      <c r="C2643" s="73" t="s">
        <v>4504</v>
      </c>
      <c r="D2643" s="41"/>
      <c r="E2643" s="41" t="s">
        <v>447</v>
      </c>
      <c r="F2643" s="41" t="str">
        <f>IFERROR(__xludf.DUMMYFUNCTION("if(REGEXMATCH(C2643,""x.com"")=TRUE,""Twitter"",if(REGEXMATCH(C2643,""facebook"")=TRUE,""Facebook"",if(REGEXMATCH(C2643,""instagram"")=TRUE,""Instagram"",if(REGEXMATCH(C2643,""youtube"")=TRUE,""Youtube"",if(REGEXMATCH(C2643,""tiktok"")=TRUE,""Tiktok"",if("&amp;"REGEXMATCH(C2643,""threads"")=TRUE,""Threads""))))))"),"Tiktok")</f>
        <v>Tiktok</v>
      </c>
      <c r="G2643" s="41" t="s">
        <v>4505</v>
      </c>
      <c r="H2643" s="36"/>
      <c r="I2643" s="36"/>
      <c r="J2643" s="41" t="s">
        <v>188</v>
      </c>
      <c r="K2643" s="41"/>
      <c r="L2643" s="42"/>
    </row>
    <row r="2644">
      <c r="A2644" s="18">
        <v>2643.0</v>
      </c>
      <c r="B2644" s="76" t="s">
        <v>4490</v>
      </c>
      <c r="C2644" s="73" t="s">
        <v>4506</v>
      </c>
      <c r="D2644" s="41"/>
      <c r="E2644" s="41" t="s">
        <v>447</v>
      </c>
      <c r="F2644" s="41" t="str">
        <f>IFERROR(__xludf.DUMMYFUNCTION("if(REGEXMATCH(C2644,""x.com"")=TRUE,""Twitter"",if(REGEXMATCH(C2644,""facebook"")=TRUE,""Facebook"",if(REGEXMATCH(C2644,""instagram"")=TRUE,""Instagram"",if(REGEXMATCH(C2644,""youtube"")=TRUE,""Youtube"",if(REGEXMATCH(C2644,""tiktok"")=TRUE,""Tiktok"",if("&amp;"REGEXMATCH(C2644,""threads"")=TRUE,""Threads""))))))"),"Tiktok")</f>
        <v>Tiktok</v>
      </c>
      <c r="G2644" s="41" t="s">
        <v>4507</v>
      </c>
      <c r="H2644" s="36"/>
      <c r="I2644" s="36"/>
      <c r="J2644" s="41" t="s">
        <v>188</v>
      </c>
      <c r="K2644" s="41"/>
      <c r="L2644" s="42"/>
    </row>
    <row r="2645">
      <c r="A2645" s="18">
        <v>2644.0</v>
      </c>
      <c r="B2645" s="76" t="s">
        <v>4490</v>
      </c>
      <c r="C2645" s="73" t="s">
        <v>4508</v>
      </c>
      <c r="D2645" s="41"/>
      <c r="E2645" s="41" t="s">
        <v>447</v>
      </c>
      <c r="F2645" s="41" t="str">
        <f>IFERROR(__xludf.DUMMYFUNCTION("if(REGEXMATCH(C2645,""x.com"")=TRUE,""Twitter"",if(REGEXMATCH(C2645,""facebook"")=TRUE,""Facebook"",if(REGEXMATCH(C2645,""instagram"")=TRUE,""Instagram"",if(REGEXMATCH(C2645,""youtube"")=TRUE,""Youtube"",if(REGEXMATCH(C2645,""tiktok"")=TRUE,""Tiktok"",if("&amp;"REGEXMATCH(C2645,""threads"")=TRUE,""Threads""))))))"),"Tiktok")</f>
        <v>Tiktok</v>
      </c>
      <c r="G2645" s="41" t="s">
        <v>4509</v>
      </c>
      <c r="H2645" s="36"/>
      <c r="I2645" s="36"/>
      <c r="J2645" s="41" t="s">
        <v>188</v>
      </c>
      <c r="K2645" s="41"/>
      <c r="L2645" s="42"/>
    </row>
    <row r="2646">
      <c r="A2646" s="18">
        <v>2645.0</v>
      </c>
      <c r="B2646" s="76" t="s">
        <v>4490</v>
      </c>
      <c r="C2646" s="73" t="s">
        <v>4510</v>
      </c>
      <c r="D2646" s="41"/>
      <c r="E2646" s="41" t="s">
        <v>447</v>
      </c>
      <c r="F2646" s="41" t="str">
        <f>IFERROR(__xludf.DUMMYFUNCTION("if(REGEXMATCH(C2646,""x.com"")=TRUE,""Twitter"",if(REGEXMATCH(C2646,""facebook"")=TRUE,""Facebook"",if(REGEXMATCH(C2646,""instagram"")=TRUE,""Instagram"",if(REGEXMATCH(C2646,""youtube"")=TRUE,""Youtube"",if(REGEXMATCH(C2646,""tiktok"")=TRUE,""Tiktok"",if("&amp;"REGEXMATCH(C2646,""threads"")=TRUE,""Threads""))))))"),"Tiktok")</f>
        <v>Tiktok</v>
      </c>
      <c r="G2646" s="41" t="s">
        <v>4511</v>
      </c>
      <c r="H2646" s="35"/>
      <c r="I2646" s="35"/>
      <c r="J2646" s="41" t="s">
        <v>188</v>
      </c>
      <c r="K2646" s="41"/>
      <c r="L2646" s="42"/>
    </row>
    <row r="2647">
      <c r="A2647" s="18">
        <v>2646.0</v>
      </c>
      <c r="B2647" s="76" t="s">
        <v>4512</v>
      </c>
      <c r="C2647" s="47" t="s">
        <v>4513</v>
      </c>
      <c r="D2647" s="41"/>
      <c r="E2647" s="41" t="s">
        <v>197</v>
      </c>
      <c r="F2647" s="41" t="str">
        <f>IFERROR(__xludf.DUMMYFUNCTION("if(REGEXMATCH(C2647,""x.com"")=TRUE,""Twitter"",if(REGEXMATCH(C2647,""facebook"")=TRUE,""Facebook"",if(REGEXMATCH(C2647,""instagram"")=TRUE,""Instagram"",if(REGEXMATCH(C2647,""youtube"")=TRUE,""Youtube"",if(REGEXMATCH(C2647,""tiktok"")=TRUE,""Tiktok"",if("&amp;"REGEXMATCH(C2647,""threads"")=TRUE,""Threads""))))))"),"Twitter")</f>
        <v>Twitter</v>
      </c>
      <c r="G2647" s="41" t="s">
        <v>4514</v>
      </c>
      <c r="H2647" s="43" t="s">
        <v>4398</v>
      </c>
      <c r="I2647" s="43" t="s">
        <v>4399</v>
      </c>
      <c r="J2647" s="41" t="s">
        <v>188</v>
      </c>
      <c r="K2647" s="41"/>
      <c r="L2647" s="42"/>
    </row>
    <row r="2648">
      <c r="A2648" s="18">
        <v>2647.0</v>
      </c>
      <c r="B2648" s="76" t="s">
        <v>4512</v>
      </c>
      <c r="C2648" s="47" t="s">
        <v>4515</v>
      </c>
      <c r="D2648" s="41"/>
      <c r="E2648" s="41" t="s">
        <v>197</v>
      </c>
      <c r="F2648" s="41" t="str">
        <f>IFERROR(__xludf.DUMMYFUNCTION("if(REGEXMATCH(C2648,""x.com"")=TRUE,""Twitter"",if(REGEXMATCH(C2648,""facebook"")=TRUE,""Facebook"",if(REGEXMATCH(C2648,""instagram"")=TRUE,""Instagram"",if(REGEXMATCH(C2648,""youtube"")=TRUE,""Youtube"",if(REGEXMATCH(C2648,""tiktok"")=TRUE,""Tiktok"",if("&amp;"REGEXMATCH(C2648,""threads"")=TRUE,""Threads""))))))"),"Twitter")</f>
        <v>Twitter</v>
      </c>
      <c r="G2648" s="41" t="s">
        <v>4516</v>
      </c>
      <c r="H2648" s="36"/>
      <c r="I2648" s="36"/>
      <c r="J2648" s="41" t="s">
        <v>188</v>
      </c>
      <c r="K2648" s="41"/>
      <c r="L2648" s="42"/>
    </row>
    <row r="2649">
      <c r="A2649" s="18">
        <v>2648.0</v>
      </c>
      <c r="B2649" s="76" t="s">
        <v>4512</v>
      </c>
      <c r="C2649" s="47" t="s">
        <v>4517</v>
      </c>
      <c r="D2649" s="41"/>
      <c r="E2649" s="41" t="s">
        <v>197</v>
      </c>
      <c r="F2649" s="41" t="str">
        <f>IFERROR(__xludf.DUMMYFUNCTION("if(REGEXMATCH(C2649,""x.com"")=TRUE,""Twitter"",if(REGEXMATCH(C2649,""facebook"")=TRUE,""Facebook"",if(REGEXMATCH(C2649,""instagram"")=TRUE,""Instagram"",if(REGEXMATCH(C2649,""youtube"")=TRUE,""Youtube"",if(REGEXMATCH(C2649,""tiktok"")=TRUE,""Tiktok"",if("&amp;"REGEXMATCH(C2649,""threads"")=TRUE,""Threads""))))))"),"Twitter")</f>
        <v>Twitter</v>
      </c>
      <c r="G2649" s="41" t="s">
        <v>4518</v>
      </c>
      <c r="H2649" s="36"/>
      <c r="I2649" s="36"/>
      <c r="J2649" s="41" t="s">
        <v>188</v>
      </c>
      <c r="K2649" s="41"/>
      <c r="L2649" s="42"/>
    </row>
    <row r="2650">
      <c r="A2650" s="18">
        <v>2649.0</v>
      </c>
      <c r="B2650" s="76" t="s">
        <v>4512</v>
      </c>
      <c r="C2650" s="47" t="s">
        <v>4519</v>
      </c>
      <c r="D2650" s="41"/>
      <c r="E2650" s="41" t="s">
        <v>197</v>
      </c>
      <c r="F2650" s="41" t="str">
        <f>IFERROR(__xludf.DUMMYFUNCTION("if(REGEXMATCH(C2650,""x.com"")=TRUE,""Twitter"",if(REGEXMATCH(C2650,""facebook"")=TRUE,""Facebook"",if(REGEXMATCH(C2650,""instagram"")=TRUE,""Instagram"",if(REGEXMATCH(C2650,""youtube"")=TRUE,""Youtube"",if(REGEXMATCH(C2650,""tiktok"")=TRUE,""Tiktok"",if("&amp;"REGEXMATCH(C2650,""threads"")=TRUE,""Threads""))))))"),"Twitter")</f>
        <v>Twitter</v>
      </c>
      <c r="G2650" s="41" t="s">
        <v>4520</v>
      </c>
      <c r="H2650" s="36"/>
      <c r="I2650" s="36"/>
      <c r="J2650" s="41" t="s">
        <v>188</v>
      </c>
      <c r="K2650" s="41"/>
      <c r="L2650" s="42"/>
    </row>
    <row r="2651">
      <c r="A2651" s="18">
        <v>2650.0</v>
      </c>
      <c r="B2651" s="76" t="s">
        <v>4512</v>
      </c>
      <c r="C2651" s="47" t="s">
        <v>4521</v>
      </c>
      <c r="D2651" s="41"/>
      <c r="E2651" s="41" t="s">
        <v>230</v>
      </c>
      <c r="F2651" s="41" t="str">
        <f>IFERROR(__xludf.DUMMYFUNCTION("if(REGEXMATCH(C2651,""x.com"")=TRUE,""Twitter"",if(REGEXMATCH(C2651,""facebook"")=TRUE,""Facebook"",if(REGEXMATCH(C2651,""instagram"")=TRUE,""Instagram"",if(REGEXMATCH(C2651,""youtube"")=TRUE,""Youtube"",if(REGEXMATCH(C2651,""tiktok"")=TRUE,""Tiktok"",if("&amp;"REGEXMATCH(C2651,""threads"")=TRUE,""Threads""))))))"),"Twitter")</f>
        <v>Twitter</v>
      </c>
      <c r="G2651" s="41" t="s">
        <v>4522</v>
      </c>
      <c r="H2651" s="36"/>
      <c r="I2651" s="36"/>
      <c r="J2651" s="41" t="s">
        <v>188</v>
      </c>
      <c r="K2651" s="41"/>
      <c r="L2651" s="42"/>
    </row>
    <row r="2652">
      <c r="A2652" s="18">
        <v>2651.0</v>
      </c>
      <c r="B2652" s="76" t="s">
        <v>4512</v>
      </c>
      <c r="C2652" s="73" t="s">
        <v>4523</v>
      </c>
      <c r="D2652" s="41"/>
      <c r="E2652" s="41" t="s">
        <v>197</v>
      </c>
      <c r="F2652" s="41" t="str">
        <f>IFERROR(__xludf.DUMMYFUNCTION("if(REGEXMATCH(C2652,""x.com"")=TRUE,""Twitter"",if(REGEXMATCH(C2652,""facebook"")=TRUE,""Facebook"",if(REGEXMATCH(C2652,""instagram"")=TRUE,""Instagram"",if(REGEXMATCH(C2652,""youtube"")=TRUE,""Youtube"",if(REGEXMATCH(C2652,""tiktok"")=TRUE,""Tiktok"",if("&amp;"REGEXMATCH(C2652,""threads"")=TRUE,""Threads""))))))"),"Twitter")</f>
        <v>Twitter</v>
      </c>
      <c r="G2652" s="41" t="s">
        <v>4524</v>
      </c>
      <c r="H2652" s="36"/>
      <c r="I2652" s="36"/>
      <c r="J2652" s="41" t="s">
        <v>188</v>
      </c>
      <c r="K2652" s="41"/>
      <c r="L2652" s="42"/>
    </row>
    <row r="2653">
      <c r="A2653" s="18">
        <v>2652.0</v>
      </c>
      <c r="B2653" s="76" t="s">
        <v>4512</v>
      </c>
      <c r="C2653" s="47" t="s">
        <v>4525</v>
      </c>
      <c r="D2653" s="41"/>
      <c r="E2653" s="41" t="s">
        <v>447</v>
      </c>
      <c r="F2653" s="41" t="str">
        <f>IFERROR(__xludf.DUMMYFUNCTION("if(REGEXMATCH(C2653,""x.com"")=TRUE,""Twitter"",if(REGEXMATCH(C2653,""facebook"")=TRUE,""Facebook"",if(REGEXMATCH(C2653,""instagram"")=TRUE,""Instagram"",if(REGEXMATCH(C2653,""youtube"")=TRUE,""Youtube"",if(REGEXMATCH(C2653,""tiktok"")=TRUE,""Tiktok"",if("&amp;"REGEXMATCH(C2653,""threads"")=TRUE,""Threads""))))))"),"Facebook")</f>
        <v>Facebook</v>
      </c>
      <c r="G2653" s="41" t="s">
        <v>4526</v>
      </c>
      <c r="H2653" s="36"/>
      <c r="I2653" s="36"/>
      <c r="J2653" s="41" t="s">
        <v>188</v>
      </c>
      <c r="K2653" s="41"/>
      <c r="L2653" s="42"/>
    </row>
    <row r="2654">
      <c r="A2654" s="18">
        <v>2653.0</v>
      </c>
      <c r="B2654" s="76" t="s">
        <v>4512</v>
      </c>
      <c r="C2654" s="47" t="s">
        <v>4527</v>
      </c>
      <c r="D2654" s="41"/>
      <c r="E2654" s="41" t="s">
        <v>4392</v>
      </c>
      <c r="F2654" s="41" t="str">
        <f>IFERROR(__xludf.DUMMYFUNCTION("if(REGEXMATCH(C2654,""x.com"")=TRUE,""Twitter"",if(REGEXMATCH(C2654,""facebook"")=TRUE,""Facebook"",if(REGEXMATCH(C2654,""instagram"")=TRUE,""Instagram"",if(REGEXMATCH(C2654,""youtube"")=TRUE,""Youtube"",if(REGEXMATCH(C2654,""tiktok"")=TRUE,""Tiktok"",if("&amp;"REGEXMATCH(C2654,""threads"")=TRUE,""Threads""))))))"),"Tiktok")</f>
        <v>Tiktok</v>
      </c>
      <c r="G2654" s="41" t="s">
        <v>4528</v>
      </c>
      <c r="H2654" s="36"/>
      <c r="I2654" s="36"/>
      <c r="J2654" s="41" t="s">
        <v>188</v>
      </c>
      <c r="K2654" s="41"/>
      <c r="L2654" s="42"/>
    </row>
    <row r="2655">
      <c r="A2655" s="18">
        <v>2654.0</v>
      </c>
      <c r="B2655" s="76" t="s">
        <v>4512</v>
      </c>
      <c r="C2655" s="47" t="s">
        <v>4529</v>
      </c>
      <c r="D2655" s="41"/>
      <c r="E2655" s="41" t="s">
        <v>447</v>
      </c>
      <c r="F2655" s="41" t="str">
        <f>IFERROR(__xludf.DUMMYFUNCTION("if(REGEXMATCH(C2655,""x.com"")=TRUE,""Twitter"",if(REGEXMATCH(C2655,""facebook"")=TRUE,""Facebook"",if(REGEXMATCH(C2655,""instagram"")=TRUE,""Instagram"",if(REGEXMATCH(C2655,""youtube"")=TRUE,""Youtube"",if(REGEXMATCH(C2655,""tiktok"")=TRUE,""Tiktok"",if("&amp;"REGEXMATCH(C2655,""threads"")=TRUE,""Threads""))))))"),"Tiktok")</f>
        <v>Tiktok</v>
      </c>
      <c r="G2655" s="41" t="s">
        <v>4530</v>
      </c>
      <c r="H2655" s="35"/>
      <c r="I2655" s="35"/>
      <c r="J2655" s="41" t="s">
        <v>188</v>
      </c>
      <c r="K2655" s="41"/>
      <c r="L2655" s="42"/>
    </row>
    <row r="2656">
      <c r="A2656" s="18">
        <v>2655.0</v>
      </c>
      <c r="B2656" s="76" t="s">
        <v>4512</v>
      </c>
      <c r="C2656" s="40" t="s">
        <v>4531</v>
      </c>
      <c r="D2656" s="41"/>
      <c r="E2656" s="41" t="s">
        <v>2018</v>
      </c>
      <c r="F2656" s="41" t="s">
        <v>622</v>
      </c>
      <c r="G2656" s="44" t="s">
        <v>4532</v>
      </c>
      <c r="H2656" s="41" t="s">
        <v>2023</v>
      </c>
      <c r="I2656" s="41"/>
      <c r="J2656" s="41" t="s">
        <v>188</v>
      </c>
      <c r="K2656" s="41" t="s">
        <v>1704</v>
      </c>
      <c r="L2656" s="42"/>
    </row>
    <row r="2657">
      <c r="A2657" s="18">
        <v>2656.0</v>
      </c>
      <c r="B2657" s="76" t="s">
        <v>4512</v>
      </c>
      <c r="C2657" s="44" t="s">
        <v>4533</v>
      </c>
      <c r="D2657" s="41"/>
      <c r="E2657" s="41" t="s">
        <v>2018</v>
      </c>
      <c r="F2657" s="41" t="s">
        <v>622</v>
      </c>
      <c r="G2657" s="44" t="s">
        <v>4534</v>
      </c>
      <c r="H2657" s="41" t="s">
        <v>2023</v>
      </c>
      <c r="I2657" s="41"/>
      <c r="J2657" s="41" t="s">
        <v>188</v>
      </c>
      <c r="K2657" s="41" t="s">
        <v>1704</v>
      </c>
      <c r="L2657" s="42"/>
    </row>
    <row r="2658">
      <c r="A2658" s="18">
        <v>2657.0</v>
      </c>
      <c r="B2658" s="76" t="s">
        <v>4512</v>
      </c>
      <c r="C2658" s="40" t="s">
        <v>4535</v>
      </c>
      <c r="D2658" s="41"/>
      <c r="E2658" s="41" t="s">
        <v>2018</v>
      </c>
      <c r="F2658" s="41" t="s">
        <v>686</v>
      </c>
      <c r="G2658" s="44" t="s">
        <v>4536</v>
      </c>
      <c r="H2658" s="41" t="s">
        <v>2023</v>
      </c>
      <c r="I2658" s="41"/>
      <c r="J2658" s="41" t="s">
        <v>188</v>
      </c>
      <c r="K2658" s="41" t="s">
        <v>1704</v>
      </c>
      <c r="L2658" s="42"/>
    </row>
    <row r="2659">
      <c r="A2659" s="18">
        <v>2658.0</v>
      </c>
      <c r="B2659" s="76" t="s">
        <v>4512</v>
      </c>
      <c r="C2659" s="40" t="s">
        <v>4537</v>
      </c>
      <c r="D2659" s="41"/>
      <c r="E2659" s="41" t="s">
        <v>2018</v>
      </c>
      <c r="F2659" s="41" t="s">
        <v>686</v>
      </c>
      <c r="G2659" s="44" t="s">
        <v>4538</v>
      </c>
      <c r="H2659" s="41" t="s">
        <v>2023</v>
      </c>
      <c r="I2659" s="41"/>
      <c r="J2659" s="41" t="s">
        <v>188</v>
      </c>
      <c r="K2659" s="41" t="s">
        <v>1704</v>
      </c>
      <c r="L2659" s="42"/>
    </row>
    <row r="2660">
      <c r="A2660" s="18">
        <v>2659.0</v>
      </c>
      <c r="B2660" s="76" t="s">
        <v>4512</v>
      </c>
      <c r="C2660" s="40" t="s">
        <v>4539</v>
      </c>
      <c r="D2660" s="41"/>
      <c r="E2660" s="41" t="s">
        <v>2018</v>
      </c>
      <c r="F2660" s="41" t="s">
        <v>686</v>
      </c>
      <c r="G2660" s="44" t="s">
        <v>4540</v>
      </c>
      <c r="H2660" s="41" t="s">
        <v>2023</v>
      </c>
      <c r="I2660" s="41"/>
      <c r="J2660" s="41" t="s">
        <v>188</v>
      </c>
      <c r="K2660" s="41" t="s">
        <v>1704</v>
      </c>
      <c r="L2660" s="42"/>
    </row>
    <row r="2661">
      <c r="A2661" s="18">
        <v>2660.0</v>
      </c>
      <c r="B2661" s="76" t="s">
        <v>4512</v>
      </c>
      <c r="C2661" s="40" t="s">
        <v>4541</v>
      </c>
      <c r="D2661" s="41"/>
      <c r="E2661" s="41" t="s">
        <v>2018</v>
      </c>
      <c r="F2661" s="41" t="s">
        <v>686</v>
      </c>
      <c r="G2661" s="44" t="s">
        <v>4542</v>
      </c>
      <c r="H2661" s="41" t="s">
        <v>2023</v>
      </c>
      <c r="I2661" s="41"/>
      <c r="J2661" s="41" t="s">
        <v>188</v>
      </c>
      <c r="K2661" s="41" t="s">
        <v>1704</v>
      </c>
      <c r="L2661" s="42"/>
    </row>
    <row r="2662">
      <c r="A2662" s="18">
        <v>2661.0</v>
      </c>
      <c r="B2662" s="76" t="s">
        <v>4543</v>
      </c>
      <c r="C2662" s="73" t="s">
        <v>4544</v>
      </c>
      <c r="D2662" s="41"/>
      <c r="E2662" s="41" t="s">
        <v>447</v>
      </c>
      <c r="F2662" s="41" t="str">
        <f>IFERROR(__xludf.DUMMYFUNCTION("if(REGEXMATCH(C2662,""x.com"")=TRUE,""Twitter"",if(REGEXMATCH(C2662,""facebook"")=TRUE,""Facebook"",if(REGEXMATCH(C2662,""instagram"")=TRUE,""Instagram"",if(REGEXMATCH(C2662,""youtube"")=TRUE,""Youtube"",if(REGEXMATCH(C2662,""tiktok"")=TRUE,""Tiktok"",if("&amp;"REGEXMATCH(C2662,""threads"")=TRUE,""Threads""))))))"),"Facebook")</f>
        <v>Facebook</v>
      </c>
      <c r="G2662" s="41" t="s">
        <v>4545</v>
      </c>
      <c r="H2662" s="41" t="s">
        <v>4398</v>
      </c>
      <c r="I2662" s="41" t="s">
        <v>4399</v>
      </c>
      <c r="J2662" s="41" t="s">
        <v>188</v>
      </c>
      <c r="K2662" s="41" t="str">
        <f t="shared" ref="K2662:K2670" si="2">G2662&amp;" Analsis Dampak:
"&amp;I2662</f>
        <v>Ditemukan konten pada media sosial Facebook yang diduga memuat unsur disinformasi berjenis false context. konten tersebut menarasikan bahwa foto gibran mengambil Ijazah merupakan hasil AI. pada realitasnya, foto tersebut benar benar terjadi dan sudut pandang memiliki 3 tangan merupakan miskonsepsi pembuat konten.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62" s="42"/>
    </row>
    <row r="2663">
      <c r="A2663" s="18">
        <v>2662.0</v>
      </c>
      <c r="B2663" s="76" t="s">
        <v>4543</v>
      </c>
      <c r="C2663" s="73" t="s">
        <v>4546</v>
      </c>
      <c r="D2663" s="41"/>
      <c r="E2663" s="41" t="s">
        <v>222</v>
      </c>
      <c r="F2663" s="41" t="str">
        <f>IFERROR(__xludf.DUMMYFUNCTION("if(REGEXMATCH(C2663,""x.com"")=TRUE,""Twitter"",if(REGEXMATCH(C2663,""facebook"")=TRUE,""Facebook"",if(REGEXMATCH(C2663,""instagram"")=TRUE,""Instagram"",if(REGEXMATCH(C2663,""youtube"")=TRUE,""Youtube"",if(REGEXMATCH(C2663,""tiktok"")=TRUE,""Tiktok"",if("&amp;"REGEXMATCH(C2663,""threads"")=TRUE,""Threads""))))))"),"Facebook")</f>
        <v>Facebook</v>
      </c>
      <c r="G2663" s="41" t="s">
        <v>4547</v>
      </c>
      <c r="H2663" s="41" t="s">
        <v>4398</v>
      </c>
      <c r="I2663" s="41" t="s">
        <v>4399</v>
      </c>
      <c r="J2663" s="41" t="s">
        <v>188</v>
      </c>
      <c r="K2663" s="41" t="str">
        <f t="shared" si="2"/>
        <v>Ditemukan konten pada media sosial Facebook yang diduga memuat unsur provokatif berupa ajakan pembubaran Indonesia dan seruan mendirikan kedaulatan wes papua dalam satu komando.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63" s="42"/>
    </row>
    <row r="2664">
      <c r="A2664" s="18">
        <v>2663.0</v>
      </c>
      <c r="B2664" s="76" t="s">
        <v>4543</v>
      </c>
      <c r="C2664" s="73" t="s">
        <v>4548</v>
      </c>
      <c r="D2664" s="41"/>
      <c r="E2664" s="41" t="s">
        <v>447</v>
      </c>
      <c r="F2664" s="41" t="str">
        <f>IFERROR(__xludf.DUMMYFUNCTION("if(REGEXMATCH(C2664,""x.com"")=TRUE,""Twitter"",if(REGEXMATCH(C2664,""facebook"")=TRUE,""Facebook"",if(REGEXMATCH(C2664,""instagram"")=TRUE,""Instagram"",if(REGEXMATCH(C2664,""youtube"")=TRUE,""Youtube"",if(REGEXMATCH(C2664,""tiktok"")=TRUE,""Tiktok"",if("&amp;"REGEXMATCH(C2664,""threads"")=TRUE,""Threads""))))))"),"Facebook")</f>
        <v>Facebook</v>
      </c>
      <c r="G2664" s="41" t="s">
        <v>4549</v>
      </c>
      <c r="H2664" s="41" t="s">
        <v>4398</v>
      </c>
      <c r="I2664" s="41" t="s">
        <v>4399</v>
      </c>
      <c r="J2664" s="41" t="s">
        <v>188</v>
      </c>
      <c r="K2664" s="41" t="str">
        <f t="shared" si="2"/>
        <v>Ditemukan konten pada media sosial Facebook yang diduga memuat unsur gangguan informasi dengan jenis misleading content. konten tersebut menarasikan seorang TNI yang menolak terhadap tugas negara dengan narasi “takut hadapi kogoya”.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64" s="42"/>
    </row>
    <row r="2665">
      <c r="A2665" s="18">
        <v>2664.0</v>
      </c>
      <c r="B2665" s="76" t="s">
        <v>4543</v>
      </c>
      <c r="C2665" s="73" t="s">
        <v>4550</v>
      </c>
      <c r="D2665" s="41"/>
      <c r="E2665" s="41" t="s">
        <v>447</v>
      </c>
      <c r="F2665" s="41" t="str">
        <f>IFERROR(__xludf.DUMMYFUNCTION("if(REGEXMATCH(C2665,""x.com"")=TRUE,""Twitter"",if(REGEXMATCH(C2665,""facebook"")=TRUE,""Facebook"",if(REGEXMATCH(C2665,""instagram"")=TRUE,""Instagram"",if(REGEXMATCH(C2665,""youtube"")=TRUE,""Youtube"",if(REGEXMATCH(C2665,""tiktok"")=TRUE,""Tiktok"",if("&amp;"REGEXMATCH(C2665,""threads"")=TRUE,""Threads""))))))"),"Facebook")</f>
        <v>Facebook</v>
      </c>
      <c r="G2665" s="41" t="s">
        <v>4551</v>
      </c>
      <c r="H2665" s="41" t="s">
        <v>4398</v>
      </c>
      <c r="I2665" s="41" t="s">
        <v>4399</v>
      </c>
      <c r="J2665" s="41" t="s">
        <v>188</v>
      </c>
      <c r="K2665" s="41" t="str">
        <f t="shared" si="2"/>
        <v>Ditemukan konten disinformasi berjenis false content yang disertai unsur fear-mongering framing di media sosial, yang menarasikan bahwa foto atau video gempa bumi di Bangkok mengandung virus ransomware bernama “Seismic Waves Card” yang dapat meretas ponsel dalam 10 detik. Konten tersebut mengaitkan peringatan siber palsu dengan peristiwa gempa nyata untuk membangun kepanikan dan mendorong penyebaran pesan berantai. Faktanya, tidak ada laporan resmi dari otoritas keamanan siber maupun lembaga kredibel yang mengonfirmasi keberadaan malware dengan nama tersebut, dan pola pesan serupa telah berulang kali muncul sejak gempa Maroko 2023 hingga gempa Myanmar–Thailand 2025.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65" s="42"/>
    </row>
    <row r="2666">
      <c r="A2666" s="18">
        <v>2665.0</v>
      </c>
      <c r="B2666" s="76" t="s">
        <v>4543</v>
      </c>
      <c r="C2666" s="73" t="s">
        <v>4552</v>
      </c>
      <c r="D2666" s="41"/>
      <c r="E2666" s="41" t="s">
        <v>197</v>
      </c>
      <c r="F2666" s="41" t="str">
        <f>IFERROR(__xludf.DUMMYFUNCTION("if(REGEXMATCH(C2666,""x.com"")=TRUE,""Twitter"",if(REGEXMATCH(C2666,""facebook"")=TRUE,""Facebook"",if(REGEXMATCH(C2666,""instagram"")=TRUE,""Instagram"",if(REGEXMATCH(C2666,""youtube"")=TRUE,""Youtube"",if(REGEXMATCH(C2666,""tiktok"")=TRUE,""Tiktok"",if("&amp;"REGEXMATCH(C2666,""threads"")=TRUE,""Threads""))))))"),"Facebook")</f>
        <v>Facebook</v>
      </c>
      <c r="G2666" s="41" t="s">
        <v>4553</v>
      </c>
      <c r="H2666" s="41" t="s">
        <v>4398</v>
      </c>
      <c r="I2666" s="41" t="s">
        <v>4399</v>
      </c>
      <c r="J2666" s="41" t="s">
        <v>188</v>
      </c>
      <c r="K2666" s="41" t="str">
        <f t="shared" si="2"/>
        <v>Ditemukan konten pada media sosial Facebook yang diduga memuat unsur provokatif untuk musnahkan prabowo dan gibran Pandjaitan disertai narasi ujaran kebencian dengan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Analsis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66" s="42"/>
    </row>
    <row r="2667">
      <c r="A2667" s="18">
        <v>2666.0</v>
      </c>
      <c r="B2667" s="76" t="s">
        <v>4543</v>
      </c>
      <c r="C2667" s="73" t="s">
        <v>4554</v>
      </c>
      <c r="D2667" s="41"/>
      <c r="E2667" s="41" t="s">
        <v>4555</v>
      </c>
      <c r="F2667" s="41" t="str">
        <f>IFERROR(__xludf.DUMMYFUNCTION("if(REGEXMATCH(C2667,""x.com"")=TRUE,""Twitter"",if(REGEXMATCH(C2667,""facebook"")=TRUE,""Facebook"",if(REGEXMATCH(C2667,""instagram"")=TRUE,""Instagram"",if(REGEXMATCH(C2667,""youtube"")=TRUE,""Youtube"",if(REGEXMATCH(C2667,""tiktok"")=TRUE,""Tiktok"",if("&amp;"REGEXMATCH(C2667,""threads"")=TRUE,""Threads""))))))"),"Facebook")</f>
        <v>Facebook</v>
      </c>
      <c r="G2667" s="41" t="s">
        <v>4556</v>
      </c>
      <c r="H2667" s="41" t="s">
        <v>4398</v>
      </c>
      <c r="I2667" s="41" t="s">
        <v>4399</v>
      </c>
      <c r="J2667" s="41" t="s">
        <v>188</v>
      </c>
      <c r="K2667" s="41" t="str">
        <f t="shared" si="2"/>
        <v>Ditemukan konten pada media sosial Facebook yang diduga memuat unsur separatisme disertai provokatif berisi narasi siapa dijajah dan siapa penjajah. konten tersebut menarasikan dengan membingkai bahwa papua merupakan entitas yang sedang di jajah oleh Indonesia. hal tersebut kemudian digunakan sebagai alasan ajakan untuk melakukan perlawanan terhadap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67" s="42"/>
    </row>
    <row r="2668">
      <c r="A2668" s="18">
        <v>2667.0</v>
      </c>
      <c r="B2668" s="76" t="s">
        <v>4543</v>
      </c>
      <c r="C2668" s="73" t="s">
        <v>4557</v>
      </c>
      <c r="D2668" s="41"/>
      <c r="E2668" s="41" t="s">
        <v>447</v>
      </c>
      <c r="F2668" s="41" t="str">
        <f>IFERROR(__xludf.DUMMYFUNCTION("if(REGEXMATCH(C2668,""x.com"")=TRUE,""Twitter"",if(REGEXMATCH(C2668,""facebook"")=TRUE,""Facebook"",if(REGEXMATCH(C2668,""instagram"")=TRUE,""Instagram"",if(REGEXMATCH(C2668,""youtube"")=TRUE,""Youtube"",if(REGEXMATCH(C2668,""tiktok"")=TRUE,""Tiktok"",if("&amp;"REGEXMATCH(C2668,""threads"")=TRUE,""Threads""))))))"),"Facebook")</f>
        <v>Facebook</v>
      </c>
      <c r="G2668" s="41" t="s">
        <v>4558</v>
      </c>
      <c r="H2668" s="41" t="s">
        <v>4398</v>
      </c>
      <c r="I2668" s="41" t="s">
        <v>4399</v>
      </c>
      <c r="J2668" s="41" t="s">
        <v>188</v>
      </c>
      <c r="K2668" s="41" t="str">
        <f t="shared" si="2"/>
        <v>Ditemukan konten pada media sosial Facebook yang diduga memuat unsur ujaran kebencian. konten tersebut menyalahartikan transmigrasi sebagai bentuk penjajahan yang kemudian digunakan sebagai alasan untuk menyudutkan suku tertentu.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68" s="42"/>
    </row>
    <row r="2669">
      <c r="A2669" s="18">
        <v>2668.0</v>
      </c>
      <c r="B2669" s="76" t="s">
        <v>4543</v>
      </c>
      <c r="C2669" s="73" t="s">
        <v>4559</v>
      </c>
      <c r="D2669" s="41"/>
      <c r="E2669" s="41" t="s">
        <v>197</v>
      </c>
      <c r="F2669" s="41" t="str">
        <f>IFERROR(__xludf.DUMMYFUNCTION("if(REGEXMATCH(C2669,""x.com"")=TRUE,""Twitter"",if(REGEXMATCH(C2669,""facebook"")=TRUE,""Facebook"",if(REGEXMATCH(C2669,""instagram"")=TRUE,""Instagram"",if(REGEXMATCH(C2669,""youtube"")=TRUE,""Youtube"",if(REGEXMATCH(C2669,""tiktok"")=TRUE,""Tiktok"",if("&amp;"REGEXMATCH(C2669,""threads"")=TRUE,""Threads""))))))"),"Facebook")</f>
        <v>Facebook</v>
      </c>
      <c r="G2669" s="41" t="s">
        <v>4560</v>
      </c>
      <c r="H2669" s="41" t="s">
        <v>4398</v>
      </c>
      <c r="I2669" s="41" t="s">
        <v>4399</v>
      </c>
      <c r="J2669" s="41" t="s">
        <v>188</v>
      </c>
      <c r="K2669" s="41" t="str">
        <f t="shared" si="2"/>
        <v>Ditemukan konten pada media sosial Facebook yang diduga memuat unsur provokatif untuk menepalkan pemerintahan dan adanya ujaran kebencian dengan tuduhan kepada ras tertentu seperti “DPR berbau komunis cina”.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69" s="42"/>
    </row>
    <row r="2670">
      <c r="A2670" s="18">
        <v>2669.0</v>
      </c>
      <c r="B2670" s="76" t="s">
        <v>4543</v>
      </c>
      <c r="C2670" s="73" t="s">
        <v>4561</v>
      </c>
      <c r="D2670" s="41"/>
      <c r="E2670" s="41" t="s">
        <v>4555</v>
      </c>
      <c r="F2670" s="41" t="str">
        <f>IFERROR(__xludf.DUMMYFUNCTION("if(REGEXMATCH(C2670,""x.com"")=TRUE,""Twitter"",if(REGEXMATCH(C2670,""facebook"")=TRUE,""Facebook"",if(REGEXMATCH(C2670,""instagram"")=TRUE,""Instagram"",if(REGEXMATCH(C2670,""youtube"")=TRUE,""Youtube"",if(REGEXMATCH(C2670,""tiktok"")=TRUE,""Tiktok"",if("&amp;"REGEXMATCH(C2670,""threads"")=TRUE,""Threads""))))))"),"Facebook")</f>
        <v>Facebook</v>
      </c>
      <c r="G2670" s="41" t="s">
        <v>4562</v>
      </c>
      <c r="H2670" s="41" t="s">
        <v>4398</v>
      </c>
      <c r="I2670" s="41" t="s">
        <v>4399</v>
      </c>
      <c r="J2670" s="41" t="s">
        <v>188</v>
      </c>
      <c r="K2670" s="41" t="str">
        <f t="shared" si="2"/>
        <v>Ditemukan konten pada media sosial Facebook yang diduga memuat unsur separatisme berisi narasi dukungan terhadap kedaulatan papua dan ajakan untuk memerdekakan diri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Analsis Dampak:
Keberadaan akun dan/atau konten media sosial yang memuat unsur disinformasi, fitnah, ujaran kebencian, provokatif, dan SARA berpotensi meningkatkan penyebaran manipulasi informasi dan disinformasi secara masif. Kondisi tersebut dapat memicu kegaduhan di ruang publik, mempersempit ruang dialog yang sehat, serta mendorong terbentuknya polarisasi sosial di tengah masyarakat. Situasi tersebut pada akhirnya berpotensi mengganggu keamanan dan ketertiban masyarakat, melemahkan kohesi sosial, serta menimbulkan implikasi terhadap stabilitas nasional dan integrasi bangsa.</v>
      </c>
      <c r="L2670" s="42"/>
    </row>
    <row r="2671">
      <c r="A2671" s="18">
        <v>2670.0</v>
      </c>
      <c r="B2671" s="76" t="s">
        <v>4563</v>
      </c>
      <c r="C2671" s="44" t="s">
        <v>4564</v>
      </c>
      <c r="D2671" s="41"/>
      <c r="E2671" s="41" t="s">
        <v>197</v>
      </c>
      <c r="F2671" s="41" t="str">
        <f>IFERROR(__xludf.DUMMYFUNCTION("if(REGEXMATCH(C2671,""x.com"")=TRUE,""Twitter"",if(REGEXMATCH(C2671,""facebook"")=TRUE,""Facebook"",if(REGEXMATCH(C2671,""instagram"")=TRUE,""Instagram"",if(REGEXMATCH(C2671,""youtube"")=TRUE,""Youtube"",if(REGEXMATCH(C2671,""tiktok"")=TRUE,""Tiktok"",if("&amp;"REGEXMATCH(C2671,""threads"")=TRUE,""Threads""))))))"),"Facebook")</f>
        <v>Facebook</v>
      </c>
      <c r="G2671" s="41" t="s">
        <v>4565</v>
      </c>
      <c r="H2671" s="43" t="s">
        <v>4398</v>
      </c>
      <c r="I2671" s="43" t="s">
        <v>4399</v>
      </c>
      <c r="J2671" s="41" t="s">
        <v>188</v>
      </c>
      <c r="K2671" s="41"/>
      <c r="L2671" s="42"/>
    </row>
    <row r="2672">
      <c r="A2672" s="18">
        <v>2671.0</v>
      </c>
      <c r="B2672" s="76" t="s">
        <v>4563</v>
      </c>
      <c r="C2672" s="44" t="s">
        <v>4566</v>
      </c>
      <c r="D2672" s="41"/>
      <c r="E2672" s="41" t="s">
        <v>197</v>
      </c>
      <c r="F2672" s="41" t="str">
        <f>IFERROR(__xludf.DUMMYFUNCTION("if(REGEXMATCH(C2672,""x.com"")=TRUE,""Twitter"",if(REGEXMATCH(C2672,""facebook"")=TRUE,""Facebook"",if(REGEXMATCH(C2672,""instagram"")=TRUE,""Instagram"",if(REGEXMATCH(C2672,""youtube"")=TRUE,""Youtube"",if(REGEXMATCH(C2672,""tiktok"")=TRUE,""Tiktok"",if("&amp;"REGEXMATCH(C2672,""threads"")=TRUE,""Threads""))))))"),"Facebook")</f>
        <v>Facebook</v>
      </c>
      <c r="G2672" s="41" t="s">
        <v>4567</v>
      </c>
      <c r="H2672" s="36"/>
      <c r="I2672" s="36"/>
      <c r="J2672" s="41" t="s">
        <v>188</v>
      </c>
      <c r="K2672" s="41"/>
      <c r="L2672" s="42"/>
    </row>
    <row r="2673">
      <c r="A2673" s="18">
        <v>2672.0</v>
      </c>
      <c r="B2673" s="76" t="s">
        <v>4563</v>
      </c>
      <c r="C2673" s="44" t="s">
        <v>4568</v>
      </c>
      <c r="D2673" s="41"/>
      <c r="E2673" s="41" t="s">
        <v>197</v>
      </c>
      <c r="F2673" s="41" t="str">
        <f>IFERROR(__xludf.DUMMYFUNCTION("if(REGEXMATCH(C2673,""x.com"")=TRUE,""Twitter"",if(REGEXMATCH(C2673,""facebook"")=TRUE,""Facebook"",if(REGEXMATCH(C2673,""instagram"")=TRUE,""Instagram"",if(REGEXMATCH(C2673,""youtube"")=TRUE,""Youtube"",if(REGEXMATCH(C2673,""tiktok"")=TRUE,""Tiktok"",if("&amp;"REGEXMATCH(C2673,""threads"")=TRUE,""Threads""))))))"),"Facebook")</f>
        <v>Facebook</v>
      </c>
      <c r="G2673" s="41" t="s">
        <v>4569</v>
      </c>
      <c r="H2673" s="36"/>
      <c r="I2673" s="36"/>
      <c r="J2673" s="41" t="s">
        <v>188</v>
      </c>
      <c r="K2673" s="41"/>
      <c r="L2673" s="42"/>
    </row>
    <row r="2674">
      <c r="A2674" s="18">
        <v>2673.0</v>
      </c>
      <c r="B2674" s="76" t="s">
        <v>4563</v>
      </c>
      <c r="C2674" s="44" t="s">
        <v>4570</v>
      </c>
      <c r="D2674" s="41"/>
      <c r="E2674" s="41" t="s">
        <v>197</v>
      </c>
      <c r="F2674" s="41" t="str">
        <f>IFERROR(__xludf.DUMMYFUNCTION("if(REGEXMATCH(C2674,""x.com"")=TRUE,""Twitter"",if(REGEXMATCH(C2674,""facebook"")=TRUE,""Facebook"",if(REGEXMATCH(C2674,""instagram"")=TRUE,""Instagram"",if(REGEXMATCH(C2674,""youtube"")=TRUE,""Youtube"",if(REGEXMATCH(C2674,""tiktok"")=TRUE,""Tiktok"",if("&amp;"REGEXMATCH(C2674,""threads"")=TRUE,""Threads""))))))"),"Facebook")</f>
        <v>Facebook</v>
      </c>
      <c r="G2674" s="41" t="s">
        <v>4571</v>
      </c>
      <c r="H2674" s="36"/>
      <c r="I2674" s="36"/>
      <c r="J2674" s="41" t="s">
        <v>188</v>
      </c>
      <c r="K2674" s="41"/>
      <c r="L2674" s="42"/>
    </row>
    <row r="2675">
      <c r="A2675" s="18">
        <v>2674.0</v>
      </c>
      <c r="B2675" s="76" t="s">
        <v>4563</v>
      </c>
      <c r="C2675" s="44" t="s">
        <v>4572</v>
      </c>
      <c r="D2675" s="41"/>
      <c r="E2675" s="41" t="s">
        <v>447</v>
      </c>
      <c r="F2675" s="41" t="str">
        <f>IFERROR(__xludf.DUMMYFUNCTION("if(REGEXMATCH(C2675,""x.com"")=TRUE,""Twitter"",if(REGEXMATCH(C2675,""facebook"")=TRUE,""Facebook"",if(REGEXMATCH(C2675,""instagram"")=TRUE,""Instagram"",if(REGEXMATCH(C2675,""youtube"")=TRUE,""Youtube"",if(REGEXMATCH(C2675,""tiktok"")=TRUE,""Tiktok"",if("&amp;"REGEXMATCH(C2675,""threads"")=TRUE,""Threads""))))))"),"Facebook")</f>
        <v>Facebook</v>
      </c>
      <c r="G2675" s="41" t="s">
        <v>4573</v>
      </c>
      <c r="H2675" s="36"/>
      <c r="I2675" s="36"/>
      <c r="J2675" s="41" t="s">
        <v>188</v>
      </c>
      <c r="K2675" s="41"/>
      <c r="L2675" s="42"/>
    </row>
    <row r="2676">
      <c r="A2676" s="18">
        <v>2675.0</v>
      </c>
      <c r="B2676" s="76" t="s">
        <v>4563</v>
      </c>
      <c r="C2676" s="44" t="s">
        <v>4574</v>
      </c>
      <c r="D2676" s="41"/>
      <c r="E2676" s="41" t="s">
        <v>197</v>
      </c>
      <c r="F2676" s="41" t="str">
        <f>IFERROR(__xludf.DUMMYFUNCTION("if(REGEXMATCH(C2676,""x.com"")=TRUE,""Twitter"",if(REGEXMATCH(C2676,""facebook"")=TRUE,""Facebook"",if(REGEXMATCH(C2676,""instagram"")=TRUE,""Instagram"",if(REGEXMATCH(C2676,""youtube"")=TRUE,""Youtube"",if(REGEXMATCH(C2676,""tiktok"")=TRUE,""Tiktok"",if("&amp;"REGEXMATCH(C2676,""threads"")=TRUE,""Threads""))))))"),"Facebook")</f>
        <v>Facebook</v>
      </c>
      <c r="G2676" s="41" t="s">
        <v>4575</v>
      </c>
      <c r="H2676" s="36"/>
      <c r="I2676" s="36"/>
      <c r="J2676" s="41" t="s">
        <v>188</v>
      </c>
      <c r="K2676" s="41"/>
      <c r="L2676" s="42"/>
    </row>
    <row r="2677">
      <c r="A2677" s="18">
        <v>2676.0</v>
      </c>
      <c r="B2677" s="76" t="s">
        <v>4563</v>
      </c>
      <c r="C2677" s="44" t="s">
        <v>4576</v>
      </c>
      <c r="D2677" s="41"/>
      <c r="E2677" s="41" t="s">
        <v>447</v>
      </c>
      <c r="F2677" s="41" t="str">
        <f>IFERROR(__xludf.DUMMYFUNCTION("if(REGEXMATCH(C2677,""x.com"")=TRUE,""Twitter"",if(REGEXMATCH(C2677,""facebook"")=TRUE,""Facebook"",if(REGEXMATCH(C2677,""instagram"")=TRUE,""Instagram"",if(REGEXMATCH(C2677,""youtube"")=TRUE,""Youtube"",if(REGEXMATCH(C2677,""tiktok"")=TRUE,""Tiktok"",if("&amp;"REGEXMATCH(C2677,""threads"")=TRUE,""Threads""))))))"),"Facebook")</f>
        <v>Facebook</v>
      </c>
      <c r="G2677" s="41" t="s">
        <v>4577</v>
      </c>
      <c r="H2677" s="36"/>
      <c r="I2677" s="36"/>
      <c r="J2677" s="41" t="s">
        <v>188</v>
      </c>
      <c r="K2677" s="41"/>
      <c r="L2677" s="42"/>
    </row>
    <row r="2678">
      <c r="A2678" s="18">
        <v>2677.0</v>
      </c>
      <c r="B2678" s="76" t="s">
        <v>4563</v>
      </c>
      <c r="C2678" s="44" t="s">
        <v>4578</v>
      </c>
      <c r="D2678" s="41"/>
      <c r="E2678" s="41" t="s">
        <v>197</v>
      </c>
      <c r="F2678" s="41" t="str">
        <f>IFERROR(__xludf.DUMMYFUNCTION("if(REGEXMATCH(C2678,""x.com"")=TRUE,""Twitter"",if(REGEXMATCH(C2678,""facebook"")=TRUE,""Facebook"",if(REGEXMATCH(C2678,""instagram"")=TRUE,""Instagram"",if(REGEXMATCH(C2678,""youtube"")=TRUE,""Youtube"",if(REGEXMATCH(C2678,""tiktok"")=TRUE,""Tiktok"",if("&amp;"REGEXMATCH(C2678,""threads"")=TRUE,""Threads""))))))"),"Twitter")</f>
        <v>Twitter</v>
      </c>
      <c r="G2678" s="41" t="s">
        <v>4579</v>
      </c>
      <c r="H2678" s="36"/>
      <c r="I2678" s="36"/>
      <c r="J2678" s="41" t="s">
        <v>188</v>
      </c>
      <c r="K2678" s="41"/>
      <c r="L2678" s="42"/>
    </row>
    <row r="2679">
      <c r="A2679" s="18">
        <v>2678.0</v>
      </c>
      <c r="B2679" s="76" t="s">
        <v>4563</v>
      </c>
      <c r="C2679" s="44" t="s">
        <v>4580</v>
      </c>
      <c r="D2679" s="41"/>
      <c r="E2679" s="41" t="s">
        <v>197</v>
      </c>
      <c r="F2679" s="41" t="str">
        <f>IFERROR(__xludf.DUMMYFUNCTION("if(REGEXMATCH(C2679,""x.com"")=TRUE,""Twitter"",if(REGEXMATCH(C2679,""facebook"")=TRUE,""Facebook"",if(REGEXMATCH(C2679,""instagram"")=TRUE,""Instagram"",if(REGEXMATCH(C2679,""youtube"")=TRUE,""Youtube"",if(REGEXMATCH(C2679,""tiktok"")=TRUE,""Tiktok"",if("&amp;"REGEXMATCH(C2679,""threads"")=TRUE,""Threads""))))))"),"Facebook")</f>
        <v>Facebook</v>
      </c>
      <c r="G2679" s="41" t="s">
        <v>4581</v>
      </c>
      <c r="H2679" s="36"/>
      <c r="I2679" s="36"/>
      <c r="J2679" s="41" t="s">
        <v>188</v>
      </c>
      <c r="K2679" s="41"/>
      <c r="L2679" s="42"/>
    </row>
    <row r="2680">
      <c r="A2680" s="18">
        <v>2679.0</v>
      </c>
      <c r="B2680" s="76" t="s">
        <v>4563</v>
      </c>
      <c r="C2680" s="44" t="s">
        <v>4582</v>
      </c>
      <c r="D2680" s="41"/>
      <c r="E2680" s="41" t="s">
        <v>447</v>
      </c>
      <c r="F2680" s="41" t="str">
        <f>IFERROR(__xludf.DUMMYFUNCTION("if(REGEXMATCH(C2680,""x.com"")=TRUE,""Twitter"",if(REGEXMATCH(C2680,""facebook"")=TRUE,""Facebook"",if(REGEXMATCH(C2680,""instagram"")=TRUE,""Instagram"",if(REGEXMATCH(C2680,""youtube"")=TRUE,""Youtube"",if(REGEXMATCH(C2680,""tiktok"")=TRUE,""Tiktok"",if("&amp;"REGEXMATCH(C2680,""threads"")=TRUE,""Threads""))))))"),"Tiktok")</f>
        <v>Tiktok</v>
      </c>
      <c r="G2680" s="41" t="s">
        <v>4583</v>
      </c>
      <c r="H2680" s="35"/>
      <c r="I2680" s="35"/>
      <c r="J2680" s="41" t="s">
        <v>188</v>
      </c>
      <c r="K2680" s="41"/>
      <c r="L2680" s="42"/>
    </row>
    <row r="2681">
      <c r="A2681" s="18">
        <v>2680.0</v>
      </c>
      <c r="B2681" s="76" t="s">
        <v>4584</v>
      </c>
      <c r="C2681" s="44" t="s">
        <v>4585</v>
      </c>
      <c r="D2681" s="41"/>
      <c r="E2681" s="41" t="s">
        <v>447</v>
      </c>
      <c r="F2681" s="41" t="str">
        <f>IFERROR(__xludf.DUMMYFUNCTION("if(REGEXMATCH(C2681,""x.com"")=TRUE,""Twitter"",if(REGEXMATCH(C2681,""facebook"")=TRUE,""Facebook"",if(REGEXMATCH(C2681,""instagram"")=TRUE,""Instagram"",if(REGEXMATCH(C2681,""youtube"")=TRUE,""Youtube"",if(REGEXMATCH(C2681,""tiktok"")=TRUE,""Tiktok"",if("&amp;"REGEXMATCH(C2681,""threads"")=TRUE,""Threads""))))))"),"Facebook")</f>
        <v>Facebook</v>
      </c>
      <c r="G2681" s="41" t="s">
        <v>4586</v>
      </c>
      <c r="H2681" s="43" t="s">
        <v>4398</v>
      </c>
      <c r="I2681" s="43" t="s">
        <v>4399</v>
      </c>
      <c r="J2681" s="41" t="s">
        <v>188</v>
      </c>
      <c r="K2681" s="41"/>
      <c r="L2681" s="42"/>
    </row>
    <row r="2682">
      <c r="A2682" s="18">
        <v>2681.0</v>
      </c>
      <c r="B2682" s="76" t="s">
        <v>4584</v>
      </c>
      <c r="C2682" s="44" t="s">
        <v>4587</v>
      </c>
      <c r="D2682" s="41"/>
      <c r="E2682" s="41" t="s">
        <v>197</v>
      </c>
      <c r="F2682" s="41" t="str">
        <f>IFERROR(__xludf.DUMMYFUNCTION("if(REGEXMATCH(C2682,""x.com"")=TRUE,""Twitter"",if(REGEXMATCH(C2682,""facebook"")=TRUE,""Facebook"",if(REGEXMATCH(C2682,""instagram"")=TRUE,""Instagram"",if(REGEXMATCH(C2682,""youtube"")=TRUE,""Youtube"",if(REGEXMATCH(C2682,""tiktok"")=TRUE,""Tiktok"",if("&amp;"REGEXMATCH(C2682,""threads"")=TRUE,""Threads""))))))"),"Facebook")</f>
        <v>Facebook</v>
      </c>
      <c r="G2682" s="41" t="s">
        <v>4588</v>
      </c>
      <c r="H2682" s="36"/>
      <c r="I2682" s="36"/>
      <c r="J2682" s="41" t="s">
        <v>188</v>
      </c>
      <c r="K2682" s="41"/>
      <c r="L2682" s="42"/>
    </row>
    <row r="2683">
      <c r="A2683" s="18">
        <v>2682.0</v>
      </c>
      <c r="B2683" s="76" t="s">
        <v>4584</v>
      </c>
      <c r="C2683" s="44" t="s">
        <v>4589</v>
      </c>
      <c r="D2683" s="41"/>
      <c r="E2683" s="41" t="s">
        <v>4590</v>
      </c>
      <c r="F2683" s="41" t="str">
        <f>IFERROR(__xludf.DUMMYFUNCTION("if(REGEXMATCH(C2683,""x.com"")=TRUE,""Twitter"",if(REGEXMATCH(C2683,""facebook"")=TRUE,""Facebook"",if(REGEXMATCH(C2683,""instagram"")=TRUE,""Instagram"",if(REGEXMATCH(C2683,""youtube"")=TRUE,""Youtube"",if(REGEXMATCH(C2683,""tiktok"")=TRUE,""Tiktok"",if("&amp;"REGEXMATCH(C2683,""threads"")=TRUE,""Threads""))))))"),"Facebook")</f>
        <v>Facebook</v>
      </c>
      <c r="G2683" s="41" t="s">
        <v>4591</v>
      </c>
      <c r="H2683" s="36"/>
      <c r="I2683" s="36"/>
      <c r="J2683" s="41" t="s">
        <v>188</v>
      </c>
      <c r="K2683" s="41"/>
      <c r="L2683" s="42"/>
    </row>
    <row r="2684">
      <c r="A2684" s="18">
        <v>2683.0</v>
      </c>
      <c r="B2684" s="76" t="s">
        <v>4584</v>
      </c>
      <c r="C2684" s="44" t="s">
        <v>4592</v>
      </c>
      <c r="D2684" s="41"/>
      <c r="E2684" s="41" t="s">
        <v>197</v>
      </c>
      <c r="F2684" s="41" t="str">
        <f>IFERROR(__xludf.DUMMYFUNCTION("if(REGEXMATCH(C2684,""x.com"")=TRUE,""Twitter"",if(REGEXMATCH(C2684,""facebook"")=TRUE,""Facebook"",if(REGEXMATCH(C2684,""instagram"")=TRUE,""Instagram"",if(REGEXMATCH(C2684,""youtube"")=TRUE,""Youtube"",if(REGEXMATCH(C2684,""tiktok"")=TRUE,""Tiktok"",if("&amp;"REGEXMATCH(C2684,""threads"")=TRUE,""Threads""))))))"),"Facebook")</f>
        <v>Facebook</v>
      </c>
      <c r="G2684" s="41" t="s">
        <v>4593</v>
      </c>
      <c r="H2684" s="36"/>
      <c r="I2684" s="36"/>
      <c r="J2684" s="41" t="s">
        <v>188</v>
      </c>
      <c r="K2684" s="41"/>
      <c r="L2684" s="42"/>
    </row>
    <row r="2685">
      <c r="A2685" s="18">
        <v>2684.0</v>
      </c>
      <c r="B2685" s="76" t="s">
        <v>4584</v>
      </c>
      <c r="C2685" s="44" t="s">
        <v>4594</v>
      </c>
      <c r="D2685" s="41"/>
      <c r="E2685" s="41" t="s">
        <v>447</v>
      </c>
      <c r="F2685" s="41" t="str">
        <f>IFERROR(__xludf.DUMMYFUNCTION("if(REGEXMATCH(C2685,""x.com"")=TRUE,""Twitter"",if(REGEXMATCH(C2685,""facebook"")=TRUE,""Facebook"",if(REGEXMATCH(C2685,""instagram"")=TRUE,""Instagram"",if(REGEXMATCH(C2685,""youtube"")=TRUE,""Youtube"",if(REGEXMATCH(C2685,""tiktok"")=TRUE,""Tiktok"",if("&amp;"REGEXMATCH(C2685,""threads"")=TRUE,""Threads""))))))"),"Tiktok")</f>
        <v>Tiktok</v>
      </c>
      <c r="G2685" s="41" t="s">
        <v>4595</v>
      </c>
      <c r="H2685" s="36"/>
      <c r="I2685" s="36"/>
      <c r="J2685" s="41" t="s">
        <v>188</v>
      </c>
      <c r="K2685" s="41"/>
      <c r="L2685" s="42"/>
    </row>
    <row r="2686">
      <c r="A2686" s="18">
        <v>2685.0</v>
      </c>
      <c r="B2686" s="76" t="s">
        <v>4584</v>
      </c>
      <c r="C2686" s="44" t="s">
        <v>4596</v>
      </c>
      <c r="D2686" s="41"/>
      <c r="E2686" s="41" t="s">
        <v>447</v>
      </c>
      <c r="F2686" s="41" t="str">
        <f>IFERROR(__xludf.DUMMYFUNCTION("if(REGEXMATCH(C2686,""x.com"")=TRUE,""Twitter"",if(REGEXMATCH(C2686,""facebook"")=TRUE,""Facebook"",if(REGEXMATCH(C2686,""instagram"")=TRUE,""Instagram"",if(REGEXMATCH(C2686,""youtube"")=TRUE,""Youtube"",if(REGEXMATCH(C2686,""tiktok"")=TRUE,""Tiktok"",if("&amp;"REGEXMATCH(C2686,""threads"")=TRUE,""Threads""))))))"),"Tiktok")</f>
        <v>Tiktok</v>
      </c>
      <c r="G2686" s="41" t="s">
        <v>4597</v>
      </c>
      <c r="H2686" s="36"/>
      <c r="I2686" s="36"/>
      <c r="J2686" s="41" t="s">
        <v>188</v>
      </c>
      <c r="K2686" s="41"/>
      <c r="L2686" s="42"/>
    </row>
    <row r="2687">
      <c r="A2687" s="18">
        <v>2686.0</v>
      </c>
      <c r="B2687" s="76" t="s">
        <v>4584</v>
      </c>
      <c r="C2687" s="44" t="s">
        <v>4598</v>
      </c>
      <c r="D2687" s="41"/>
      <c r="E2687" s="41" t="s">
        <v>447</v>
      </c>
      <c r="F2687" s="41" t="str">
        <f>IFERROR(__xludf.DUMMYFUNCTION("if(REGEXMATCH(C2687,""x.com"")=TRUE,""Twitter"",if(REGEXMATCH(C2687,""facebook"")=TRUE,""Facebook"",if(REGEXMATCH(C2687,""instagram"")=TRUE,""Instagram"",if(REGEXMATCH(C2687,""youtube"")=TRUE,""Youtube"",if(REGEXMATCH(C2687,""tiktok"")=TRUE,""Tiktok"",if("&amp;"REGEXMATCH(C2687,""threads"")=TRUE,""Threads""))))))"),"Tiktok")</f>
        <v>Tiktok</v>
      </c>
      <c r="G2687" s="41" t="s">
        <v>4599</v>
      </c>
      <c r="H2687" s="36"/>
      <c r="I2687" s="36"/>
      <c r="J2687" s="41" t="s">
        <v>188</v>
      </c>
      <c r="K2687" s="41"/>
      <c r="L2687" s="42"/>
    </row>
    <row r="2688">
      <c r="A2688" s="18">
        <v>2687.0</v>
      </c>
      <c r="B2688" s="76" t="s">
        <v>4584</v>
      </c>
      <c r="C2688" s="44" t="s">
        <v>4600</v>
      </c>
      <c r="D2688" s="41"/>
      <c r="E2688" s="41" t="s">
        <v>447</v>
      </c>
      <c r="F2688" s="41" t="str">
        <f>IFERROR(__xludf.DUMMYFUNCTION("if(REGEXMATCH(C2688,""x.com"")=TRUE,""Twitter"",if(REGEXMATCH(C2688,""facebook"")=TRUE,""Facebook"",if(REGEXMATCH(C2688,""instagram"")=TRUE,""Instagram"",if(REGEXMATCH(C2688,""youtube"")=TRUE,""Youtube"",if(REGEXMATCH(C2688,""tiktok"")=TRUE,""Tiktok"",if("&amp;"REGEXMATCH(C2688,""threads"")=TRUE,""Threads""))))))"),"Tiktok")</f>
        <v>Tiktok</v>
      </c>
      <c r="G2688" s="41" t="s">
        <v>4601</v>
      </c>
      <c r="H2688" s="36"/>
      <c r="I2688" s="36"/>
      <c r="J2688" s="41" t="s">
        <v>188</v>
      </c>
      <c r="K2688" s="41"/>
      <c r="L2688" s="42"/>
    </row>
    <row r="2689">
      <c r="A2689" s="18">
        <v>2688.0</v>
      </c>
      <c r="B2689" s="76" t="s">
        <v>4602</v>
      </c>
      <c r="C2689" s="79" t="s">
        <v>4603</v>
      </c>
      <c r="D2689" s="41"/>
      <c r="E2689" s="41" t="s">
        <v>557</v>
      </c>
      <c r="F2689" s="41" t="str">
        <f>IFERROR(__xludf.DUMMYFUNCTION("if(REGEXMATCH(C2689,""x.com"")=TRUE,""Twitter"",if(REGEXMATCH(C2689,""facebook"")=TRUE,""Facebook"",if(REGEXMATCH(C2689,""instagram"")=TRUE,""Instagram"",if(REGEXMATCH(C2689,""youtube"")=TRUE,""Youtube"",if(REGEXMATCH(C2689,""tiktok"")=TRUE,""Tiktok"",if("&amp;"REGEXMATCH(C2689,""threads"")=TRUE,""Threads""))))))"),"Tiktok")</f>
        <v>Tiktok</v>
      </c>
      <c r="G2689" s="41" t="s">
        <v>4604</v>
      </c>
      <c r="H2689" s="36"/>
      <c r="I2689" s="36"/>
      <c r="J2689" s="41" t="s">
        <v>188</v>
      </c>
      <c r="K2689" s="41"/>
      <c r="L2689" s="42"/>
    </row>
    <row r="2690">
      <c r="A2690" s="18">
        <v>2689.0</v>
      </c>
      <c r="B2690" s="76" t="s">
        <v>4602</v>
      </c>
      <c r="C2690" s="79" t="s">
        <v>4605</v>
      </c>
      <c r="D2690" s="41"/>
      <c r="E2690" s="41" t="s">
        <v>557</v>
      </c>
      <c r="F2690" s="41" t="str">
        <f>IFERROR(__xludf.DUMMYFUNCTION("if(REGEXMATCH(C2690,""x.com"")=TRUE,""Twitter"",if(REGEXMATCH(C2690,""facebook"")=TRUE,""Facebook"",if(REGEXMATCH(C2690,""instagram"")=TRUE,""Instagram"",if(REGEXMATCH(C2690,""youtube"")=TRUE,""Youtube"",if(REGEXMATCH(C2690,""tiktok"")=TRUE,""Tiktok"",if("&amp;"REGEXMATCH(C2690,""threads"")=TRUE,""Threads""))))))"),"Twitter")</f>
        <v>Twitter</v>
      </c>
      <c r="G2690" s="41" t="s">
        <v>4606</v>
      </c>
      <c r="H2690" s="36"/>
      <c r="I2690" s="36"/>
      <c r="J2690" s="41" t="s">
        <v>188</v>
      </c>
      <c r="K2690" s="41"/>
      <c r="L2690" s="42"/>
    </row>
    <row r="2691">
      <c r="A2691" s="18">
        <v>2690.0</v>
      </c>
      <c r="B2691" s="76" t="s">
        <v>4602</v>
      </c>
      <c r="C2691" s="79" t="s">
        <v>4607</v>
      </c>
      <c r="D2691" s="41"/>
      <c r="E2691" s="41" t="s">
        <v>557</v>
      </c>
      <c r="F2691" s="41" t="str">
        <f>IFERROR(__xludf.DUMMYFUNCTION("if(REGEXMATCH(C2691,""x.com"")=TRUE,""Twitter"",if(REGEXMATCH(C2691,""facebook"")=TRUE,""Facebook"",if(REGEXMATCH(C2691,""instagram"")=TRUE,""Instagram"",if(REGEXMATCH(C2691,""youtube"")=TRUE,""Youtube"",if(REGEXMATCH(C2691,""tiktok"")=TRUE,""Tiktok"",if("&amp;"REGEXMATCH(C2691,""threads"")=TRUE,""Threads""))))))"),"Twitter")</f>
        <v>Twitter</v>
      </c>
      <c r="G2691" s="41" t="s">
        <v>4608</v>
      </c>
      <c r="H2691" s="36"/>
      <c r="I2691" s="36"/>
      <c r="J2691" s="41" t="s">
        <v>188</v>
      </c>
      <c r="K2691" s="41"/>
      <c r="L2691" s="42"/>
    </row>
    <row r="2692">
      <c r="A2692" s="18">
        <v>2691.0</v>
      </c>
      <c r="B2692" s="76" t="s">
        <v>4602</v>
      </c>
      <c r="C2692" s="79" t="s">
        <v>4609</v>
      </c>
      <c r="D2692" s="41"/>
      <c r="E2692" s="41" t="s">
        <v>557</v>
      </c>
      <c r="F2692" s="41" t="str">
        <f>IFERROR(__xludf.DUMMYFUNCTION("if(REGEXMATCH(C2692,""x.com"")=TRUE,""Twitter"",if(REGEXMATCH(C2692,""facebook"")=TRUE,""Facebook"",if(REGEXMATCH(C2692,""instagram"")=TRUE,""Instagram"",if(REGEXMATCH(C2692,""youtube"")=TRUE,""Youtube"",if(REGEXMATCH(C2692,""tiktok"")=TRUE,""Tiktok"",if("&amp;"REGEXMATCH(C2692,""threads"")=TRUE,""Threads""))))))"),"Twitter")</f>
        <v>Twitter</v>
      </c>
      <c r="G2692" s="41" t="s">
        <v>4610</v>
      </c>
      <c r="H2692" s="36"/>
      <c r="I2692" s="36"/>
      <c r="J2692" s="41" t="s">
        <v>188</v>
      </c>
      <c r="K2692" s="41"/>
      <c r="L2692" s="42"/>
    </row>
    <row r="2693">
      <c r="A2693" s="18">
        <v>2692.0</v>
      </c>
      <c r="B2693" s="76" t="s">
        <v>4602</v>
      </c>
      <c r="C2693" s="79" t="s">
        <v>4611</v>
      </c>
      <c r="D2693" s="41"/>
      <c r="E2693" s="41" t="s">
        <v>557</v>
      </c>
      <c r="F2693" s="41" t="str">
        <f>IFERROR(__xludf.DUMMYFUNCTION("if(REGEXMATCH(C2693,""x.com"")=TRUE,""Twitter"",if(REGEXMATCH(C2693,""facebook"")=TRUE,""Facebook"",if(REGEXMATCH(C2693,""instagram"")=TRUE,""Instagram"",if(REGEXMATCH(C2693,""youtube"")=TRUE,""Youtube"",if(REGEXMATCH(C2693,""tiktok"")=TRUE,""Tiktok"",if("&amp;"REGEXMATCH(C2693,""threads"")=TRUE,""Threads""))))))"),"Twitter")</f>
        <v>Twitter</v>
      </c>
      <c r="G2693" s="41" t="s">
        <v>4612</v>
      </c>
      <c r="H2693" s="36"/>
      <c r="I2693" s="36"/>
      <c r="J2693" s="41" t="s">
        <v>188</v>
      </c>
      <c r="K2693" s="41"/>
      <c r="L2693" s="42"/>
    </row>
    <row r="2694">
      <c r="A2694" s="18">
        <v>2693.0</v>
      </c>
      <c r="B2694" s="76" t="s">
        <v>4602</v>
      </c>
      <c r="C2694" s="79" t="s">
        <v>4613</v>
      </c>
      <c r="D2694" s="41"/>
      <c r="E2694" s="41" t="s">
        <v>197</v>
      </c>
      <c r="F2694" s="41" t="str">
        <f>IFERROR(__xludf.DUMMYFUNCTION("if(REGEXMATCH(C2694,""x.com"")=TRUE,""Twitter"",if(REGEXMATCH(C2694,""facebook"")=TRUE,""Facebook"",if(REGEXMATCH(C2694,""instagram"")=TRUE,""Instagram"",if(REGEXMATCH(C2694,""youtube"")=TRUE,""Youtube"",if(REGEXMATCH(C2694,""tiktok"")=TRUE,""Tiktok"",if("&amp;"REGEXMATCH(C2694,""threads"")=TRUE,""Threads""))))))"),"Facebook")</f>
        <v>Facebook</v>
      </c>
      <c r="G2694" s="41" t="s">
        <v>4614</v>
      </c>
      <c r="H2694" s="36"/>
      <c r="I2694" s="36"/>
      <c r="J2694" s="41" t="s">
        <v>188</v>
      </c>
      <c r="K2694" s="41"/>
      <c r="L2694" s="42"/>
    </row>
    <row r="2695">
      <c r="A2695" s="18">
        <v>2694.0</v>
      </c>
      <c r="B2695" s="76" t="s">
        <v>4602</v>
      </c>
      <c r="C2695" s="79" t="s">
        <v>4615</v>
      </c>
      <c r="D2695" s="41"/>
      <c r="E2695" s="41" t="s">
        <v>557</v>
      </c>
      <c r="F2695" s="41" t="str">
        <f>IFERROR(__xludf.DUMMYFUNCTION("if(REGEXMATCH(C2695,""x.com"")=TRUE,""Twitter"",if(REGEXMATCH(C2695,""facebook"")=TRUE,""Facebook"",if(REGEXMATCH(C2695,""instagram"")=TRUE,""Instagram"",if(REGEXMATCH(C2695,""youtube"")=TRUE,""Youtube"",if(REGEXMATCH(C2695,""tiktok"")=TRUE,""Tiktok"",if("&amp;"REGEXMATCH(C2695,""threads"")=TRUE,""Threads""))))))"),"Tiktok")</f>
        <v>Tiktok</v>
      </c>
      <c r="G2695" s="41" t="s">
        <v>4616</v>
      </c>
      <c r="H2695" s="35"/>
      <c r="I2695" s="35"/>
      <c r="J2695" s="41" t="s">
        <v>188</v>
      </c>
      <c r="K2695" s="41"/>
      <c r="L2695" s="42"/>
    </row>
    <row r="2696">
      <c r="A2696" s="18">
        <v>2695.0</v>
      </c>
      <c r="B2696" s="76" t="s">
        <v>4617</v>
      </c>
      <c r="C2696" s="40" t="s">
        <v>4618</v>
      </c>
      <c r="D2696" s="41"/>
      <c r="E2696" s="41" t="s">
        <v>557</v>
      </c>
      <c r="F2696" s="41" t="str">
        <f>IFERROR(__xludf.DUMMYFUNCTION("if(REGEXMATCH(C2696,""x.com"")=TRUE,""Twitter"",if(REGEXMATCH(C2696,""facebook"")=TRUE,""Facebook"",if(REGEXMATCH(C2696,""instagram"")=TRUE,""Instagram"",if(REGEXMATCH(C2696,""youtube"")=TRUE,""Youtube"",if(REGEXMATCH(C2696,""tiktok"")=TRUE,""Tiktok"",if("&amp;"REGEXMATCH(C2696,""threads"")=TRUE,""Threads""))))))"),"Tiktok")</f>
        <v>Tiktok</v>
      </c>
      <c r="G2696" s="41" t="s">
        <v>4619</v>
      </c>
      <c r="H2696" s="43" t="s">
        <v>4398</v>
      </c>
      <c r="I2696" s="43" t="s">
        <v>4399</v>
      </c>
      <c r="J2696" s="41" t="s">
        <v>188</v>
      </c>
      <c r="K2696" s="42"/>
      <c r="L2696" s="42"/>
    </row>
    <row r="2697">
      <c r="A2697" s="18">
        <v>2696.0</v>
      </c>
      <c r="B2697" s="76" t="s">
        <v>4617</v>
      </c>
      <c r="C2697" s="40" t="s">
        <v>4620</v>
      </c>
      <c r="D2697" s="41"/>
      <c r="E2697" s="41" t="s">
        <v>4444</v>
      </c>
      <c r="F2697" s="41" t="str">
        <f>IFERROR(__xludf.DUMMYFUNCTION("if(REGEXMATCH(C2697,""x.com"")=TRUE,""Twitter"",if(REGEXMATCH(C2697,""facebook"")=TRUE,""Facebook"",if(REGEXMATCH(C2697,""instagram"")=TRUE,""Instagram"",if(REGEXMATCH(C2697,""youtube"")=TRUE,""Youtube"",if(REGEXMATCH(C2697,""tiktok"")=TRUE,""Tiktok"",if("&amp;"REGEXMATCH(C2697,""threads"")=TRUE,""Threads""))))))"),"Tiktok")</f>
        <v>Tiktok</v>
      </c>
      <c r="G2697" s="41" t="s">
        <v>4621</v>
      </c>
      <c r="H2697" s="36"/>
      <c r="I2697" s="36"/>
      <c r="J2697" s="41" t="s">
        <v>188</v>
      </c>
      <c r="K2697" s="42"/>
      <c r="L2697" s="42"/>
    </row>
    <row r="2698">
      <c r="A2698" s="18">
        <v>2697.0</v>
      </c>
      <c r="B2698" s="76" t="s">
        <v>4617</v>
      </c>
      <c r="C2698" s="40" t="s">
        <v>4622</v>
      </c>
      <c r="D2698" s="41"/>
      <c r="E2698" s="41" t="s">
        <v>557</v>
      </c>
      <c r="F2698" s="41" t="str">
        <f>IFERROR(__xludf.DUMMYFUNCTION("if(REGEXMATCH(C2698,""x.com"")=TRUE,""Twitter"",if(REGEXMATCH(C2698,""facebook"")=TRUE,""Facebook"",if(REGEXMATCH(C2698,""instagram"")=TRUE,""Instagram"",if(REGEXMATCH(C2698,""youtube"")=TRUE,""Youtube"",if(REGEXMATCH(C2698,""tiktok"")=TRUE,""Tiktok"",if("&amp;"REGEXMATCH(C2698,""threads"")=TRUE,""Threads""))))))"),"Tiktok")</f>
        <v>Tiktok</v>
      </c>
      <c r="G2698" s="41" t="s">
        <v>4623</v>
      </c>
      <c r="H2698" s="36"/>
      <c r="I2698" s="36"/>
      <c r="J2698" s="41" t="s">
        <v>188</v>
      </c>
      <c r="K2698" s="42"/>
      <c r="L2698" s="42"/>
    </row>
    <row r="2699">
      <c r="A2699" s="18">
        <v>2698.0</v>
      </c>
      <c r="B2699" s="76" t="s">
        <v>4617</v>
      </c>
      <c r="C2699" s="40" t="s">
        <v>4624</v>
      </c>
      <c r="D2699" s="41"/>
      <c r="E2699" s="41" t="s">
        <v>557</v>
      </c>
      <c r="F2699" s="41" t="str">
        <f>IFERROR(__xludf.DUMMYFUNCTION("if(REGEXMATCH(C2699,""x.com"")=TRUE,""Twitter"",if(REGEXMATCH(C2699,""facebook"")=TRUE,""Facebook"",if(REGEXMATCH(C2699,""instagram"")=TRUE,""Instagram"",if(REGEXMATCH(C2699,""youtube"")=TRUE,""Youtube"",if(REGEXMATCH(C2699,""tiktok"")=TRUE,""Tiktok"",if("&amp;"REGEXMATCH(C2699,""threads"")=TRUE,""Threads""))))))"),"Tiktok")</f>
        <v>Tiktok</v>
      </c>
      <c r="G2699" s="41" t="s">
        <v>4625</v>
      </c>
      <c r="H2699" s="36"/>
      <c r="I2699" s="36"/>
      <c r="J2699" s="41" t="s">
        <v>188</v>
      </c>
      <c r="K2699" s="42"/>
      <c r="L2699" s="42"/>
    </row>
    <row r="2700">
      <c r="A2700" s="18">
        <v>2699.0</v>
      </c>
      <c r="B2700" s="76" t="s">
        <v>4617</v>
      </c>
      <c r="C2700" s="40" t="s">
        <v>4626</v>
      </c>
      <c r="D2700" s="41"/>
      <c r="E2700" s="41" t="s">
        <v>557</v>
      </c>
      <c r="F2700" s="41" t="str">
        <f>IFERROR(__xludf.DUMMYFUNCTION("if(REGEXMATCH(C2700,""x.com"")=TRUE,""Twitter"",if(REGEXMATCH(C2700,""facebook"")=TRUE,""Facebook"",if(REGEXMATCH(C2700,""instagram"")=TRUE,""Instagram"",if(REGEXMATCH(C2700,""youtube"")=TRUE,""Youtube"",if(REGEXMATCH(C2700,""tiktok"")=TRUE,""Tiktok"",if("&amp;"REGEXMATCH(C2700,""threads"")=TRUE,""Threads""))))))"),"Tiktok")</f>
        <v>Tiktok</v>
      </c>
      <c r="G2700" s="41" t="s">
        <v>4627</v>
      </c>
      <c r="H2700" s="36"/>
      <c r="I2700" s="36"/>
      <c r="J2700" s="41" t="s">
        <v>188</v>
      </c>
      <c r="K2700" s="42"/>
      <c r="L2700" s="42"/>
    </row>
    <row r="2701">
      <c r="A2701" s="18">
        <v>2700.0</v>
      </c>
      <c r="B2701" s="76" t="s">
        <v>4617</v>
      </c>
      <c r="C2701" s="40" t="s">
        <v>4628</v>
      </c>
      <c r="D2701" s="41"/>
      <c r="E2701" s="41" t="s">
        <v>557</v>
      </c>
      <c r="F2701" s="41" t="str">
        <f>IFERROR(__xludf.DUMMYFUNCTION("if(REGEXMATCH(C2701,""x.com"")=TRUE,""Twitter"",if(REGEXMATCH(C2701,""facebook"")=TRUE,""Facebook"",if(REGEXMATCH(C2701,""instagram"")=TRUE,""Instagram"",if(REGEXMATCH(C2701,""youtube"")=TRUE,""Youtube"",if(REGEXMATCH(C2701,""tiktok"")=TRUE,""Tiktok"",if("&amp;"REGEXMATCH(C2701,""threads"")=TRUE,""Threads""))))))"),"Tiktok")</f>
        <v>Tiktok</v>
      </c>
      <c r="G2701" s="41" t="s">
        <v>4629</v>
      </c>
      <c r="H2701" s="36"/>
      <c r="I2701" s="36"/>
      <c r="J2701" s="41" t="s">
        <v>188</v>
      </c>
      <c r="K2701" s="42"/>
      <c r="L2701" s="42"/>
    </row>
    <row r="2702">
      <c r="A2702" s="18">
        <v>2701.0</v>
      </c>
      <c r="B2702" s="76" t="s">
        <v>4617</v>
      </c>
      <c r="C2702" s="40" t="s">
        <v>4630</v>
      </c>
      <c r="D2702" s="41"/>
      <c r="E2702" s="41" t="s">
        <v>197</v>
      </c>
      <c r="F2702" s="41" t="str">
        <f>IFERROR(__xludf.DUMMYFUNCTION("if(REGEXMATCH(C2702,""x.com"")=TRUE,""Twitter"",if(REGEXMATCH(C2702,""facebook"")=TRUE,""Facebook"",if(REGEXMATCH(C2702,""instagram"")=TRUE,""Instagram"",if(REGEXMATCH(C2702,""youtube"")=TRUE,""Youtube"",if(REGEXMATCH(C2702,""tiktok"")=TRUE,""Tiktok"",if("&amp;"REGEXMATCH(C2702,""threads"")=TRUE,""Threads""))))))"),"Twitter")</f>
        <v>Twitter</v>
      </c>
      <c r="G2702" s="41" t="s">
        <v>4631</v>
      </c>
      <c r="H2702" s="36"/>
      <c r="I2702" s="36"/>
      <c r="J2702" s="41" t="s">
        <v>188</v>
      </c>
      <c r="K2702" s="42"/>
      <c r="L2702" s="42"/>
    </row>
    <row r="2703">
      <c r="A2703" s="18">
        <v>2702.0</v>
      </c>
      <c r="B2703" s="76" t="s">
        <v>4617</v>
      </c>
      <c r="C2703" s="40" t="s">
        <v>4632</v>
      </c>
      <c r="D2703" s="41"/>
      <c r="E2703" s="41" t="s">
        <v>197</v>
      </c>
      <c r="F2703" s="41" t="str">
        <f>IFERROR(__xludf.DUMMYFUNCTION("if(REGEXMATCH(C2703,""x.com"")=TRUE,""Twitter"",if(REGEXMATCH(C2703,""facebook"")=TRUE,""Facebook"",if(REGEXMATCH(C2703,""instagram"")=TRUE,""Instagram"",if(REGEXMATCH(C2703,""youtube"")=TRUE,""Youtube"",if(REGEXMATCH(C2703,""tiktok"")=TRUE,""Tiktok"",if("&amp;"REGEXMATCH(C2703,""threads"")=TRUE,""Threads""))))))"),"Twitter")</f>
        <v>Twitter</v>
      </c>
      <c r="G2703" s="41" t="s">
        <v>4633</v>
      </c>
      <c r="H2703" s="36"/>
      <c r="I2703" s="36"/>
      <c r="J2703" s="41" t="s">
        <v>188</v>
      </c>
      <c r="K2703" s="42"/>
      <c r="L2703" s="42"/>
    </row>
    <row r="2704">
      <c r="A2704" s="18">
        <v>2703.0</v>
      </c>
      <c r="B2704" s="76" t="s">
        <v>4617</v>
      </c>
      <c r="C2704" s="40" t="s">
        <v>4634</v>
      </c>
      <c r="D2704" s="41"/>
      <c r="E2704" s="41" t="s">
        <v>197</v>
      </c>
      <c r="F2704" s="41" t="str">
        <f>IFERROR(__xludf.DUMMYFUNCTION("if(REGEXMATCH(C2704,""x.com"")=TRUE,""Twitter"",if(REGEXMATCH(C2704,""facebook"")=TRUE,""Facebook"",if(REGEXMATCH(C2704,""instagram"")=TRUE,""Instagram"",if(REGEXMATCH(C2704,""youtube"")=TRUE,""Youtube"",if(REGEXMATCH(C2704,""tiktok"")=TRUE,""Tiktok"",if("&amp;"REGEXMATCH(C2704,""threads"")=TRUE,""Threads""))))))"),"Twitter")</f>
        <v>Twitter</v>
      </c>
      <c r="G2704" s="41" t="s">
        <v>4635</v>
      </c>
      <c r="H2704" s="36"/>
      <c r="I2704" s="36"/>
      <c r="J2704" s="41" t="s">
        <v>188</v>
      </c>
      <c r="K2704" s="42"/>
      <c r="L2704" s="42"/>
    </row>
    <row r="2705">
      <c r="A2705" s="18">
        <v>2704.0</v>
      </c>
      <c r="B2705" s="76" t="s">
        <v>4617</v>
      </c>
      <c r="C2705" s="40" t="s">
        <v>4636</v>
      </c>
      <c r="D2705" s="41"/>
      <c r="E2705" s="41" t="s">
        <v>2875</v>
      </c>
      <c r="F2705" s="41" t="str">
        <f>IFERROR(__xludf.DUMMYFUNCTION("if(REGEXMATCH(C2705,""x.com"")=TRUE,""Twitter"",if(REGEXMATCH(C2705,""facebook"")=TRUE,""Facebook"",if(REGEXMATCH(C2705,""instagram"")=TRUE,""Instagram"",if(REGEXMATCH(C2705,""youtube"")=TRUE,""Youtube"",if(REGEXMATCH(C2705,""tiktok"")=TRUE,""Tiktok"",if("&amp;"REGEXMATCH(C2705,""threads"")=TRUE,""Threads""))))))"),"Facebook")</f>
        <v>Facebook</v>
      </c>
      <c r="G2705" s="41" t="s">
        <v>4637</v>
      </c>
      <c r="H2705" s="35"/>
      <c r="I2705" s="35"/>
      <c r="J2705" s="41" t="s">
        <v>188</v>
      </c>
      <c r="K2705" s="42"/>
      <c r="L2705" s="42"/>
    </row>
    <row r="2706">
      <c r="A2706" s="18">
        <v>2705.0</v>
      </c>
      <c r="B2706" s="76" t="s">
        <v>4638</v>
      </c>
      <c r="C2706" s="40" t="s">
        <v>4639</v>
      </c>
      <c r="D2706" s="41"/>
      <c r="E2706" s="41" t="s">
        <v>197</v>
      </c>
      <c r="F2706" s="41" t="str">
        <f>IFERROR(__xludf.DUMMYFUNCTION("if(REGEXMATCH(C2706,""x.com"")=TRUE,""Twitter"",if(REGEXMATCH(C2706,""facebook"")=TRUE,""Facebook"",if(REGEXMATCH(C2706,""instagram"")=TRUE,""Instagram"",if(REGEXMATCH(C2706,""youtube"")=TRUE,""Youtube"",if(REGEXMATCH(C2706,""tiktok"")=TRUE,""Tiktok"",if("&amp;"REGEXMATCH(C2706,""threads"")=TRUE,""Threads""))))))"),"Facebook")</f>
        <v>Facebook</v>
      </c>
      <c r="G2706" s="41"/>
      <c r="H2706" s="41"/>
      <c r="I2706" s="41"/>
      <c r="J2706" s="41" t="s">
        <v>188</v>
      </c>
      <c r="K2706" s="42"/>
      <c r="L2706" s="42"/>
    </row>
    <row r="2707">
      <c r="A2707" s="18">
        <v>2706.0</v>
      </c>
      <c r="B2707" s="76" t="s">
        <v>4638</v>
      </c>
      <c r="C2707" s="40" t="s">
        <v>4640</v>
      </c>
      <c r="D2707" s="41"/>
      <c r="E2707" s="41" t="s">
        <v>197</v>
      </c>
      <c r="F2707" s="41" t="str">
        <f>IFERROR(__xludf.DUMMYFUNCTION("if(REGEXMATCH(C2707,""x.com"")=TRUE,""Twitter"",if(REGEXMATCH(C2707,""facebook"")=TRUE,""Facebook"",if(REGEXMATCH(C2707,""instagram"")=TRUE,""Instagram"",if(REGEXMATCH(C2707,""youtube"")=TRUE,""Youtube"",if(REGEXMATCH(C2707,""tiktok"")=TRUE,""Tiktok"",if("&amp;"REGEXMATCH(C2707,""threads"")=TRUE,""Threads""))))))"),"Facebook")</f>
        <v>Facebook</v>
      </c>
      <c r="G2707" s="41"/>
      <c r="H2707" s="41"/>
      <c r="I2707" s="41"/>
      <c r="J2707" s="41" t="s">
        <v>188</v>
      </c>
      <c r="K2707" s="42"/>
      <c r="L2707" s="42"/>
    </row>
    <row r="2708">
      <c r="A2708" s="18">
        <v>2707.0</v>
      </c>
      <c r="B2708" s="76" t="s">
        <v>4638</v>
      </c>
      <c r="C2708" s="40" t="s">
        <v>4641</v>
      </c>
      <c r="D2708" s="41"/>
      <c r="E2708" s="41" t="s">
        <v>197</v>
      </c>
      <c r="F2708" s="41" t="str">
        <f>IFERROR(__xludf.DUMMYFUNCTION("if(REGEXMATCH(C2708,""x.com"")=TRUE,""Twitter"",if(REGEXMATCH(C2708,""facebook"")=TRUE,""Facebook"",if(REGEXMATCH(C2708,""instagram"")=TRUE,""Instagram"",if(REGEXMATCH(C2708,""youtube"")=TRUE,""Youtube"",if(REGEXMATCH(C2708,""tiktok"")=TRUE,""Tiktok"",if("&amp;"REGEXMATCH(C2708,""threads"")=TRUE,""Threads""))))))"),"Facebook")</f>
        <v>Facebook</v>
      </c>
      <c r="G2708" s="41"/>
      <c r="H2708" s="41"/>
      <c r="I2708" s="41"/>
      <c r="J2708" s="41" t="s">
        <v>188</v>
      </c>
      <c r="K2708" s="42"/>
      <c r="L2708" s="42"/>
    </row>
    <row r="2709">
      <c r="A2709" s="18">
        <v>2708.0</v>
      </c>
      <c r="B2709" s="76" t="s">
        <v>4638</v>
      </c>
      <c r="C2709" s="40" t="s">
        <v>4642</v>
      </c>
      <c r="D2709" s="41"/>
      <c r="E2709" s="41" t="s">
        <v>197</v>
      </c>
      <c r="F2709" s="41" t="str">
        <f>IFERROR(__xludf.DUMMYFUNCTION("if(REGEXMATCH(C2709,""x.com"")=TRUE,""Twitter"",if(REGEXMATCH(C2709,""facebook"")=TRUE,""Facebook"",if(REGEXMATCH(C2709,""instagram"")=TRUE,""Instagram"",if(REGEXMATCH(C2709,""youtube"")=TRUE,""Youtube"",if(REGEXMATCH(C2709,""tiktok"")=TRUE,""Tiktok"",if("&amp;"REGEXMATCH(C2709,""threads"")=TRUE,""Threads""))))))"),"Facebook")</f>
        <v>Facebook</v>
      </c>
      <c r="G2709" s="41"/>
      <c r="H2709" s="41"/>
      <c r="I2709" s="41"/>
      <c r="J2709" s="41" t="s">
        <v>188</v>
      </c>
      <c r="K2709" s="42"/>
      <c r="L2709" s="42"/>
    </row>
    <row r="2710">
      <c r="A2710" s="18">
        <v>2709.0</v>
      </c>
      <c r="B2710" s="76" t="s">
        <v>4638</v>
      </c>
      <c r="C2710" s="40" t="s">
        <v>4643</v>
      </c>
      <c r="D2710" s="41"/>
      <c r="E2710" s="41" t="s">
        <v>197</v>
      </c>
      <c r="F2710" s="41" t="str">
        <f>IFERROR(__xludf.DUMMYFUNCTION("if(REGEXMATCH(C2710,""x.com"")=TRUE,""Twitter"",if(REGEXMATCH(C2710,""facebook"")=TRUE,""Facebook"",if(REGEXMATCH(C2710,""instagram"")=TRUE,""Instagram"",if(REGEXMATCH(C2710,""youtube"")=TRUE,""Youtube"",if(REGEXMATCH(C2710,""tiktok"")=TRUE,""Tiktok"",if("&amp;"REGEXMATCH(C2710,""threads"")=TRUE,""Threads""))))))"),"Twitter")</f>
        <v>Twitter</v>
      </c>
      <c r="G2710" s="41"/>
      <c r="H2710" s="41"/>
      <c r="I2710" s="41"/>
      <c r="J2710" s="41" t="s">
        <v>188</v>
      </c>
      <c r="K2710" s="42"/>
      <c r="L2710" s="42"/>
    </row>
    <row r="2711">
      <c r="A2711" s="18">
        <v>2710.0</v>
      </c>
      <c r="B2711" s="76" t="s">
        <v>4638</v>
      </c>
      <c r="C2711" s="40" t="s">
        <v>4644</v>
      </c>
      <c r="D2711" s="41"/>
      <c r="E2711" s="41" t="s">
        <v>197</v>
      </c>
      <c r="F2711" s="41" t="str">
        <f>IFERROR(__xludf.DUMMYFUNCTION("if(REGEXMATCH(C2711,""x.com"")=TRUE,""Twitter"",if(REGEXMATCH(C2711,""facebook"")=TRUE,""Facebook"",if(REGEXMATCH(C2711,""instagram"")=TRUE,""Instagram"",if(REGEXMATCH(C2711,""youtube"")=TRUE,""Youtube"",if(REGEXMATCH(C2711,""tiktok"")=TRUE,""Tiktok"",if("&amp;"REGEXMATCH(C2711,""threads"")=TRUE,""Threads""))))))"),"Twitter")</f>
        <v>Twitter</v>
      </c>
      <c r="G2711" s="41"/>
      <c r="H2711" s="41"/>
      <c r="I2711" s="41"/>
      <c r="J2711" s="41" t="s">
        <v>188</v>
      </c>
      <c r="K2711" s="42"/>
      <c r="L2711" s="42"/>
    </row>
    <row r="2712">
      <c r="A2712" s="18">
        <v>2711.0</v>
      </c>
      <c r="B2712" s="76" t="s">
        <v>4638</v>
      </c>
      <c r="C2712" s="40" t="s">
        <v>4645</v>
      </c>
      <c r="D2712" s="41"/>
      <c r="E2712" s="41" t="s">
        <v>197</v>
      </c>
      <c r="F2712" s="41" t="str">
        <f>IFERROR(__xludf.DUMMYFUNCTION("if(REGEXMATCH(C2712,""x.com"")=TRUE,""Twitter"",if(REGEXMATCH(C2712,""facebook"")=TRUE,""Facebook"",if(REGEXMATCH(C2712,""instagram"")=TRUE,""Instagram"",if(REGEXMATCH(C2712,""youtube"")=TRUE,""Youtube"",if(REGEXMATCH(C2712,""tiktok"")=TRUE,""Tiktok"",if("&amp;"REGEXMATCH(C2712,""threads"")=TRUE,""Threads""))))))"),"Twitter")</f>
        <v>Twitter</v>
      </c>
      <c r="G2712" s="41"/>
      <c r="H2712" s="41"/>
      <c r="I2712" s="41"/>
      <c r="J2712" s="41" t="s">
        <v>188</v>
      </c>
      <c r="K2712" s="42"/>
      <c r="L2712" s="42"/>
    </row>
    <row r="2713">
      <c r="A2713" s="18">
        <v>2712.0</v>
      </c>
      <c r="B2713" s="76" t="s">
        <v>4638</v>
      </c>
      <c r="C2713" s="40" t="s">
        <v>4646</v>
      </c>
      <c r="D2713" s="41"/>
      <c r="E2713" s="41" t="s">
        <v>197</v>
      </c>
      <c r="F2713" s="41" t="str">
        <f>IFERROR(__xludf.DUMMYFUNCTION("if(REGEXMATCH(C2713,""x.com"")=TRUE,""Twitter"",if(REGEXMATCH(C2713,""facebook"")=TRUE,""Facebook"",if(REGEXMATCH(C2713,""instagram"")=TRUE,""Instagram"",if(REGEXMATCH(C2713,""youtube"")=TRUE,""Youtube"",if(REGEXMATCH(C2713,""tiktok"")=TRUE,""Tiktok"",if("&amp;"REGEXMATCH(C2713,""threads"")=TRUE,""Threads""))))))"),"Twitter")</f>
        <v>Twitter</v>
      </c>
      <c r="G2713" s="41"/>
      <c r="H2713" s="41"/>
      <c r="I2713" s="41"/>
      <c r="J2713" s="41" t="s">
        <v>188</v>
      </c>
      <c r="K2713" s="42"/>
      <c r="L2713" s="42"/>
    </row>
    <row r="2714">
      <c r="A2714" s="18">
        <v>2713.0</v>
      </c>
      <c r="B2714" s="76" t="s">
        <v>4638</v>
      </c>
      <c r="C2714" s="40" t="s">
        <v>4647</v>
      </c>
      <c r="D2714" s="41"/>
      <c r="E2714" s="41" t="s">
        <v>197</v>
      </c>
      <c r="F2714" s="41" t="str">
        <f>IFERROR(__xludf.DUMMYFUNCTION("if(REGEXMATCH(C2714,""x.com"")=TRUE,""Twitter"",if(REGEXMATCH(C2714,""facebook"")=TRUE,""Facebook"",if(REGEXMATCH(C2714,""instagram"")=TRUE,""Instagram"",if(REGEXMATCH(C2714,""youtube"")=TRUE,""Youtube"",if(REGEXMATCH(C2714,""tiktok"")=TRUE,""Tiktok"",if("&amp;"REGEXMATCH(C2714,""threads"")=TRUE,""Threads""))))))"),"Twitter")</f>
        <v>Twitter</v>
      </c>
      <c r="G2714" s="41"/>
      <c r="H2714" s="41"/>
      <c r="I2714" s="41"/>
      <c r="J2714" s="41" t="s">
        <v>188</v>
      </c>
      <c r="K2714" s="42"/>
      <c r="L2714" s="42"/>
    </row>
    <row r="2715">
      <c r="A2715" s="18">
        <v>2714.0</v>
      </c>
      <c r="B2715" s="76" t="s">
        <v>4638</v>
      </c>
      <c r="C2715" s="40" t="s">
        <v>4648</v>
      </c>
      <c r="D2715" s="41"/>
      <c r="E2715" s="41" t="s">
        <v>197</v>
      </c>
      <c r="F2715" s="41" t="str">
        <f>IFERROR(__xludf.DUMMYFUNCTION("if(REGEXMATCH(C2715,""x.com"")=TRUE,""Twitter"",if(REGEXMATCH(C2715,""facebook"")=TRUE,""Facebook"",if(REGEXMATCH(C2715,""instagram"")=TRUE,""Instagram"",if(REGEXMATCH(C2715,""youtube"")=TRUE,""Youtube"",if(REGEXMATCH(C2715,""tiktok"")=TRUE,""Tiktok"",if("&amp;"REGEXMATCH(C2715,""threads"")=TRUE,""Threads""))))))"),"Twitter")</f>
        <v>Twitter</v>
      </c>
      <c r="G2715" s="41"/>
      <c r="H2715" s="41"/>
      <c r="I2715" s="41"/>
      <c r="J2715" s="41" t="s">
        <v>188</v>
      </c>
      <c r="K2715" s="42"/>
      <c r="L2715" s="42"/>
    </row>
    <row r="2716">
      <c r="A2716" s="18">
        <v>2715.0</v>
      </c>
      <c r="B2716" s="76" t="s">
        <v>4638</v>
      </c>
      <c r="C2716" s="44" t="s">
        <v>4649</v>
      </c>
      <c r="D2716" s="41"/>
      <c r="E2716" s="41" t="s">
        <v>2018</v>
      </c>
      <c r="F2716" s="41" t="s">
        <v>622</v>
      </c>
      <c r="G2716" s="44" t="s">
        <v>4650</v>
      </c>
      <c r="H2716" s="41" t="s">
        <v>2020</v>
      </c>
      <c r="I2716" s="41"/>
      <c r="J2716" s="41"/>
      <c r="K2716" s="41"/>
      <c r="L2716" s="42"/>
    </row>
    <row r="2717">
      <c r="A2717" s="18">
        <v>2716.0</v>
      </c>
      <c r="B2717" s="76" t="s">
        <v>4638</v>
      </c>
      <c r="C2717" s="56" t="s">
        <v>4651</v>
      </c>
      <c r="D2717" s="41"/>
      <c r="E2717" s="41" t="s">
        <v>2018</v>
      </c>
      <c r="F2717" s="41" t="s">
        <v>622</v>
      </c>
      <c r="G2717" s="44" t="s">
        <v>4652</v>
      </c>
      <c r="H2717" s="41" t="s">
        <v>2020</v>
      </c>
      <c r="I2717" s="41"/>
      <c r="J2717" s="41"/>
      <c r="K2717" s="41"/>
      <c r="L2717" s="42"/>
    </row>
    <row r="2718">
      <c r="A2718" s="18">
        <v>2717.0</v>
      </c>
      <c r="B2718" s="76" t="s">
        <v>4638</v>
      </c>
      <c r="C2718" s="40" t="s">
        <v>4653</v>
      </c>
      <c r="D2718" s="41"/>
      <c r="E2718" s="41" t="s">
        <v>2018</v>
      </c>
      <c r="F2718" s="41" t="s">
        <v>622</v>
      </c>
      <c r="G2718" s="44" t="s">
        <v>4654</v>
      </c>
      <c r="H2718" s="41" t="s">
        <v>2020</v>
      </c>
      <c r="I2718" s="41"/>
      <c r="J2718" s="41"/>
      <c r="K2718" s="41"/>
      <c r="L2718" s="42"/>
    </row>
    <row r="2719">
      <c r="A2719" s="18">
        <v>2718.0</v>
      </c>
      <c r="B2719" s="76" t="s">
        <v>4638</v>
      </c>
      <c r="C2719" s="56" t="s">
        <v>4655</v>
      </c>
      <c r="D2719" s="41"/>
      <c r="E2719" s="41" t="s">
        <v>2018</v>
      </c>
      <c r="F2719" s="41" t="s">
        <v>622</v>
      </c>
      <c r="G2719" s="44" t="s">
        <v>4656</v>
      </c>
      <c r="H2719" s="41" t="s">
        <v>2020</v>
      </c>
      <c r="I2719" s="41"/>
      <c r="J2719" s="41"/>
      <c r="K2719" s="41"/>
      <c r="L2719" s="42"/>
    </row>
    <row r="2720">
      <c r="A2720" s="18">
        <v>2719.0</v>
      </c>
      <c r="B2720" s="76" t="s">
        <v>4638</v>
      </c>
      <c r="C2720" s="56" t="s">
        <v>4657</v>
      </c>
      <c r="D2720" s="41"/>
      <c r="E2720" s="41" t="s">
        <v>2018</v>
      </c>
      <c r="F2720" s="41" t="s">
        <v>622</v>
      </c>
      <c r="G2720" s="44" t="s">
        <v>4658</v>
      </c>
      <c r="H2720" s="41" t="s">
        <v>2020</v>
      </c>
      <c r="I2720" s="41"/>
      <c r="J2720" s="41"/>
      <c r="K2720" s="41"/>
      <c r="L2720" s="42"/>
    </row>
    <row r="2721">
      <c r="A2721" s="18">
        <v>2720.0</v>
      </c>
      <c r="B2721" s="76" t="s">
        <v>4638</v>
      </c>
      <c r="C2721" s="56" t="s">
        <v>4659</v>
      </c>
      <c r="D2721" s="41"/>
      <c r="E2721" s="41" t="s">
        <v>2018</v>
      </c>
      <c r="F2721" s="41" t="s">
        <v>622</v>
      </c>
      <c r="G2721" s="44" t="s">
        <v>4660</v>
      </c>
      <c r="H2721" s="41" t="s">
        <v>2020</v>
      </c>
      <c r="I2721" s="41"/>
      <c r="J2721" s="41"/>
      <c r="K2721" s="41"/>
      <c r="L2721" s="42"/>
    </row>
    <row r="2722">
      <c r="A2722" s="18">
        <v>2721.0</v>
      </c>
      <c r="B2722" s="76" t="s">
        <v>4638</v>
      </c>
      <c r="C2722" s="56" t="s">
        <v>4661</v>
      </c>
      <c r="D2722" s="41"/>
      <c r="E2722" s="41" t="s">
        <v>2018</v>
      </c>
      <c r="F2722" s="41" t="s">
        <v>622</v>
      </c>
      <c r="G2722" s="44" t="s">
        <v>4662</v>
      </c>
      <c r="H2722" s="41" t="s">
        <v>2020</v>
      </c>
      <c r="I2722" s="41"/>
      <c r="J2722" s="41"/>
      <c r="K2722" s="41"/>
      <c r="L2722" s="42"/>
    </row>
    <row r="2723">
      <c r="A2723" s="18">
        <v>2722.0</v>
      </c>
      <c r="B2723" s="76" t="s">
        <v>4638</v>
      </c>
      <c r="C2723" s="56" t="s">
        <v>4663</v>
      </c>
      <c r="D2723" s="41"/>
      <c r="E2723" s="41" t="s">
        <v>2018</v>
      </c>
      <c r="F2723" s="41" t="s">
        <v>622</v>
      </c>
      <c r="G2723" s="44" t="s">
        <v>4664</v>
      </c>
      <c r="H2723" s="41" t="s">
        <v>2020</v>
      </c>
      <c r="I2723" s="41"/>
      <c r="J2723" s="41"/>
      <c r="K2723" s="41"/>
      <c r="L2723" s="42"/>
    </row>
    <row r="2724">
      <c r="A2724" s="18">
        <v>2723.0</v>
      </c>
      <c r="B2724" s="76" t="s">
        <v>4638</v>
      </c>
      <c r="C2724" s="40" t="s">
        <v>4665</v>
      </c>
      <c r="D2724" s="41"/>
      <c r="E2724" s="41" t="s">
        <v>2018</v>
      </c>
      <c r="F2724" s="41" t="s">
        <v>686</v>
      </c>
      <c r="G2724" s="44" t="s">
        <v>4666</v>
      </c>
      <c r="H2724" s="41" t="s">
        <v>2020</v>
      </c>
      <c r="I2724" s="41"/>
      <c r="J2724" s="41"/>
      <c r="K2724" s="41"/>
      <c r="L2724" s="42"/>
    </row>
    <row r="2725">
      <c r="A2725" s="18">
        <v>2724.0</v>
      </c>
      <c r="B2725" s="76" t="s">
        <v>4638</v>
      </c>
      <c r="C2725" s="40" t="s">
        <v>4667</v>
      </c>
      <c r="D2725" s="41"/>
      <c r="E2725" s="41" t="s">
        <v>2018</v>
      </c>
      <c r="F2725" s="41" t="s">
        <v>686</v>
      </c>
      <c r="G2725" s="44" t="s">
        <v>4668</v>
      </c>
      <c r="H2725" s="41" t="s">
        <v>2020</v>
      </c>
      <c r="I2725" s="41"/>
      <c r="J2725" s="41"/>
      <c r="K2725" s="41"/>
      <c r="L2725" s="42"/>
    </row>
    <row r="2726">
      <c r="A2726" s="18">
        <v>2725.0</v>
      </c>
      <c r="B2726" s="76" t="s">
        <v>4638</v>
      </c>
      <c r="C2726" s="40" t="s">
        <v>4669</v>
      </c>
      <c r="D2726" s="41"/>
      <c r="E2726" s="41" t="s">
        <v>2018</v>
      </c>
      <c r="F2726" s="41" t="s">
        <v>686</v>
      </c>
      <c r="G2726" s="44" t="s">
        <v>4670</v>
      </c>
      <c r="H2726" s="41" t="s">
        <v>2020</v>
      </c>
      <c r="I2726" s="41"/>
      <c r="J2726" s="41"/>
      <c r="K2726" s="41"/>
      <c r="L2726" s="42"/>
    </row>
    <row r="2727">
      <c r="A2727" s="18">
        <v>2726.0</v>
      </c>
      <c r="B2727" s="76" t="s">
        <v>4638</v>
      </c>
      <c r="C2727" s="40" t="s">
        <v>4671</v>
      </c>
      <c r="D2727" s="41"/>
      <c r="E2727" s="41" t="s">
        <v>2018</v>
      </c>
      <c r="F2727" s="41" t="s">
        <v>686</v>
      </c>
      <c r="G2727" s="44" t="s">
        <v>4672</v>
      </c>
      <c r="H2727" s="41" t="s">
        <v>2020</v>
      </c>
      <c r="I2727" s="41"/>
      <c r="J2727" s="41"/>
      <c r="K2727" s="41"/>
      <c r="L2727" s="42"/>
    </row>
    <row r="2728">
      <c r="A2728" s="18">
        <v>2727.0</v>
      </c>
      <c r="B2728" s="76" t="s">
        <v>4638</v>
      </c>
      <c r="C2728" s="40" t="s">
        <v>4673</v>
      </c>
      <c r="D2728" s="41"/>
      <c r="E2728" s="41" t="s">
        <v>2018</v>
      </c>
      <c r="F2728" s="41" t="s">
        <v>686</v>
      </c>
      <c r="G2728" s="44" t="s">
        <v>4674</v>
      </c>
      <c r="H2728" s="41" t="s">
        <v>2020</v>
      </c>
      <c r="I2728" s="41"/>
      <c r="J2728" s="41"/>
      <c r="K2728" s="41"/>
      <c r="L2728" s="42"/>
    </row>
    <row r="2729">
      <c r="A2729" s="18">
        <v>2728.0</v>
      </c>
      <c r="B2729" s="76" t="s">
        <v>4638</v>
      </c>
      <c r="C2729" s="40" t="s">
        <v>4675</v>
      </c>
      <c r="D2729" s="41"/>
      <c r="E2729" s="41" t="s">
        <v>2018</v>
      </c>
      <c r="F2729" s="41" t="s">
        <v>686</v>
      </c>
      <c r="G2729" s="44" t="s">
        <v>4676</v>
      </c>
      <c r="H2729" s="41" t="s">
        <v>2020</v>
      </c>
      <c r="I2729" s="41"/>
      <c r="J2729" s="41"/>
      <c r="K2729" s="41"/>
      <c r="L2729" s="42"/>
    </row>
    <row r="2730">
      <c r="A2730" s="18">
        <v>2729.0</v>
      </c>
      <c r="B2730" s="76" t="s">
        <v>4677</v>
      </c>
      <c r="C2730" s="40" t="s">
        <v>4678</v>
      </c>
      <c r="D2730" s="41"/>
      <c r="E2730" s="41" t="s">
        <v>197</v>
      </c>
      <c r="F2730" s="41" t="s">
        <v>686</v>
      </c>
      <c r="G2730" s="41" t="s">
        <v>4679</v>
      </c>
      <c r="H2730" s="43" t="s">
        <v>4680</v>
      </c>
      <c r="I2730" s="43"/>
      <c r="J2730" s="41" t="s">
        <v>188</v>
      </c>
      <c r="K2730" s="41"/>
      <c r="L2730" s="42"/>
    </row>
    <row r="2731">
      <c r="A2731" s="18">
        <v>2730.0</v>
      </c>
      <c r="B2731" s="76" t="s">
        <v>4677</v>
      </c>
      <c r="C2731" s="40" t="s">
        <v>4681</v>
      </c>
      <c r="D2731" s="41"/>
      <c r="E2731" s="41" t="s">
        <v>197</v>
      </c>
      <c r="F2731" s="41" t="s">
        <v>686</v>
      </c>
      <c r="G2731" s="41" t="s">
        <v>4682</v>
      </c>
      <c r="H2731" s="36"/>
      <c r="I2731" s="36"/>
      <c r="J2731" s="41" t="s">
        <v>188</v>
      </c>
      <c r="K2731" s="41"/>
      <c r="L2731" s="42"/>
    </row>
    <row r="2732">
      <c r="A2732" s="18">
        <v>2731.0</v>
      </c>
      <c r="B2732" s="76" t="s">
        <v>4677</v>
      </c>
      <c r="C2732" s="40" t="s">
        <v>4683</v>
      </c>
      <c r="D2732" s="41"/>
      <c r="E2732" s="41" t="s">
        <v>197</v>
      </c>
      <c r="F2732" s="41" t="s">
        <v>622</v>
      </c>
      <c r="G2732" s="41" t="s">
        <v>4684</v>
      </c>
      <c r="H2732" s="36"/>
      <c r="I2732" s="36"/>
      <c r="J2732" s="41" t="s">
        <v>188</v>
      </c>
      <c r="K2732" s="41"/>
      <c r="L2732" s="42"/>
    </row>
    <row r="2733">
      <c r="A2733" s="18">
        <v>2732.0</v>
      </c>
      <c r="B2733" s="76" t="s">
        <v>4677</v>
      </c>
      <c r="C2733" s="40" t="s">
        <v>4685</v>
      </c>
      <c r="D2733" s="41"/>
      <c r="E2733" s="41" t="s">
        <v>197</v>
      </c>
      <c r="F2733" s="41" t="s">
        <v>622</v>
      </c>
      <c r="G2733" s="41" t="s">
        <v>4686</v>
      </c>
      <c r="H2733" s="36"/>
      <c r="I2733" s="36"/>
      <c r="J2733" s="41" t="s">
        <v>188</v>
      </c>
      <c r="K2733" s="41"/>
      <c r="L2733" s="42"/>
    </row>
    <row r="2734">
      <c r="A2734" s="18">
        <v>2733.0</v>
      </c>
      <c r="B2734" s="76" t="s">
        <v>4677</v>
      </c>
      <c r="C2734" s="40" t="s">
        <v>4687</v>
      </c>
      <c r="D2734" s="41"/>
      <c r="E2734" s="41" t="s">
        <v>197</v>
      </c>
      <c r="F2734" s="41" t="s">
        <v>622</v>
      </c>
      <c r="G2734" s="41" t="s">
        <v>4688</v>
      </c>
      <c r="H2734" s="36"/>
      <c r="I2734" s="36"/>
      <c r="J2734" s="41" t="s">
        <v>188</v>
      </c>
      <c r="K2734" s="41"/>
      <c r="L2734" s="42"/>
    </row>
    <row r="2735">
      <c r="A2735" s="18">
        <v>2734.0</v>
      </c>
      <c r="B2735" s="76" t="s">
        <v>4677</v>
      </c>
      <c r="C2735" s="40" t="s">
        <v>4689</v>
      </c>
      <c r="D2735" s="41"/>
      <c r="E2735" s="41" t="s">
        <v>197</v>
      </c>
      <c r="F2735" s="41" t="s">
        <v>622</v>
      </c>
      <c r="G2735" s="41" t="s">
        <v>4690</v>
      </c>
      <c r="H2735" s="36"/>
      <c r="I2735" s="36"/>
      <c r="J2735" s="41" t="s">
        <v>188</v>
      </c>
      <c r="K2735" s="41"/>
      <c r="L2735" s="42"/>
    </row>
    <row r="2736">
      <c r="A2736" s="18">
        <v>2735.0</v>
      </c>
      <c r="B2736" s="76" t="s">
        <v>4677</v>
      </c>
      <c r="C2736" s="40" t="s">
        <v>4691</v>
      </c>
      <c r="D2736" s="41"/>
      <c r="E2736" s="41" t="s">
        <v>197</v>
      </c>
      <c r="F2736" s="41" t="s">
        <v>622</v>
      </c>
      <c r="G2736" s="41" t="s">
        <v>4692</v>
      </c>
      <c r="H2736" s="36"/>
      <c r="I2736" s="36"/>
      <c r="J2736" s="41" t="s">
        <v>188</v>
      </c>
      <c r="K2736" s="41"/>
      <c r="L2736" s="42"/>
    </row>
    <row r="2737">
      <c r="A2737" s="18">
        <v>2736.0</v>
      </c>
      <c r="B2737" s="76" t="s">
        <v>4677</v>
      </c>
      <c r="C2737" s="40" t="s">
        <v>4693</v>
      </c>
      <c r="D2737" s="41"/>
      <c r="E2737" s="41" t="s">
        <v>372</v>
      </c>
      <c r="F2737" s="41" t="s">
        <v>622</v>
      </c>
      <c r="G2737" s="41" t="s">
        <v>4694</v>
      </c>
      <c r="H2737" s="36"/>
      <c r="I2737" s="36"/>
      <c r="J2737" s="41" t="s">
        <v>188</v>
      </c>
      <c r="K2737" s="41"/>
      <c r="L2737" s="42"/>
    </row>
    <row r="2738">
      <c r="A2738" s="18">
        <v>2737.0</v>
      </c>
      <c r="B2738" s="76" t="s">
        <v>4677</v>
      </c>
      <c r="C2738" s="40" t="s">
        <v>4695</v>
      </c>
      <c r="D2738" s="41"/>
      <c r="E2738" s="41" t="s">
        <v>447</v>
      </c>
      <c r="F2738" s="41" t="s">
        <v>622</v>
      </c>
      <c r="G2738" s="41" t="s">
        <v>4696</v>
      </c>
      <c r="H2738" s="36"/>
      <c r="I2738" s="36"/>
      <c r="J2738" s="41" t="s">
        <v>188</v>
      </c>
      <c r="K2738" s="41"/>
      <c r="L2738" s="42"/>
    </row>
    <row r="2739">
      <c r="A2739" s="18">
        <v>2738.0</v>
      </c>
      <c r="B2739" s="76" t="s">
        <v>4677</v>
      </c>
      <c r="C2739" s="40" t="s">
        <v>4697</v>
      </c>
      <c r="D2739" s="41"/>
      <c r="E2739" s="41" t="s">
        <v>197</v>
      </c>
      <c r="F2739" s="41" t="s">
        <v>622</v>
      </c>
      <c r="G2739" s="41" t="s">
        <v>4698</v>
      </c>
      <c r="H2739" s="35"/>
      <c r="I2739" s="35"/>
      <c r="J2739" s="41" t="s">
        <v>188</v>
      </c>
      <c r="K2739" s="41"/>
      <c r="L2739" s="42"/>
    </row>
    <row r="2740">
      <c r="A2740" s="18">
        <v>2739.0</v>
      </c>
      <c r="B2740" s="76" t="s">
        <v>4699</v>
      </c>
      <c r="C2740" s="44" t="s">
        <v>4700</v>
      </c>
      <c r="D2740" s="41"/>
      <c r="E2740" s="41" t="s">
        <v>447</v>
      </c>
      <c r="F2740" s="41" t="s">
        <v>622</v>
      </c>
      <c r="G2740" s="41" t="s">
        <v>4701</v>
      </c>
      <c r="H2740" s="43" t="s">
        <v>4398</v>
      </c>
      <c r="I2740" s="43" t="s">
        <v>4399</v>
      </c>
      <c r="J2740" s="41"/>
      <c r="K2740" s="42"/>
      <c r="L2740" s="42"/>
    </row>
    <row r="2741">
      <c r="A2741" s="18">
        <v>2740.0</v>
      </c>
      <c r="B2741" s="76" t="s">
        <v>4699</v>
      </c>
      <c r="C2741" s="40" t="s">
        <v>4702</v>
      </c>
      <c r="D2741" s="41"/>
      <c r="E2741" s="41" t="s">
        <v>4703</v>
      </c>
      <c r="F2741" s="41" t="s">
        <v>622</v>
      </c>
      <c r="G2741" s="41" t="s">
        <v>4704</v>
      </c>
      <c r="H2741" s="36"/>
      <c r="I2741" s="36"/>
      <c r="J2741" s="41"/>
      <c r="K2741" s="42"/>
      <c r="L2741" s="42"/>
    </row>
    <row r="2742">
      <c r="A2742" s="18">
        <v>2741.0</v>
      </c>
      <c r="B2742" s="76" t="s">
        <v>4699</v>
      </c>
      <c r="C2742" s="40" t="s">
        <v>4705</v>
      </c>
      <c r="D2742" s="41"/>
      <c r="E2742" s="41" t="s">
        <v>4706</v>
      </c>
      <c r="F2742" s="41" t="s">
        <v>622</v>
      </c>
      <c r="G2742" s="41" t="s">
        <v>4707</v>
      </c>
      <c r="H2742" s="36"/>
      <c r="I2742" s="36"/>
      <c r="J2742" s="41"/>
      <c r="K2742" s="42"/>
      <c r="L2742" s="42"/>
    </row>
    <row r="2743">
      <c r="A2743" s="18">
        <v>2742.0</v>
      </c>
      <c r="B2743" s="76" t="s">
        <v>4699</v>
      </c>
      <c r="C2743" s="40" t="s">
        <v>4708</v>
      </c>
      <c r="D2743" s="41"/>
      <c r="E2743" s="41" t="s">
        <v>197</v>
      </c>
      <c r="F2743" s="41" t="s">
        <v>622</v>
      </c>
      <c r="G2743" s="41" t="s">
        <v>4709</v>
      </c>
      <c r="H2743" s="36"/>
      <c r="I2743" s="36"/>
      <c r="J2743" s="41"/>
      <c r="K2743" s="42"/>
      <c r="L2743" s="42"/>
    </row>
    <row r="2744">
      <c r="A2744" s="18">
        <v>2743.0</v>
      </c>
      <c r="B2744" s="76" t="s">
        <v>4699</v>
      </c>
      <c r="C2744" s="40" t="s">
        <v>4710</v>
      </c>
      <c r="D2744" s="41"/>
      <c r="E2744" s="41" t="s">
        <v>197</v>
      </c>
      <c r="F2744" s="41" t="s">
        <v>622</v>
      </c>
      <c r="G2744" s="41" t="s">
        <v>4711</v>
      </c>
      <c r="H2744" s="36"/>
      <c r="I2744" s="36"/>
      <c r="J2744" s="41"/>
      <c r="K2744" s="42"/>
      <c r="L2744" s="42"/>
    </row>
    <row r="2745">
      <c r="A2745" s="18">
        <v>2744.0</v>
      </c>
      <c r="B2745" s="76" t="s">
        <v>4699</v>
      </c>
      <c r="C2745" s="40" t="s">
        <v>4712</v>
      </c>
      <c r="D2745" s="41"/>
      <c r="E2745" s="41" t="s">
        <v>197</v>
      </c>
      <c r="F2745" s="41" t="s">
        <v>622</v>
      </c>
      <c r="G2745" s="41" t="s">
        <v>4711</v>
      </c>
      <c r="H2745" s="36"/>
      <c r="I2745" s="36"/>
      <c r="J2745" s="41"/>
      <c r="K2745" s="42"/>
      <c r="L2745" s="42"/>
    </row>
    <row r="2746">
      <c r="A2746" s="18">
        <v>2745.0</v>
      </c>
      <c r="B2746" s="76" t="s">
        <v>4699</v>
      </c>
      <c r="C2746" s="40" t="s">
        <v>4713</v>
      </c>
      <c r="D2746" s="41"/>
      <c r="E2746" s="41" t="s">
        <v>197</v>
      </c>
      <c r="F2746" s="41" t="s">
        <v>622</v>
      </c>
      <c r="G2746" s="41" t="s">
        <v>4711</v>
      </c>
      <c r="H2746" s="36"/>
      <c r="I2746" s="36"/>
      <c r="J2746" s="41"/>
      <c r="K2746" s="42"/>
      <c r="L2746" s="42"/>
    </row>
    <row r="2747">
      <c r="A2747" s="18">
        <v>2746.0</v>
      </c>
      <c r="B2747" s="76" t="s">
        <v>4699</v>
      </c>
      <c r="C2747" s="40" t="s">
        <v>4714</v>
      </c>
      <c r="D2747" s="41"/>
      <c r="E2747" s="41" t="s">
        <v>197</v>
      </c>
      <c r="F2747" s="41" t="s">
        <v>622</v>
      </c>
      <c r="G2747" s="41" t="s">
        <v>4711</v>
      </c>
      <c r="H2747" s="36"/>
      <c r="I2747" s="36"/>
      <c r="J2747" s="41"/>
      <c r="K2747" s="42"/>
      <c r="L2747" s="42"/>
    </row>
    <row r="2748">
      <c r="A2748" s="18">
        <v>2747.0</v>
      </c>
      <c r="B2748" s="76" t="s">
        <v>4699</v>
      </c>
      <c r="C2748" s="40" t="s">
        <v>4715</v>
      </c>
      <c r="D2748" s="41"/>
      <c r="E2748" s="41" t="s">
        <v>197</v>
      </c>
      <c r="F2748" s="41" t="s">
        <v>622</v>
      </c>
      <c r="G2748" s="41" t="s">
        <v>4716</v>
      </c>
      <c r="H2748" s="36"/>
      <c r="I2748" s="36"/>
      <c r="J2748" s="41"/>
      <c r="K2748" s="42"/>
      <c r="L2748" s="42"/>
    </row>
    <row r="2749">
      <c r="A2749" s="18">
        <v>2748.0</v>
      </c>
      <c r="B2749" s="76" t="s">
        <v>4699</v>
      </c>
      <c r="C2749" s="40" t="s">
        <v>4717</v>
      </c>
      <c r="D2749" s="41"/>
      <c r="E2749" s="41" t="s">
        <v>197</v>
      </c>
      <c r="F2749" s="41" t="s">
        <v>622</v>
      </c>
      <c r="G2749" s="41" t="s">
        <v>4718</v>
      </c>
      <c r="H2749" s="36"/>
      <c r="I2749" s="36"/>
      <c r="J2749" s="41"/>
      <c r="K2749" s="42"/>
      <c r="L2749" s="42"/>
    </row>
    <row r="2750">
      <c r="A2750" s="18">
        <v>2749.0</v>
      </c>
      <c r="B2750" s="76" t="s">
        <v>4699</v>
      </c>
      <c r="C2750" s="40" t="s">
        <v>4719</v>
      </c>
      <c r="D2750" s="41"/>
      <c r="E2750" s="41" t="s">
        <v>197</v>
      </c>
      <c r="F2750" s="41" t="s">
        <v>622</v>
      </c>
      <c r="G2750" s="41" t="s">
        <v>4720</v>
      </c>
      <c r="H2750" s="36"/>
      <c r="I2750" s="36"/>
      <c r="J2750" s="41"/>
      <c r="K2750" s="42"/>
      <c r="L2750" s="42"/>
    </row>
    <row r="2751">
      <c r="A2751" s="18">
        <v>2750.0</v>
      </c>
      <c r="B2751" s="76" t="s">
        <v>4699</v>
      </c>
      <c r="C2751" s="40" t="s">
        <v>4721</v>
      </c>
      <c r="D2751" s="41"/>
      <c r="E2751" s="41" t="s">
        <v>197</v>
      </c>
      <c r="F2751" s="41" t="s">
        <v>622</v>
      </c>
      <c r="G2751" s="41" t="s">
        <v>4722</v>
      </c>
      <c r="H2751" s="36"/>
      <c r="I2751" s="36"/>
      <c r="J2751" s="41"/>
      <c r="K2751" s="42"/>
      <c r="L2751" s="42"/>
    </row>
    <row r="2752">
      <c r="A2752" s="18">
        <v>2751.0</v>
      </c>
      <c r="B2752" s="76" t="s">
        <v>4699</v>
      </c>
      <c r="C2752" s="40" t="s">
        <v>4723</v>
      </c>
      <c r="D2752" s="41"/>
      <c r="E2752" s="41" t="s">
        <v>197</v>
      </c>
      <c r="F2752" s="41" t="s">
        <v>622</v>
      </c>
      <c r="G2752" s="41" t="s">
        <v>4724</v>
      </c>
      <c r="H2752" s="36"/>
      <c r="I2752" s="36"/>
      <c r="J2752" s="41"/>
      <c r="K2752" s="42"/>
      <c r="L2752" s="42"/>
    </row>
    <row r="2753">
      <c r="A2753" s="18">
        <v>2752.0</v>
      </c>
      <c r="B2753" s="76" t="s">
        <v>4699</v>
      </c>
      <c r="C2753" s="40" t="s">
        <v>4725</v>
      </c>
      <c r="D2753" s="41"/>
      <c r="E2753" s="41" t="s">
        <v>197</v>
      </c>
      <c r="F2753" s="41" t="s">
        <v>622</v>
      </c>
      <c r="G2753" s="41" t="s">
        <v>4726</v>
      </c>
      <c r="H2753" s="36"/>
      <c r="I2753" s="36"/>
      <c r="J2753" s="41"/>
      <c r="K2753" s="42"/>
      <c r="L2753" s="42"/>
    </row>
    <row r="2754">
      <c r="A2754" s="18">
        <v>2753.0</v>
      </c>
      <c r="B2754" s="76" t="s">
        <v>4699</v>
      </c>
      <c r="C2754" s="40" t="s">
        <v>4727</v>
      </c>
      <c r="D2754" s="41"/>
      <c r="E2754" s="41" t="s">
        <v>447</v>
      </c>
      <c r="F2754" s="41" t="s">
        <v>686</v>
      </c>
      <c r="G2754" s="41" t="s">
        <v>4728</v>
      </c>
      <c r="H2754" s="35"/>
      <c r="I2754" s="35"/>
      <c r="J2754" s="41"/>
      <c r="K2754" s="42"/>
      <c r="L2754" s="42"/>
    </row>
    <row r="2755">
      <c r="A2755" s="18">
        <v>2754.0</v>
      </c>
      <c r="B2755" s="76" t="s">
        <v>4699</v>
      </c>
      <c r="C2755" s="40" t="s">
        <v>4729</v>
      </c>
      <c r="D2755" s="41"/>
      <c r="E2755" s="41" t="s">
        <v>4730</v>
      </c>
      <c r="F2755" s="41" t="s">
        <v>686</v>
      </c>
      <c r="G2755" s="41" t="s">
        <v>4731</v>
      </c>
      <c r="H2755" s="41" t="s">
        <v>4732</v>
      </c>
      <c r="I2755" s="41" t="s">
        <v>4733</v>
      </c>
      <c r="J2755" s="41"/>
      <c r="K2755" s="42"/>
      <c r="L2755" s="42"/>
    </row>
    <row r="2756">
      <c r="A2756" s="18">
        <v>2755.0</v>
      </c>
      <c r="B2756" s="76" t="s">
        <v>4699</v>
      </c>
      <c r="C2756" s="40" t="s">
        <v>4734</v>
      </c>
      <c r="D2756" s="41"/>
      <c r="E2756" s="41" t="s">
        <v>4730</v>
      </c>
      <c r="F2756" s="41" t="str">
        <f>IFERROR(__xludf.DUMMYFUNCTION("if(REGEXMATCH(C2756,""x.com"")=TRUE,""Twitter"",if(REGEXMATCH(C2756,""facebook"")=TRUE,""Facebook"",if(REGEXMATCH(C2756,""instagram"")=TRUE,""Instagram"",if(REGEXMATCH(C2756,""youtube"")=TRUE,""Youtube"",if(REGEXMATCH(C2756,""tiktok"")=TRUE,""Tiktok"",if("&amp;"REGEXMATCH(C2756,""threads"")=TRUE,""Threads""))))))"),"Twitter")</f>
        <v>Twitter</v>
      </c>
      <c r="G2756" s="41" t="s">
        <v>4731</v>
      </c>
      <c r="H2756" s="41" t="s">
        <v>4732</v>
      </c>
      <c r="I2756" s="41" t="s">
        <v>4733</v>
      </c>
      <c r="J2756" s="41"/>
      <c r="K2756" s="42"/>
      <c r="L2756" s="42"/>
    </row>
    <row r="2757">
      <c r="A2757" s="18">
        <v>2756.0</v>
      </c>
      <c r="B2757" s="76" t="s">
        <v>4699</v>
      </c>
      <c r="C2757" s="40" t="s">
        <v>4735</v>
      </c>
      <c r="D2757" s="41"/>
      <c r="E2757" s="41" t="s">
        <v>4730</v>
      </c>
      <c r="F2757" s="41" t="str">
        <f>IFERROR(__xludf.DUMMYFUNCTION("if(REGEXMATCH(C2757,""x.com"")=TRUE,""Twitter"",if(REGEXMATCH(C2757,""facebook"")=TRUE,""Facebook"",if(REGEXMATCH(C2757,""instagram"")=TRUE,""Instagram"",if(REGEXMATCH(C2757,""youtube"")=TRUE,""Youtube"",if(REGEXMATCH(C2757,""tiktok"")=TRUE,""Tiktok"",if("&amp;"REGEXMATCH(C2757,""threads"")=TRUE,""Threads""))))))"),"Twitter")</f>
        <v>Twitter</v>
      </c>
      <c r="G2757" s="41" t="s">
        <v>4731</v>
      </c>
      <c r="H2757" s="41" t="s">
        <v>4732</v>
      </c>
      <c r="I2757" s="41" t="s">
        <v>4733</v>
      </c>
      <c r="J2757" s="41"/>
      <c r="K2757" s="42"/>
      <c r="L2757" s="42"/>
    </row>
    <row r="2758">
      <c r="A2758" s="18">
        <v>2757.0</v>
      </c>
      <c r="B2758" s="76" t="s">
        <v>4699</v>
      </c>
      <c r="C2758" s="63" t="s">
        <v>4736</v>
      </c>
      <c r="D2758" s="41"/>
      <c r="E2758" s="41" t="s">
        <v>4730</v>
      </c>
      <c r="F2758" s="41" t="str">
        <f>IFERROR(__xludf.DUMMYFUNCTION("if(REGEXMATCH(C2758,""x.com"")=TRUE,""Twitter"",if(REGEXMATCH(C2758,""facebook"")=TRUE,""Facebook"",if(REGEXMATCH(C2758,""instagram"")=TRUE,""Instagram"",if(REGEXMATCH(C2758,""youtube"")=TRUE,""Youtube"",if(REGEXMATCH(C2758,""tiktok"")=TRUE,""Tiktok"",if("&amp;"REGEXMATCH(C2758,""threads"")=TRUE,""Threads""))))))"),"Twitter")</f>
        <v>Twitter</v>
      </c>
      <c r="G2758" s="41" t="s">
        <v>4731</v>
      </c>
      <c r="H2758" s="41" t="s">
        <v>4732</v>
      </c>
      <c r="I2758" s="41" t="s">
        <v>4733</v>
      </c>
      <c r="J2758" s="41"/>
      <c r="K2758" s="42"/>
      <c r="L2758" s="42"/>
    </row>
    <row r="2759">
      <c r="A2759" s="18">
        <v>2758.0</v>
      </c>
      <c r="B2759" s="76" t="s">
        <v>4699</v>
      </c>
      <c r="C2759" s="63" t="s">
        <v>4737</v>
      </c>
      <c r="D2759" s="41"/>
      <c r="E2759" s="41" t="s">
        <v>4730</v>
      </c>
      <c r="F2759" s="41" t="str">
        <f>IFERROR(__xludf.DUMMYFUNCTION("if(REGEXMATCH(C2759,""x.com"")=TRUE,""Twitter"",if(REGEXMATCH(C2759,""facebook"")=TRUE,""Facebook"",if(REGEXMATCH(C2759,""instagram"")=TRUE,""Instagram"",if(REGEXMATCH(C2759,""youtube"")=TRUE,""Youtube"",if(REGEXMATCH(C2759,""tiktok"")=TRUE,""Tiktok"",if("&amp;"REGEXMATCH(C2759,""threads"")=TRUE,""Threads""))))))"),"Twitter")</f>
        <v>Twitter</v>
      </c>
      <c r="G2759" s="41" t="s">
        <v>4731</v>
      </c>
      <c r="H2759" s="41" t="s">
        <v>4732</v>
      </c>
      <c r="I2759" s="41" t="s">
        <v>4733</v>
      </c>
      <c r="J2759" s="41"/>
      <c r="K2759" s="42"/>
      <c r="L2759" s="42"/>
    </row>
    <row r="2760">
      <c r="A2760" s="18">
        <v>2759.0</v>
      </c>
      <c r="B2760" s="76" t="s">
        <v>4699</v>
      </c>
      <c r="C2760" s="40" t="s">
        <v>4738</v>
      </c>
      <c r="D2760" s="41"/>
      <c r="E2760" s="41" t="s">
        <v>401</v>
      </c>
      <c r="F2760" s="41" t="s">
        <v>622</v>
      </c>
      <c r="G2760" s="41" t="s">
        <v>937</v>
      </c>
      <c r="H2760" s="41" t="s">
        <v>4739</v>
      </c>
      <c r="I2760" s="41" t="s">
        <v>939</v>
      </c>
      <c r="J2760" s="41"/>
      <c r="K2760" s="42"/>
      <c r="L2760" s="42"/>
    </row>
    <row r="2761">
      <c r="A2761" s="18">
        <v>2760.0</v>
      </c>
      <c r="B2761" s="76" t="s">
        <v>4699</v>
      </c>
      <c r="C2761" s="40" t="s">
        <v>4740</v>
      </c>
      <c r="D2761" s="41"/>
      <c r="E2761" s="41" t="s">
        <v>401</v>
      </c>
      <c r="F2761" s="41" t="s">
        <v>622</v>
      </c>
      <c r="G2761" s="41" t="s">
        <v>937</v>
      </c>
      <c r="H2761" s="41" t="s">
        <v>4739</v>
      </c>
      <c r="I2761" s="41" t="s">
        <v>939</v>
      </c>
      <c r="J2761" s="41"/>
      <c r="K2761" s="42"/>
      <c r="L2761" s="42"/>
    </row>
    <row r="2762">
      <c r="A2762" s="18">
        <v>2761.0</v>
      </c>
      <c r="B2762" s="76" t="s">
        <v>4699</v>
      </c>
      <c r="C2762" s="40" t="s">
        <v>4741</v>
      </c>
      <c r="D2762" s="41"/>
      <c r="E2762" s="41" t="s">
        <v>401</v>
      </c>
      <c r="F2762" s="41" t="s">
        <v>622</v>
      </c>
      <c r="G2762" s="41" t="s">
        <v>937</v>
      </c>
      <c r="H2762" s="41" t="s">
        <v>4739</v>
      </c>
      <c r="I2762" s="41" t="s">
        <v>939</v>
      </c>
      <c r="J2762" s="41"/>
      <c r="K2762" s="42"/>
      <c r="L2762" s="42"/>
    </row>
    <row r="2763">
      <c r="A2763" s="18">
        <v>2762.0</v>
      </c>
      <c r="B2763" s="76" t="s">
        <v>4699</v>
      </c>
      <c r="C2763" s="40" t="s">
        <v>4742</v>
      </c>
      <c r="D2763" s="41"/>
      <c r="E2763" s="41" t="s">
        <v>401</v>
      </c>
      <c r="F2763" s="41" t="s">
        <v>622</v>
      </c>
      <c r="G2763" s="41" t="s">
        <v>937</v>
      </c>
      <c r="H2763" s="41" t="s">
        <v>4739</v>
      </c>
      <c r="I2763" s="41" t="s">
        <v>939</v>
      </c>
      <c r="J2763" s="41"/>
      <c r="K2763" s="42"/>
      <c r="L2763" s="42"/>
    </row>
    <row r="2764">
      <c r="A2764" s="18">
        <v>2763.0</v>
      </c>
      <c r="B2764" s="76" t="s">
        <v>4699</v>
      </c>
      <c r="C2764" s="40" t="s">
        <v>4743</v>
      </c>
      <c r="D2764" s="41"/>
      <c r="E2764" s="41" t="s">
        <v>2018</v>
      </c>
      <c r="F2764" s="41" t="s">
        <v>686</v>
      </c>
      <c r="G2764" s="44" t="s">
        <v>4744</v>
      </c>
      <c r="H2764" s="41" t="s">
        <v>2023</v>
      </c>
      <c r="I2764" s="41"/>
      <c r="J2764" s="41"/>
      <c r="K2764" s="42"/>
      <c r="L2764" s="42"/>
    </row>
    <row r="2765">
      <c r="A2765" s="18">
        <v>2764.0</v>
      </c>
      <c r="B2765" s="76" t="s">
        <v>4699</v>
      </c>
      <c r="C2765" s="40" t="s">
        <v>4745</v>
      </c>
      <c r="D2765" s="41"/>
      <c r="E2765" s="41" t="s">
        <v>2018</v>
      </c>
      <c r="F2765" s="41" t="s">
        <v>686</v>
      </c>
      <c r="G2765" s="44" t="s">
        <v>4746</v>
      </c>
      <c r="H2765" s="41" t="s">
        <v>2023</v>
      </c>
      <c r="I2765" s="41"/>
      <c r="J2765" s="41"/>
      <c r="K2765" s="42"/>
      <c r="L2765" s="42"/>
    </row>
    <row r="2766">
      <c r="A2766" s="18">
        <v>2765.0</v>
      </c>
      <c r="B2766" s="76" t="s">
        <v>4699</v>
      </c>
      <c r="C2766" s="44" t="s">
        <v>4747</v>
      </c>
      <c r="D2766" s="41"/>
      <c r="E2766" s="41" t="s">
        <v>2018</v>
      </c>
      <c r="F2766" s="41" t="s">
        <v>686</v>
      </c>
      <c r="G2766" s="44" t="s">
        <v>4748</v>
      </c>
      <c r="H2766" s="41" t="s">
        <v>2023</v>
      </c>
      <c r="I2766" s="41"/>
      <c r="J2766" s="41"/>
      <c r="K2766" s="42"/>
      <c r="L2766" s="42"/>
    </row>
    <row r="2767">
      <c r="A2767" s="18">
        <v>2766.0</v>
      </c>
      <c r="B2767" s="76" t="s">
        <v>4699</v>
      </c>
      <c r="C2767" s="80" t="s">
        <v>4749</v>
      </c>
      <c r="D2767" s="41"/>
      <c r="E2767" s="41" t="s">
        <v>2018</v>
      </c>
      <c r="F2767" s="41" t="s">
        <v>622</v>
      </c>
      <c r="G2767" s="44" t="s">
        <v>4750</v>
      </c>
      <c r="H2767" s="41" t="s">
        <v>2023</v>
      </c>
      <c r="I2767" s="41"/>
      <c r="J2767" s="41"/>
      <c r="K2767" s="42"/>
      <c r="L2767" s="42"/>
    </row>
    <row r="2768">
      <c r="A2768" s="18">
        <v>2767.0</v>
      </c>
      <c r="B2768" s="76" t="s">
        <v>4699</v>
      </c>
      <c r="C2768" s="44" t="s">
        <v>4751</v>
      </c>
      <c r="D2768" s="41"/>
      <c r="E2768" s="41" t="s">
        <v>2018</v>
      </c>
      <c r="F2768" s="41" t="s">
        <v>622</v>
      </c>
      <c r="G2768" s="44" t="s">
        <v>4752</v>
      </c>
      <c r="H2768" s="41" t="s">
        <v>2023</v>
      </c>
      <c r="I2768" s="41"/>
      <c r="J2768" s="41"/>
      <c r="K2768" s="42"/>
      <c r="L2768" s="42"/>
    </row>
    <row r="2769">
      <c r="A2769" s="18">
        <v>2768.0</v>
      </c>
      <c r="B2769" s="76" t="s">
        <v>4699</v>
      </c>
      <c r="C2769" s="44" t="s">
        <v>4753</v>
      </c>
      <c r="D2769" s="41"/>
      <c r="E2769" s="41" t="s">
        <v>2018</v>
      </c>
      <c r="F2769" s="41" t="s">
        <v>622</v>
      </c>
      <c r="G2769" s="44" t="s">
        <v>4754</v>
      </c>
      <c r="H2769" s="41" t="s">
        <v>2023</v>
      </c>
      <c r="I2769" s="41"/>
      <c r="J2769" s="41"/>
      <c r="K2769" s="42"/>
      <c r="L2769" s="42"/>
    </row>
    <row r="2770">
      <c r="A2770" s="18">
        <v>2769.0</v>
      </c>
      <c r="B2770" s="76" t="s">
        <v>4755</v>
      </c>
      <c r="C2770" s="73" t="s">
        <v>4756</v>
      </c>
      <c r="D2770" s="41"/>
      <c r="E2770" s="41" t="s">
        <v>747</v>
      </c>
      <c r="F2770" s="41" t="str">
        <f>IFERROR(__xludf.DUMMYFUNCTION("if(REGEXMATCH(C2770,""x.com"")=TRUE,""Twitter"",if(REGEXMATCH(C2770,""facebook"")=TRUE,""Facebook"",if(REGEXMATCH(C2770,""instagram"")=TRUE,""Instagram"",if(REGEXMATCH(C2770,""youtube"")=TRUE,""Youtube"",if(REGEXMATCH(C2770,""tiktok"")=TRUE,""Tiktok"",if("&amp;"REGEXMATCH(C2770,""threads"")=TRUE,""Threads""))))))"),"Tiktok")</f>
        <v>Tiktok</v>
      </c>
      <c r="G2770" s="41" t="s">
        <v>4757</v>
      </c>
      <c r="H2770" s="43" t="s">
        <v>4480</v>
      </c>
      <c r="I2770" s="43" t="s">
        <v>4399</v>
      </c>
      <c r="J2770" s="41" t="s">
        <v>188</v>
      </c>
      <c r="K2770" s="42"/>
      <c r="L2770" s="42"/>
    </row>
    <row r="2771">
      <c r="A2771" s="18">
        <v>2770.0</v>
      </c>
      <c r="B2771" s="76" t="s">
        <v>4755</v>
      </c>
      <c r="C2771" s="73" t="s">
        <v>4758</v>
      </c>
      <c r="D2771" s="41"/>
      <c r="E2771" s="41" t="s">
        <v>4703</v>
      </c>
      <c r="F2771" s="41" t="str">
        <f>IFERROR(__xludf.DUMMYFUNCTION("if(REGEXMATCH(C2771,""x.com"")=TRUE,""Twitter"",if(REGEXMATCH(C2771,""facebook"")=TRUE,""Facebook"",if(REGEXMATCH(C2771,""instagram"")=TRUE,""Instagram"",if(REGEXMATCH(C2771,""youtube"")=TRUE,""Youtube"",if(REGEXMATCH(C2771,""tiktok"")=TRUE,""Tiktok"",if("&amp;"REGEXMATCH(C2771,""threads"")=TRUE,""Threads""))))))"),"Tiktok")</f>
        <v>Tiktok</v>
      </c>
      <c r="G2771" s="41" t="s">
        <v>4759</v>
      </c>
      <c r="H2771" s="36"/>
      <c r="I2771" s="36"/>
      <c r="J2771" s="41" t="s">
        <v>188</v>
      </c>
      <c r="K2771" s="42"/>
      <c r="L2771" s="42"/>
    </row>
    <row r="2772">
      <c r="A2772" s="18">
        <v>2771.0</v>
      </c>
      <c r="B2772" s="76" t="s">
        <v>4755</v>
      </c>
      <c r="C2772" s="73" t="s">
        <v>4760</v>
      </c>
      <c r="D2772" s="41"/>
      <c r="E2772" s="41" t="s">
        <v>4703</v>
      </c>
      <c r="F2772" s="41" t="str">
        <f>IFERROR(__xludf.DUMMYFUNCTION("if(REGEXMATCH(C2772,""x.com"")=TRUE,""Twitter"",if(REGEXMATCH(C2772,""facebook"")=TRUE,""Facebook"",if(REGEXMATCH(C2772,""instagram"")=TRUE,""Instagram"",if(REGEXMATCH(C2772,""youtube"")=TRUE,""Youtube"",if(REGEXMATCH(C2772,""tiktok"")=TRUE,""Tiktok"",if("&amp;"REGEXMATCH(C2772,""threads"")=TRUE,""Threads""))))))"),"Facebook")</f>
        <v>Facebook</v>
      </c>
      <c r="G2772" s="41" t="s">
        <v>4761</v>
      </c>
      <c r="H2772" s="36"/>
      <c r="I2772" s="36"/>
      <c r="J2772" s="41" t="s">
        <v>188</v>
      </c>
      <c r="K2772" s="42"/>
      <c r="L2772" s="42"/>
    </row>
    <row r="2773">
      <c r="A2773" s="18">
        <v>2772.0</v>
      </c>
      <c r="B2773" s="76" t="s">
        <v>4755</v>
      </c>
      <c r="C2773" s="73" t="s">
        <v>4762</v>
      </c>
      <c r="D2773" s="41"/>
      <c r="E2773" s="41" t="s">
        <v>197</v>
      </c>
      <c r="F2773" s="41" t="str">
        <f>IFERROR(__xludf.DUMMYFUNCTION("if(REGEXMATCH(C2773,""x.com"")=TRUE,""Twitter"",if(REGEXMATCH(C2773,""facebook"")=TRUE,""Facebook"",if(REGEXMATCH(C2773,""instagram"")=TRUE,""Instagram"",if(REGEXMATCH(C2773,""youtube"")=TRUE,""Youtube"",if(REGEXMATCH(C2773,""tiktok"")=TRUE,""Tiktok"",if("&amp;"REGEXMATCH(C2773,""threads"")=TRUE,""Threads""))))))"),"Facebook")</f>
        <v>Facebook</v>
      </c>
      <c r="G2773" s="41" t="s">
        <v>4763</v>
      </c>
      <c r="H2773" s="36"/>
      <c r="I2773" s="36"/>
      <c r="J2773" s="41" t="s">
        <v>188</v>
      </c>
      <c r="K2773" s="42"/>
      <c r="L2773" s="42"/>
    </row>
    <row r="2774">
      <c r="A2774" s="18">
        <v>2773.0</v>
      </c>
      <c r="B2774" s="76" t="s">
        <v>4755</v>
      </c>
      <c r="C2774" s="73" t="s">
        <v>4764</v>
      </c>
      <c r="D2774" s="41"/>
      <c r="E2774" s="41" t="s">
        <v>197</v>
      </c>
      <c r="F2774" s="41" t="str">
        <f>IFERROR(__xludf.DUMMYFUNCTION("if(REGEXMATCH(C2774,""x.com"")=TRUE,""Twitter"",if(REGEXMATCH(C2774,""facebook"")=TRUE,""Facebook"",if(REGEXMATCH(C2774,""instagram"")=TRUE,""Instagram"",if(REGEXMATCH(C2774,""youtube"")=TRUE,""Youtube"",if(REGEXMATCH(C2774,""tiktok"")=TRUE,""Tiktok"",if("&amp;"REGEXMATCH(C2774,""threads"")=TRUE,""Threads""))))))"),"Facebook")</f>
        <v>Facebook</v>
      </c>
      <c r="G2774" s="41" t="s">
        <v>4765</v>
      </c>
      <c r="H2774" s="36"/>
      <c r="I2774" s="36"/>
      <c r="J2774" s="41" t="s">
        <v>188</v>
      </c>
      <c r="K2774" s="42"/>
      <c r="L2774" s="42"/>
    </row>
    <row r="2775">
      <c r="A2775" s="18">
        <v>2774.0</v>
      </c>
      <c r="B2775" s="76" t="s">
        <v>4755</v>
      </c>
      <c r="C2775" s="73" t="s">
        <v>4766</v>
      </c>
      <c r="D2775" s="41"/>
      <c r="E2775" s="41" t="s">
        <v>372</v>
      </c>
      <c r="F2775" s="41" t="str">
        <f>IFERROR(__xludf.DUMMYFUNCTION("if(REGEXMATCH(C2775,""x.com"")=TRUE,""Twitter"",if(REGEXMATCH(C2775,""facebook"")=TRUE,""Facebook"",if(REGEXMATCH(C2775,""instagram"")=TRUE,""Instagram"",if(REGEXMATCH(C2775,""youtube"")=TRUE,""Youtube"",if(REGEXMATCH(C2775,""tiktok"")=TRUE,""Tiktok"",if("&amp;"REGEXMATCH(C2775,""threads"")=TRUE,""Threads""))))))"),"Facebook")</f>
        <v>Facebook</v>
      </c>
      <c r="G2775" s="41" t="s">
        <v>4767</v>
      </c>
      <c r="H2775" s="36"/>
      <c r="I2775" s="36"/>
      <c r="J2775" s="41" t="s">
        <v>188</v>
      </c>
      <c r="K2775" s="42"/>
      <c r="L2775" s="42"/>
    </row>
    <row r="2776">
      <c r="A2776" s="18">
        <v>2775.0</v>
      </c>
      <c r="B2776" s="76" t="s">
        <v>4755</v>
      </c>
      <c r="C2776" s="73" t="s">
        <v>4768</v>
      </c>
      <c r="D2776" s="41"/>
      <c r="E2776" s="41" t="s">
        <v>197</v>
      </c>
      <c r="F2776" s="41" t="str">
        <f>IFERROR(__xludf.DUMMYFUNCTION("if(REGEXMATCH(C2776,""x.com"")=TRUE,""Twitter"",if(REGEXMATCH(C2776,""facebook"")=TRUE,""Facebook"",if(REGEXMATCH(C2776,""instagram"")=TRUE,""Instagram"",if(REGEXMATCH(C2776,""youtube"")=TRUE,""Youtube"",if(REGEXMATCH(C2776,""tiktok"")=TRUE,""Tiktok"",if("&amp;"REGEXMATCH(C2776,""threads"")=TRUE,""Threads""))))))"),"Facebook")</f>
        <v>Facebook</v>
      </c>
      <c r="G2776" s="41" t="s">
        <v>4769</v>
      </c>
      <c r="H2776" s="36"/>
      <c r="I2776" s="36"/>
      <c r="J2776" s="41" t="s">
        <v>188</v>
      </c>
      <c r="K2776" s="42"/>
      <c r="L2776" s="42"/>
    </row>
    <row r="2777">
      <c r="A2777" s="18">
        <v>2776.0</v>
      </c>
      <c r="B2777" s="76" t="s">
        <v>4755</v>
      </c>
      <c r="C2777" s="73" t="s">
        <v>4770</v>
      </c>
      <c r="D2777" s="41"/>
      <c r="E2777" s="41" t="s">
        <v>372</v>
      </c>
      <c r="F2777" s="41" t="str">
        <f>IFERROR(__xludf.DUMMYFUNCTION("if(REGEXMATCH(C2777,""x.com"")=TRUE,""Twitter"",if(REGEXMATCH(C2777,""facebook"")=TRUE,""Facebook"",if(REGEXMATCH(C2777,""instagram"")=TRUE,""Instagram"",if(REGEXMATCH(C2777,""youtube"")=TRUE,""Youtube"",if(REGEXMATCH(C2777,""tiktok"")=TRUE,""Tiktok"",if("&amp;"REGEXMATCH(C2777,""threads"")=TRUE,""Threads""))))))"),"Facebook")</f>
        <v>Facebook</v>
      </c>
      <c r="G2777" s="41" t="s">
        <v>4771</v>
      </c>
      <c r="H2777" s="36"/>
      <c r="I2777" s="36"/>
      <c r="J2777" s="41" t="s">
        <v>188</v>
      </c>
      <c r="K2777" s="42"/>
      <c r="L2777" s="42"/>
    </row>
    <row r="2778">
      <c r="A2778" s="18">
        <v>2777.0</v>
      </c>
      <c r="B2778" s="76" t="s">
        <v>4755</v>
      </c>
      <c r="C2778" s="73" t="s">
        <v>4772</v>
      </c>
      <c r="D2778" s="41"/>
      <c r="E2778" s="41" t="s">
        <v>197</v>
      </c>
      <c r="F2778" s="51" t="str">
        <f>IFERROR(__xludf.DUMMYFUNCTION("if(REGEXMATCH(C2778,""x.com"")=TRUE,""Twitter"",if(REGEXMATCH(C2778,""facebook"")=TRUE,""Facebook"",if(REGEXMATCH(C2778,""instagram"")=TRUE,""Instagram"",if(REGEXMATCH(C2778,""youtube"")=TRUE,""Youtube"",if(REGEXMATCH(C2778,""tiktok"")=TRUE,""Tiktok"",if("&amp;"REGEXMATCH(C2778,""threads"")=TRUE,""Threads""))))))"),"Facebook")</f>
        <v>Facebook</v>
      </c>
      <c r="G2778" s="41" t="s">
        <v>4773</v>
      </c>
      <c r="H2778" s="36"/>
      <c r="I2778" s="36"/>
      <c r="J2778" s="41" t="s">
        <v>188</v>
      </c>
      <c r="K2778" s="42"/>
      <c r="L2778" s="42"/>
    </row>
    <row r="2779">
      <c r="A2779" s="18">
        <v>2778.0</v>
      </c>
      <c r="B2779" s="76" t="s">
        <v>4755</v>
      </c>
      <c r="C2779" s="73" t="s">
        <v>4774</v>
      </c>
      <c r="D2779" s="41"/>
      <c r="E2779" s="41" t="s">
        <v>4703</v>
      </c>
      <c r="F2779" s="41" t="str">
        <f>IFERROR(__xludf.DUMMYFUNCTION("if(REGEXMATCH(C2779,""x.com"")=TRUE,""Twitter"",if(REGEXMATCH(C2779,""facebook"")=TRUE,""Facebook"",if(REGEXMATCH(C2779,""instagram"")=TRUE,""Instagram"",if(REGEXMATCH(C2779,""youtube"")=TRUE,""Youtube"",if(REGEXMATCH(C2779,""tiktok"")=TRUE,""Tiktok"",if("&amp;"REGEXMATCH(C2779,""threads"")=TRUE,""Threads""))))))"),"Facebook")</f>
        <v>Facebook</v>
      </c>
      <c r="G2779" s="41" t="s">
        <v>4775</v>
      </c>
      <c r="H2779" s="35"/>
      <c r="I2779" s="35"/>
      <c r="J2779" s="41" t="s">
        <v>188</v>
      </c>
      <c r="K2779" s="42"/>
      <c r="L2779" s="42"/>
    </row>
    <row r="2780">
      <c r="A2780" s="18">
        <v>2779.0</v>
      </c>
      <c r="B2780" s="76" t="s">
        <v>4776</v>
      </c>
      <c r="C2780" s="40" t="s">
        <v>4777</v>
      </c>
      <c r="D2780" s="41"/>
      <c r="E2780" s="41" t="s">
        <v>230</v>
      </c>
      <c r="F2780" s="41" t="str">
        <f>IFERROR(__xludf.DUMMYFUNCTION("if(REGEXMATCH(C2780,""x.com"")=TRUE,""Twitter"",if(REGEXMATCH(C2780,""facebook"")=TRUE,""Facebook"",if(REGEXMATCH(C2780,""instagram"")=TRUE,""Instagram"",if(REGEXMATCH(C2780,""youtube"")=TRUE,""Youtube"",if(REGEXMATCH(C2780,""tiktok"")=TRUE,""Tiktok"",if("&amp;"REGEXMATCH(C2780,""threads"")=TRUE,""Threads""))))))"),"Facebook")</f>
        <v>Facebook</v>
      </c>
      <c r="G2780" s="41" t="s">
        <v>4778</v>
      </c>
      <c r="H2780" s="43" t="s">
        <v>4398</v>
      </c>
      <c r="I2780" s="43" t="s">
        <v>4399</v>
      </c>
      <c r="J2780" s="41"/>
      <c r="K2780" s="42"/>
      <c r="L2780" s="42"/>
    </row>
    <row r="2781">
      <c r="A2781" s="18">
        <v>2780.0</v>
      </c>
      <c r="B2781" s="76" t="s">
        <v>4776</v>
      </c>
      <c r="C2781" s="40" t="s">
        <v>4779</v>
      </c>
      <c r="D2781" s="41"/>
      <c r="E2781" s="41" t="s">
        <v>4590</v>
      </c>
      <c r="F2781" s="41" t="str">
        <f>IFERROR(__xludf.DUMMYFUNCTION("if(REGEXMATCH(C2781,""x.com"")=TRUE,""Twitter"",if(REGEXMATCH(C2781,""facebook"")=TRUE,""Facebook"",if(REGEXMATCH(C2781,""instagram"")=TRUE,""Instagram"",if(REGEXMATCH(C2781,""youtube"")=TRUE,""Youtube"",if(REGEXMATCH(C2781,""tiktok"")=TRUE,""Tiktok"",if("&amp;"REGEXMATCH(C2781,""threads"")=TRUE,""Threads""))))))"),"Facebook")</f>
        <v>Facebook</v>
      </c>
      <c r="G2781" s="41" t="s">
        <v>4780</v>
      </c>
      <c r="H2781" s="36"/>
      <c r="I2781" s="36"/>
      <c r="J2781" s="41"/>
      <c r="K2781" s="42"/>
      <c r="L2781" s="42"/>
    </row>
    <row r="2782">
      <c r="A2782" s="18">
        <v>2781.0</v>
      </c>
      <c r="B2782" s="76" t="s">
        <v>4776</v>
      </c>
      <c r="C2782" s="40" t="s">
        <v>4781</v>
      </c>
      <c r="D2782" s="41"/>
      <c r="E2782" s="41" t="s">
        <v>4590</v>
      </c>
      <c r="F2782" s="41" t="str">
        <f>IFERROR(__xludf.DUMMYFUNCTION("if(REGEXMATCH(C2782,""x.com"")=TRUE,""Twitter"",if(REGEXMATCH(C2782,""facebook"")=TRUE,""Facebook"",if(REGEXMATCH(C2782,""instagram"")=TRUE,""Instagram"",if(REGEXMATCH(C2782,""youtube"")=TRUE,""Youtube"",if(REGEXMATCH(C2782,""tiktok"")=TRUE,""Tiktok"",if("&amp;"REGEXMATCH(C2782,""threads"")=TRUE,""Threads""))))))"),"Facebook")</f>
        <v>Facebook</v>
      </c>
      <c r="G2782" s="41" t="s">
        <v>4780</v>
      </c>
      <c r="H2782" s="36"/>
      <c r="I2782" s="36"/>
      <c r="J2782" s="41"/>
      <c r="K2782" s="42"/>
      <c r="L2782" s="42"/>
    </row>
    <row r="2783">
      <c r="A2783" s="18">
        <v>2782.0</v>
      </c>
      <c r="B2783" s="76" t="s">
        <v>4776</v>
      </c>
      <c r="C2783" s="40" t="s">
        <v>4782</v>
      </c>
      <c r="D2783" s="41"/>
      <c r="E2783" s="41" t="s">
        <v>447</v>
      </c>
      <c r="F2783" s="41" t="str">
        <f>IFERROR(__xludf.DUMMYFUNCTION("if(REGEXMATCH(C2783,""x.com"")=TRUE,""Twitter"",if(REGEXMATCH(C2783,""facebook"")=TRUE,""Facebook"",if(REGEXMATCH(C2783,""instagram"")=TRUE,""Instagram"",if(REGEXMATCH(C2783,""youtube"")=TRUE,""Youtube"",if(REGEXMATCH(C2783,""tiktok"")=TRUE,""Tiktok"",if("&amp;"REGEXMATCH(C2783,""threads"")=TRUE,""Threads""))))))"),"Twitter")</f>
        <v>Twitter</v>
      </c>
      <c r="G2783" s="41" t="s">
        <v>4783</v>
      </c>
      <c r="H2783" s="36"/>
      <c r="I2783" s="36"/>
      <c r="J2783" s="41"/>
      <c r="K2783" s="42"/>
      <c r="L2783" s="42"/>
    </row>
    <row r="2784">
      <c r="A2784" s="18">
        <v>2783.0</v>
      </c>
      <c r="B2784" s="76" t="s">
        <v>4776</v>
      </c>
      <c r="C2784" s="40" t="s">
        <v>4784</v>
      </c>
      <c r="D2784" s="41"/>
      <c r="E2784" s="41" t="s">
        <v>447</v>
      </c>
      <c r="F2784" s="41" t="str">
        <f>IFERROR(__xludf.DUMMYFUNCTION("if(REGEXMATCH(C2784,""x.com"")=TRUE,""Twitter"",if(REGEXMATCH(C2784,""facebook"")=TRUE,""Facebook"",if(REGEXMATCH(C2784,""instagram"")=TRUE,""Instagram"",if(REGEXMATCH(C2784,""youtube"")=TRUE,""Youtube"",if(REGEXMATCH(C2784,""tiktok"")=TRUE,""Tiktok"",if("&amp;"REGEXMATCH(C2784,""threads"")=TRUE,""Threads""))))))"),"Twitter")</f>
        <v>Twitter</v>
      </c>
      <c r="G2784" s="41" t="s">
        <v>4785</v>
      </c>
      <c r="H2784" s="36"/>
      <c r="I2784" s="36"/>
      <c r="J2784" s="41"/>
      <c r="K2784" s="42"/>
      <c r="L2784" s="42"/>
    </row>
    <row r="2785">
      <c r="A2785" s="18">
        <v>2784.0</v>
      </c>
      <c r="B2785" s="76" t="s">
        <v>4776</v>
      </c>
      <c r="C2785" s="40" t="s">
        <v>4786</v>
      </c>
      <c r="D2785" s="41"/>
      <c r="E2785" s="41" t="s">
        <v>557</v>
      </c>
      <c r="F2785" s="41" t="s">
        <v>686</v>
      </c>
      <c r="G2785" s="41" t="s">
        <v>4787</v>
      </c>
      <c r="H2785" s="36"/>
      <c r="I2785" s="36"/>
      <c r="J2785" s="41"/>
      <c r="K2785" s="42"/>
      <c r="L2785" s="42"/>
    </row>
    <row r="2786">
      <c r="A2786" s="18">
        <v>2785.0</v>
      </c>
      <c r="B2786" s="76" t="s">
        <v>4776</v>
      </c>
      <c r="C2786" s="40" t="s">
        <v>4788</v>
      </c>
      <c r="D2786" s="41"/>
      <c r="E2786" s="41" t="s">
        <v>4789</v>
      </c>
      <c r="F2786" s="41" t="s">
        <v>686</v>
      </c>
      <c r="G2786" s="41" t="s">
        <v>4790</v>
      </c>
      <c r="H2786" s="36"/>
      <c r="I2786" s="36"/>
      <c r="J2786" s="41"/>
      <c r="K2786" s="42"/>
      <c r="L2786" s="42"/>
    </row>
    <row r="2787">
      <c r="A2787" s="18">
        <v>2786.0</v>
      </c>
      <c r="B2787" s="76" t="s">
        <v>4776</v>
      </c>
      <c r="C2787" s="40" t="s">
        <v>4791</v>
      </c>
      <c r="D2787" s="41"/>
      <c r="E2787" s="41" t="s">
        <v>1645</v>
      </c>
      <c r="F2787" s="41" t="s">
        <v>686</v>
      </c>
      <c r="G2787" s="41" t="s">
        <v>4792</v>
      </c>
      <c r="H2787" s="36"/>
      <c r="I2787" s="36"/>
      <c r="J2787" s="41"/>
      <c r="K2787" s="42"/>
      <c r="L2787" s="42"/>
    </row>
    <row r="2788">
      <c r="A2788" s="18">
        <v>2787.0</v>
      </c>
      <c r="B2788" s="76" t="s">
        <v>4776</v>
      </c>
      <c r="C2788" s="40" t="s">
        <v>4793</v>
      </c>
      <c r="D2788" s="41"/>
      <c r="E2788" s="41" t="s">
        <v>447</v>
      </c>
      <c r="F2788" s="41" t="s">
        <v>686</v>
      </c>
      <c r="G2788" s="41" t="s">
        <v>4794</v>
      </c>
      <c r="H2788" s="36"/>
      <c r="I2788" s="36"/>
      <c r="J2788" s="41"/>
      <c r="K2788" s="42"/>
      <c r="L2788" s="42"/>
    </row>
    <row r="2789">
      <c r="A2789" s="18">
        <v>2788.0</v>
      </c>
      <c r="B2789" s="76" t="s">
        <v>4776</v>
      </c>
      <c r="C2789" s="40" t="s">
        <v>4795</v>
      </c>
      <c r="D2789" s="41"/>
      <c r="E2789" s="41" t="s">
        <v>447</v>
      </c>
      <c r="F2789" s="41" t="s">
        <v>686</v>
      </c>
      <c r="G2789" s="41" t="s">
        <v>4796</v>
      </c>
      <c r="H2789" s="36"/>
      <c r="I2789" s="36"/>
      <c r="J2789" s="41"/>
      <c r="K2789" s="42"/>
      <c r="L2789" s="42"/>
    </row>
    <row r="2790">
      <c r="A2790" s="18">
        <v>2789.0</v>
      </c>
      <c r="B2790" s="76" t="s">
        <v>4776</v>
      </c>
      <c r="C2790" s="40" t="s">
        <v>4797</v>
      </c>
      <c r="D2790" s="41"/>
      <c r="E2790" s="41" t="s">
        <v>447</v>
      </c>
      <c r="F2790" s="41" t="s">
        <v>686</v>
      </c>
      <c r="G2790" s="41" t="s">
        <v>4798</v>
      </c>
      <c r="H2790" s="36"/>
      <c r="I2790" s="36"/>
      <c r="J2790" s="41"/>
      <c r="K2790" s="42"/>
      <c r="L2790" s="42"/>
    </row>
    <row r="2791">
      <c r="A2791" s="18">
        <v>2790.0</v>
      </c>
      <c r="B2791" s="76" t="s">
        <v>4776</v>
      </c>
      <c r="C2791" s="40" t="s">
        <v>4799</v>
      </c>
      <c r="D2791" s="41"/>
      <c r="E2791" s="41" t="s">
        <v>447</v>
      </c>
      <c r="F2791" s="41" t="s">
        <v>686</v>
      </c>
      <c r="G2791" s="41" t="s">
        <v>4800</v>
      </c>
      <c r="H2791" s="36"/>
      <c r="I2791" s="36"/>
      <c r="J2791" s="41"/>
      <c r="K2791" s="42"/>
      <c r="L2791" s="42"/>
    </row>
    <row r="2792">
      <c r="A2792" s="18">
        <v>2791.0</v>
      </c>
      <c r="B2792" s="76" t="s">
        <v>4776</v>
      </c>
      <c r="C2792" s="40" t="s">
        <v>4801</v>
      </c>
      <c r="D2792" s="41"/>
      <c r="E2792" s="41" t="s">
        <v>557</v>
      </c>
      <c r="F2792" s="41" t="str">
        <f>IFERROR(__xludf.DUMMYFUNCTION("if(REGEXMATCH(C2782,""x.com"")=TRUE,""Twitter"",if(REGEXMATCH(C2782,""facebook"")=TRUE,""Facebook"",if(REGEXMATCH(C2782,""instagram"")=TRUE,""Instagram"",if(REGEXMATCH(C2782,""youtube"")=TRUE,""Youtube"",if(REGEXMATCH(C2782,""tiktok"")=TRUE,""Tiktok"",if("&amp;"REGEXMATCH(C2782,""threads"")=TRUE,""Threads""))))))"),"Facebook")</f>
        <v>Facebook</v>
      </c>
      <c r="G2792" s="41" t="s">
        <v>4802</v>
      </c>
      <c r="H2792" s="35"/>
      <c r="I2792" s="35"/>
      <c r="J2792" s="41"/>
      <c r="K2792" s="42"/>
      <c r="L2792" s="42"/>
    </row>
    <row r="2793">
      <c r="A2793" s="18">
        <v>2792.0</v>
      </c>
      <c r="B2793" s="76" t="s">
        <v>4776</v>
      </c>
      <c r="C2793" s="73" t="s">
        <v>4803</v>
      </c>
      <c r="D2793" s="41"/>
      <c r="E2793" s="41" t="s">
        <v>4730</v>
      </c>
      <c r="F2793" s="41" t="str">
        <f>IFERROR(__xludf.DUMMYFUNCTION("if(REGEXMATCH(C2793,""x.com"")=TRUE,""Twitter"",if(REGEXMATCH(C2793,""facebook"")=TRUE,""Facebook"",if(REGEXMATCH(C2793,""instagram"")=TRUE,""Instagram"",if(REGEXMATCH(C2793,""youtube"")=TRUE,""Youtube"",if(REGEXMATCH(C2793,""tiktok"")=TRUE,""Tiktok"",if("&amp;"REGEXMATCH(C2793,""threads"")=TRUE,""Threads""))))))"),"Twitter")</f>
        <v>Twitter</v>
      </c>
      <c r="G2793" s="41" t="s">
        <v>4731</v>
      </c>
      <c r="H2793" s="41" t="s">
        <v>4732</v>
      </c>
      <c r="I2793" s="41" t="s">
        <v>4733</v>
      </c>
      <c r="J2793" s="41"/>
      <c r="K2793" s="42"/>
      <c r="L2793" s="42"/>
    </row>
    <row r="2794">
      <c r="A2794" s="18">
        <v>2793.0</v>
      </c>
      <c r="B2794" s="76" t="s">
        <v>4776</v>
      </c>
      <c r="C2794" s="40" t="s">
        <v>4804</v>
      </c>
      <c r="D2794" s="41"/>
      <c r="E2794" s="41" t="s">
        <v>4730</v>
      </c>
      <c r="F2794" s="41" t="str">
        <f>IFERROR(__xludf.DUMMYFUNCTION("if(REGEXMATCH(C2794,""x.com"")=TRUE,""Twitter"",if(REGEXMATCH(C2794,""facebook"")=TRUE,""Facebook"",if(REGEXMATCH(C2794,""instagram"")=TRUE,""Instagram"",if(REGEXMATCH(C2794,""youtube"")=TRUE,""Youtube"",if(REGEXMATCH(C2794,""tiktok"")=TRUE,""Tiktok"",if("&amp;"REGEXMATCH(C2794,""threads"")=TRUE,""Threads""))))))"),"Twitter")</f>
        <v>Twitter</v>
      </c>
      <c r="G2794" s="41" t="s">
        <v>4731</v>
      </c>
      <c r="H2794" s="41" t="s">
        <v>4732</v>
      </c>
      <c r="I2794" s="41" t="s">
        <v>4733</v>
      </c>
      <c r="J2794" s="41"/>
      <c r="K2794" s="42"/>
      <c r="L2794" s="42"/>
    </row>
    <row r="2795">
      <c r="A2795" s="18">
        <v>2794.0</v>
      </c>
      <c r="B2795" s="76" t="s">
        <v>4776</v>
      </c>
      <c r="C2795" s="40" t="s">
        <v>4805</v>
      </c>
      <c r="D2795" s="41"/>
      <c r="E2795" s="41" t="s">
        <v>4730</v>
      </c>
      <c r="F2795" s="41" t="str">
        <f>IFERROR(__xludf.DUMMYFUNCTION("if(REGEXMATCH(C2795,""x.com"")=TRUE,""Twitter"",if(REGEXMATCH(C2795,""facebook"")=TRUE,""Facebook"",if(REGEXMATCH(C2795,""instagram"")=TRUE,""Instagram"",if(REGEXMATCH(C2795,""youtube"")=TRUE,""Youtube"",if(REGEXMATCH(C2795,""tiktok"")=TRUE,""Tiktok"",if("&amp;"REGEXMATCH(C2795,""threads"")=TRUE,""Threads""))))))"),"Twitter")</f>
        <v>Twitter</v>
      </c>
      <c r="G2795" s="41" t="s">
        <v>4731</v>
      </c>
      <c r="H2795" s="41" t="s">
        <v>4732</v>
      </c>
      <c r="I2795" s="41" t="s">
        <v>4733</v>
      </c>
      <c r="J2795" s="41"/>
      <c r="K2795" s="42"/>
      <c r="L2795" s="42"/>
    </row>
    <row r="2796">
      <c r="A2796" s="18">
        <v>2795.0</v>
      </c>
      <c r="B2796" s="76" t="s">
        <v>4776</v>
      </c>
      <c r="C2796" s="40" t="s">
        <v>4806</v>
      </c>
      <c r="D2796" s="41"/>
      <c r="E2796" s="41" t="s">
        <v>4730</v>
      </c>
      <c r="F2796" s="41" t="str">
        <f>IFERROR(__xludf.DUMMYFUNCTION("if(REGEXMATCH(C2796,""x.com"")=TRUE,""Twitter"",if(REGEXMATCH(C2796,""facebook"")=TRUE,""Facebook"",if(REGEXMATCH(C2796,""instagram"")=TRUE,""Instagram"",if(REGEXMATCH(C2796,""youtube"")=TRUE,""Youtube"",if(REGEXMATCH(C2796,""tiktok"")=TRUE,""Tiktok"",if("&amp;"REGEXMATCH(C2796,""threads"")=TRUE,""Threads""))))))"),"Twitter")</f>
        <v>Twitter</v>
      </c>
      <c r="G2796" s="41" t="s">
        <v>4731</v>
      </c>
      <c r="H2796" s="41" t="s">
        <v>4732</v>
      </c>
      <c r="I2796" s="41" t="s">
        <v>4733</v>
      </c>
      <c r="J2796" s="41"/>
      <c r="K2796" s="42"/>
      <c r="L2796" s="42"/>
    </row>
    <row r="2797">
      <c r="A2797" s="18">
        <v>2796.0</v>
      </c>
      <c r="B2797" s="76" t="s">
        <v>4776</v>
      </c>
      <c r="C2797" s="40" t="s">
        <v>4807</v>
      </c>
      <c r="D2797" s="41"/>
      <c r="E2797" s="41" t="s">
        <v>4730</v>
      </c>
      <c r="F2797" s="41" t="str">
        <f>IFERROR(__xludf.DUMMYFUNCTION("if(REGEXMATCH(C2797,""x.com"")=TRUE,""Twitter"",if(REGEXMATCH(C2797,""facebook"")=TRUE,""Facebook"",if(REGEXMATCH(C2797,""instagram"")=TRUE,""Instagram"",if(REGEXMATCH(C2797,""youtube"")=TRUE,""Youtube"",if(REGEXMATCH(C2797,""tiktok"")=TRUE,""Tiktok"",if("&amp;"REGEXMATCH(C2797,""threads"")=TRUE,""Threads""))))))"),"Twitter")</f>
        <v>Twitter</v>
      </c>
      <c r="G2797" s="41" t="s">
        <v>4731</v>
      </c>
      <c r="H2797" s="41" t="s">
        <v>4732</v>
      </c>
      <c r="I2797" s="41" t="s">
        <v>4733</v>
      </c>
      <c r="J2797" s="41"/>
      <c r="K2797" s="42"/>
      <c r="L2797" s="42"/>
    </row>
    <row r="2798">
      <c r="A2798" s="18">
        <v>2797.0</v>
      </c>
      <c r="B2798" s="76" t="s">
        <v>4776</v>
      </c>
      <c r="C2798" s="40" t="s">
        <v>4808</v>
      </c>
      <c r="D2798" s="41"/>
      <c r="E2798" s="41" t="s">
        <v>4730</v>
      </c>
      <c r="F2798" s="41" t="str">
        <f>IFERROR(__xludf.DUMMYFUNCTION("if(REGEXMATCH(C2798,""x.com"")=TRUE,""Twitter"",if(REGEXMATCH(C2798,""facebook"")=TRUE,""Facebook"",if(REGEXMATCH(C2798,""instagram"")=TRUE,""Instagram"",if(REGEXMATCH(C2798,""youtube"")=TRUE,""Youtube"",if(REGEXMATCH(C2798,""tiktok"")=TRUE,""Tiktok"",if("&amp;"REGEXMATCH(C2798,""threads"")=TRUE,""Threads""))))))"),"Twitter")</f>
        <v>Twitter</v>
      </c>
      <c r="G2798" s="41" t="s">
        <v>4731</v>
      </c>
      <c r="H2798" s="41" t="s">
        <v>4732</v>
      </c>
      <c r="I2798" s="41" t="s">
        <v>4733</v>
      </c>
      <c r="J2798" s="41"/>
      <c r="K2798" s="42"/>
      <c r="L2798" s="42"/>
    </row>
    <row r="2799">
      <c r="A2799" s="18">
        <v>2798.0</v>
      </c>
      <c r="B2799" s="76" t="s">
        <v>4776</v>
      </c>
      <c r="C2799" s="40" t="s">
        <v>4809</v>
      </c>
      <c r="D2799" s="41"/>
      <c r="E2799" s="41" t="s">
        <v>4730</v>
      </c>
      <c r="F2799" s="41" t="str">
        <f>IFERROR(__xludf.DUMMYFUNCTION("if(REGEXMATCH(C2799,""x.com"")=TRUE,""Twitter"",if(REGEXMATCH(C2799,""facebook"")=TRUE,""Facebook"",if(REGEXMATCH(C2799,""instagram"")=TRUE,""Instagram"",if(REGEXMATCH(C2799,""youtube"")=TRUE,""Youtube"",if(REGEXMATCH(C2799,""tiktok"")=TRUE,""Tiktok"",if("&amp;"REGEXMATCH(C2799,""threads"")=TRUE,""Threads""))))))"),"Twitter")</f>
        <v>Twitter</v>
      </c>
      <c r="G2799" s="41" t="s">
        <v>4731</v>
      </c>
      <c r="H2799" s="41" t="s">
        <v>4732</v>
      </c>
      <c r="I2799" s="41" t="s">
        <v>4733</v>
      </c>
      <c r="J2799" s="41"/>
      <c r="K2799" s="42"/>
      <c r="L2799" s="42"/>
    </row>
    <row r="2800">
      <c r="A2800" s="18">
        <v>2799.0</v>
      </c>
      <c r="B2800" s="76" t="s">
        <v>4776</v>
      </c>
      <c r="C2800" s="40" t="s">
        <v>4810</v>
      </c>
      <c r="D2800" s="41"/>
      <c r="E2800" s="41" t="s">
        <v>4730</v>
      </c>
      <c r="F2800" s="41" t="str">
        <f>IFERROR(__xludf.DUMMYFUNCTION("if(REGEXMATCH(C2800,""x.com"")=TRUE,""Twitter"",if(REGEXMATCH(C2800,""facebook"")=TRUE,""Facebook"",if(REGEXMATCH(C2800,""instagram"")=TRUE,""Instagram"",if(REGEXMATCH(C2800,""youtube"")=TRUE,""Youtube"",if(REGEXMATCH(C2800,""tiktok"")=TRUE,""Tiktok"",if("&amp;"REGEXMATCH(C2800,""threads"")=TRUE,""Threads""))))))"),"Instagram")</f>
        <v>Instagram</v>
      </c>
      <c r="G2800" s="41" t="s">
        <v>4731</v>
      </c>
      <c r="H2800" s="41" t="s">
        <v>4732</v>
      </c>
      <c r="I2800" s="41" t="s">
        <v>4733</v>
      </c>
      <c r="J2800" s="41"/>
      <c r="K2800" s="42"/>
      <c r="L2800" s="42"/>
    </row>
    <row r="2801">
      <c r="A2801" s="18">
        <v>2800.0</v>
      </c>
      <c r="B2801" s="76" t="s">
        <v>4776</v>
      </c>
      <c r="C2801" s="40" t="s">
        <v>4811</v>
      </c>
      <c r="D2801" s="41"/>
      <c r="E2801" s="41" t="s">
        <v>4730</v>
      </c>
      <c r="F2801" s="41" t="str">
        <f>IFERROR(__xludf.DUMMYFUNCTION("if(REGEXMATCH(C2801,""x.com"")=TRUE,""Twitter"",if(REGEXMATCH(C2801,""facebook"")=TRUE,""Facebook"",if(REGEXMATCH(C2801,""instagram"")=TRUE,""Instagram"",if(REGEXMATCH(C2801,""youtube"")=TRUE,""Youtube"",if(REGEXMATCH(C2801,""tiktok"")=TRUE,""Tiktok"",if("&amp;"REGEXMATCH(C2801,""threads"")=TRUE,""Threads""))))))"),"Instagram")</f>
        <v>Instagram</v>
      </c>
      <c r="G2801" s="41" t="s">
        <v>4731</v>
      </c>
      <c r="H2801" s="41" t="s">
        <v>4732</v>
      </c>
      <c r="I2801" s="41" t="s">
        <v>4733</v>
      </c>
      <c r="J2801" s="41"/>
      <c r="K2801" s="42"/>
      <c r="L2801" s="42"/>
    </row>
    <row r="2802">
      <c r="A2802" s="18">
        <v>2801.0</v>
      </c>
      <c r="B2802" s="76" t="s">
        <v>4776</v>
      </c>
      <c r="C2802" s="40" t="s">
        <v>4812</v>
      </c>
      <c r="D2802" s="41"/>
      <c r="E2802" s="41" t="s">
        <v>4730</v>
      </c>
      <c r="F2802" s="41" t="str">
        <f>IFERROR(__xludf.DUMMYFUNCTION("if(REGEXMATCH(C2802,""x.com"")=TRUE,""Twitter"",if(REGEXMATCH(C2802,""facebook"")=TRUE,""Facebook"",if(REGEXMATCH(C2802,""instagram"")=TRUE,""Instagram"",if(REGEXMATCH(C2802,""youtube"")=TRUE,""Youtube"",if(REGEXMATCH(C2802,""tiktok"")=TRUE,""Tiktok"",if("&amp;"REGEXMATCH(C2802,""threads"")=TRUE,""Threads""))))))"),"Twitter")</f>
        <v>Twitter</v>
      </c>
      <c r="G2802" s="41" t="s">
        <v>4731</v>
      </c>
      <c r="H2802" s="41" t="s">
        <v>4732</v>
      </c>
      <c r="I2802" s="41" t="s">
        <v>4733</v>
      </c>
      <c r="J2802" s="41"/>
      <c r="K2802" s="42"/>
      <c r="L2802" s="42"/>
    </row>
    <row r="2803">
      <c r="A2803" s="18">
        <v>2802.0</v>
      </c>
      <c r="B2803" s="76" t="s">
        <v>4776</v>
      </c>
      <c r="C2803" s="63" t="s">
        <v>4736</v>
      </c>
      <c r="D2803" s="41"/>
      <c r="E2803" s="41" t="s">
        <v>4730</v>
      </c>
      <c r="F2803" s="41" t="str">
        <f>IFERROR(__xludf.DUMMYFUNCTION("if(REGEXMATCH(C2803,""x.com"")=TRUE,""Twitter"",if(REGEXMATCH(C2803,""facebook"")=TRUE,""Facebook"",if(REGEXMATCH(C2803,""instagram"")=TRUE,""Instagram"",if(REGEXMATCH(C2803,""youtube"")=TRUE,""Youtube"",if(REGEXMATCH(C2803,""tiktok"")=TRUE,""Tiktok"",if("&amp;"REGEXMATCH(C2803,""threads"")=TRUE,""Threads""))))))"),"Twitter")</f>
        <v>Twitter</v>
      </c>
      <c r="G2803" s="41" t="s">
        <v>4731</v>
      </c>
      <c r="H2803" s="41" t="s">
        <v>4732</v>
      </c>
      <c r="I2803" s="41" t="s">
        <v>4733</v>
      </c>
      <c r="J2803" s="41"/>
      <c r="K2803" s="42"/>
      <c r="L2803" s="42"/>
    </row>
    <row r="2804">
      <c r="A2804" s="18">
        <v>2803.0</v>
      </c>
      <c r="B2804" s="76" t="s">
        <v>4776</v>
      </c>
      <c r="C2804" s="63" t="s">
        <v>4813</v>
      </c>
      <c r="D2804" s="41"/>
      <c r="E2804" s="41" t="s">
        <v>4730</v>
      </c>
      <c r="F2804" s="41" t="str">
        <f>IFERROR(__xludf.DUMMYFUNCTION("if(REGEXMATCH(C2804,""x.com"")=TRUE,""Twitter"",if(REGEXMATCH(C2804,""facebook"")=TRUE,""Facebook"",if(REGEXMATCH(C2804,""instagram"")=TRUE,""Instagram"",if(REGEXMATCH(C2804,""youtube"")=TRUE,""Youtube"",if(REGEXMATCH(C2804,""tiktok"")=TRUE,""Tiktok"",if("&amp;"REGEXMATCH(C2804,""threads"")=TRUE,""Threads""))))))"),"Tiktok")</f>
        <v>Tiktok</v>
      </c>
      <c r="G2804" s="41" t="s">
        <v>4731</v>
      </c>
      <c r="H2804" s="41" t="s">
        <v>4732</v>
      </c>
      <c r="I2804" s="41" t="s">
        <v>4733</v>
      </c>
      <c r="J2804" s="41"/>
      <c r="K2804" s="42"/>
      <c r="L2804" s="42"/>
    </row>
    <row r="2805">
      <c r="A2805" s="18">
        <v>2804.0</v>
      </c>
      <c r="B2805" s="76" t="s">
        <v>4776</v>
      </c>
      <c r="C2805" s="63" t="s">
        <v>4814</v>
      </c>
      <c r="D2805" s="41"/>
      <c r="E2805" s="41" t="s">
        <v>4730</v>
      </c>
      <c r="F2805" s="41" t="str">
        <f>IFERROR(__xludf.DUMMYFUNCTION("if(REGEXMATCH(C2805,""x.com"")=TRUE,""Twitter"",if(REGEXMATCH(C2805,""facebook"")=TRUE,""Facebook"",if(REGEXMATCH(C2805,""instagram"")=TRUE,""Instagram"",if(REGEXMATCH(C2805,""youtube"")=TRUE,""Youtube"",if(REGEXMATCH(C2805,""tiktok"")=TRUE,""Tiktok"",if("&amp;"REGEXMATCH(C2805,""threads"")=TRUE,""Threads""))))))"),"Twitter")</f>
        <v>Twitter</v>
      </c>
      <c r="G2805" s="41" t="s">
        <v>4731</v>
      </c>
      <c r="H2805" s="41" t="s">
        <v>4732</v>
      </c>
      <c r="I2805" s="41" t="s">
        <v>4733</v>
      </c>
      <c r="J2805" s="41"/>
      <c r="K2805" s="42"/>
      <c r="L2805" s="42"/>
    </row>
    <row r="2806">
      <c r="A2806" s="18">
        <v>2805.0</v>
      </c>
      <c r="B2806" s="76" t="s">
        <v>4776</v>
      </c>
      <c r="C2806" s="40" t="s">
        <v>4815</v>
      </c>
      <c r="D2806" s="41"/>
      <c r="E2806" s="41" t="s">
        <v>4730</v>
      </c>
      <c r="F2806" s="41" t="str">
        <f>IFERROR(__xludf.DUMMYFUNCTION("if(REGEXMATCH(C2806,""x.com"")=TRUE,""Twitter"",if(REGEXMATCH(C2806,""facebook"")=TRUE,""Facebook"",if(REGEXMATCH(C2806,""instagram"")=TRUE,""Instagram"",if(REGEXMATCH(C2806,""youtube"")=TRUE,""Youtube"",if(REGEXMATCH(C2806,""tiktok"")=TRUE,""Tiktok"",if("&amp;"REGEXMATCH(C2806,""threads"")=TRUE,""Threads""))))))"),"Twitter")</f>
        <v>Twitter</v>
      </c>
      <c r="G2806" s="41" t="s">
        <v>4731</v>
      </c>
      <c r="H2806" s="41" t="s">
        <v>4732</v>
      </c>
      <c r="I2806" s="41" t="s">
        <v>4733</v>
      </c>
      <c r="J2806" s="41"/>
      <c r="K2806" s="42"/>
      <c r="L2806" s="42"/>
    </row>
    <row r="2807">
      <c r="A2807" s="18">
        <v>2806.0</v>
      </c>
      <c r="B2807" s="76" t="s">
        <v>4776</v>
      </c>
      <c r="C2807" s="63" t="s">
        <v>4816</v>
      </c>
      <c r="D2807" s="41"/>
      <c r="E2807" s="41" t="s">
        <v>4730</v>
      </c>
      <c r="F2807" s="41" t="str">
        <f>IFERROR(__xludf.DUMMYFUNCTION("if(REGEXMATCH(C2807,""x.com"")=TRUE,""Twitter"",if(REGEXMATCH(C2807,""facebook"")=TRUE,""Facebook"",if(REGEXMATCH(C2807,""instagram"")=TRUE,""Instagram"",if(REGEXMATCH(C2807,""youtube"")=TRUE,""Youtube"",if(REGEXMATCH(C2807,""tiktok"")=TRUE,""Tiktok"",if("&amp;"REGEXMATCH(C2807,""threads"")=TRUE,""Threads""))))))"),"Tiktok")</f>
        <v>Tiktok</v>
      </c>
      <c r="G2807" s="41" t="s">
        <v>4731</v>
      </c>
      <c r="H2807" s="41" t="s">
        <v>4732</v>
      </c>
      <c r="I2807" s="41" t="s">
        <v>4733</v>
      </c>
      <c r="J2807" s="41"/>
      <c r="K2807" s="42"/>
      <c r="L2807" s="42"/>
    </row>
    <row r="2808">
      <c r="A2808" s="18">
        <v>2807.0</v>
      </c>
      <c r="B2808" s="76" t="s">
        <v>4776</v>
      </c>
      <c r="C2808" s="40" t="s">
        <v>4817</v>
      </c>
      <c r="D2808" s="41"/>
      <c r="E2808" s="41" t="s">
        <v>4730</v>
      </c>
      <c r="F2808" s="41" t="str">
        <f>IFERROR(__xludf.DUMMYFUNCTION("if(REGEXMATCH(C2808,""x.com"")=TRUE,""Twitter"",if(REGEXMATCH(C2808,""facebook"")=TRUE,""Facebook"",if(REGEXMATCH(C2808,""instagram"")=TRUE,""Instagram"",if(REGEXMATCH(C2808,""youtube"")=TRUE,""Youtube"",if(REGEXMATCH(C2808,""tiktok"")=TRUE,""Tiktok"",if("&amp;"REGEXMATCH(C2808,""threads"")=TRUE,""Threads""))))))"),"Tiktok")</f>
        <v>Tiktok</v>
      </c>
      <c r="G2808" s="41" t="s">
        <v>4731</v>
      </c>
      <c r="H2808" s="41" t="s">
        <v>4732</v>
      </c>
      <c r="I2808" s="41" t="s">
        <v>4733</v>
      </c>
      <c r="J2808" s="41"/>
      <c r="K2808" s="42"/>
      <c r="L2808" s="42"/>
    </row>
    <row r="2809">
      <c r="A2809" s="18">
        <v>2808.0</v>
      </c>
      <c r="B2809" s="76" t="s">
        <v>4776</v>
      </c>
      <c r="C2809" s="40" t="s">
        <v>4818</v>
      </c>
      <c r="D2809" s="41"/>
      <c r="E2809" s="41" t="s">
        <v>4730</v>
      </c>
      <c r="F2809" s="41" t="str">
        <f>IFERROR(__xludf.DUMMYFUNCTION("if(REGEXMATCH(C2809,""x.com"")=TRUE,""Twitter"",if(REGEXMATCH(C2809,""facebook"")=TRUE,""Facebook"",if(REGEXMATCH(C2809,""instagram"")=TRUE,""Instagram"",if(REGEXMATCH(C2809,""youtube"")=TRUE,""Youtube"",if(REGEXMATCH(C2809,""tiktok"")=TRUE,""Tiktok"",if("&amp;"REGEXMATCH(C2809,""threads"")=TRUE,""Threads""))))))"),"Tiktok")</f>
        <v>Tiktok</v>
      </c>
      <c r="G2809" s="41" t="s">
        <v>4731</v>
      </c>
      <c r="H2809" s="41" t="s">
        <v>4732</v>
      </c>
      <c r="I2809" s="41" t="s">
        <v>4733</v>
      </c>
      <c r="J2809" s="41"/>
      <c r="K2809" s="42"/>
      <c r="L2809" s="42"/>
    </row>
    <row r="2810">
      <c r="A2810" s="18">
        <v>2809.0</v>
      </c>
      <c r="B2810" s="76" t="s">
        <v>4776</v>
      </c>
      <c r="C2810" s="63" t="s">
        <v>4819</v>
      </c>
      <c r="D2810" s="41"/>
      <c r="E2810" s="41" t="s">
        <v>4730</v>
      </c>
      <c r="F2810" s="41" t="str">
        <f>IFERROR(__xludf.DUMMYFUNCTION("if(REGEXMATCH(C2810,""x.com"")=TRUE,""Twitter"",if(REGEXMATCH(C2810,""facebook"")=TRUE,""Facebook"",if(REGEXMATCH(C2810,""instagram"")=TRUE,""Instagram"",if(REGEXMATCH(C2810,""youtube"")=TRUE,""Youtube"",if(REGEXMATCH(C2810,""tiktok"")=TRUE,""Tiktok"",if("&amp;"REGEXMATCH(C2810,""threads"")=TRUE,""Threads""))))))"),"Facebook")</f>
        <v>Facebook</v>
      </c>
      <c r="G2810" s="41" t="s">
        <v>4731</v>
      </c>
      <c r="H2810" s="41" t="s">
        <v>4732</v>
      </c>
      <c r="I2810" s="41" t="s">
        <v>4733</v>
      </c>
      <c r="J2810" s="41"/>
      <c r="K2810" s="42"/>
      <c r="L2810" s="42"/>
    </row>
    <row r="2811">
      <c r="A2811" s="18">
        <v>2810.0</v>
      </c>
      <c r="B2811" s="76" t="s">
        <v>4776</v>
      </c>
      <c r="C2811" s="46" t="s">
        <v>4820</v>
      </c>
      <c r="D2811" s="41"/>
      <c r="E2811" s="41" t="s">
        <v>4730</v>
      </c>
      <c r="F2811" s="41" t="str">
        <f>IFERROR(__xludf.DUMMYFUNCTION("if(REGEXMATCH(C2811,""x.com"")=TRUE,""Twitter"",if(REGEXMATCH(C2811,""facebook"")=TRUE,""Facebook"",if(REGEXMATCH(C2811,""instagram"")=TRUE,""Instagram"",if(REGEXMATCH(C2811,""youtube"")=TRUE,""Youtube"",if(REGEXMATCH(C2811,""tiktok"")=TRUE,""Tiktok"",if("&amp;"REGEXMATCH(C2811,""threads"")=TRUE,""Threads""))))))"),"Twitter")</f>
        <v>Twitter</v>
      </c>
      <c r="G2811" s="41" t="s">
        <v>4731</v>
      </c>
      <c r="H2811" s="41" t="s">
        <v>4732</v>
      </c>
      <c r="I2811" s="41" t="s">
        <v>4733</v>
      </c>
      <c r="J2811" s="41"/>
      <c r="K2811" s="42"/>
      <c r="L2811" s="42"/>
    </row>
    <row r="2812">
      <c r="A2812" s="18">
        <v>2811.0</v>
      </c>
      <c r="B2812" s="76" t="s">
        <v>4776</v>
      </c>
      <c r="C2812" s="40" t="s">
        <v>4821</v>
      </c>
      <c r="D2812" s="41"/>
      <c r="E2812" s="41" t="s">
        <v>2018</v>
      </c>
      <c r="F2812" s="41" t="str">
        <f>IFERROR(__xludf.DUMMYFUNCTION("if(REGEXMATCH(C2812,""x.com"")=TRUE,""Twitter"",if(REGEXMATCH(C2812,""facebook"")=TRUE,""Facebook"",if(REGEXMATCH(C2812,""instagram"")=TRUE,""Instagram"",if(REGEXMATCH(C2812,""youtube"")=TRUE,""Youtube"",if(REGEXMATCH(C2812,""tiktok"")=TRUE,""Tiktok"",if("&amp;"REGEXMATCH(C2812,""threads"")=TRUE,""Threads""))))))"),"Facebook")</f>
        <v>Facebook</v>
      </c>
      <c r="G2812" s="44" t="s">
        <v>4822</v>
      </c>
      <c r="H2812" s="41" t="s">
        <v>2023</v>
      </c>
      <c r="I2812" s="41"/>
      <c r="J2812" s="41"/>
      <c r="K2812" s="42"/>
      <c r="L2812" s="42"/>
    </row>
    <row r="2813">
      <c r="A2813" s="18">
        <v>2812.0</v>
      </c>
      <c r="B2813" s="76" t="s">
        <v>4776</v>
      </c>
      <c r="C2813" s="44" t="s">
        <v>4823</v>
      </c>
      <c r="D2813" s="41"/>
      <c r="E2813" s="41" t="s">
        <v>2018</v>
      </c>
      <c r="F2813" s="41" t="str">
        <f>IFERROR(__xludf.DUMMYFUNCTION("if(REGEXMATCH(C2813,""x.com"")=TRUE,""Twitter"",if(REGEXMATCH(C2813,""facebook"")=TRUE,""Facebook"",if(REGEXMATCH(C2813,""instagram"")=TRUE,""Instagram"",if(REGEXMATCH(C2813,""youtube"")=TRUE,""Youtube"",if(REGEXMATCH(C2813,""tiktok"")=TRUE,""Tiktok"",if("&amp;"REGEXMATCH(C2813,""threads"")=TRUE,""Threads""))))))"),"Facebook")</f>
        <v>Facebook</v>
      </c>
      <c r="G2813" s="44" t="s">
        <v>4824</v>
      </c>
      <c r="H2813" s="41" t="s">
        <v>2023</v>
      </c>
      <c r="I2813" s="41"/>
      <c r="J2813" s="41"/>
      <c r="K2813" s="42"/>
      <c r="L2813" s="42"/>
    </row>
    <row r="2814">
      <c r="A2814" s="18">
        <v>2813.0</v>
      </c>
      <c r="B2814" s="76" t="s">
        <v>4776</v>
      </c>
      <c r="C2814" s="40" t="s">
        <v>4825</v>
      </c>
      <c r="D2814" s="41"/>
      <c r="E2814" s="41" t="s">
        <v>2018</v>
      </c>
      <c r="F2814" s="41" t="str">
        <f>IFERROR(__xludf.DUMMYFUNCTION("if(REGEXMATCH(C2814,""x.com"")=TRUE,""Twitter"",if(REGEXMATCH(C2814,""facebook"")=TRUE,""Facebook"",if(REGEXMATCH(C2814,""instagram"")=TRUE,""Instagram"",if(REGEXMATCH(C2814,""youtube"")=TRUE,""Youtube"",if(REGEXMATCH(C2814,""tiktok"")=TRUE,""Tiktok"",if("&amp;"REGEXMATCH(C2814,""threads"")=TRUE,""Threads""))))))"),"Facebook")</f>
        <v>Facebook</v>
      </c>
      <c r="G2814" s="41" t="s">
        <v>4826</v>
      </c>
      <c r="H2814" s="41" t="s">
        <v>2023</v>
      </c>
      <c r="I2814" s="41"/>
      <c r="J2814" s="41"/>
      <c r="K2814" s="42"/>
      <c r="L2814" s="42"/>
    </row>
    <row r="2815">
      <c r="A2815" s="18">
        <v>2814.0</v>
      </c>
      <c r="B2815" s="76" t="s">
        <v>4776</v>
      </c>
      <c r="C2815" s="80" t="s">
        <v>4827</v>
      </c>
      <c r="D2815" s="41"/>
      <c r="E2815" s="41" t="s">
        <v>2018</v>
      </c>
      <c r="F2815" s="41" t="str">
        <f>IFERROR(__xludf.DUMMYFUNCTION("if(REGEXMATCH(C2815,""x.com"")=TRUE,""Twitter"",if(REGEXMATCH(C2815,""facebook"")=TRUE,""Facebook"",if(REGEXMATCH(C2815,""instagram"")=TRUE,""Instagram"",if(REGEXMATCH(C2815,""youtube"")=TRUE,""Youtube"",if(REGEXMATCH(C2815,""tiktok"")=TRUE,""Tiktok"",if("&amp;"REGEXMATCH(C2815,""threads"")=TRUE,""Threads""))))))"),"Facebook")</f>
        <v>Facebook</v>
      </c>
      <c r="G2815" s="44" t="s">
        <v>4828</v>
      </c>
      <c r="H2815" s="41" t="s">
        <v>2023</v>
      </c>
      <c r="I2815" s="41"/>
      <c r="J2815" s="41"/>
      <c r="K2815" s="42"/>
      <c r="L2815" s="42"/>
    </row>
    <row r="2816">
      <c r="A2816" s="18">
        <v>2815.0</v>
      </c>
      <c r="B2816" s="76" t="s">
        <v>4829</v>
      </c>
      <c r="C2816" s="40" t="s">
        <v>4830</v>
      </c>
      <c r="D2816" s="41"/>
      <c r="E2816" s="41" t="s">
        <v>447</v>
      </c>
      <c r="F2816" s="41" t="str">
        <f>IFERROR(__xludf.DUMMYFUNCTION("if(REGEXMATCH(C2816,""x.com"")=TRUE,""Twitter"",if(REGEXMATCH(C2816,""facebook"")=TRUE,""Facebook"",if(REGEXMATCH(C2816,""instagram"")=TRUE,""Instagram"",if(REGEXMATCH(C2816,""youtube"")=TRUE,""Youtube"",if(REGEXMATCH(C2816,""tiktok"")=TRUE,""Tiktok"",if("&amp;"REGEXMATCH(C2816,""threads"")=TRUE,""Threads""))))))"),"Twitter")</f>
        <v>Twitter</v>
      </c>
      <c r="G2816" s="41" t="s">
        <v>4831</v>
      </c>
      <c r="H2816" s="43" t="s">
        <v>779</v>
      </c>
      <c r="I2816" s="43" t="s">
        <v>535</v>
      </c>
      <c r="J2816" s="41"/>
      <c r="K2816" s="42"/>
      <c r="L2816" s="42"/>
    </row>
    <row r="2817">
      <c r="A2817" s="18">
        <v>2816.0</v>
      </c>
      <c r="B2817" s="76" t="s">
        <v>4829</v>
      </c>
      <c r="C2817" s="40" t="s">
        <v>4832</v>
      </c>
      <c r="D2817" s="41"/>
      <c r="E2817" s="41" t="s">
        <v>447</v>
      </c>
      <c r="F2817" s="41" t="str">
        <f>IFERROR(__xludf.DUMMYFUNCTION("if(REGEXMATCH(C2817,""x.com"")=TRUE,""Twitter"",if(REGEXMATCH(C2817,""facebook"")=TRUE,""Facebook"",if(REGEXMATCH(C2817,""instagram"")=TRUE,""Instagram"",if(REGEXMATCH(C2817,""youtube"")=TRUE,""Youtube"",if(REGEXMATCH(C2817,""tiktok"")=TRUE,""Tiktok"",if("&amp;"REGEXMATCH(C2817,""threads"")=TRUE,""Threads""))))))"),"Twitter")</f>
        <v>Twitter</v>
      </c>
      <c r="G2817" s="41" t="s">
        <v>4833</v>
      </c>
      <c r="H2817" s="36"/>
      <c r="I2817" s="36"/>
      <c r="J2817" s="41"/>
      <c r="K2817" s="42"/>
      <c r="L2817" s="42"/>
    </row>
    <row r="2818">
      <c r="A2818" s="18">
        <v>2817.0</v>
      </c>
      <c r="B2818" s="76" t="s">
        <v>4829</v>
      </c>
      <c r="C2818" s="40" t="s">
        <v>4834</v>
      </c>
      <c r="D2818" s="41"/>
      <c r="E2818" s="41" t="s">
        <v>3329</v>
      </c>
      <c r="F2818" s="41" t="str">
        <f>IFERROR(__xludf.DUMMYFUNCTION("if(REGEXMATCH(C2818,""x.com"")=TRUE,""Twitter"",if(REGEXMATCH(C2818,""facebook"")=TRUE,""Facebook"",if(REGEXMATCH(C2818,""instagram"")=TRUE,""Instagram"",if(REGEXMATCH(C2818,""youtube"")=TRUE,""Youtube"",if(REGEXMATCH(C2818,""tiktok"")=TRUE,""Tiktok"",if("&amp;"REGEXMATCH(C2818,""threads"")=TRUE,""Threads""))))))"),"Facebook")</f>
        <v>Facebook</v>
      </c>
      <c r="G2818" s="41" t="s">
        <v>4835</v>
      </c>
      <c r="H2818" s="36"/>
      <c r="I2818" s="36"/>
      <c r="J2818" s="41"/>
      <c r="K2818" s="42"/>
      <c r="L2818" s="42"/>
    </row>
    <row r="2819">
      <c r="A2819" s="18">
        <v>2818.0</v>
      </c>
      <c r="B2819" s="76" t="s">
        <v>4829</v>
      </c>
      <c r="C2819" s="44" t="s">
        <v>4836</v>
      </c>
      <c r="D2819" s="41"/>
      <c r="E2819" s="41" t="s">
        <v>3329</v>
      </c>
      <c r="F2819" s="41" t="str">
        <f>IFERROR(__xludf.DUMMYFUNCTION("if(REGEXMATCH(C2819,""x.com"")=TRUE,""Twitter"",if(REGEXMATCH(C2819,""facebook"")=TRUE,""Facebook"",if(REGEXMATCH(C2819,""instagram"")=TRUE,""Instagram"",if(REGEXMATCH(C2819,""youtube"")=TRUE,""Youtube"",if(REGEXMATCH(C2819,""tiktok"")=TRUE,""Tiktok"",if("&amp;"REGEXMATCH(C2819,""threads"")=TRUE,""Threads""))))))"),"Facebook")</f>
        <v>Facebook</v>
      </c>
      <c r="G2819" s="41" t="s">
        <v>4837</v>
      </c>
      <c r="H2819" s="36"/>
      <c r="I2819" s="36"/>
      <c r="J2819" s="41"/>
      <c r="K2819" s="42"/>
      <c r="L2819" s="42"/>
    </row>
    <row r="2820">
      <c r="A2820" s="18">
        <v>2819.0</v>
      </c>
      <c r="B2820" s="76" t="s">
        <v>4829</v>
      </c>
      <c r="C2820" s="40" t="s">
        <v>4838</v>
      </c>
      <c r="D2820" s="41"/>
      <c r="E2820" s="41" t="s">
        <v>447</v>
      </c>
      <c r="F2820" s="41" t="str">
        <f>IFERROR(__xludf.DUMMYFUNCTION("if(REGEXMATCH(C2820,""x.com"")=TRUE,""Twitter"",if(REGEXMATCH(C2820,""facebook"")=TRUE,""Facebook"",if(REGEXMATCH(C2820,""instagram"")=TRUE,""Instagram"",if(REGEXMATCH(C2820,""youtube"")=TRUE,""Youtube"",if(REGEXMATCH(C2820,""tiktok"")=TRUE,""Tiktok"",if("&amp;"REGEXMATCH(C2820,""threads"")=TRUE,""Threads""))))))"),"Twitter")</f>
        <v>Twitter</v>
      </c>
      <c r="G2820" s="41" t="s">
        <v>4839</v>
      </c>
      <c r="H2820" s="36"/>
      <c r="I2820" s="36"/>
      <c r="J2820" s="41"/>
      <c r="K2820" s="42"/>
      <c r="L2820" s="42"/>
    </row>
    <row r="2821">
      <c r="A2821" s="18">
        <v>2820.0</v>
      </c>
      <c r="B2821" s="76" t="s">
        <v>4829</v>
      </c>
      <c r="C2821" s="40" t="s">
        <v>4840</v>
      </c>
      <c r="D2821" s="41"/>
      <c r="E2821" s="41" t="s">
        <v>447</v>
      </c>
      <c r="F2821" s="41" t="str">
        <f>IFERROR(__xludf.DUMMYFUNCTION("if(REGEXMATCH(C2821,""x.com"")=TRUE,""Twitter"",if(REGEXMATCH(C2821,""facebook"")=TRUE,""Facebook"",if(REGEXMATCH(C2821,""instagram"")=TRUE,""Instagram"",if(REGEXMATCH(C2821,""youtube"")=TRUE,""Youtube"",if(REGEXMATCH(C2821,""tiktok"")=TRUE,""Tiktok"",if("&amp;"REGEXMATCH(C2821,""threads"")=TRUE,""Threads""))))))"),"Twitter")</f>
        <v>Twitter</v>
      </c>
      <c r="G2821" s="41" t="s">
        <v>4841</v>
      </c>
      <c r="H2821" s="36"/>
      <c r="I2821" s="36"/>
      <c r="J2821" s="41"/>
      <c r="K2821" s="42"/>
      <c r="L2821" s="42"/>
    </row>
    <row r="2822">
      <c r="A2822" s="18">
        <v>2821.0</v>
      </c>
      <c r="B2822" s="76" t="s">
        <v>4829</v>
      </c>
      <c r="C2822" s="40" t="s">
        <v>4842</v>
      </c>
      <c r="D2822" s="41"/>
      <c r="E2822" s="41" t="s">
        <v>447</v>
      </c>
      <c r="F2822" s="41" t="str">
        <f>IFERROR(__xludf.DUMMYFUNCTION("if(REGEXMATCH(C2822,""x.com"")=TRUE,""Twitter"",if(REGEXMATCH(C2822,""facebook"")=TRUE,""Facebook"",if(REGEXMATCH(C2822,""instagram"")=TRUE,""Instagram"",if(REGEXMATCH(C2822,""youtube"")=TRUE,""Youtube"",if(REGEXMATCH(C2822,""tiktok"")=TRUE,""Tiktok"",if("&amp;"REGEXMATCH(C2822,""threads"")=TRUE,""Threads""))))))"),"Twitter")</f>
        <v>Twitter</v>
      </c>
      <c r="G2822" s="41" t="s">
        <v>4839</v>
      </c>
      <c r="H2822" s="36"/>
      <c r="I2822" s="36"/>
      <c r="J2822" s="41"/>
      <c r="K2822" s="42"/>
      <c r="L2822" s="42"/>
    </row>
    <row r="2823">
      <c r="A2823" s="18">
        <v>2822.0</v>
      </c>
      <c r="B2823" s="76" t="s">
        <v>4829</v>
      </c>
      <c r="C2823" s="40" t="s">
        <v>4843</v>
      </c>
      <c r="D2823" s="41"/>
      <c r="E2823" s="41" t="s">
        <v>4844</v>
      </c>
      <c r="F2823" s="41" t="str">
        <f>IFERROR(__xludf.DUMMYFUNCTION("if(REGEXMATCH(C2823,""x.com"")=TRUE,""Twitter"",if(REGEXMATCH(C2823,""facebook"")=TRUE,""Facebook"",if(REGEXMATCH(C2823,""instagram"")=TRUE,""Instagram"",if(REGEXMATCH(C2823,""youtube"")=TRUE,""Youtube"",if(REGEXMATCH(C2823,""tiktok"")=TRUE,""Tiktok"",if("&amp;"REGEXMATCH(C2823,""threads"")=TRUE,""Threads""))))))"),"Tiktok")</f>
        <v>Tiktok</v>
      </c>
      <c r="G2823" s="41" t="s">
        <v>4845</v>
      </c>
      <c r="H2823" s="36"/>
      <c r="I2823" s="36"/>
      <c r="J2823" s="41"/>
      <c r="K2823" s="42"/>
      <c r="L2823" s="42"/>
    </row>
    <row r="2824">
      <c r="A2824" s="18">
        <v>2823.0</v>
      </c>
      <c r="B2824" s="76" t="s">
        <v>4829</v>
      </c>
      <c r="C2824" s="40" t="s">
        <v>4846</v>
      </c>
      <c r="D2824" s="41"/>
      <c r="E2824" s="41" t="s">
        <v>447</v>
      </c>
      <c r="F2824" s="41" t="str">
        <f>IFERROR(__xludf.DUMMYFUNCTION("if(REGEXMATCH(C2824,""x.com"")=TRUE,""Twitter"",if(REGEXMATCH(C2824,""facebook"")=TRUE,""Facebook"",if(REGEXMATCH(C2824,""instagram"")=TRUE,""Instagram"",if(REGEXMATCH(C2824,""youtube"")=TRUE,""Youtube"",if(REGEXMATCH(C2824,""tiktok"")=TRUE,""Tiktok"",if("&amp;"REGEXMATCH(C2824,""threads"")=TRUE,""Threads""))))))"),"Facebook")</f>
        <v>Facebook</v>
      </c>
      <c r="G2824" s="41" t="s">
        <v>4847</v>
      </c>
      <c r="H2824" s="36"/>
      <c r="I2824" s="36"/>
      <c r="J2824" s="41"/>
      <c r="K2824" s="42"/>
      <c r="L2824" s="42"/>
    </row>
    <row r="2825">
      <c r="A2825" s="18">
        <v>2824.0</v>
      </c>
      <c r="B2825" s="76" t="s">
        <v>4829</v>
      </c>
      <c r="C2825" s="40" t="s">
        <v>4848</v>
      </c>
      <c r="D2825" s="41"/>
      <c r="E2825" s="41" t="s">
        <v>197</v>
      </c>
      <c r="F2825" s="41" t="str">
        <f>IFERROR(__xludf.DUMMYFUNCTION("if(REGEXMATCH(C2825,""x.com"")=TRUE,""Twitter"",if(REGEXMATCH(C2825,""facebook"")=TRUE,""Facebook"",if(REGEXMATCH(C2825,""instagram"")=TRUE,""Instagram"",if(REGEXMATCH(C2825,""youtube"")=TRUE,""Youtube"",if(REGEXMATCH(C2825,""tiktok"")=TRUE,""Tiktok"",if("&amp;"REGEXMATCH(C2825,""threads"")=TRUE,""Threads""))))))"),"Facebook")</f>
        <v>Facebook</v>
      </c>
      <c r="G2825" s="41" t="s">
        <v>4849</v>
      </c>
      <c r="H2825" s="36"/>
      <c r="I2825" s="36"/>
      <c r="J2825" s="41"/>
      <c r="K2825" s="42"/>
      <c r="L2825" s="42"/>
    </row>
    <row r="2826">
      <c r="A2826" s="18">
        <v>2825.0</v>
      </c>
      <c r="B2826" s="76" t="s">
        <v>4829</v>
      </c>
      <c r="C2826" s="40" t="s">
        <v>4850</v>
      </c>
      <c r="D2826" s="41"/>
      <c r="E2826" s="41" t="s">
        <v>447</v>
      </c>
      <c r="F2826" s="41" t="str">
        <f>IFERROR(__xludf.DUMMYFUNCTION("if(REGEXMATCH(C2826,""x.com"")=TRUE,""Twitter"",if(REGEXMATCH(C2826,""facebook"")=TRUE,""Facebook"",if(REGEXMATCH(C2826,""instagram"")=TRUE,""Instagram"",if(REGEXMATCH(C2826,""youtube"")=TRUE,""Youtube"",if(REGEXMATCH(C2826,""tiktok"")=TRUE,""Tiktok"",if("&amp;"REGEXMATCH(C2826,""threads"")=TRUE,""Threads""))))))"),"Twitter")</f>
        <v>Twitter</v>
      </c>
      <c r="G2826" s="41" t="s">
        <v>4851</v>
      </c>
      <c r="H2826" s="36"/>
      <c r="I2826" s="36"/>
      <c r="J2826" s="41"/>
      <c r="K2826" s="42"/>
      <c r="L2826" s="42"/>
    </row>
    <row r="2827">
      <c r="A2827" s="18">
        <v>2826.0</v>
      </c>
      <c r="B2827" s="76" t="s">
        <v>4829</v>
      </c>
      <c r="C2827" s="40" t="s">
        <v>4852</v>
      </c>
      <c r="D2827" s="41"/>
      <c r="E2827" s="41" t="s">
        <v>447</v>
      </c>
      <c r="F2827" s="41" t="str">
        <f>IFERROR(__xludf.DUMMYFUNCTION("if(REGEXMATCH(C2827,""x.com"")=TRUE,""Twitter"",if(REGEXMATCH(C2827,""facebook"")=TRUE,""Facebook"",if(REGEXMATCH(C2827,""instagram"")=TRUE,""Instagram"",if(REGEXMATCH(C2827,""youtube"")=TRUE,""Youtube"",if(REGEXMATCH(C2827,""tiktok"")=TRUE,""Tiktok"",if("&amp;"REGEXMATCH(C2827,""threads"")=TRUE,""Threads""))))))"),"Twitter")</f>
        <v>Twitter</v>
      </c>
      <c r="G2827" s="41" t="s">
        <v>4853</v>
      </c>
      <c r="H2827" s="36"/>
      <c r="I2827" s="36"/>
      <c r="J2827" s="41"/>
      <c r="K2827" s="42"/>
      <c r="L2827" s="42"/>
    </row>
    <row r="2828">
      <c r="A2828" s="18">
        <v>2827.0</v>
      </c>
      <c r="B2828" s="76" t="s">
        <v>4829</v>
      </c>
      <c r="C2828" s="40" t="s">
        <v>4854</v>
      </c>
      <c r="D2828" s="41"/>
      <c r="E2828" s="41" t="s">
        <v>447</v>
      </c>
      <c r="F2828" s="41" t="str">
        <f>IFERROR(__xludf.DUMMYFUNCTION("if(REGEXMATCH(C2828,""x.com"")=TRUE,""Twitter"",if(REGEXMATCH(C2828,""facebook"")=TRUE,""Facebook"",if(REGEXMATCH(C2828,""instagram"")=TRUE,""Instagram"",if(REGEXMATCH(C2828,""youtube"")=TRUE,""Youtube"",if(REGEXMATCH(C2828,""tiktok"")=TRUE,""Tiktok"",if("&amp;"REGEXMATCH(C2828,""threads"")=TRUE,""Threads""))))))"),"Tiktok")</f>
        <v>Tiktok</v>
      </c>
      <c r="G2828" s="41" t="s">
        <v>4855</v>
      </c>
      <c r="H2828" s="35"/>
      <c r="I2828" s="35"/>
      <c r="J2828" s="41"/>
      <c r="K2828" s="42"/>
      <c r="L2828" s="42"/>
    </row>
    <row r="2829">
      <c r="A2829" s="18">
        <v>2828.0</v>
      </c>
      <c r="B2829" s="76" t="s">
        <v>4856</v>
      </c>
      <c r="C2829" s="47" t="s">
        <v>4857</v>
      </c>
      <c r="D2829" s="41"/>
      <c r="E2829" s="41" t="s">
        <v>197</v>
      </c>
      <c r="F2829" s="41" t="str">
        <f>IFERROR(__xludf.DUMMYFUNCTION("if(REGEXMATCH(C2829,""x.com"")=TRUE,""Twitter"",if(REGEXMATCH(C2829,""facebook"")=TRUE,""Facebook"",if(REGEXMATCH(C2829,""instagram"")=TRUE,""Instagram"",if(REGEXMATCH(C2829,""youtube"")=TRUE,""Youtube"",if(REGEXMATCH(C2829,""tiktok"")=TRUE,""Tiktok"",if("&amp;"REGEXMATCH(C2829,""threads"")=TRUE,""Threads""))))))"),"Facebook")</f>
        <v>Facebook</v>
      </c>
      <c r="G2829" s="41" t="s">
        <v>4858</v>
      </c>
      <c r="H2829" s="43" t="s">
        <v>779</v>
      </c>
      <c r="I2829" s="43" t="s">
        <v>535</v>
      </c>
      <c r="J2829" s="41" t="s">
        <v>422</v>
      </c>
      <c r="K2829" s="42"/>
      <c r="L2829" s="42"/>
    </row>
    <row r="2830">
      <c r="A2830" s="18">
        <v>2829.0</v>
      </c>
      <c r="B2830" s="76" t="s">
        <v>4856</v>
      </c>
      <c r="C2830" s="47" t="s">
        <v>4859</v>
      </c>
      <c r="D2830" s="41"/>
      <c r="E2830" s="41" t="s">
        <v>197</v>
      </c>
      <c r="F2830" s="41" t="str">
        <f>IFERROR(__xludf.DUMMYFUNCTION("if(REGEXMATCH(C2830,""x.com"")=TRUE,""Twitter"",if(REGEXMATCH(C2830,""facebook"")=TRUE,""Facebook"",if(REGEXMATCH(C2830,""instagram"")=TRUE,""Instagram"",if(REGEXMATCH(C2830,""youtube"")=TRUE,""Youtube"",if(REGEXMATCH(C2830,""tiktok"")=TRUE,""Tiktok"",if("&amp;"REGEXMATCH(C2830,""threads"")=TRUE,""Threads""))))))"),"Facebook")</f>
        <v>Facebook</v>
      </c>
      <c r="G2830" s="41" t="s">
        <v>4860</v>
      </c>
      <c r="H2830" s="36"/>
      <c r="I2830" s="36"/>
      <c r="J2830" s="41" t="s">
        <v>422</v>
      </c>
      <c r="K2830" s="42"/>
      <c r="L2830" s="42"/>
    </row>
    <row r="2831">
      <c r="A2831" s="18">
        <v>2830.0</v>
      </c>
      <c r="B2831" s="76" t="s">
        <v>4856</v>
      </c>
      <c r="C2831" s="47" t="s">
        <v>4861</v>
      </c>
      <c r="D2831" s="41"/>
      <c r="E2831" s="41" t="s">
        <v>197</v>
      </c>
      <c r="F2831" s="41" t="str">
        <f>IFERROR(__xludf.DUMMYFUNCTION("if(REGEXMATCH(C2831,""x.com"")=TRUE,""Twitter"",if(REGEXMATCH(C2831,""facebook"")=TRUE,""Facebook"",if(REGEXMATCH(C2831,""instagram"")=TRUE,""Instagram"",if(REGEXMATCH(C2831,""youtube"")=TRUE,""Youtube"",if(REGEXMATCH(C2831,""tiktok"")=TRUE,""Tiktok"",if("&amp;"REGEXMATCH(C2831,""threads"")=TRUE,""Threads""))))))"),"Facebook")</f>
        <v>Facebook</v>
      </c>
      <c r="G2831" s="41" t="s">
        <v>4862</v>
      </c>
      <c r="H2831" s="36"/>
      <c r="I2831" s="36"/>
      <c r="J2831" s="41" t="s">
        <v>422</v>
      </c>
      <c r="K2831" s="42"/>
      <c r="L2831" s="42"/>
    </row>
    <row r="2832">
      <c r="A2832" s="18">
        <v>2831.0</v>
      </c>
      <c r="B2832" s="76" t="s">
        <v>4856</v>
      </c>
      <c r="C2832" s="47" t="s">
        <v>4863</v>
      </c>
      <c r="D2832" s="41"/>
      <c r="E2832" s="41" t="s">
        <v>197</v>
      </c>
      <c r="F2832" s="41" t="str">
        <f>IFERROR(__xludf.DUMMYFUNCTION("if(REGEXMATCH(C2832,""x.com"")=TRUE,""Twitter"",if(REGEXMATCH(C2832,""facebook"")=TRUE,""Facebook"",if(REGEXMATCH(C2832,""instagram"")=TRUE,""Instagram"",if(REGEXMATCH(C2832,""youtube"")=TRUE,""Youtube"",if(REGEXMATCH(C2832,""tiktok"")=TRUE,""Tiktok"",if("&amp;"REGEXMATCH(C2832,""threads"")=TRUE,""Threads""))))))"),"Facebook")</f>
        <v>Facebook</v>
      </c>
      <c r="G2832" s="41" t="s">
        <v>4864</v>
      </c>
      <c r="H2832" s="36"/>
      <c r="I2832" s="36"/>
      <c r="J2832" s="41" t="s">
        <v>422</v>
      </c>
      <c r="K2832" s="42"/>
      <c r="L2832" s="42"/>
    </row>
    <row r="2833">
      <c r="A2833" s="18">
        <v>2832.0</v>
      </c>
      <c r="B2833" s="76" t="s">
        <v>4856</v>
      </c>
      <c r="C2833" s="47" t="s">
        <v>4865</v>
      </c>
      <c r="D2833" s="41"/>
      <c r="E2833" s="41" t="s">
        <v>197</v>
      </c>
      <c r="F2833" s="41" t="str">
        <f>IFERROR(__xludf.DUMMYFUNCTION("if(REGEXMATCH(C2833,""x.com"")=TRUE,""Twitter"",if(REGEXMATCH(C2833,""facebook"")=TRUE,""Facebook"",if(REGEXMATCH(C2833,""instagram"")=TRUE,""Instagram"",if(REGEXMATCH(C2833,""youtube"")=TRUE,""Youtube"",if(REGEXMATCH(C2833,""tiktok"")=TRUE,""Tiktok"",if("&amp;"REGEXMATCH(C2833,""threads"")=TRUE,""Threads""))))))"),"Facebook")</f>
        <v>Facebook</v>
      </c>
      <c r="G2833" s="41" t="s">
        <v>4866</v>
      </c>
      <c r="H2833" s="36"/>
      <c r="I2833" s="36"/>
      <c r="J2833" s="41" t="s">
        <v>422</v>
      </c>
      <c r="K2833" s="42"/>
      <c r="L2833" s="42"/>
    </row>
    <row r="2834">
      <c r="A2834" s="18">
        <v>2833.0</v>
      </c>
      <c r="B2834" s="76" t="s">
        <v>4856</v>
      </c>
      <c r="C2834" s="47" t="s">
        <v>4867</v>
      </c>
      <c r="D2834" s="41"/>
      <c r="E2834" s="41" t="s">
        <v>557</v>
      </c>
      <c r="F2834" s="41" t="str">
        <f>IFERROR(__xludf.DUMMYFUNCTION("if(REGEXMATCH(C2834,""x.com"")=TRUE,""Twitter"",if(REGEXMATCH(C2834,""facebook"")=TRUE,""Facebook"",if(REGEXMATCH(C2834,""instagram"")=TRUE,""Instagram"",if(REGEXMATCH(C2834,""youtube"")=TRUE,""Youtube"",if(REGEXMATCH(C2834,""tiktok"")=TRUE,""Tiktok"",if("&amp;"REGEXMATCH(C2834,""threads"")=TRUE,""Threads""))))))"),"Facebook")</f>
        <v>Facebook</v>
      </c>
      <c r="G2834" s="41" t="s">
        <v>4868</v>
      </c>
      <c r="H2834" s="36"/>
      <c r="I2834" s="36"/>
      <c r="J2834" s="41" t="s">
        <v>422</v>
      </c>
      <c r="K2834" s="42"/>
      <c r="L2834" s="42"/>
    </row>
    <row r="2835">
      <c r="A2835" s="18">
        <v>2834.0</v>
      </c>
      <c r="B2835" s="76" t="s">
        <v>4856</v>
      </c>
      <c r="C2835" s="47" t="s">
        <v>4869</v>
      </c>
      <c r="D2835" s="41"/>
      <c r="E2835" s="41" t="s">
        <v>197</v>
      </c>
      <c r="F2835" s="41" t="str">
        <f>IFERROR(__xludf.DUMMYFUNCTION("if(REGEXMATCH(C2835,""x.com"")=TRUE,""Twitter"",if(REGEXMATCH(C2835,""facebook"")=TRUE,""Facebook"",if(REGEXMATCH(C2835,""instagram"")=TRUE,""Instagram"",if(REGEXMATCH(C2835,""youtube"")=TRUE,""Youtube"",if(REGEXMATCH(C2835,""tiktok"")=TRUE,""Tiktok"",if("&amp;"REGEXMATCH(C2835,""threads"")=TRUE,""Threads""))))))"),"Tiktok")</f>
        <v>Tiktok</v>
      </c>
      <c r="G2835" s="41" t="s">
        <v>4870</v>
      </c>
      <c r="H2835" s="36"/>
      <c r="I2835" s="36"/>
      <c r="J2835" s="41" t="s">
        <v>422</v>
      </c>
      <c r="K2835" s="42"/>
      <c r="L2835" s="42"/>
    </row>
    <row r="2836">
      <c r="A2836" s="18">
        <v>2835.0</v>
      </c>
      <c r="B2836" s="76" t="s">
        <v>4856</v>
      </c>
      <c r="C2836" s="47" t="s">
        <v>4871</v>
      </c>
      <c r="D2836" s="41"/>
      <c r="E2836" s="41" t="s">
        <v>197</v>
      </c>
      <c r="F2836" s="41" t="str">
        <f>IFERROR(__xludf.DUMMYFUNCTION("if(REGEXMATCH(C2836,""x.com"")=TRUE,""Twitter"",if(REGEXMATCH(C2836,""facebook"")=TRUE,""Facebook"",if(REGEXMATCH(C2836,""instagram"")=TRUE,""Instagram"",if(REGEXMATCH(C2836,""youtube"")=TRUE,""Youtube"",if(REGEXMATCH(C2836,""tiktok"")=TRUE,""Tiktok"",if("&amp;"REGEXMATCH(C2836,""threads"")=TRUE,""Threads""))))))"),"Twitter")</f>
        <v>Twitter</v>
      </c>
      <c r="G2836" s="41" t="s">
        <v>4872</v>
      </c>
      <c r="H2836" s="36"/>
      <c r="I2836" s="36"/>
      <c r="J2836" s="41" t="s">
        <v>422</v>
      </c>
      <c r="K2836" s="42"/>
      <c r="L2836" s="42"/>
    </row>
    <row r="2837">
      <c r="A2837" s="18">
        <v>2836.0</v>
      </c>
      <c r="B2837" s="76" t="s">
        <v>4856</v>
      </c>
      <c r="C2837" s="47" t="s">
        <v>4873</v>
      </c>
      <c r="D2837" s="41"/>
      <c r="E2837" s="41" t="s">
        <v>557</v>
      </c>
      <c r="F2837" s="41" t="str">
        <f>IFERROR(__xludf.DUMMYFUNCTION("if(REGEXMATCH(C2837,""x.com"")=TRUE,""Twitter"",if(REGEXMATCH(C2837,""facebook"")=TRUE,""Facebook"",if(REGEXMATCH(C2837,""instagram"")=TRUE,""Instagram"",if(REGEXMATCH(C2837,""youtube"")=TRUE,""Youtube"",if(REGEXMATCH(C2837,""tiktok"")=TRUE,""Tiktok"",if("&amp;"REGEXMATCH(C2837,""threads"")=TRUE,""Threads""))))))"),"Tiktok")</f>
        <v>Tiktok</v>
      </c>
      <c r="G2837" s="41" t="s">
        <v>4874</v>
      </c>
      <c r="H2837" s="36"/>
      <c r="I2837" s="36"/>
      <c r="J2837" s="41" t="s">
        <v>422</v>
      </c>
      <c r="K2837" s="42"/>
      <c r="L2837" s="42"/>
    </row>
    <row r="2838">
      <c r="A2838" s="18">
        <v>2837.0</v>
      </c>
      <c r="B2838" s="76" t="s">
        <v>4856</v>
      </c>
      <c r="C2838" s="47" t="s">
        <v>4875</v>
      </c>
      <c r="D2838" s="41"/>
      <c r="E2838" s="41" t="s">
        <v>4703</v>
      </c>
      <c r="F2838" s="41" t="str">
        <f>IFERROR(__xludf.DUMMYFUNCTION("if(REGEXMATCH(C2838,""x.com"")=TRUE,""Twitter"",if(REGEXMATCH(C2838,""facebook"")=TRUE,""Facebook"",if(REGEXMATCH(C2838,""instagram"")=TRUE,""Instagram"",if(REGEXMATCH(C2838,""youtube"")=TRUE,""Youtube"",if(REGEXMATCH(C2838,""tiktok"")=TRUE,""Tiktok"",if("&amp;"REGEXMATCH(C2838,""threads"")=TRUE,""Threads""))))))"),"Tiktok")</f>
        <v>Tiktok</v>
      </c>
      <c r="G2838" s="41" t="s">
        <v>4876</v>
      </c>
      <c r="H2838" s="36"/>
      <c r="I2838" s="36"/>
      <c r="J2838" s="41" t="s">
        <v>422</v>
      </c>
      <c r="K2838" s="42"/>
      <c r="L2838" s="42"/>
    </row>
    <row r="2839">
      <c r="A2839" s="18">
        <v>2838.0</v>
      </c>
      <c r="B2839" s="76" t="s">
        <v>4856</v>
      </c>
      <c r="C2839" s="47" t="s">
        <v>4877</v>
      </c>
      <c r="D2839" s="41"/>
      <c r="E2839" s="41" t="s">
        <v>197</v>
      </c>
      <c r="F2839" s="41" t="str">
        <f>IFERROR(__xludf.DUMMYFUNCTION("if(REGEXMATCH(C2839,""x.com"")=TRUE,""Twitter"",if(REGEXMATCH(C2839,""facebook"")=TRUE,""Facebook"",if(REGEXMATCH(C2839,""instagram"")=TRUE,""Instagram"",if(REGEXMATCH(C2839,""youtube"")=TRUE,""Youtube"",if(REGEXMATCH(C2839,""tiktok"")=TRUE,""Tiktok"",if("&amp;"REGEXMATCH(C2839,""threads"")=TRUE,""Threads""))))))"),"Tiktok")</f>
        <v>Tiktok</v>
      </c>
      <c r="G2839" s="41" t="s">
        <v>4878</v>
      </c>
      <c r="H2839" s="36"/>
      <c r="I2839" s="36"/>
      <c r="J2839" s="41" t="s">
        <v>422</v>
      </c>
      <c r="K2839" s="42"/>
      <c r="L2839" s="42"/>
    </row>
    <row r="2840">
      <c r="A2840" s="18">
        <v>2839.0</v>
      </c>
      <c r="B2840" s="76" t="s">
        <v>4856</v>
      </c>
      <c r="C2840" s="47" t="s">
        <v>4760</v>
      </c>
      <c r="D2840" s="41"/>
      <c r="E2840" s="41" t="s">
        <v>4703</v>
      </c>
      <c r="F2840" s="41" t="str">
        <f>IFERROR(__xludf.DUMMYFUNCTION("if(REGEXMATCH(C2840,""x.com"")=TRUE,""Twitter"",if(REGEXMATCH(C2840,""facebook"")=TRUE,""Facebook"",if(REGEXMATCH(C2840,""instagram"")=TRUE,""Instagram"",if(REGEXMATCH(C2840,""youtube"")=TRUE,""Youtube"",if(REGEXMATCH(C2840,""tiktok"")=TRUE,""Tiktok"",if("&amp;"REGEXMATCH(C2840,""threads"")=TRUE,""Threads""))))))"),"Facebook")</f>
        <v>Facebook</v>
      </c>
      <c r="G2840" s="41" t="s">
        <v>4879</v>
      </c>
      <c r="H2840" s="36"/>
      <c r="I2840" s="36"/>
      <c r="J2840" s="41" t="s">
        <v>422</v>
      </c>
      <c r="K2840" s="42"/>
      <c r="L2840" s="42"/>
    </row>
    <row r="2841">
      <c r="A2841" s="18">
        <v>2840.0</v>
      </c>
      <c r="B2841" s="76" t="s">
        <v>4856</v>
      </c>
      <c r="C2841" s="47" t="s">
        <v>4880</v>
      </c>
      <c r="D2841" s="41"/>
      <c r="E2841" s="41" t="s">
        <v>447</v>
      </c>
      <c r="F2841" s="41" t="str">
        <f>IFERROR(__xludf.DUMMYFUNCTION("if(REGEXMATCH(C2841,""x.com"")=TRUE,""Twitter"",if(REGEXMATCH(C2841,""facebook"")=TRUE,""Facebook"",if(REGEXMATCH(C2841,""instagram"")=TRUE,""Instagram"",if(REGEXMATCH(C2841,""youtube"")=TRUE,""Youtube"",if(REGEXMATCH(C2841,""tiktok"")=TRUE,""Tiktok"",if("&amp;"REGEXMATCH(C2841,""threads"")=TRUE,""Threads""))))))"),"Tiktok")</f>
        <v>Tiktok</v>
      </c>
      <c r="G2841" s="41" t="s">
        <v>4881</v>
      </c>
      <c r="H2841" s="35"/>
      <c r="I2841" s="35"/>
      <c r="J2841" s="41" t="s">
        <v>422</v>
      </c>
      <c r="K2841" s="42"/>
      <c r="L2841" s="42"/>
    </row>
    <row r="2842">
      <c r="A2842" s="18">
        <v>2841.0</v>
      </c>
      <c r="B2842" s="76" t="s">
        <v>4882</v>
      </c>
      <c r="C2842" s="40" t="s">
        <v>4883</v>
      </c>
      <c r="D2842" s="41"/>
      <c r="E2842" s="41" t="s">
        <v>557</v>
      </c>
      <c r="F2842" s="41" t="str">
        <f>IFERROR(__xludf.DUMMYFUNCTION("if(REGEXMATCH(C2842,""x.com"")=TRUE,""Twitter"",if(REGEXMATCH(C2842,""facebook"")=TRUE,""Facebook"",if(REGEXMATCH(C2842,""instagram"")=TRUE,""Instagram"",if(REGEXMATCH(C2842,""youtube"")=TRUE,""Youtube"",if(REGEXMATCH(C2842,""tiktok"")=TRUE,""Tiktok"",if("&amp;"REGEXMATCH(C2842,""threads"")=TRUE,""Threads""))))))"),"Tiktok")</f>
        <v>Tiktok</v>
      </c>
      <c r="G2842" s="41" t="s">
        <v>4884</v>
      </c>
      <c r="H2842" s="43" t="s">
        <v>779</v>
      </c>
      <c r="I2842" s="43" t="s">
        <v>535</v>
      </c>
      <c r="J2842" s="41" t="s">
        <v>188</v>
      </c>
      <c r="K2842" s="41" t="s">
        <v>1611</v>
      </c>
      <c r="L2842" s="42"/>
    </row>
    <row r="2843">
      <c r="A2843" s="18">
        <v>2842.0</v>
      </c>
      <c r="B2843" s="76" t="s">
        <v>4882</v>
      </c>
      <c r="C2843" s="40" t="s">
        <v>4885</v>
      </c>
      <c r="D2843" s="41"/>
      <c r="E2843" s="41" t="s">
        <v>3329</v>
      </c>
      <c r="F2843" s="41" t="str">
        <f>IFERROR(__xludf.DUMMYFUNCTION("if(REGEXMATCH(C2843,""x.com"")=TRUE,""Twitter"",if(REGEXMATCH(C2843,""facebook"")=TRUE,""Facebook"",if(REGEXMATCH(C2843,""instagram"")=TRUE,""Instagram"",if(REGEXMATCH(C2843,""youtube"")=TRUE,""Youtube"",if(REGEXMATCH(C2843,""tiktok"")=TRUE,""Tiktok"",if("&amp;"REGEXMATCH(C2843,""threads"")=TRUE,""Threads""))))))"),"Tiktok")</f>
        <v>Tiktok</v>
      </c>
      <c r="G2843" s="41" t="s">
        <v>4886</v>
      </c>
      <c r="H2843" s="36"/>
      <c r="I2843" s="36"/>
      <c r="J2843" s="41" t="s">
        <v>188</v>
      </c>
      <c r="K2843" s="41" t="s">
        <v>1611</v>
      </c>
      <c r="L2843" s="42"/>
    </row>
    <row r="2844">
      <c r="A2844" s="18">
        <v>2843.0</v>
      </c>
      <c r="B2844" s="76" t="s">
        <v>4882</v>
      </c>
      <c r="C2844" s="40" t="s">
        <v>4887</v>
      </c>
      <c r="D2844" s="41"/>
      <c r="E2844" s="41" t="s">
        <v>557</v>
      </c>
      <c r="F2844" s="41" t="str">
        <f>IFERROR(__xludf.DUMMYFUNCTION("if(REGEXMATCH(C2844,""x.com"")=TRUE,""Twitter"",if(REGEXMATCH(C2844,""facebook"")=TRUE,""Facebook"",if(REGEXMATCH(C2844,""instagram"")=TRUE,""Instagram"",if(REGEXMATCH(C2844,""youtube"")=TRUE,""Youtube"",if(REGEXMATCH(C2844,""tiktok"")=TRUE,""Tiktok"",if("&amp;"REGEXMATCH(C2844,""threads"")=TRUE,""Threads""))))))"),"Tiktok")</f>
        <v>Tiktok</v>
      </c>
      <c r="G2844" s="41" t="s">
        <v>4888</v>
      </c>
      <c r="H2844" s="36"/>
      <c r="I2844" s="36"/>
      <c r="J2844" s="41" t="s">
        <v>188</v>
      </c>
      <c r="K2844" s="41" t="s">
        <v>1611</v>
      </c>
      <c r="L2844" s="42"/>
    </row>
    <row r="2845">
      <c r="A2845" s="18">
        <v>2844.0</v>
      </c>
      <c r="B2845" s="76" t="s">
        <v>4882</v>
      </c>
      <c r="C2845" s="40" t="s">
        <v>4889</v>
      </c>
      <c r="D2845" s="41"/>
      <c r="E2845" s="41" t="s">
        <v>557</v>
      </c>
      <c r="F2845" s="41" t="str">
        <f>IFERROR(__xludf.DUMMYFUNCTION("if(REGEXMATCH(C2845,""x.com"")=TRUE,""Twitter"",if(REGEXMATCH(C2845,""facebook"")=TRUE,""Facebook"",if(REGEXMATCH(C2845,""instagram"")=TRUE,""Instagram"",if(REGEXMATCH(C2845,""youtube"")=TRUE,""Youtube"",if(REGEXMATCH(C2845,""tiktok"")=TRUE,""Tiktok"",if("&amp;"REGEXMATCH(C2845,""threads"")=TRUE,""Threads""))))))"),"Tiktok")</f>
        <v>Tiktok</v>
      </c>
      <c r="G2845" s="41" t="s">
        <v>4890</v>
      </c>
      <c r="H2845" s="36"/>
      <c r="I2845" s="36"/>
      <c r="J2845" s="41" t="s">
        <v>188</v>
      </c>
      <c r="K2845" s="41" t="s">
        <v>1611</v>
      </c>
      <c r="L2845" s="42"/>
    </row>
    <row r="2846">
      <c r="A2846" s="18">
        <v>2845.0</v>
      </c>
      <c r="B2846" s="76" t="s">
        <v>4882</v>
      </c>
      <c r="C2846" s="40" t="s">
        <v>4891</v>
      </c>
      <c r="D2846" s="41"/>
      <c r="E2846" s="41" t="s">
        <v>4844</v>
      </c>
      <c r="F2846" s="41" t="str">
        <f>IFERROR(__xludf.DUMMYFUNCTION("if(REGEXMATCH(C2846,""x.com"")=TRUE,""Twitter"",if(REGEXMATCH(C2846,""facebook"")=TRUE,""Facebook"",if(REGEXMATCH(C2846,""instagram"")=TRUE,""Instagram"",if(REGEXMATCH(C2846,""youtube"")=TRUE,""Youtube"",if(REGEXMATCH(C2846,""tiktok"")=TRUE,""Tiktok"",if("&amp;"REGEXMATCH(C2846,""threads"")=TRUE,""Threads""))))))"),"Twitter")</f>
        <v>Twitter</v>
      </c>
      <c r="G2846" s="41" t="s">
        <v>4892</v>
      </c>
      <c r="H2846" s="36"/>
      <c r="I2846" s="36"/>
      <c r="J2846" s="41" t="s">
        <v>188</v>
      </c>
      <c r="K2846" s="41" t="s">
        <v>1611</v>
      </c>
      <c r="L2846" s="42"/>
    </row>
    <row r="2847">
      <c r="A2847" s="18">
        <v>2846.0</v>
      </c>
      <c r="B2847" s="76" t="s">
        <v>4882</v>
      </c>
      <c r="C2847" s="40" t="s">
        <v>4893</v>
      </c>
      <c r="D2847" s="41"/>
      <c r="E2847" s="41" t="s">
        <v>4844</v>
      </c>
      <c r="F2847" s="41" t="str">
        <f>IFERROR(__xludf.DUMMYFUNCTION("if(REGEXMATCH(C2847,""x.com"")=TRUE,""Twitter"",if(REGEXMATCH(C2847,""facebook"")=TRUE,""Facebook"",if(REGEXMATCH(C2847,""instagram"")=TRUE,""Instagram"",if(REGEXMATCH(C2847,""youtube"")=TRUE,""Youtube"",if(REGEXMATCH(C2847,""tiktok"")=TRUE,""Tiktok"",if("&amp;"REGEXMATCH(C2847,""threads"")=TRUE,""Threads""))))))"),"Twitter")</f>
        <v>Twitter</v>
      </c>
      <c r="G2847" s="41" t="s">
        <v>4894</v>
      </c>
      <c r="H2847" s="36"/>
      <c r="I2847" s="36"/>
      <c r="J2847" s="41" t="s">
        <v>188</v>
      </c>
      <c r="K2847" s="41" t="s">
        <v>1611</v>
      </c>
      <c r="L2847" s="42"/>
    </row>
    <row r="2848">
      <c r="A2848" s="18">
        <v>2847.0</v>
      </c>
      <c r="B2848" s="76" t="s">
        <v>4882</v>
      </c>
      <c r="C2848" s="40" t="s">
        <v>4895</v>
      </c>
      <c r="D2848" s="41"/>
      <c r="E2848" s="41" t="s">
        <v>3329</v>
      </c>
      <c r="F2848" s="41" t="str">
        <f>IFERROR(__xludf.DUMMYFUNCTION("if(REGEXMATCH(C2848,""x.com"")=TRUE,""Twitter"",if(REGEXMATCH(C2848,""facebook"")=TRUE,""Facebook"",if(REGEXMATCH(C2848,""instagram"")=TRUE,""Instagram"",if(REGEXMATCH(C2848,""youtube"")=TRUE,""Youtube"",if(REGEXMATCH(C2848,""tiktok"")=TRUE,""Tiktok"",if("&amp;"REGEXMATCH(C2848,""threads"")=TRUE,""Threads""))))))"),"Facebook")</f>
        <v>Facebook</v>
      </c>
      <c r="G2848" s="41" t="s">
        <v>4896</v>
      </c>
      <c r="H2848" s="36"/>
      <c r="I2848" s="36"/>
      <c r="J2848" s="41" t="s">
        <v>188</v>
      </c>
      <c r="K2848" s="41" t="s">
        <v>1611</v>
      </c>
      <c r="L2848" s="42"/>
    </row>
    <row r="2849">
      <c r="A2849" s="18">
        <v>2848.0</v>
      </c>
      <c r="B2849" s="76" t="s">
        <v>4882</v>
      </c>
      <c r="C2849" s="40" t="s">
        <v>4897</v>
      </c>
      <c r="D2849" s="41"/>
      <c r="E2849" s="41" t="s">
        <v>4844</v>
      </c>
      <c r="F2849" s="41" t="str">
        <f>IFERROR(__xludf.DUMMYFUNCTION("if(REGEXMATCH(C2849,""x.com"")=TRUE,""Twitter"",if(REGEXMATCH(C2849,""facebook"")=TRUE,""Facebook"",if(REGEXMATCH(C2849,""instagram"")=TRUE,""Instagram"",if(REGEXMATCH(C2849,""youtube"")=TRUE,""Youtube"",if(REGEXMATCH(C2849,""tiktok"")=TRUE,""Tiktok"",if("&amp;"REGEXMATCH(C2849,""threads"")=TRUE,""Threads""))))))"),"Twitter")</f>
        <v>Twitter</v>
      </c>
      <c r="G2849" s="41" t="s">
        <v>4898</v>
      </c>
      <c r="H2849" s="36"/>
      <c r="I2849" s="36"/>
      <c r="J2849" s="41" t="s">
        <v>188</v>
      </c>
      <c r="K2849" s="41" t="s">
        <v>1611</v>
      </c>
      <c r="L2849" s="42"/>
    </row>
    <row r="2850">
      <c r="A2850" s="18">
        <v>2849.0</v>
      </c>
      <c r="B2850" s="76" t="s">
        <v>4882</v>
      </c>
      <c r="C2850" s="40" t="s">
        <v>4899</v>
      </c>
      <c r="D2850" s="41"/>
      <c r="E2850" s="41" t="s">
        <v>4844</v>
      </c>
      <c r="F2850" s="41" t="str">
        <f>IFERROR(__xludf.DUMMYFUNCTION("if(REGEXMATCH(C2850,""x.com"")=TRUE,""Twitter"",if(REGEXMATCH(C2850,""facebook"")=TRUE,""Facebook"",if(REGEXMATCH(C2850,""instagram"")=TRUE,""Instagram"",if(REGEXMATCH(C2850,""youtube"")=TRUE,""Youtube"",if(REGEXMATCH(C2850,""tiktok"")=TRUE,""Tiktok"",if("&amp;"REGEXMATCH(C2850,""threads"")=TRUE,""Threads""))))))"),"Twitter")</f>
        <v>Twitter</v>
      </c>
      <c r="G2850" s="41" t="s">
        <v>4900</v>
      </c>
      <c r="H2850" s="36"/>
      <c r="I2850" s="36"/>
      <c r="J2850" s="41" t="s">
        <v>188</v>
      </c>
      <c r="K2850" s="41"/>
      <c r="L2850" s="42"/>
    </row>
    <row r="2851">
      <c r="A2851" s="18">
        <v>2850.0</v>
      </c>
      <c r="B2851" s="76" t="s">
        <v>4882</v>
      </c>
      <c r="C2851" s="40" t="s">
        <v>4901</v>
      </c>
      <c r="D2851" s="41"/>
      <c r="E2851" s="41" t="s">
        <v>4844</v>
      </c>
      <c r="F2851" s="41" t="str">
        <f>IFERROR(__xludf.DUMMYFUNCTION("if(REGEXMATCH(C2851,""x.com"")=TRUE,""Twitter"",if(REGEXMATCH(C2851,""facebook"")=TRUE,""Facebook"",if(REGEXMATCH(C2851,""instagram"")=TRUE,""Instagram"",if(REGEXMATCH(C2851,""youtube"")=TRUE,""Youtube"",if(REGEXMATCH(C2851,""tiktok"")=TRUE,""Tiktok"",if("&amp;"REGEXMATCH(C2851,""threads"")=TRUE,""Threads""))))))"),"Twitter")</f>
        <v>Twitter</v>
      </c>
      <c r="G2851" s="41" t="s">
        <v>4902</v>
      </c>
      <c r="H2851" s="36"/>
      <c r="I2851" s="36"/>
      <c r="J2851" s="41" t="s">
        <v>188</v>
      </c>
      <c r="K2851" s="41"/>
      <c r="L2851" s="42"/>
    </row>
    <row r="2852">
      <c r="A2852" s="18">
        <v>2851.0</v>
      </c>
      <c r="B2852" s="76" t="s">
        <v>4882</v>
      </c>
      <c r="C2852" s="40" t="s">
        <v>4903</v>
      </c>
      <c r="D2852" s="41"/>
      <c r="E2852" s="41" t="s">
        <v>4844</v>
      </c>
      <c r="F2852" s="41" t="str">
        <f>IFERROR(__xludf.DUMMYFUNCTION("if(REGEXMATCH(C2852,""x.com"")=TRUE,""Twitter"",if(REGEXMATCH(C2852,""facebook"")=TRUE,""Facebook"",if(REGEXMATCH(C2852,""instagram"")=TRUE,""Instagram"",if(REGEXMATCH(C2852,""youtube"")=TRUE,""Youtube"",if(REGEXMATCH(C2852,""tiktok"")=TRUE,""Tiktok"",if("&amp;"REGEXMATCH(C2852,""threads"")=TRUE,""Threads""))))))"),"Tiktok")</f>
        <v>Tiktok</v>
      </c>
      <c r="G2852" s="41" t="s">
        <v>4904</v>
      </c>
      <c r="H2852" s="36"/>
      <c r="I2852" s="36"/>
      <c r="J2852" s="41" t="s">
        <v>188</v>
      </c>
      <c r="K2852" s="41"/>
      <c r="L2852" s="42"/>
    </row>
    <row r="2853">
      <c r="A2853" s="18">
        <v>2852.0</v>
      </c>
      <c r="B2853" s="76" t="s">
        <v>4882</v>
      </c>
      <c r="C2853" s="40" t="s">
        <v>4905</v>
      </c>
      <c r="D2853" s="41"/>
      <c r="E2853" s="41" t="s">
        <v>4844</v>
      </c>
      <c r="F2853" s="41" t="str">
        <f>IFERROR(__xludf.DUMMYFUNCTION("if(REGEXMATCH(C2853,""x.com"")=TRUE,""Twitter"",if(REGEXMATCH(C2853,""facebook"")=TRUE,""Facebook"",if(REGEXMATCH(C2853,""instagram"")=TRUE,""Instagram"",if(REGEXMATCH(C2853,""youtube"")=TRUE,""Youtube"",if(REGEXMATCH(C2853,""tiktok"")=TRUE,""Tiktok"",if("&amp;"REGEXMATCH(C2853,""threads"")=TRUE,""Threads""))))))"),"Tiktok")</f>
        <v>Tiktok</v>
      </c>
      <c r="G2853" s="41" t="s">
        <v>4906</v>
      </c>
      <c r="H2853" s="36"/>
      <c r="I2853" s="36"/>
      <c r="J2853" s="41" t="s">
        <v>188</v>
      </c>
      <c r="K2853" s="41"/>
      <c r="L2853" s="42"/>
    </row>
    <row r="2854">
      <c r="A2854" s="18">
        <v>2853.0</v>
      </c>
      <c r="B2854" s="76" t="s">
        <v>4882</v>
      </c>
      <c r="C2854" s="40" t="s">
        <v>4907</v>
      </c>
      <c r="D2854" s="41"/>
      <c r="E2854" s="41" t="s">
        <v>4844</v>
      </c>
      <c r="F2854" s="41" t="str">
        <f>IFERROR(__xludf.DUMMYFUNCTION("if(REGEXMATCH(C2854,""x.com"")=TRUE,""Twitter"",if(REGEXMATCH(C2854,""facebook"")=TRUE,""Facebook"",if(REGEXMATCH(C2854,""instagram"")=TRUE,""Instagram"",if(REGEXMATCH(C2854,""youtube"")=TRUE,""Youtube"",if(REGEXMATCH(C2854,""tiktok"")=TRUE,""Tiktok"",if("&amp;"REGEXMATCH(C2854,""threads"")=TRUE,""Threads""))))))"),"Twitter")</f>
        <v>Twitter</v>
      </c>
      <c r="G2854" s="41" t="s">
        <v>4908</v>
      </c>
      <c r="H2854" s="35"/>
      <c r="I2854" s="35"/>
      <c r="J2854" s="41" t="s">
        <v>188</v>
      </c>
      <c r="K2854" s="41"/>
      <c r="L2854" s="42"/>
    </row>
    <row r="2855">
      <c r="A2855" s="18">
        <v>2854.0</v>
      </c>
      <c r="B2855" s="76" t="s">
        <v>4882</v>
      </c>
      <c r="C2855" s="40" t="s">
        <v>4909</v>
      </c>
      <c r="D2855" s="41"/>
      <c r="E2855" s="41" t="s">
        <v>2018</v>
      </c>
      <c r="F2855" s="41" t="str">
        <f>IFERROR(__xludf.DUMMYFUNCTION("if(REGEXMATCH(C2855,""x.com"")=TRUE,""Twitter"",if(REGEXMATCH(C2855,""facebook"")=TRUE,""Facebook"",if(REGEXMATCH(C2855,""instagram"")=TRUE,""Instagram"",if(REGEXMATCH(C2855,""youtube"")=TRUE,""Youtube"",if(REGEXMATCH(C2855,""tiktok"")=TRUE,""Tiktok"",if("&amp;"REGEXMATCH(C2855,""threads"")=TRUE,""Threads""))))))"),"Facebook")</f>
        <v>Facebook</v>
      </c>
      <c r="G2855" s="44" t="s">
        <v>4910</v>
      </c>
      <c r="H2855" s="41" t="s">
        <v>2023</v>
      </c>
      <c r="I2855" s="41"/>
      <c r="J2855" s="41" t="s">
        <v>188</v>
      </c>
      <c r="K2855" s="42"/>
      <c r="L2855" s="42"/>
    </row>
    <row r="2856">
      <c r="A2856" s="18">
        <v>2855.0</v>
      </c>
      <c r="B2856" s="76" t="s">
        <v>4882</v>
      </c>
      <c r="C2856" s="40" t="s">
        <v>4911</v>
      </c>
      <c r="D2856" s="41"/>
      <c r="E2856" s="41" t="s">
        <v>2018</v>
      </c>
      <c r="F2856" s="41" t="str">
        <f>IFERROR(__xludf.DUMMYFUNCTION("if(REGEXMATCH(C2856,""x.com"")=TRUE,""Twitter"",if(REGEXMATCH(C2856,""facebook"")=TRUE,""Facebook"",if(REGEXMATCH(C2856,""instagram"")=TRUE,""Instagram"",if(REGEXMATCH(C2856,""youtube"")=TRUE,""Youtube"",if(REGEXMATCH(C2856,""tiktok"")=TRUE,""Tiktok"",if("&amp;"REGEXMATCH(C2856,""threads"")=TRUE,""Threads""))))))"),"Facebook")</f>
        <v>Facebook</v>
      </c>
      <c r="G2856" s="44" t="s">
        <v>4912</v>
      </c>
      <c r="H2856" s="41" t="s">
        <v>2023</v>
      </c>
      <c r="I2856" s="41"/>
      <c r="J2856" s="41" t="s">
        <v>188</v>
      </c>
      <c r="K2856" s="42"/>
      <c r="L2856" s="42"/>
    </row>
    <row r="2857">
      <c r="A2857" s="18">
        <v>2856.0</v>
      </c>
      <c r="B2857" s="76" t="s">
        <v>4882</v>
      </c>
      <c r="C2857" s="40" t="s">
        <v>4913</v>
      </c>
      <c r="D2857" s="41"/>
      <c r="E2857" s="41" t="s">
        <v>2018</v>
      </c>
      <c r="F2857" s="41" t="str">
        <f>IFERROR(__xludf.DUMMYFUNCTION("if(REGEXMATCH(C2857,""x.com"")=TRUE,""Twitter"",if(REGEXMATCH(C2857,""facebook"")=TRUE,""Facebook"",if(REGEXMATCH(C2857,""instagram"")=TRUE,""Instagram"",if(REGEXMATCH(C2857,""youtube"")=TRUE,""Youtube"",if(REGEXMATCH(C2857,""tiktok"")=TRUE,""Tiktok"",if("&amp;"REGEXMATCH(C2857,""threads"")=TRUE,""Threads""))))))"),"Facebook")</f>
        <v>Facebook</v>
      </c>
      <c r="G2857" s="44" t="s">
        <v>4914</v>
      </c>
      <c r="H2857" s="41" t="s">
        <v>2023</v>
      </c>
      <c r="I2857" s="41"/>
      <c r="J2857" s="41" t="s">
        <v>188</v>
      </c>
      <c r="K2857" s="42"/>
      <c r="L2857" s="42"/>
    </row>
    <row r="2858">
      <c r="A2858" s="18">
        <v>2857.0</v>
      </c>
      <c r="B2858" s="76" t="s">
        <v>4882</v>
      </c>
      <c r="C2858" s="40" t="s">
        <v>4915</v>
      </c>
      <c r="D2858" s="41"/>
      <c r="E2858" s="41" t="s">
        <v>2018</v>
      </c>
      <c r="F2858" s="41" t="str">
        <f>IFERROR(__xludf.DUMMYFUNCTION("if(REGEXMATCH(C2858,""x.com"")=TRUE,""Twitter"",if(REGEXMATCH(C2858,""facebook"")=TRUE,""Facebook"",if(REGEXMATCH(C2858,""instagram"")=TRUE,""Instagram"",if(REGEXMATCH(C2858,""youtube"")=TRUE,""Youtube"",if(REGEXMATCH(C2858,""tiktok"")=TRUE,""Tiktok"",if("&amp;"REGEXMATCH(C2858,""threads"")=TRUE,""Threads""))))))"),"Facebook")</f>
        <v>Facebook</v>
      </c>
      <c r="G2858" s="44" t="s">
        <v>4916</v>
      </c>
      <c r="H2858" s="41" t="s">
        <v>2023</v>
      </c>
      <c r="I2858" s="41"/>
      <c r="J2858" s="41" t="s">
        <v>188</v>
      </c>
      <c r="K2858" s="42"/>
      <c r="L2858" s="42"/>
    </row>
    <row r="2859">
      <c r="A2859" s="18">
        <v>2858.0</v>
      </c>
      <c r="B2859" s="76" t="s">
        <v>4882</v>
      </c>
      <c r="C2859" s="40" t="s">
        <v>4917</v>
      </c>
      <c r="D2859" s="41"/>
      <c r="E2859" s="41" t="s">
        <v>2018</v>
      </c>
      <c r="F2859" s="41" t="str">
        <f>IFERROR(__xludf.DUMMYFUNCTION("if(REGEXMATCH(C2859,""x.com"")=TRUE,""Twitter"",if(REGEXMATCH(C2859,""facebook"")=TRUE,""Facebook"",if(REGEXMATCH(C2859,""instagram"")=TRUE,""Instagram"",if(REGEXMATCH(C2859,""youtube"")=TRUE,""Youtube"",if(REGEXMATCH(C2859,""tiktok"")=TRUE,""Tiktok"",if("&amp;"REGEXMATCH(C2859,""threads"")=TRUE,""Threads""))))))"),"Instagram")</f>
        <v>Instagram</v>
      </c>
      <c r="G2859" s="44" t="s">
        <v>4918</v>
      </c>
      <c r="H2859" s="41" t="s">
        <v>2023</v>
      </c>
      <c r="I2859" s="41"/>
      <c r="J2859" s="41" t="s">
        <v>188</v>
      </c>
      <c r="K2859" s="42"/>
      <c r="L2859" s="42"/>
    </row>
    <row r="2860">
      <c r="A2860" s="18">
        <v>2859.0</v>
      </c>
      <c r="B2860" s="76" t="s">
        <v>4882</v>
      </c>
      <c r="C2860" s="40" t="s">
        <v>4919</v>
      </c>
      <c r="D2860" s="41"/>
      <c r="E2860" s="41" t="s">
        <v>2018</v>
      </c>
      <c r="F2860" s="41" t="str">
        <f>IFERROR(__xludf.DUMMYFUNCTION("if(REGEXMATCH(C2860,""x.com"")=TRUE,""Twitter"",if(REGEXMATCH(C2860,""facebook"")=TRUE,""Facebook"",if(REGEXMATCH(C2860,""instagram"")=TRUE,""Instagram"",if(REGEXMATCH(C2860,""youtube"")=TRUE,""Youtube"",if(REGEXMATCH(C2860,""tiktok"")=TRUE,""Tiktok"",if("&amp;"REGEXMATCH(C2860,""threads"")=TRUE,""Threads""))))))"),"Instagram")</f>
        <v>Instagram</v>
      </c>
      <c r="G2860" s="44" t="s">
        <v>4920</v>
      </c>
      <c r="H2860" s="41" t="s">
        <v>2023</v>
      </c>
      <c r="I2860" s="41"/>
      <c r="J2860" s="41" t="s">
        <v>188</v>
      </c>
      <c r="K2860" s="42"/>
      <c r="L2860" s="42"/>
    </row>
    <row r="2861">
      <c r="A2861" s="18">
        <v>2860.0</v>
      </c>
      <c r="B2861" s="76" t="s">
        <v>4921</v>
      </c>
      <c r="C2861" s="40" t="s">
        <v>4922</v>
      </c>
      <c r="D2861" s="41"/>
      <c r="E2861" s="41" t="s">
        <v>3329</v>
      </c>
      <c r="F2861" s="41" t="str">
        <f>IFERROR(__xludf.DUMMYFUNCTION("if(REGEXMATCH(C2861,""x.com"")=TRUE,""Twitter"",if(REGEXMATCH(C2861,""facebook"")=TRUE,""Facebook"",if(REGEXMATCH(C2861,""instagram"")=TRUE,""Instagram"",if(REGEXMATCH(C2861,""youtube"")=TRUE,""Youtube"",if(REGEXMATCH(C2861,""tiktok"")=TRUE,""Tiktok"",if("&amp;"REGEXMATCH(C2861,""threads"")=TRUE,""Threads""))))))"),"Tiktok")</f>
        <v>Tiktok</v>
      </c>
      <c r="G2861" s="41" t="s">
        <v>4923</v>
      </c>
      <c r="H2861" s="43" t="s">
        <v>779</v>
      </c>
      <c r="I2861" s="43" t="s">
        <v>535</v>
      </c>
      <c r="J2861" s="41" t="s">
        <v>188</v>
      </c>
      <c r="K2861" s="42"/>
      <c r="L2861" s="42"/>
    </row>
    <row r="2862">
      <c r="A2862" s="18">
        <v>2861.0</v>
      </c>
      <c r="B2862" s="76" t="s">
        <v>4921</v>
      </c>
      <c r="C2862" s="40" t="s">
        <v>4924</v>
      </c>
      <c r="D2862" s="41"/>
      <c r="E2862" s="41" t="s">
        <v>3329</v>
      </c>
      <c r="F2862" s="41" t="str">
        <f>IFERROR(__xludf.DUMMYFUNCTION("if(REGEXMATCH(C2862,""x.com"")=TRUE,""Twitter"",if(REGEXMATCH(C2862,""facebook"")=TRUE,""Facebook"",if(REGEXMATCH(C2862,""instagram"")=TRUE,""Instagram"",if(REGEXMATCH(C2862,""youtube"")=TRUE,""Youtube"",if(REGEXMATCH(C2862,""tiktok"")=TRUE,""Tiktok"",if("&amp;"REGEXMATCH(C2862,""threads"")=TRUE,""Threads""))))))"),"Tiktok")</f>
        <v>Tiktok</v>
      </c>
      <c r="G2862" s="41" t="s">
        <v>4925</v>
      </c>
      <c r="H2862" s="36"/>
      <c r="I2862" s="36"/>
      <c r="J2862" s="41" t="s">
        <v>188</v>
      </c>
      <c r="K2862" s="42"/>
      <c r="L2862" s="42"/>
    </row>
    <row r="2863">
      <c r="A2863" s="18">
        <v>2862.0</v>
      </c>
      <c r="B2863" s="76" t="s">
        <v>4921</v>
      </c>
      <c r="C2863" s="40" t="s">
        <v>4926</v>
      </c>
      <c r="D2863" s="41"/>
      <c r="E2863" s="41" t="s">
        <v>557</v>
      </c>
      <c r="F2863" s="41" t="str">
        <f>IFERROR(__xludf.DUMMYFUNCTION("if(REGEXMATCH(C2863,""x.com"")=TRUE,""Twitter"",if(REGEXMATCH(C2863,""facebook"")=TRUE,""Facebook"",if(REGEXMATCH(C2863,""instagram"")=TRUE,""Instagram"",if(REGEXMATCH(C2863,""youtube"")=TRUE,""Youtube"",if(REGEXMATCH(C2863,""tiktok"")=TRUE,""Tiktok"",if("&amp;"REGEXMATCH(C2863,""threads"")=TRUE,""Threads""))))))"),"Tiktok")</f>
        <v>Tiktok</v>
      </c>
      <c r="G2863" s="41" t="s">
        <v>4927</v>
      </c>
      <c r="H2863" s="36"/>
      <c r="I2863" s="36"/>
      <c r="J2863" s="41" t="s">
        <v>188</v>
      </c>
      <c r="K2863" s="42"/>
      <c r="L2863" s="42"/>
    </row>
    <row r="2864">
      <c r="A2864" s="18">
        <v>2863.0</v>
      </c>
      <c r="B2864" s="76" t="s">
        <v>4921</v>
      </c>
      <c r="C2864" s="40" t="s">
        <v>4928</v>
      </c>
      <c r="D2864" s="41"/>
      <c r="E2864" s="41" t="s">
        <v>3329</v>
      </c>
      <c r="F2864" s="41" t="str">
        <f>IFERROR(__xludf.DUMMYFUNCTION("if(REGEXMATCH(C2864,""x.com"")=TRUE,""Twitter"",if(REGEXMATCH(C2864,""facebook"")=TRUE,""Facebook"",if(REGEXMATCH(C2864,""instagram"")=TRUE,""Instagram"",if(REGEXMATCH(C2864,""youtube"")=TRUE,""Youtube"",if(REGEXMATCH(C2864,""tiktok"")=TRUE,""Tiktok"",if("&amp;"REGEXMATCH(C2864,""threads"")=TRUE,""Threads""))))))"),"Tiktok")</f>
        <v>Tiktok</v>
      </c>
      <c r="G2864" s="41" t="s">
        <v>4929</v>
      </c>
      <c r="H2864" s="36"/>
      <c r="I2864" s="36"/>
      <c r="J2864" s="41" t="s">
        <v>188</v>
      </c>
      <c r="K2864" s="42"/>
      <c r="L2864" s="42"/>
    </row>
    <row r="2865">
      <c r="A2865" s="18">
        <v>2864.0</v>
      </c>
      <c r="B2865" s="76" t="s">
        <v>4921</v>
      </c>
      <c r="C2865" s="40" t="s">
        <v>4930</v>
      </c>
      <c r="D2865" s="41"/>
      <c r="E2865" s="41" t="s">
        <v>197</v>
      </c>
      <c r="F2865" s="41" t="str">
        <f>IFERROR(__xludf.DUMMYFUNCTION("if(REGEXMATCH(C2865,""x.com"")=TRUE,""Twitter"",if(REGEXMATCH(C2865,""facebook"")=TRUE,""Facebook"",if(REGEXMATCH(C2865,""instagram"")=TRUE,""Instagram"",if(REGEXMATCH(C2865,""youtube"")=TRUE,""Youtube"",if(REGEXMATCH(C2865,""tiktok"")=TRUE,""Tiktok"",if("&amp;"REGEXMATCH(C2865,""threads"")=TRUE,""Threads""))))))"),"Twitter")</f>
        <v>Twitter</v>
      </c>
      <c r="G2865" s="41" t="s">
        <v>4931</v>
      </c>
      <c r="H2865" s="36"/>
      <c r="I2865" s="36"/>
      <c r="J2865" s="41" t="s">
        <v>188</v>
      </c>
      <c r="K2865" s="42"/>
      <c r="L2865" s="42"/>
    </row>
    <row r="2866">
      <c r="A2866" s="18">
        <v>2865.0</v>
      </c>
      <c r="B2866" s="76" t="s">
        <v>4921</v>
      </c>
      <c r="C2866" s="40" t="s">
        <v>4932</v>
      </c>
      <c r="D2866" s="41"/>
      <c r="E2866" s="41" t="s">
        <v>197</v>
      </c>
      <c r="F2866" s="41" t="str">
        <f>IFERROR(__xludf.DUMMYFUNCTION("if(REGEXMATCH(C2866,""x.com"")=TRUE,""Twitter"",if(REGEXMATCH(C2866,""facebook"")=TRUE,""Facebook"",if(REGEXMATCH(C2866,""instagram"")=TRUE,""Instagram"",if(REGEXMATCH(C2866,""youtube"")=TRUE,""Youtube"",if(REGEXMATCH(C2866,""tiktok"")=TRUE,""Tiktok"",if("&amp;"REGEXMATCH(C2866,""threads"")=TRUE,""Threads""))))))"),"Twitter")</f>
        <v>Twitter</v>
      </c>
      <c r="G2866" s="41" t="s">
        <v>4933</v>
      </c>
      <c r="H2866" s="36"/>
      <c r="I2866" s="36"/>
      <c r="J2866" s="41" t="s">
        <v>188</v>
      </c>
      <c r="K2866" s="42"/>
      <c r="L2866" s="42"/>
    </row>
    <row r="2867">
      <c r="A2867" s="18">
        <v>2866.0</v>
      </c>
      <c r="B2867" s="76" t="s">
        <v>4921</v>
      </c>
      <c r="C2867" s="40" t="s">
        <v>4934</v>
      </c>
      <c r="D2867" s="41"/>
      <c r="E2867" s="41" t="s">
        <v>197</v>
      </c>
      <c r="F2867" s="41" t="str">
        <f>IFERROR(__xludf.DUMMYFUNCTION("if(REGEXMATCH(C2867,""x.com"")=TRUE,""Twitter"",if(REGEXMATCH(C2867,""facebook"")=TRUE,""Facebook"",if(REGEXMATCH(C2867,""instagram"")=TRUE,""Instagram"",if(REGEXMATCH(C2867,""youtube"")=TRUE,""Youtube"",if(REGEXMATCH(C2867,""tiktok"")=TRUE,""Tiktok"",if("&amp;"REGEXMATCH(C2867,""threads"")=TRUE,""Threads""))))))"),"Twitter")</f>
        <v>Twitter</v>
      </c>
      <c r="G2867" s="41" t="s">
        <v>4935</v>
      </c>
      <c r="H2867" s="36"/>
      <c r="I2867" s="36"/>
      <c r="J2867" s="41" t="s">
        <v>188</v>
      </c>
      <c r="K2867" s="42"/>
      <c r="L2867" s="42"/>
    </row>
    <row r="2868">
      <c r="A2868" s="18">
        <v>2867.0</v>
      </c>
      <c r="B2868" s="76" t="s">
        <v>4921</v>
      </c>
      <c r="C2868" s="40" t="s">
        <v>4936</v>
      </c>
      <c r="D2868" s="41"/>
      <c r="E2868" s="41" t="s">
        <v>197</v>
      </c>
      <c r="F2868" s="41" t="str">
        <f>IFERROR(__xludf.DUMMYFUNCTION("if(REGEXMATCH(C2868,""x.com"")=TRUE,""Twitter"",if(REGEXMATCH(C2868,""facebook"")=TRUE,""Facebook"",if(REGEXMATCH(C2868,""instagram"")=TRUE,""Instagram"",if(REGEXMATCH(C2868,""youtube"")=TRUE,""Youtube"",if(REGEXMATCH(C2868,""tiktok"")=TRUE,""Tiktok"",if("&amp;"REGEXMATCH(C2868,""threads"")=TRUE,""Threads""))))))"),"Twitter")</f>
        <v>Twitter</v>
      </c>
      <c r="G2868" s="41" t="s">
        <v>4937</v>
      </c>
      <c r="H2868" s="36"/>
      <c r="I2868" s="36"/>
      <c r="J2868" s="41" t="s">
        <v>188</v>
      </c>
      <c r="K2868" s="42"/>
      <c r="L2868" s="42"/>
    </row>
    <row r="2869">
      <c r="A2869" s="18">
        <v>2868.0</v>
      </c>
      <c r="B2869" s="76" t="s">
        <v>4921</v>
      </c>
      <c r="C2869" s="40" t="s">
        <v>4938</v>
      </c>
      <c r="D2869" s="41"/>
      <c r="E2869" s="41" t="s">
        <v>197</v>
      </c>
      <c r="F2869" s="41" t="str">
        <f>IFERROR(__xludf.DUMMYFUNCTION("if(REGEXMATCH(C2869,""x.com"")=TRUE,""Twitter"",if(REGEXMATCH(C2869,""facebook"")=TRUE,""Facebook"",if(REGEXMATCH(C2869,""instagram"")=TRUE,""Instagram"",if(REGEXMATCH(C2869,""youtube"")=TRUE,""Youtube"",if(REGEXMATCH(C2869,""tiktok"")=TRUE,""Tiktok"",if("&amp;"REGEXMATCH(C2869,""threads"")=TRUE,""Threads""))))))"),"Twitter")</f>
        <v>Twitter</v>
      </c>
      <c r="G2869" s="41" t="s">
        <v>4939</v>
      </c>
      <c r="H2869" s="36"/>
      <c r="I2869" s="36"/>
      <c r="J2869" s="41" t="s">
        <v>188</v>
      </c>
      <c r="K2869" s="42"/>
      <c r="L2869" s="42"/>
    </row>
    <row r="2870">
      <c r="A2870" s="18">
        <v>2869.0</v>
      </c>
      <c r="B2870" s="76" t="s">
        <v>4921</v>
      </c>
      <c r="C2870" s="40" t="s">
        <v>4940</v>
      </c>
      <c r="D2870" s="41"/>
      <c r="E2870" s="41" t="s">
        <v>197</v>
      </c>
      <c r="F2870" s="41" t="str">
        <f>IFERROR(__xludf.DUMMYFUNCTION("if(REGEXMATCH(C2870,""x.com"")=TRUE,""Twitter"",if(REGEXMATCH(C2870,""facebook"")=TRUE,""Facebook"",if(REGEXMATCH(C2870,""instagram"")=TRUE,""Instagram"",if(REGEXMATCH(C2870,""youtube"")=TRUE,""Youtube"",if(REGEXMATCH(C2870,""tiktok"")=TRUE,""Tiktok"",if("&amp;"REGEXMATCH(C2870,""threads"")=TRUE,""Threads""))))))"),"Tiktok")</f>
        <v>Tiktok</v>
      </c>
      <c r="G2870" s="41" t="s">
        <v>4941</v>
      </c>
      <c r="H2870" s="36"/>
      <c r="I2870" s="36"/>
      <c r="J2870" s="41" t="s">
        <v>188</v>
      </c>
      <c r="K2870" s="42"/>
      <c r="L2870" s="42"/>
    </row>
    <row r="2871">
      <c r="A2871" s="18">
        <v>2870.0</v>
      </c>
      <c r="B2871" s="76" t="s">
        <v>4921</v>
      </c>
      <c r="C2871" s="40" t="s">
        <v>4942</v>
      </c>
      <c r="D2871" s="41"/>
      <c r="E2871" s="41" t="s">
        <v>197</v>
      </c>
      <c r="F2871" s="41" t="str">
        <f>IFERROR(__xludf.DUMMYFUNCTION("if(REGEXMATCH(C2871,""x.com"")=TRUE,""Twitter"",if(REGEXMATCH(C2871,""facebook"")=TRUE,""Facebook"",if(REGEXMATCH(C2871,""instagram"")=TRUE,""Instagram"",if(REGEXMATCH(C2871,""youtube"")=TRUE,""Youtube"",if(REGEXMATCH(C2871,""tiktok"")=TRUE,""Tiktok"",if("&amp;"REGEXMATCH(C2871,""threads"")=TRUE,""Threads""))))))"),"Tiktok")</f>
        <v>Tiktok</v>
      </c>
      <c r="G2871" s="41" t="s">
        <v>4943</v>
      </c>
      <c r="H2871" s="36"/>
      <c r="I2871" s="36"/>
      <c r="J2871" s="41" t="s">
        <v>188</v>
      </c>
      <c r="K2871" s="42"/>
      <c r="L2871" s="42"/>
    </row>
    <row r="2872">
      <c r="A2872" s="18">
        <v>2871.0</v>
      </c>
      <c r="B2872" s="76" t="s">
        <v>4921</v>
      </c>
      <c r="C2872" s="40" t="s">
        <v>4944</v>
      </c>
      <c r="D2872" s="41"/>
      <c r="E2872" s="41" t="s">
        <v>197</v>
      </c>
      <c r="F2872" s="41" t="str">
        <f>IFERROR(__xludf.DUMMYFUNCTION("if(REGEXMATCH(C2872,""x.com"")=TRUE,""Twitter"",if(REGEXMATCH(C2872,""facebook"")=TRUE,""Facebook"",if(REGEXMATCH(C2872,""instagram"")=TRUE,""Instagram"",if(REGEXMATCH(C2872,""youtube"")=TRUE,""Youtube"",if(REGEXMATCH(C2872,""tiktok"")=TRUE,""Tiktok"",if("&amp;"REGEXMATCH(C2872,""threads"")=TRUE,""Threads""))))))"),"Twitter")</f>
        <v>Twitter</v>
      </c>
      <c r="G2872" s="41" t="s">
        <v>4945</v>
      </c>
      <c r="H2872" s="36"/>
      <c r="I2872" s="36"/>
      <c r="J2872" s="41" t="s">
        <v>188</v>
      </c>
      <c r="K2872" s="42"/>
      <c r="L2872" s="42"/>
    </row>
    <row r="2873">
      <c r="A2873" s="18">
        <v>2872.0</v>
      </c>
      <c r="B2873" s="76" t="s">
        <v>4921</v>
      </c>
      <c r="C2873" s="40" t="s">
        <v>4946</v>
      </c>
      <c r="D2873" s="41"/>
      <c r="E2873" s="41" t="s">
        <v>197</v>
      </c>
      <c r="F2873" s="41" t="str">
        <f>IFERROR(__xludf.DUMMYFUNCTION("if(REGEXMATCH(C2873,""x.com"")=TRUE,""Twitter"",if(REGEXMATCH(C2873,""facebook"")=TRUE,""Facebook"",if(REGEXMATCH(C2873,""instagram"")=TRUE,""Instagram"",if(REGEXMATCH(C2873,""youtube"")=TRUE,""Youtube"",if(REGEXMATCH(C2873,""tiktok"")=TRUE,""Tiktok"",if("&amp;"REGEXMATCH(C2873,""threads"")=TRUE,""Threads""))))))"),"Twitter")</f>
        <v>Twitter</v>
      </c>
      <c r="G2873" s="41" t="s">
        <v>4945</v>
      </c>
      <c r="H2873" s="36"/>
      <c r="I2873" s="36"/>
      <c r="J2873" s="41" t="s">
        <v>188</v>
      </c>
      <c r="K2873" s="42"/>
      <c r="L2873" s="42"/>
    </row>
    <row r="2874">
      <c r="A2874" s="18">
        <v>2873.0</v>
      </c>
      <c r="B2874" s="76" t="s">
        <v>4921</v>
      </c>
      <c r="C2874" s="40" t="s">
        <v>4947</v>
      </c>
      <c r="D2874" s="41"/>
      <c r="E2874" s="41" t="s">
        <v>197</v>
      </c>
      <c r="F2874" s="41" t="str">
        <f>IFERROR(__xludf.DUMMYFUNCTION("if(REGEXMATCH(C2874,""x.com"")=TRUE,""Twitter"",if(REGEXMATCH(C2874,""facebook"")=TRUE,""Facebook"",if(REGEXMATCH(C2874,""instagram"")=TRUE,""Instagram"",if(REGEXMATCH(C2874,""youtube"")=TRUE,""Youtube"",if(REGEXMATCH(C2874,""tiktok"")=TRUE,""Tiktok"",if("&amp;"REGEXMATCH(C2874,""threads"")=TRUE,""Threads""))))))"),"Twitter")</f>
        <v>Twitter</v>
      </c>
      <c r="G2874" s="41" t="s">
        <v>4948</v>
      </c>
      <c r="H2874" s="35"/>
      <c r="I2874" s="35"/>
      <c r="J2874" s="41" t="s">
        <v>188</v>
      </c>
      <c r="K2874" s="42"/>
      <c r="L2874" s="42"/>
    </row>
    <row r="2875">
      <c r="A2875" s="18">
        <v>2874.0</v>
      </c>
      <c r="B2875" s="76" t="s">
        <v>4921</v>
      </c>
      <c r="C2875" s="40" t="s">
        <v>4949</v>
      </c>
      <c r="D2875" s="41"/>
      <c r="E2875" s="41" t="s">
        <v>1178</v>
      </c>
      <c r="F2875" s="41" t="str">
        <f>IFERROR(__xludf.DUMMYFUNCTION("if(REGEXMATCH(C2875,""x.com"")=TRUE,""Twitter"",if(REGEXMATCH(C2875,""facebook"")=TRUE,""Facebook"",if(REGEXMATCH(C2875,""instagram"")=TRUE,""Instagram"",if(REGEXMATCH(C2875,""youtube"")=TRUE,""Youtube"",if(REGEXMATCH(C2875,""tiktok"")=TRUE,""Tiktok"",if("&amp;"REGEXMATCH(C2875,""threads"")=TRUE,""Threads""))))))"),"Twitter")</f>
        <v>Twitter</v>
      </c>
      <c r="G2875" s="41" t="s">
        <v>2135</v>
      </c>
      <c r="H2875" s="41" t="s">
        <v>2136</v>
      </c>
      <c r="I2875" s="41" t="s">
        <v>2137</v>
      </c>
      <c r="J2875" s="41" t="s">
        <v>188</v>
      </c>
      <c r="K2875" s="41"/>
      <c r="L2875" s="42"/>
    </row>
    <row r="2876">
      <c r="A2876" s="18">
        <v>2875.0</v>
      </c>
      <c r="B2876" s="76" t="s">
        <v>4921</v>
      </c>
      <c r="C2876" s="40" t="s">
        <v>4950</v>
      </c>
      <c r="D2876" s="41"/>
      <c r="E2876" s="41" t="s">
        <v>1178</v>
      </c>
      <c r="F2876" s="41" t="str">
        <f>IFERROR(__xludf.DUMMYFUNCTION("if(REGEXMATCH(C2876,""x.com"")=TRUE,""Twitter"",if(REGEXMATCH(C2876,""facebook"")=TRUE,""Facebook"",if(REGEXMATCH(C2876,""instagram"")=TRUE,""Instagram"",if(REGEXMATCH(C2876,""youtube"")=TRUE,""Youtube"",if(REGEXMATCH(C2876,""tiktok"")=TRUE,""Tiktok"",if("&amp;"REGEXMATCH(C2876,""threads"")=TRUE,""Threads""))))))"),"Twitter")</f>
        <v>Twitter</v>
      </c>
      <c r="G2876" s="41" t="s">
        <v>2135</v>
      </c>
      <c r="H2876" s="41" t="s">
        <v>2136</v>
      </c>
      <c r="I2876" s="41" t="s">
        <v>2137</v>
      </c>
      <c r="J2876" s="41" t="s">
        <v>188</v>
      </c>
      <c r="K2876" s="41"/>
      <c r="L2876" s="42"/>
    </row>
    <row r="2877">
      <c r="A2877" s="18">
        <v>2876.0</v>
      </c>
      <c r="B2877" s="76" t="s">
        <v>4921</v>
      </c>
      <c r="C2877" s="40" t="s">
        <v>4951</v>
      </c>
      <c r="D2877" s="41"/>
      <c r="E2877" s="41" t="s">
        <v>1178</v>
      </c>
      <c r="F2877" s="41" t="str">
        <f>IFERROR(__xludf.DUMMYFUNCTION("if(REGEXMATCH(C2877,""x.com"")=TRUE,""Twitter"",if(REGEXMATCH(C2877,""facebook"")=TRUE,""Facebook"",if(REGEXMATCH(C2877,""instagram"")=TRUE,""Instagram"",if(REGEXMATCH(C2877,""youtube"")=TRUE,""Youtube"",if(REGEXMATCH(C2877,""tiktok"")=TRUE,""Tiktok"",if("&amp;"REGEXMATCH(C2877,""threads"")=TRUE,""Threads""))))))"),"Twitter")</f>
        <v>Twitter</v>
      </c>
      <c r="G2877" s="41" t="s">
        <v>2135</v>
      </c>
      <c r="H2877" s="41" t="s">
        <v>2136</v>
      </c>
      <c r="I2877" s="41" t="s">
        <v>2137</v>
      </c>
      <c r="J2877" s="41" t="s">
        <v>188</v>
      </c>
      <c r="K2877" s="41"/>
      <c r="L2877" s="42"/>
    </row>
    <row r="2878">
      <c r="A2878" s="18">
        <v>2877.0</v>
      </c>
      <c r="B2878" s="76" t="s">
        <v>4921</v>
      </c>
      <c r="C2878" s="40" t="s">
        <v>4952</v>
      </c>
      <c r="D2878" s="41"/>
      <c r="E2878" s="41" t="s">
        <v>1178</v>
      </c>
      <c r="F2878" s="41" t="str">
        <f>IFERROR(__xludf.DUMMYFUNCTION("if(REGEXMATCH(C2878,""x.com"")=TRUE,""Twitter"",if(REGEXMATCH(C2878,""facebook"")=TRUE,""Facebook"",if(REGEXMATCH(C2878,""instagram"")=TRUE,""Instagram"",if(REGEXMATCH(C2878,""youtube"")=TRUE,""Youtube"",if(REGEXMATCH(C2878,""tiktok"")=TRUE,""Tiktok"",if("&amp;"REGEXMATCH(C2878,""threads"")=TRUE,""Threads""))))))"),"Twitter")</f>
        <v>Twitter</v>
      </c>
      <c r="G2878" s="41" t="s">
        <v>2135</v>
      </c>
      <c r="H2878" s="41" t="s">
        <v>2136</v>
      </c>
      <c r="I2878" s="41" t="s">
        <v>2137</v>
      </c>
      <c r="J2878" s="41" t="s">
        <v>188</v>
      </c>
      <c r="K2878" s="41"/>
      <c r="L2878" s="42"/>
    </row>
    <row r="2879">
      <c r="A2879" s="18">
        <v>2878.0</v>
      </c>
      <c r="B2879" s="76" t="s">
        <v>4921</v>
      </c>
      <c r="C2879" s="73" t="s">
        <v>4953</v>
      </c>
      <c r="D2879" s="41"/>
      <c r="E2879" s="41" t="s">
        <v>1178</v>
      </c>
      <c r="F2879" s="41" t="str">
        <f>IFERROR(__xludf.DUMMYFUNCTION("if(REGEXMATCH(C2879,""x.com"")=TRUE,""Twitter"",if(REGEXMATCH(C2879,""facebook"")=TRUE,""Facebook"",if(REGEXMATCH(C2879,""instagram"")=TRUE,""Instagram"",if(REGEXMATCH(C2879,""youtube"")=TRUE,""Youtube"",if(REGEXMATCH(C2879,""tiktok"")=TRUE,""Tiktok"",if("&amp;"REGEXMATCH(C2879,""threads"")=TRUE,""Threads""))))))"),"Twitter")</f>
        <v>Twitter</v>
      </c>
      <c r="G2879" s="41" t="s">
        <v>2135</v>
      </c>
      <c r="H2879" s="41" t="s">
        <v>2136</v>
      </c>
      <c r="I2879" s="41" t="s">
        <v>2137</v>
      </c>
      <c r="J2879" s="41" t="s">
        <v>188</v>
      </c>
      <c r="K2879" s="41"/>
      <c r="L2879" s="42"/>
    </row>
    <row r="2880">
      <c r="A2880" s="18">
        <v>2879.0</v>
      </c>
      <c r="B2880" s="76" t="s">
        <v>4921</v>
      </c>
      <c r="C2880" s="40" t="s">
        <v>4954</v>
      </c>
      <c r="D2880" s="41"/>
      <c r="E2880" s="41" t="s">
        <v>1178</v>
      </c>
      <c r="F2880" s="41" t="str">
        <f>IFERROR(__xludf.DUMMYFUNCTION("if(REGEXMATCH(C2880,""x.com"")=TRUE,""Twitter"",if(REGEXMATCH(C2880,""facebook"")=TRUE,""Facebook"",if(REGEXMATCH(C2880,""instagram"")=TRUE,""Instagram"",if(REGEXMATCH(C2880,""youtube"")=TRUE,""Youtube"",if(REGEXMATCH(C2880,""tiktok"")=TRUE,""Tiktok"",if("&amp;"REGEXMATCH(C2880,""threads"")=TRUE,""Threads""))))))"),"Twitter")</f>
        <v>Twitter</v>
      </c>
      <c r="G2880" s="41" t="s">
        <v>2135</v>
      </c>
      <c r="H2880" s="41" t="s">
        <v>2136</v>
      </c>
      <c r="I2880" s="41" t="s">
        <v>2137</v>
      </c>
      <c r="J2880" s="41" t="s">
        <v>188</v>
      </c>
      <c r="K2880" s="41"/>
      <c r="L2880" s="42"/>
    </row>
    <row r="2881">
      <c r="A2881" s="18">
        <v>2880.0</v>
      </c>
      <c r="B2881" s="76" t="s">
        <v>4921</v>
      </c>
      <c r="C2881" s="40" t="s">
        <v>4955</v>
      </c>
      <c r="D2881" s="41"/>
      <c r="E2881" s="41" t="s">
        <v>1178</v>
      </c>
      <c r="F2881" s="41" t="str">
        <f>IFERROR(__xludf.DUMMYFUNCTION("if(REGEXMATCH(C2881,""x.com"")=TRUE,""Twitter"",if(REGEXMATCH(C2881,""facebook"")=TRUE,""Facebook"",if(REGEXMATCH(C2881,""instagram"")=TRUE,""Instagram"",if(REGEXMATCH(C2881,""youtube"")=TRUE,""Youtube"",if(REGEXMATCH(C2881,""tiktok"")=TRUE,""Tiktok"",if("&amp;"REGEXMATCH(C2881,""threads"")=TRUE,""Threads""))))))"),"Twitter")</f>
        <v>Twitter</v>
      </c>
      <c r="G2881" s="41" t="s">
        <v>2135</v>
      </c>
      <c r="H2881" s="41" t="s">
        <v>2136</v>
      </c>
      <c r="I2881" s="41" t="s">
        <v>2137</v>
      </c>
      <c r="J2881" s="41" t="s">
        <v>188</v>
      </c>
      <c r="K2881" s="41"/>
      <c r="L2881" s="42"/>
    </row>
    <row r="2882">
      <c r="A2882" s="18">
        <v>2881.0</v>
      </c>
      <c r="B2882" s="76" t="s">
        <v>4921</v>
      </c>
      <c r="C2882" s="40" t="s">
        <v>4956</v>
      </c>
      <c r="D2882" s="41"/>
      <c r="E2882" s="41" t="s">
        <v>1178</v>
      </c>
      <c r="F2882" s="41" t="str">
        <f>IFERROR(__xludf.DUMMYFUNCTION("if(REGEXMATCH(C2882,""x.com"")=TRUE,""Twitter"",if(REGEXMATCH(C2882,""facebook"")=TRUE,""Facebook"",if(REGEXMATCH(C2882,""instagram"")=TRUE,""Instagram"",if(REGEXMATCH(C2882,""youtube"")=TRUE,""Youtube"",if(REGEXMATCH(C2882,""tiktok"")=TRUE,""Tiktok"",if("&amp;"REGEXMATCH(C2882,""threads"")=TRUE,""Threads""))))))"),"Twitter")</f>
        <v>Twitter</v>
      </c>
      <c r="G2882" s="41" t="s">
        <v>2135</v>
      </c>
      <c r="H2882" s="41" t="s">
        <v>2136</v>
      </c>
      <c r="I2882" s="41" t="s">
        <v>2137</v>
      </c>
      <c r="J2882" s="41" t="s">
        <v>188</v>
      </c>
      <c r="K2882" s="41"/>
      <c r="L2882" s="42"/>
    </row>
    <row r="2883">
      <c r="A2883" s="18">
        <v>2882.0</v>
      </c>
      <c r="B2883" s="76" t="s">
        <v>4921</v>
      </c>
      <c r="C2883" s="40" t="s">
        <v>4957</v>
      </c>
      <c r="D2883" s="41"/>
      <c r="E2883" s="41" t="s">
        <v>1178</v>
      </c>
      <c r="F2883" s="41" t="str">
        <f>IFERROR(__xludf.DUMMYFUNCTION("if(REGEXMATCH(C2883,""x.com"")=TRUE,""Twitter"",if(REGEXMATCH(C2883,""facebook"")=TRUE,""Facebook"",if(REGEXMATCH(C2883,""instagram"")=TRUE,""Instagram"",if(REGEXMATCH(C2883,""youtube"")=TRUE,""Youtube"",if(REGEXMATCH(C2883,""tiktok"")=TRUE,""Tiktok"",if("&amp;"REGEXMATCH(C2883,""threads"")=TRUE,""Threads""))))))"),"Twitter")</f>
        <v>Twitter</v>
      </c>
      <c r="G2883" s="41" t="s">
        <v>2135</v>
      </c>
      <c r="H2883" s="41" t="s">
        <v>2136</v>
      </c>
      <c r="I2883" s="41" t="s">
        <v>2137</v>
      </c>
      <c r="J2883" s="41" t="s">
        <v>188</v>
      </c>
      <c r="K2883" s="41"/>
      <c r="L2883" s="42"/>
    </row>
    <row r="2884">
      <c r="A2884" s="18">
        <v>2883.0</v>
      </c>
      <c r="B2884" s="76" t="s">
        <v>4921</v>
      </c>
      <c r="C2884" s="40" t="s">
        <v>4958</v>
      </c>
      <c r="D2884" s="41"/>
      <c r="E2884" s="41" t="s">
        <v>1178</v>
      </c>
      <c r="F2884" s="41" t="str">
        <f>IFERROR(__xludf.DUMMYFUNCTION("if(REGEXMATCH(C2884,""x.com"")=TRUE,""Twitter"",if(REGEXMATCH(C2884,""facebook"")=TRUE,""Facebook"",if(REGEXMATCH(C2884,""instagram"")=TRUE,""Instagram"",if(REGEXMATCH(C2884,""youtube"")=TRUE,""Youtube"",if(REGEXMATCH(C2884,""tiktok"")=TRUE,""Tiktok"",if("&amp;"REGEXMATCH(C2884,""threads"")=TRUE,""Threads""))))))"),"Twitter")</f>
        <v>Twitter</v>
      </c>
      <c r="G2884" s="41" t="s">
        <v>2135</v>
      </c>
      <c r="H2884" s="41" t="s">
        <v>2136</v>
      </c>
      <c r="I2884" s="41" t="s">
        <v>2137</v>
      </c>
      <c r="J2884" s="41" t="s">
        <v>188</v>
      </c>
      <c r="K2884" s="41"/>
      <c r="L2884" s="42"/>
    </row>
    <row r="2885">
      <c r="A2885" s="18">
        <v>2884.0</v>
      </c>
      <c r="B2885" s="76" t="s">
        <v>4921</v>
      </c>
      <c r="C2885" s="40" t="s">
        <v>4959</v>
      </c>
      <c r="D2885" s="41"/>
      <c r="E2885" s="41" t="s">
        <v>1178</v>
      </c>
      <c r="F2885" s="41" t="str">
        <f>IFERROR(__xludf.DUMMYFUNCTION("if(REGEXMATCH(C2885,""x.com"")=TRUE,""Twitter"",if(REGEXMATCH(C2885,""facebook"")=TRUE,""Facebook"",if(REGEXMATCH(C2885,""instagram"")=TRUE,""Instagram"",if(REGEXMATCH(C2885,""youtube"")=TRUE,""Youtube"",if(REGEXMATCH(C2885,""tiktok"")=TRUE,""Tiktok"",if("&amp;"REGEXMATCH(C2885,""threads"")=TRUE,""Threads""))))))"),"Twitter")</f>
        <v>Twitter</v>
      </c>
      <c r="G2885" s="41" t="s">
        <v>2135</v>
      </c>
      <c r="H2885" s="41" t="s">
        <v>2136</v>
      </c>
      <c r="I2885" s="41" t="s">
        <v>2137</v>
      </c>
      <c r="J2885" s="41" t="s">
        <v>188</v>
      </c>
      <c r="K2885" s="41"/>
      <c r="L2885" s="42"/>
    </row>
    <row r="2886">
      <c r="A2886" s="18">
        <v>2885.0</v>
      </c>
      <c r="B2886" s="76" t="s">
        <v>4921</v>
      </c>
      <c r="C2886" s="40" t="s">
        <v>4960</v>
      </c>
      <c r="D2886" s="41"/>
      <c r="E2886" s="41" t="s">
        <v>1178</v>
      </c>
      <c r="F2886" s="41" t="str">
        <f>IFERROR(__xludf.DUMMYFUNCTION("if(REGEXMATCH(C2886,""x.com"")=TRUE,""Twitter"",if(REGEXMATCH(C2886,""facebook"")=TRUE,""Facebook"",if(REGEXMATCH(C2886,""instagram"")=TRUE,""Instagram"",if(REGEXMATCH(C2886,""youtube"")=TRUE,""Youtube"",if(REGEXMATCH(C2886,""tiktok"")=TRUE,""Tiktok"",if("&amp;"REGEXMATCH(C2886,""threads"")=TRUE,""Threads""))))))"),"Twitter")</f>
        <v>Twitter</v>
      </c>
      <c r="G2886" s="41" t="s">
        <v>2135</v>
      </c>
      <c r="H2886" s="41" t="s">
        <v>2136</v>
      </c>
      <c r="I2886" s="41" t="s">
        <v>2137</v>
      </c>
      <c r="J2886" s="41" t="s">
        <v>188</v>
      </c>
      <c r="K2886" s="41"/>
      <c r="L2886" s="42"/>
    </row>
    <row r="2887">
      <c r="A2887" s="18">
        <v>2886.0</v>
      </c>
      <c r="B2887" s="76" t="s">
        <v>4921</v>
      </c>
      <c r="C2887" s="40" t="s">
        <v>4961</v>
      </c>
      <c r="D2887" s="41"/>
      <c r="E2887" s="41" t="s">
        <v>1178</v>
      </c>
      <c r="F2887" s="41" t="str">
        <f>IFERROR(__xludf.DUMMYFUNCTION("if(REGEXMATCH(C2887,""x.com"")=TRUE,""Twitter"",if(REGEXMATCH(C2887,""facebook"")=TRUE,""Facebook"",if(REGEXMATCH(C2887,""instagram"")=TRUE,""Instagram"",if(REGEXMATCH(C2887,""youtube"")=TRUE,""Youtube"",if(REGEXMATCH(C2887,""tiktok"")=TRUE,""Tiktok"",if("&amp;"REGEXMATCH(C2887,""threads"")=TRUE,""Threads""))))))"),"Twitter")</f>
        <v>Twitter</v>
      </c>
      <c r="G2887" s="41" t="s">
        <v>2135</v>
      </c>
      <c r="H2887" s="41" t="s">
        <v>2136</v>
      </c>
      <c r="I2887" s="41" t="s">
        <v>2137</v>
      </c>
      <c r="J2887" s="41" t="s">
        <v>188</v>
      </c>
      <c r="K2887" s="41"/>
      <c r="L2887" s="42"/>
    </row>
    <row r="2888">
      <c r="A2888" s="18">
        <v>2887.0</v>
      </c>
      <c r="B2888" s="76" t="s">
        <v>4921</v>
      </c>
      <c r="C2888" s="40" t="s">
        <v>4962</v>
      </c>
      <c r="D2888" s="41"/>
      <c r="E2888" s="41" t="s">
        <v>1178</v>
      </c>
      <c r="F2888" s="41" t="str">
        <f>IFERROR(__xludf.DUMMYFUNCTION("if(REGEXMATCH(C2888,""x.com"")=TRUE,""Twitter"",if(REGEXMATCH(C2888,""facebook"")=TRUE,""Facebook"",if(REGEXMATCH(C2888,""instagram"")=TRUE,""Instagram"",if(REGEXMATCH(C2888,""youtube"")=TRUE,""Youtube"",if(REGEXMATCH(C2888,""tiktok"")=TRUE,""Tiktok"",if("&amp;"REGEXMATCH(C2888,""threads"")=TRUE,""Threads""))))))"),"Twitter")</f>
        <v>Twitter</v>
      </c>
      <c r="G2888" s="41" t="s">
        <v>2135</v>
      </c>
      <c r="H2888" s="41" t="s">
        <v>2136</v>
      </c>
      <c r="I2888" s="41" t="s">
        <v>2137</v>
      </c>
      <c r="J2888" s="41" t="s">
        <v>188</v>
      </c>
      <c r="K2888" s="41"/>
      <c r="L2888" s="42"/>
    </row>
    <row r="2889">
      <c r="A2889" s="18">
        <v>2888.0</v>
      </c>
      <c r="B2889" s="76" t="s">
        <v>4921</v>
      </c>
      <c r="C2889" s="40" t="s">
        <v>4963</v>
      </c>
      <c r="D2889" s="41"/>
      <c r="E2889" s="41" t="s">
        <v>1178</v>
      </c>
      <c r="F2889" s="41" t="str">
        <f>IFERROR(__xludf.DUMMYFUNCTION("if(REGEXMATCH(C2889,""x.com"")=TRUE,""Twitter"",if(REGEXMATCH(C2889,""facebook"")=TRUE,""Facebook"",if(REGEXMATCH(C2889,""instagram"")=TRUE,""Instagram"",if(REGEXMATCH(C2889,""youtube"")=TRUE,""Youtube"",if(REGEXMATCH(C2889,""tiktok"")=TRUE,""Tiktok"",if("&amp;"REGEXMATCH(C2889,""threads"")=TRUE,""Threads""))))))"),"Twitter")</f>
        <v>Twitter</v>
      </c>
      <c r="G2889" s="41" t="s">
        <v>2135</v>
      </c>
      <c r="H2889" s="41" t="s">
        <v>2136</v>
      </c>
      <c r="I2889" s="41" t="s">
        <v>2137</v>
      </c>
      <c r="J2889" s="41" t="s">
        <v>188</v>
      </c>
      <c r="K2889" s="41"/>
      <c r="L2889" s="42"/>
    </row>
    <row r="2890">
      <c r="A2890" s="18">
        <v>2889.0</v>
      </c>
      <c r="B2890" s="76" t="s">
        <v>4921</v>
      </c>
      <c r="C2890" s="40" t="s">
        <v>4964</v>
      </c>
      <c r="D2890" s="41"/>
      <c r="E2890" s="41" t="s">
        <v>1178</v>
      </c>
      <c r="F2890" s="41" t="str">
        <f>IFERROR(__xludf.DUMMYFUNCTION("if(REGEXMATCH(C2890,""x.com"")=TRUE,""Twitter"",if(REGEXMATCH(C2890,""facebook"")=TRUE,""Facebook"",if(REGEXMATCH(C2890,""instagram"")=TRUE,""Instagram"",if(REGEXMATCH(C2890,""youtube"")=TRUE,""Youtube"",if(REGEXMATCH(C2890,""tiktok"")=TRUE,""Tiktok"",if("&amp;"REGEXMATCH(C2890,""threads"")=TRUE,""Threads""))))))"),"Twitter")</f>
        <v>Twitter</v>
      </c>
      <c r="G2890" s="41" t="s">
        <v>2135</v>
      </c>
      <c r="H2890" s="41" t="s">
        <v>2136</v>
      </c>
      <c r="I2890" s="41" t="s">
        <v>2137</v>
      </c>
      <c r="J2890" s="41" t="s">
        <v>188</v>
      </c>
      <c r="K2890" s="41"/>
      <c r="L2890" s="42"/>
    </row>
    <row r="2891">
      <c r="A2891" s="18">
        <v>2890.0</v>
      </c>
      <c r="B2891" s="76" t="s">
        <v>4921</v>
      </c>
      <c r="C2891" s="40" t="s">
        <v>4965</v>
      </c>
      <c r="D2891" s="41"/>
      <c r="E2891" s="41" t="s">
        <v>1178</v>
      </c>
      <c r="F2891" s="41" t="str">
        <f>IFERROR(__xludf.DUMMYFUNCTION("if(REGEXMATCH(C2891,""x.com"")=TRUE,""Twitter"",if(REGEXMATCH(C2891,""facebook"")=TRUE,""Facebook"",if(REGEXMATCH(C2891,""instagram"")=TRUE,""Instagram"",if(REGEXMATCH(C2891,""youtube"")=TRUE,""Youtube"",if(REGEXMATCH(C2891,""tiktok"")=TRUE,""Tiktok"",if("&amp;"REGEXMATCH(C2891,""threads"")=TRUE,""Threads""))))))"),"Twitter")</f>
        <v>Twitter</v>
      </c>
      <c r="G2891" s="41" t="s">
        <v>2135</v>
      </c>
      <c r="H2891" s="41" t="s">
        <v>2136</v>
      </c>
      <c r="I2891" s="41" t="s">
        <v>2137</v>
      </c>
      <c r="J2891" s="41" t="s">
        <v>188</v>
      </c>
      <c r="K2891" s="41"/>
      <c r="L2891" s="42"/>
    </row>
    <row r="2892">
      <c r="A2892" s="18">
        <v>2891.0</v>
      </c>
      <c r="B2892" s="76" t="s">
        <v>4921</v>
      </c>
      <c r="C2892" s="40" t="s">
        <v>4966</v>
      </c>
      <c r="D2892" s="41"/>
      <c r="E2892" s="41" t="s">
        <v>1178</v>
      </c>
      <c r="F2892" s="41" t="str">
        <f>IFERROR(__xludf.DUMMYFUNCTION("if(REGEXMATCH(C2892,""x.com"")=TRUE,""Twitter"",if(REGEXMATCH(C2892,""facebook"")=TRUE,""Facebook"",if(REGEXMATCH(C2892,""instagram"")=TRUE,""Instagram"",if(REGEXMATCH(C2892,""youtube"")=TRUE,""Youtube"",if(REGEXMATCH(C2892,""tiktok"")=TRUE,""Tiktok"",if("&amp;"REGEXMATCH(C2892,""threads"")=TRUE,""Threads""))))))"),"Twitter")</f>
        <v>Twitter</v>
      </c>
      <c r="G2892" s="41" t="s">
        <v>2135</v>
      </c>
      <c r="H2892" s="41" t="s">
        <v>2136</v>
      </c>
      <c r="I2892" s="41" t="s">
        <v>2137</v>
      </c>
      <c r="J2892" s="41" t="s">
        <v>422</v>
      </c>
      <c r="K2892" s="41" t="s">
        <v>4967</v>
      </c>
      <c r="L2892" s="42"/>
    </row>
    <row r="2893">
      <c r="A2893" s="18">
        <v>2892.0</v>
      </c>
      <c r="B2893" s="76" t="s">
        <v>4921</v>
      </c>
      <c r="C2893" s="40" t="s">
        <v>4968</v>
      </c>
      <c r="D2893" s="41"/>
      <c r="E2893" s="41" t="s">
        <v>1178</v>
      </c>
      <c r="F2893" s="41" t="str">
        <f>IFERROR(__xludf.DUMMYFUNCTION("if(REGEXMATCH(C2893,""x.com"")=TRUE,""Twitter"",if(REGEXMATCH(C2893,""facebook"")=TRUE,""Facebook"",if(REGEXMATCH(C2893,""instagram"")=TRUE,""Instagram"",if(REGEXMATCH(C2893,""youtube"")=TRUE,""Youtube"",if(REGEXMATCH(C2893,""tiktok"")=TRUE,""Tiktok"",if("&amp;"REGEXMATCH(C2893,""threads"")=TRUE,""Threads""))))))"),"Twitter")</f>
        <v>Twitter</v>
      </c>
      <c r="G2893" s="41" t="s">
        <v>2135</v>
      </c>
      <c r="H2893" s="41" t="s">
        <v>2136</v>
      </c>
      <c r="I2893" s="41" t="s">
        <v>2137</v>
      </c>
      <c r="J2893" s="41" t="s">
        <v>188</v>
      </c>
      <c r="K2893" s="41"/>
      <c r="L2893" s="42"/>
    </row>
    <row r="2894">
      <c r="A2894" s="18">
        <v>2893.0</v>
      </c>
      <c r="B2894" s="76" t="s">
        <v>4921</v>
      </c>
      <c r="C2894" s="40" t="s">
        <v>4969</v>
      </c>
      <c r="D2894" s="41"/>
      <c r="E2894" s="41" t="s">
        <v>1178</v>
      </c>
      <c r="F2894" s="41" t="str">
        <f>IFERROR(__xludf.DUMMYFUNCTION("if(REGEXMATCH(C2894,""x.com"")=TRUE,""Twitter"",if(REGEXMATCH(C2894,""facebook"")=TRUE,""Facebook"",if(REGEXMATCH(C2894,""instagram"")=TRUE,""Instagram"",if(REGEXMATCH(C2894,""youtube"")=TRUE,""Youtube"",if(REGEXMATCH(C2894,""tiktok"")=TRUE,""Tiktok"",if("&amp;"REGEXMATCH(C2894,""threads"")=TRUE,""Threads""))))))"),"Twitter")</f>
        <v>Twitter</v>
      </c>
      <c r="G2894" s="41" t="s">
        <v>2135</v>
      </c>
      <c r="H2894" s="41" t="s">
        <v>2136</v>
      </c>
      <c r="I2894" s="41" t="s">
        <v>2137</v>
      </c>
      <c r="J2894" s="41" t="s">
        <v>188</v>
      </c>
      <c r="K2894" s="41"/>
      <c r="L2894" s="42"/>
    </row>
    <row r="2895">
      <c r="A2895" s="18">
        <v>2894.0</v>
      </c>
      <c r="B2895" s="76" t="s">
        <v>4921</v>
      </c>
      <c r="C2895" s="40" t="s">
        <v>4970</v>
      </c>
      <c r="D2895" s="41"/>
      <c r="E2895" s="41" t="s">
        <v>401</v>
      </c>
      <c r="F2895" s="41" t="str">
        <f>IFERROR(__xludf.DUMMYFUNCTION("if(REGEXMATCH(C2895,""x.com"")=TRUE,""Twitter"",if(REGEXMATCH(C2895,""facebook"")=TRUE,""Facebook"",if(REGEXMATCH(C2895,""instagram"")=TRUE,""Instagram"",if(REGEXMATCH(C2895,""youtube"")=TRUE,""Youtube"",if(REGEXMATCH(C2895,""tiktok"")=TRUE,""Tiktok"",if("&amp;"REGEXMATCH(C2895,""threads"")=TRUE,""Threads""))))))"),"Facebook")</f>
        <v>Facebook</v>
      </c>
      <c r="G2895" s="41" t="s">
        <v>937</v>
      </c>
      <c r="H2895" s="41" t="s">
        <v>1542</v>
      </c>
      <c r="I2895" s="41" t="s">
        <v>939</v>
      </c>
      <c r="J2895" s="41" t="s">
        <v>188</v>
      </c>
      <c r="K2895" s="41"/>
      <c r="L2895" s="42"/>
    </row>
    <row r="2896">
      <c r="A2896" s="18">
        <v>2895.0</v>
      </c>
      <c r="B2896" s="76" t="s">
        <v>4921</v>
      </c>
      <c r="C2896" s="40" t="s">
        <v>4971</v>
      </c>
      <c r="D2896" s="41"/>
      <c r="E2896" s="41" t="s">
        <v>401</v>
      </c>
      <c r="F2896" s="41" t="str">
        <f>IFERROR(__xludf.DUMMYFUNCTION("if(REGEXMATCH(C2896,""x.com"")=TRUE,""Twitter"",if(REGEXMATCH(C2896,""facebook"")=TRUE,""Facebook"",if(REGEXMATCH(C2896,""instagram"")=TRUE,""Instagram"",if(REGEXMATCH(C2896,""youtube"")=TRUE,""Youtube"",if(REGEXMATCH(C2896,""tiktok"")=TRUE,""Tiktok"",if("&amp;"REGEXMATCH(C2896,""threads"")=TRUE,""Threads""))))))"),"Facebook")</f>
        <v>Facebook</v>
      </c>
      <c r="G2896" s="41" t="s">
        <v>937</v>
      </c>
      <c r="H2896" s="41" t="s">
        <v>1542</v>
      </c>
      <c r="I2896" s="41" t="s">
        <v>939</v>
      </c>
      <c r="J2896" s="41" t="s">
        <v>188</v>
      </c>
      <c r="K2896" s="41"/>
      <c r="L2896" s="42"/>
    </row>
    <row r="2897">
      <c r="A2897" s="18">
        <v>2896.0</v>
      </c>
      <c r="B2897" s="76" t="s">
        <v>4921</v>
      </c>
      <c r="C2897" s="40" t="s">
        <v>4972</v>
      </c>
      <c r="D2897" s="41"/>
      <c r="E2897" s="41" t="s">
        <v>401</v>
      </c>
      <c r="F2897" s="41" t="str">
        <f>IFERROR(__xludf.DUMMYFUNCTION("if(REGEXMATCH(C2897,""x.com"")=TRUE,""Twitter"",if(REGEXMATCH(C2897,""facebook"")=TRUE,""Facebook"",if(REGEXMATCH(C2897,""instagram"")=TRUE,""Instagram"",if(REGEXMATCH(C2897,""youtube"")=TRUE,""Youtube"",if(REGEXMATCH(C2897,""tiktok"")=TRUE,""Tiktok"",if("&amp;"REGEXMATCH(C2897,""threads"")=TRUE,""Threads""))))))"),"Facebook")</f>
        <v>Facebook</v>
      </c>
      <c r="G2897" s="41" t="s">
        <v>937</v>
      </c>
      <c r="H2897" s="41" t="s">
        <v>1542</v>
      </c>
      <c r="I2897" s="41" t="s">
        <v>939</v>
      </c>
      <c r="J2897" s="41" t="s">
        <v>188</v>
      </c>
      <c r="K2897" s="41"/>
      <c r="L2897" s="42"/>
    </row>
    <row r="2898">
      <c r="A2898" s="18">
        <v>2897.0</v>
      </c>
      <c r="B2898" s="76" t="s">
        <v>4921</v>
      </c>
      <c r="C2898" s="40" t="s">
        <v>4973</v>
      </c>
      <c r="D2898" s="41"/>
      <c r="E2898" s="41" t="s">
        <v>401</v>
      </c>
      <c r="F2898" s="41" t="str">
        <f>IFERROR(__xludf.DUMMYFUNCTION("if(REGEXMATCH(C2898,""x.com"")=TRUE,""Twitter"",if(REGEXMATCH(C2898,""facebook"")=TRUE,""Facebook"",if(REGEXMATCH(C2898,""instagram"")=TRUE,""Instagram"",if(REGEXMATCH(C2898,""youtube"")=TRUE,""Youtube"",if(REGEXMATCH(C2898,""tiktok"")=TRUE,""Tiktok"",if("&amp;"REGEXMATCH(C2898,""threads"")=TRUE,""Threads""))))))"),"Facebook")</f>
        <v>Facebook</v>
      </c>
      <c r="G2898" s="41" t="s">
        <v>937</v>
      </c>
      <c r="H2898" s="41" t="s">
        <v>1542</v>
      </c>
      <c r="I2898" s="41" t="s">
        <v>939</v>
      </c>
      <c r="J2898" s="41" t="s">
        <v>188</v>
      </c>
      <c r="K2898" s="41"/>
      <c r="L2898" s="42"/>
    </row>
    <row r="2899">
      <c r="A2899" s="18">
        <v>2898.0</v>
      </c>
      <c r="B2899" s="76" t="s">
        <v>4921</v>
      </c>
      <c r="C2899" s="40" t="s">
        <v>4974</v>
      </c>
      <c r="D2899" s="41"/>
      <c r="E2899" s="41" t="s">
        <v>401</v>
      </c>
      <c r="F2899" s="41" t="str">
        <f>IFERROR(__xludf.DUMMYFUNCTION("if(REGEXMATCH(C2899,""x.com"")=TRUE,""Twitter"",if(REGEXMATCH(C2899,""facebook"")=TRUE,""Facebook"",if(REGEXMATCH(C2899,""instagram"")=TRUE,""Instagram"",if(REGEXMATCH(C2899,""youtube"")=TRUE,""Youtube"",if(REGEXMATCH(C2899,""tiktok"")=TRUE,""Tiktok"",if("&amp;"REGEXMATCH(C2899,""threads"")=TRUE,""Threads""))))))"),"Facebook")</f>
        <v>Facebook</v>
      </c>
      <c r="G2899" s="41" t="s">
        <v>937</v>
      </c>
      <c r="H2899" s="41" t="s">
        <v>1542</v>
      </c>
      <c r="I2899" s="41" t="s">
        <v>939</v>
      </c>
      <c r="J2899" s="41" t="s">
        <v>188</v>
      </c>
      <c r="K2899" s="41"/>
      <c r="L2899" s="42"/>
    </row>
    <row r="2900">
      <c r="A2900" s="18">
        <v>2899.0</v>
      </c>
      <c r="B2900" s="76" t="s">
        <v>4921</v>
      </c>
      <c r="C2900" s="40" t="s">
        <v>4975</v>
      </c>
      <c r="D2900" s="41"/>
      <c r="E2900" s="41" t="s">
        <v>2018</v>
      </c>
      <c r="F2900" s="41" t="str">
        <f>IFERROR(__xludf.DUMMYFUNCTION("if(REGEXMATCH(C2900,""x.com"")=TRUE,""Twitter"",if(REGEXMATCH(C2900,""facebook"")=TRUE,""Facebook"",if(REGEXMATCH(C2900,""instagram"")=TRUE,""Instagram"",if(REGEXMATCH(C2900,""youtube"")=TRUE,""Youtube"",if(REGEXMATCH(C2900,""tiktok"")=TRUE,""Tiktok"",if("&amp;"REGEXMATCH(C2900,""threads"")=TRUE,""Threads""))))))"),"Facebook")</f>
        <v>Facebook</v>
      </c>
      <c r="G2900" s="44" t="s">
        <v>4976</v>
      </c>
      <c r="H2900" s="41" t="s">
        <v>4977</v>
      </c>
      <c r="I2900" s="41"/>
      <c r="J2900" s="41" t="s">
        <v>188</v>
      </c>
      <c r="K2900" s="41"/>
      <c r="L2900" s="42"/>
    </row>
    <row r="2901">
      <c r="A2901" s="18">
        <v>2900.0</v>
      </c>
      <c r="B2901" s="76" t="s">
        <v>4921</v>
      </c>
      <c r="C2901" s="40" t="s">
        <v>4978</v>
      </c>
      <c r="D2901" s="41"/>
      <c r="E2901" s="41" t="s">
        <v>2018</v>
      </c>
      <c r="F2901" s="41" t="str">
        <f>IFERROR(__xludf.DUMMYFUNCTION("if(REGEXMATCH(C2901,""x.com"")=TRUE,""Twitter"",if(REGEXMATCH(C2901,""facebook"")=TRUE,""Facebook"",if(REGEXMATCH(C2901,""instagram"")=TRUE,""Instagram"",if(REGEXMATCH(C2901,""youtube"")=TRUE,""Youtube"",if(REGEXMATCH(C2901,""tiktok"")=TRUE,""Tiktok"",if("&amp;"REGEXMATCH(C2901,""threads"")=TRUE,""Threads""))))))"),"Facebook")</f>
        <v>Facebook</v>
      </c>
      <c r="G2901" s="44" t="s">
        <v>4979</v>
      </c>
      <c r="H2901" s="41" t="s">
        <v>4980</v>
      </c>
      <c r="I2901" s="41"/>
      <c r="J2901" s="41" t="s">
        <v>188</v>
      </c>
      <c r="K2901" s="41"/>
      <c r="L2901" s="42"/>
    </row>
    <row r="2902">
      <c r="A2902" s="18">
        <v>2901.0</v>
      </c>
      <c r="B2902" s="76" t="s">
        <v>4921</v>
      </c>
      <c r="C2902" s="40" t="s">
        <v>4981</v>
      </c>
      <c r="D2902" s="41"/>
      <c r="E2902" s="41" t="s">
        <v>2018</v>
      </c>
      <c r="F2902" s="41" t="str">
        <f>IFERROR(__xludf.DUMMYFUNCTION("if(REGEXMATCH(C2902,""x.com"")=TRUE,""Twitter"",if(REGEXMATCH(C2902,""facebook"")=TRUE,""Facebook"",if(REGEXMATCH(C2902,""instagram"")=TRUE,""Instagram"",if(REGEXMATCH(C2902,""youtube"")=TRUE,""Youtube"",if(REGEXMATCH(C2902,""tiktok"")=TRUE,""Tiktok"",if("&amp;"REGEXMATCH(C2902,""threads"")=TRUE,""Threads""))))))"),"Facebook")</f>
        <v>Facebook</v>
      </c>
      <c r="G2902" s="44" t="s">
        <v>4982</v>
      </c>
      <c r="H2902" s="41" t="s">
        <v>4977</v>
      </c>
      <c r="I2902" s="41"/>
      <c r="J2902" s="41" t="s">
        <v>188</v>
      </c>
      <c r="K2902" s="41"/>
      <c r="L2902" s="42"/>
    </row>
    <row r="2903">
      <c r="A2903" s="18">
        <v>2902.0</v>
      </c>
      <c r="B2903" s="76" t="s">
        <v>4983</v>
      </c>
      <c r="C2903" s="40" t="s">
        <v>4984</v>
      </c>
      <c r="D2903" s="41"/>
      <c r="E2903" s="41" t="s">
        <v>447</v>
      </c>
      <c r="F2903" s="41" t="str">
        <f>IFERROR(__xludf.DUMMYFUNCTION("if(REGEXMATCH(C2903,""x.com"")=TRUE,""Twitter"",if(REGEXMATCH(C2903,""facebook"")=TRUE,""Facebook"",if(REGEXMATCH(C2903,""instagram"")=TRUE,""Instagram"",if(REGEXMATCH(C2903,""youtube"")=TRUE,""Youtube"",if(REGEXMATCH(C2903,""tiktok"")=TRUE,""Tiktok"",if("&amp;"REGEXMATCH(C2903,""threads"")=TRUE,""Threads""))))))"),"Tiktok")</f>
        <v>Tiktok</v>
      </c>
      <c r="G2903" s="41" t="s">
        <v>4985</v>
      </c>
      <c r="H2903" s="43" t="s">
        <v>4986</v>
      </c>
      <c r="I2903" s="43" t="s">
        <v>535</v>
      </c>
      <c r="J2903" s="41" t="s">
        <v>188</v>
      </c>
      <c r="K2903" s="41" t="s">
        <v>1611</v>
      </c>
      <c r="L2903" s="42"/>
    </row>
    <row r="2904">
      <c r="A2904" s="18">
        <v>2903.0</v>
      </c>
      <c r="B2904" s="76" t="s">
        <v>4983</v>
      </c>
      <c r="C2904" s="40" t="s">
        <v>4987</v>
      </c>
      <c r="D2904" s="41"/>
      <c r="E2904" s="41" t="s">
        <v>222</v>
      </c>
      <c r="F2904" s="41" t="str">
        <f>IFERROR(__xludf.DUMMYFUNCTION("if(REGEXMATCH(C2904,""x.com"")=TRUE,""Twitter"",if(REGEXMATCH(C2904,""facebook"")=TRUE,""Facebook"",if(REGEXMATCH(C2904,""instagram"")=TRUE,""Instagram"",if(REGEXMATCH(C2904,""youtube"")=TRUE,""Youtube"",if(REGEXMATCH(C2904,""tiktok"")=TRUE,""Tiktok"",if("&amp;"REGEXMATCH(C2904,""threads"")=TRUE,""Threads""))))))"),"Tiktok")</f>
        <v>Tiktok</v>
      </c>
      <c r="G2904" s="41" t="s">
        <v>4988</v>
      </c>
      <c r="H2904" s="36"/>
      <c r="I2904" s="36"/>
      <c r="J2904" s="41" t="s">
        <v>188</v>
      </c>
      <c r="K2904" s="41" t="s">
        <v>1611</v>
      </c>
      <c r="L2904" s="42"/>
    </row>
    <row r="2905">
      <c r="A2905" s="18">
        <v>2904.0</v>
      </c>
      <c r="B2905" s="76" t="s">
        <v>4983</v>
      </c>
      <c r="C2905" s="40" t="s">
        <v>4989</v>
      </c>
      <c r="D2905" s="41"/>
      <c r="E2905" s="41" t="s">
        <v>447</v>
      </c>
      <c r="F2905" s="41" t="str">
        <f>IFERROR(__xludf.DUMMYFUNCTION("if(REGEXMATCH(C2905,""x.com"")=TRUE,""Twitter"",if(REGEXMATCH(C2905,""facebook"")=TRUE,""Facebook"",if(REGEXMATCH(C2905,""instagram"")=TRUE,""Instagram"",if(REGEXMATCH(C2905,""youtube"")=TRUE,""Youtube"",if(REGEXMATCH(C2905,""tiktok"")=TRUE,""Tiktok"",if("&amp;"REGEXMATCH(C2905,""threads"")=TRUE,""Threads""))))))"),"Facebook")</f>
        <v>Facebook</v>
      </c>
      <c r="G2905" s="44" t="s">
        <v>4990</v>
      </c>
      <c r="H2905" s="36"/>
      <c r="I2905" s="36"/>
      <c r="J2905" s="41" t="s">
        <v>188</v>
      </c>
      <c r="K2905" s="41" t="s">
        <v>1611</v>
      </c>
      <c r="L2905" s="42"/>
    </row>
    <row r="2906">
      <c r="A2906" s="18">
        <v>2905.0</v>
      </c>
      <c r="B2906" s="76" t="s">
        <v>4983</v>
      </c>
      <c r="C2906" s="40" t="s">
        <v>4991</v>
      </c>
      <c r="D2906" s="41"/>
      <c r="E2906" s="41" t="s">
        <v>557</v>
      </c>
      <c r="F2906" s="41" t="str">
        <f>IFERROR(__xludf.DUMMYFUNCTION("if(REGEXMATCH(C2906,""x.com"")=TRUE,""Twitter"",if(REGEXMATCH(C2906,""facebook"")=TRUE,""Facebook"",if(REGEXMATCH(C2906,""instagram"")=TRUE,""Instagram"",if(REGEXMATCH(C2906,""youtube"")=TRUE,""Youtube"",if(REGEXMATCH(C2906,""tiktok"")=TRUE,""Tiktok"",if("&amp;"REGEXMATCH(C2906,""threads"")=TRUE,""Threads""))))))"),"Facebook")</f>
        <v>Facebook</v>
      </c>
      <c r="G2906" s="41" t="s">
        <v>4992</v>
      </c>
      <c r="H2906" s="36"/>
      <c r="I2906" s="36"/>
      <c r="J2906" s="41" t="s">
        <v>188</v>
      </c>
      <c r="K2906" s="41" t="s">
        <v>1611</v>
      </c>
      <c r="L2906" s="42"/>
    </row>
    <row r="2907">
      <c r="A2907" s="18">
        <v>2906.0</v>
      </c>
      <c r="B2907" s="76" t="s">
        <v>4983</v>
      </c>
      <c r="C2907" s="40" t="s">
        <v>4993</v>
      </c>
      <c r="D2907" s="41"/>
      <c r="E2907" s="41" t="s">
        <v>4994</v>
      </c>
      <c r="F2907" s="41" t="str">
        <f>IFERROR(__xludf.DUMMYFUNCTION("if(REGEXMATCH(C2907,""x.com"")=TRUE,""Twitter"",if(REGEXMATCH(C2907,""facebook"")=TRUE,""Facebook"",if(REGEXMATCH(C2907,""instagram"")=TRUE,""Instagram"",if(REGEXMATCH(C2907,""youtube"")=TRUE,""Youtube"",if(REGEXMATCH(C2907,""tiktok"")=TRUE,""Tiktok"",if("&amp;"REGEXMATCH(C2907,""threads"")=TRUE,""Threads""))))))"),"Facebook")</f>
        <v>Facebook</v>
      </c>
      <c r="G2907" s="41" t="s">
        <v>4995</v>
      </c>
      <c r="H2907" s="36"/>
      <c r="I2907" s="36"/>
      <c r="J2907" s="41" t="s">
        <v>188</v>
      </c>
      <c r="K2907" s="41" t="s">
        <v>1611</v>
      </c>
      <c r="L2907" s="42"/>
    </row>
    <row r="2908">
      <c r="A2908" s="18">
        <v>2907.0</v>
      </c>
      <c r="B2908" s="76" t="s">
        <v>4983</v>
      </c>
      <c r="C2908" s="40" t="s">
        <v>4996</v>
      </c>
      <c r="D2908" s="41"/>
      <c r="E2908" s="41" t="s">
        <v>197</v>
      </c>
      <c r="F2908" s="41" t="str">
        <f>IFERROR(__xludf.DUMMYFUNCTION("if(REGEXMATCH(C2908,""x.com"")=TRUE,""Twitter"",if(REGEXMATCH(C2908,""facebook"")=TRUE,""Facebook"",if(REGEXMATCH(C2908,""instagram"")=TRUE,""Instagram"",if(REGEXMATCH(C2908,""youtube"")=TRUE,""Youtube"",if(REGEXMATCH(C2908,""tiktok"")=TRUE,""Tiktok"",if("&amp;"REGEXMATCH(C2908,""threads"")=TRUE,""Threads""))))))"),"Facebook")</f>
        <v>Facebook</v>
      </c>
      <c r="G2908" s="41" t="s">
        <v>4997</v>
      </c>
      <c r="H2908" s="36"/>
      <c r="I2908" s="36"/>
      <c r="J2908" s="41" t="s">
        <v>188</v>
      </c>
      <c r="K2908" s="41" t="s">
        <v>1611</v>
      </c>
      <c r="L2908" s="42"/>
    </row>
    <row r="2909">
      <c r="A2909" s="18">
        <v>2908.0</v>
      </c>
      <c r="B2909" s="76" t="s">
        <v>4983</v>
      </c>
      <c r="C2909" s="40" t="s">
        <v>4998</v>
      </c>
      <c r="D2909" s="41"/>
      <c r="E2909" s="41" t="s">
        <v>197</v>
      </c>
      <c r="F2909" s="41" t="str">
        <f>IFERROR(__xludf.DUMMYFUNCTION("if(REGEXMATCH(C2909,""x.com"")=TRUE,""Twitter"",if(REGEXMATCH(C2909,""facebook"")=TRUE,""Facebook"",if(REGEXMATCH(C2909,""instagram"")=TRUE,""Instagram"",if(REGEXMATCH(C2909,""youtube"")=TRUE,""Youtube"",if(REGEXMATCH(C2909,""tiktok"")=TRUE,""Tiktok"",if("&amp;"REGEXMATCH(C2909,""threads"")=TRUE,""Threads""))))))"),"Facebook")</f>
        <v>Facebook</v>
      </c>
      <c r="G2909" s="41" t="s">
        <v>4999</v>
      </c>
      <c r="H2909" s="36"/>
      <c r="I2909" s="36"/>
      <c r="J2909" s="41" t="s">
        <v>188</v>
      </c>
      <c r="K2909" s="41" t="s">
        <v>1611</v>
      </c>
      <c r="L2909" s="42"/>
    </row>
    <row r="2910">
      <c r="A2910" s="18">
        <v>2909.0</v>
      </c>
      <c r="B2910" s="76" t="s">
        <v>4983</v>
      </c>
      <c r="C2910" s="40" t="s">
        <v>5000</v>
      </c>
      <c r="D2910" s="41"/>
      <c r="E2910" s="41" t="s">
        <v>197</v>
      </c>
      <c r="F2910" s="41" t="str">
        <f>IFERROR(__xludf.DUMMYFUNCTION("if(REGEXMATCH(C2910,""x.com"")=TRUE,""Twitter"",if(REGEXMATCH(C2910,""facebook"")=TRUE,""Facebook"",if(REGEXMATCH(C2910,""instagram"")=TRUE,""Instagram"",if(REGEXMATCH(C2910,""youtube"")=TRUE,""Youtube"",if(REGEXMATCH(C2910,""tiktok"")=TRUE,""Tiktok"",if("&amp;"REGEXMATCH(C2910,""threads"")=TRUE,""Threads""))))))"),"Facebook")</f>
        <v>Facebook</v>
      </c>
      <c r="G2910" s="41" t="s">
        <v>5001</v>
      </c>
      <c r="H2910" s="36"/>
      <c r="I2910" s="36"/>
      <c r="J2910" s="41" t="s">
        <v>188</v>
      </c>
      <c r="K2910" s="41" t="s">
        <v>1611</v>
      </c>
      <c r="L2910" s="42"/>
    </row>
    <row r="2911">
      <c r="A2911" s="18">
        <v>2910.0</v>
      </c>
      <c r="B2911" s="76" t="s">
        <v>4983</v>
      </c>
      <c r="C2911" s="40" t="s">
        <v>5002</v>
      </c>
      <c r="D2911" s="41"/>
      <c r="E2911" s="41" t="s">
        <v>197</v>
      </c>
      <c r="F2911" s="41" t="str">
        <f>IFERROR(__xludf.DUMMYFUNCTION("if(REGEXMATCH(C2911,""x.com"")=TRUE,""Twitter"",if(REGEXMATCH(C2911,""facebook"")=TRUE,""Facebook"",if(REGEXMATCH(C2911,""instagram"")=TRUE,""Instagram"",if(REGEXMATCH(C2911,""youtube"")=TRUE,""Youtube"",if(REGEXMATCH(C2911,""tiktok"")=TRUE,""Tiktok"",if("&amp;"REGEXMATCH(C2911,""threads"")=TRUE,""Threads""))))))"),"Facebook")</f>
        <v>Facebook</v>
      </c>
      <c r="G2911" s="41" t="s">
        <v>5003</v>
      </c>
      <c r="H2911" s="36"/>
      <c r="I2911" s="36"/>
      <c r="J2911" s="41" t="s">
        <v>188</v>
      </c>
      <c r="K2911" s="41"/>
      <c r="L2911" s="42"/>
    </row>
    <row r="2912">
      <c r="A2912" s="18">
        <v>2911.0</v>
      </c>
      <c r="B2912" s="76" t="s">
        <v>4983</v>
      </c>
      <c r="C2912" s="40" t="s">
        <v>5004</v>
      </c>
      <c r="D2912" s="41"/>
      <c r="E2912" s="41" t="s">
        <v>197</v>
      </c>
      <c r="F2912" s="41" t="str">
        <f>IFERROR(__xludf.DUMMYFUNCTION("if(REGEXMATCH(C2912,""x.com"")=TRUE,""Twitter"",if(REGEXMATCH(C2912,""facebook"")=TRUE,""Facebook"",if(REGEXMATCH(C2912,""instagram"")=TRUE,""Instagram"",if(REGEXMATCH(C2912,""youtube"")=TRUE,""Youtube"",if(REGEXMATCH(C2912,""tiktok"")=TRUE,""Tiktok"",if("&amp;"REGEXMATCH(C2912,""threads"")=TRUE,""Threads""))))))"),"Facebook")</f>
        <v>Facebook</v>
      </c>
      <c r="G2912" s="41" t="s">
        <v>5005</v>
      </c>
      <c r="H2912" s="36"/>
      <c r="I2912" s="36"/>
      <c r="J2912" s="41" t="s">
        <v>188</v>
      </c>
      <c r="K2912" s="41"/>
      <c r="L2912" s="42"/>
    </row>
    <row r="2913">
      <c r="A2913" s="18">
        <v>2912.0</v>
      </c>
      <c r="B2913" s="76" t="s">
        <v>4983</v>
      </c>
      <c r="C2913" s="40" t="s">
        <v>5006</v>
      </c>
      <c r="D2913" s="41"/>
      <c r="E2913" s="41" t="s">
        <v>197</v>
      </c>
      <c r="F2913" s="41" t="str">
        <f>IFERROR(__xludf.DUMMYFUNCTION("if(REGEXMATCH(C2913,""x.com"")=TRUE,""Twitter"",if(REGEXMATCH(C2913,""facebook"")=TRUE,""Facebook"",if(REGEXMATCH(C2913,""instagram"")=TRUE,""Instagram"",if(REGEXMATCH(C2913,""youtube"")=TRUE,""Youtube"",if(REGEXMATCH(C2913,""tiktok"")=TRUE,""Tiktok"",if("&amp;"REGEXMATCH(C2913,""threads"")=TRUE,""Threads""))))))"),"Facebook")</f>
        <v>Facebook</v>
      </c>
      <c r="G2913" s="41" t="s">
        <v>5007</v>
      </c>
      <c r="H2913" s="36"/>
      <c r="I2913" s="36"/>
      <c r="J2913" s="41" t="s">
        <v>188</v>
      </c>
      <c r="K2913" s="41"/>
      <c r="L2913" s="42"/>
    </row>
    <row r="2914">
      <c r="A2914" s="18">
        <v>2913.0</v>
      </c>
      <c r="B2914" s="76" t="s">
        <v>4983</v>
      </c>
      <c r="C2914" s="40" t="s">
        <v>5008</v>
      </c>
      <c r="D2914" s="41"/>
      <c r="E2914" s="41" t="s">
        <v>557</v>
      </c>
      <c r="F2914" s="41" t="str">
        <f>IFERROR(__xludf.DUMMYFUNCTION("if(REGEXMATCH(C2914,""x.com"")=TRUE,""Twitter"",if(REGEXMATCH(C2914,""facebook"")=TRUE,""Facebook"",if(REGEXMATCH(C2914,""instagram"")=TRUE,""Instagram"",if(REGEXMATCH(C2914,""youtube"")=TRUE,""Youtube"",if(REGEXMATCH(C2914,""tiktok"")=TRUE,""Tiktok"",if("&amp;"REGEXMATCH(C2914,""threads"")=TRUE,""Threads""))))))"),"Facebook")</f>
        <v>Facebook</v>
      </c>
      <c r="G2914" s="41" t="s">
        <v>5009</v>
      </c>
      <c r="H2914" s="35"/>
      <c r="I2914" s="35"/>
      <c r="J2914" s="41" t="s">
        <v>188</v>
      </c>
      <c r="K2914" s="41"/>
      <c r="L2914" s="42"/>
    </row>
    <row r="2915">
      <c r="A2915" s="18">
        <v>2914.0</v>
      </c>
      <c r="B2915" s="76" t="s">
        <v>4983</v>
      </c>
      <c r="C2915" s="40" t="s">
        <v>5010</v>
      </c>
      <c r="D2915" s="41"/>
      <c r="E2915" s="41" t="s">
        <v>557</v>
      </c>
      <c r="F2915" s="41" t="str">
        <f>IFERROR(__xludf.DUMMYFUNCTION("if(REGEXMATCH(C2915,""x.com"")=TRUE,""Twitter"",if(REGEXMATCH(C2915,""facebook"")=TRUE,""Facebook"",if(REGEXMATCH(C2915,""instagram"")=TRUE,""Instagram"",if(REGEXMATCH(C2915,""youtube"")=TRUE,""Youtube"",if(REGEXMATCH(C2915,""tiktok"")=TRUE,""Tiktok"",if("&amp;"REGEXMATCH(C2915,""threads"")=TRUE,""Threads""))))))"),"Facebook")</f>
        <v>Facebook</v>
      </c>
      <c r="G2915" s="41" t="s">
        <v>5009</v>
      </c>
      <c r="H2915" s="41"/>
      <c r="I2915" s="41"/>
      <c r="J2915" s="41" t="s">
        <v>188</v>
      </c>
      <c r="K2915" s="41"/>
      <c r="L2915" s="42"/>
    </row>
    <row r="2916">
      <c r="A2916" s="18">
        <v>2915.0</v>
      </c>
      <c r="B2916" s="76" t="s">
        <v>4983</v>
      </c>
      <c r="C2916" s="40" t="s">
        <v>5011</v>
      </c>
      <c r="D2916" s="41"/>
      <c r="E2916" s="41" t="s">
        <v>557</v>
      </c>
      <c r="F2916" s="41" t="str">
        <f>IFERROR(__xludf.DUMMYFUNCTION("if(REGEXMATCH(C2916,""x.com"")=TRUE,""Twitter"",if(REGEXMATCH(C2916,""facebook"")=TRUE,""Facebook"",if(REGEXMATCH(C2916,""instagram"")=TRUE,""Instagram"",if(REGEXMATCH(C2916,""youtube"")=TRUE,""Youtube"",if(REGEXMATCH(C2916,""tiktok"")=TRUE,""Tiktok"",if("&amp;"REGEXMATCH(C2916,""threads"")=TRUE,""Threads""))))))"),"Facebook")</f>
        <v>Facebook</v>
      </c>
      <c r="G2916" s="41" t="s">
        <v>5012</v>
      </c>
      <c r="H2916" s="41"/>
      <c r="I2916" s="41"/>
      <c r="J2916" s="41" t="s">
        <v>188</v>
      </c>
      <c r="K2916" s="41"/>
      <c r="L2916" s="42"/>
    </row>
    <row r="2917">
      <c r="A2917" s="18">
        <v>2916.0</v>
      </c>
      <c r="B2917" s="76" t="s">
        <v>4983</v>
      </c>
      <c r="C2917" s="40" t="s">
        <v>5013</v>
      </c>
      <c r="D2917" s="41"/>
      <c r="E2917" s="41" t="s">
        <v>1178</v>
      </c>
      <c r="F2917" s="41" t="str">
        <f>IFERROR(__xludf.DUMMYFUNCTION("if(REGEXMATCH(C2917,""x.com"")=TRUE,""Twitter"",if(REGEXMATCH(C2917,""facebook"")=TRUE,""Facebook"",if(REGEXMATCH(C2917,""instagram"")=TRUE,""Instagram"",if(REGEXMATCH(C2917,""youtube"")=TRUE,""Youtube"",if(REGEXMATCH(C2917,""tiktok"")=TRUE,""Tiktok"",if("&amp;"REGEXMATCH(C2917,""threads"")=TRUE,""Threads""))))))"),"Facebook")</f>
        <v>Facebook</v>
      </c>
      <c r="G2917" s="41" t="s">
        <v>2135</v>
      </c>
      <c r="H2917" s="41" t="s">
        <v>2136</v>
      </c>
      <c r="I2917" s="41" t="s">
        <v>2137</v>
      </c>
      <c r="J2917" s="41" t="s">
        <v>188</v>
      </c>
      <c r="K2917" s="41"/>
      <c r="L2917" s="42"/>
    </row>
    <row r="2918">
      <c r="A2918" s="18">
        <v>2917.0</v>
      </c>
      <c r="B2918" s="76" t="s">
        <v>4983</v>
      </c>
      <c r="C2918" s="40" t="s">
        <v>5014</v>
      </c>
      <c r="D2918" s="41"/>
      <c r="E2918" s="41" t="s">
        <v>1178</v>
      </c>
      <c r="F2918" s="41" t="str">
        <f>IFERROR(__xludf.DUMMYFUNCTION("if(REGEXMATCH(C2918,""x.com"")=TRUE,""Twitter"",if(REGEXMATCH(C2918,""facebook"")=TRUE,""Facebook"",if(REGEXMATCH(C2918,""instagram"")=TRUE,""Instagram"",if(REGEXMATCH(C2918,""youtube"")=TRUE,""Youtube"",if(REGEXMATCH(C2918,""tiktok"")=TRUE,""Tiktok"",if("&amp;"REGEXMATCH(C2918,""threads"")=TRUE,""Threads""))))))"),"Facebook")</f>
        <v>Facebook</v>
      </c>
      <c r="G2918" s="41" t="s">
        <v>2135</v>
      </c>
      <c r="H2918" s="41" t="s">
        <v>2136</v>
      </c>
      <c r="I2918" s="41" t="s">
        <v>2137</v>
      </c>
      <c r="J2918" s="41" t="s">
        <v>188</v>
      </c>
      <c r="K2918" s="41"/>
      <c r="L2918" s="42"/>
    </row>
    <row r="2919">
      <c r="A2919" s="18">
        <v>2918.0</v>
      </c>
      <c r="B2919" s="76" t="s">
        <v>4983</v>
      </c>
      <c r="C2919" s="40" t="s">
        <v>5015</v>
      </c>
      <c r="D2919" s="41"/>
      <c r="E2919" s="41" t="s">
        <v>1178</v>
      </c>
      <c r="F2919" s="41" t="str">
        <f>IFERROR(__xludf.DUMMYFUNCTION("if(REGEXMATCH(C2919,""x.com"")=TRUE,""Twitter"",if(REGEXMATCH(C2919,""facebook"")=TRUE,""Facebook"",if(REGEXMATCH(C2919,""instagram"")=TRUE,""Instagram"",if(REGEXMATCH(C2919,""youtube"")=TRUE,""Youtube"",if(REGEXMATCH(C2919,""tiktok"")=TRUE,""Tiktok"",if("&amp;"REGEXMATCH(C2919,""threads"")=TRUE,""Threads""))))))"),"Facebook")</f>
        <v>Facebook</v>
      </c>
      <c r="G2919" s="41" t="s">
        <v>2135</v>
      </c>
      <c r="H2919" s="41" t="s">
        <v>2136</v>
      </c>
      <c r="I2919" s="41" t="s">
        <v>2137</v>
      </c>
      <c r="J2919" s="41" t="s">
        <v>188</v>
      </c>
      <c r="K2919" s="41"/>
      <c r="L2919" s="42"/>
    </row>
    <row r="2920">
      <c r="A2920" s="18">
        <v>2919.0</v>
      </c>
      <c r="B2920" s="76" t="s">
        <v>4983</v>
      </c>
      <c r="C2920" s="40" t="s">
        <v>5016</v>
      </c>
      <c r="D2920" s="41"/>
      <c r="E2920" s="41" t="s">
        <v>1178</v>
      </c>
      <c r="F2920" s="41" t="str">
        <f>IFERROR(__xludf.DUMMYFUNCTION("if(REGEXMATCH(C2920,""x.com"")=TRUE,""Twitter"",if(REGEXMATCH(C2920,""facebook"")=TRUE,""Facebook"",if(REGEXMATCH(C2920,""instagram"")=TRUE,""Instagram"",if(REGEXMATCH(C2920,""youtube"")=TRUE,""Youtube"",if(REGEXMATCH(C2920,""tiktok"")=TRUE,""Tiktok"",if("&amp;"REGEXMATCH(C2920,""threads"")=TRUE,""Threads""))))))"),"Facebook")</f>
        <v>Facebook</v>
      </c>
      <c r="G2920" s="41" t="s">
        <v>2135</v>
      </c>
      <c r="H2920" s="41" t="s">
        <v>2136</v>
      </c>
      <c r="I2920" s="41" t="s">
        <v>2137</v>
      </c>
      <c r="J2920" s="41" t="s">
        <v>188</v>
      </c>
      <c r="K2920" s="41"/>
      <c r="L2920" s="42"/>
    </row>
    <row r="2921">
      <c r="A2921" s="18">
        <v>2920.0</v>
      </c>
      <c r="B2921" s="76" t="s">
        <v>4983</v>
      </c>
      <c r="C2921" s="40" t="s">
        <v>5017</v>
      </c>
      <c r="D2921" s="41"/>
      <c r="E2921" s="41" t="s">
        <v>1178</v>
      </c>
      <c r="F2921" s="41" t="str">
        <f>IFERROR(__xludf.DUMMYFUNCTION("if(REGEXMATCH(C2921,""x.com"")=TRUE,""Twitter"",if(REGEXMATCH(C2921,""facebook"")=TRUE,""Facebook"",if(REGEXMATCH(C2921,""instagram"")=TRUE,""Instagram"",if(REGEXMATCH(C2921,""youtube"")=TRUE,""Youtube"",if(REGEXMATCH(C2921,""tiktok"")=TRUE,""Tiktok"",if("&amp;"REGEXMATCH(C2921,""threads"")=TRUE,""Threads""))))))"),"Facebook")</f>
        <v>Facebook</v>
      </c>
      <c r="G2921" s="41" t="s">
        <v>2135</v>
      </c>
      <c r="H2921" s="41" t="s">
        <v>2136</v>
      </c>
      <c r="I2921" s="41" t="s">
        <v>2137</v>
      </c>
      <c r="J2921" s="41" t="s">
        <v>188</v>
      </c>
      <c r="K2921" s="41"/>
      <c r="L2921" s="42"/>
    </row>
    <row r="2922">
      <c r="A2922" s="18">
        <v>2921.0</v>
      </c>
      <c r="B2922" s="76" t="s">
        <v>4983</v>
      </c>
      <c r="C2922" s="63" t="s">
        <v>5018</v>
      </c>
      <c r="D2922" s="41"/>
      <c r="E2922" s="41" t="s">
        <v>1178</v>
      </c>
      <c r="F2922" s="41" t="str">
        <f>IFERROR(__xludf.DUMMYFUNCTION("if(REGEXMATCH(C2922,""x.com"")=TRUE,""Twitter"",if(REGEXMATCH(C2922,""facebook"")=TRUE,""Facebook"",if(REGEXMATCH(C2922,""instagram"")=TRUE,""Instagram"",if(REGEXMATCH(C2922,""youtube"")=TRUE,""Youtube"",if(REGEXMATCH(C2922,""tiktok"")=TRUE,""Tiktok"",if("&amp;"REGEXMATCH(C2922,""threads"")=TRUE,""Threads""))))))"),"Facebook")</f>
        <v>Facebook</v>
      </c>
      <c r="G2922" s="41" t="s">
        <v>2135</v>
      </c>
      <c r="H2922" s="41" t="s">
        <v>2136</v>
      </c>
      <c r="I2922" s="41" t="s">
        <v>2137</v>
      </c>
      <c r="J2922" s="41" t="s">
        <v>188</v>
      </c>
      <c r="K2922" s="41"/>
      <c r="L2922" s="42"/>
    </row>
    <row r="2923">
      <c r="A2923" s="18">
        <v>2922.0</v>
      </c>
      <c r="B2923" s="76" t="s">
        <v>4983</v>
      </c>
      <c r="C2923" s="63" t="s">
        <v>5019</v>
      </c>
      <c r="D2923" s="41"/>
      <c r="E2923" s="41" t="s">
        <v>1178</v>
      </c>
      <c r="F2923" s="41" t="str">
        <f>IFERROR(__xludf.DUMMYFUNCTION("if(REGEXMATCH(C2923,""x.com"")=TRUE,""Twitter"",if(REGEXMATCH(C2923,""facebook"")=TRUE,""Facebook"",if(REGEXMATCH(C2923,""instagram"")=TRUE,""Instagram"",if(REGEXMATCH(C2923,""youtube"")=TRUE,""Youtube"",if(REGEXMATCH(C2923,""tiktok"")=TRUE,""Tiktok"",if("&amp;"REGEXMATCH(C2923,""threads"")=TRUE,""Threads""))))))"),"Facebook")</f>
        <v>Facebook</v>
      </c>
      <c r="G2923" s="41" t="s">
        <v>2135</v>
      </c>
      <c r="H2923" s="41" t="s">
        <v>2136</v>
      </c>
      <c r="I2923" s="41" t="s">
        <v>2137</v>
      </c>
      <c r="J2923" s="41" t="s">
        <v>188</v>
      </c>
      <c r="K2923" s="41"/>
      <c r="L2923" s="42"/>
    </row>
    <row r="2924">
      <c r="A2924" s="18">
        <v>2923.0</v>
      </c>
      <c r="B2924" s="76" t="s">
        <v>4983</v>
      </c>
      <c r="C2924" s="40" t="s">
        <v>5020</v>
      </c>
      <c r="D2924" s="41"/>
      <c r="E2924" s="41" t="s">
        <v>1178</v>
      </c>
      <c r="F2924" s="41" t="str">
        <f>IFERROR(__xludf.DUMMYFUNCTION("if(REGEXMATCH(C2924,""x.com"")=TRUE,""Twitter"",if(REGEXMATCH(C2924,""facebook"")=TRUE,""Facebook"",if(REGEXMATCH(C2924,""instagram"")=TRUE,""Instagram"",if(REGEXMATCH(C2924,""youtube"")=TRUE,""Youtube"",if(REGEXMATCH(C2924,""tiktok"")=TRUE,""Tiktok"",if("&amp;"REGEXMATCH(C2924,""threads"")=TRUE,""Threads""))))))"),"Twitter")</f>
        <v>Twitter</v>
      </c>
      <c r="G2924" s="41" t="s">
        <v>2135</v>
      </c>
      <c r="H2924" s="41" t="s">
        <v>2136</v>
      </c>
      <c r="I2924" s="41" t="s">
        <v>2137</v>
      </c>
      <c r="J2924" s="41" t="s">
        <v>188</v>
      </c>
      <c r="K2924" s="41"/>
      <c r="L2924" s="42"/>
    </row>
    <row r="2925">
      <c r="A2925" s="18">
        <v>2924.0</v>
      </c>
      <c r="B2925" s="76" t="s">
        <v>4983</v>
      </c>
      <c r="C2925" s="63" t="s">
        <v>5021</v>
      </c>
      <c r="D2925" s="41"/>
      <c r="E2925" s="41" t="s">
        <v>1178</v>
      </c>
      <c r="F2925" s="41" t="str">
        <f>IFERROR(__xludf.DUMMYFUNCTION("if(REGEXMATCH(C2925,""x.com"")=TRUE,""Twitter"",if(REGEXMATCH(C2925,""facebook"")=TRUE,""Facebook"",if(REGEXMATCH(C2925,""instagram"")=TRUE,""Instagram"",if(REGEXMATCH(C2925,""youtube"")=TRUE,""Youtube"",if(REGEXMATCH(C2925,""tiktok"")=TRUE,""Tiktok"",if("&amp;"REGEXMATCH(C2925,""threads"")=TRUE,""Threads""))))))"),"Twitter")</f>
        <v>Twitter</v>
      </c>
      <c r="G2925" s="41" t="s">
        <v>2135</v>
      </c>
      <c r="H2925" s="41" t="s">
        <v>2136</v>
      </c>
      <c r="I2925" s="41" t="s">
        <v>2137</v>
      </c>
      <c r="J2925" s="41" t="s">
        <v>188</v>
      </c>
      <c r="K2925" s="41"/>
      <c r="L2925" s="42"/>
    </row>
    <row r="2926">
      <c r="A2926" s="18">
        <v>2925.0</v>
      </c>
      <c r="B2926" s="76" t="s">
        <v>4983</v>
      </c>
      <c r="C2926" s="40" t="s">
        <v>5022</v>
      </c>
      <c r="D2926" s="41"/>
      <c r="E2926" s="41" t="s">
        <v>1178</v>
      </c>
      <c r="F2926" s="41" t="str">
        <f>IFERROR(__xludf.DUMMYFUNCTION("if(REGEXMATCH(C2926,""x.com"")=TRUE,""Twitter"",if(REGEXMATCH(C2926,""facebook"")=TRUE,""Facebook"",if(REGEXMATCH(C2926,""instagram"")=TRUE,""Instagram"",if(REGEXMATCH(C2926,""youtube"")=TRUE,""Youtube"",if(REGEXMATCH(C2926,""tiktok"")=TRUE,""Tiktok"",if("&amp;"REGEXMATCH(C2926,""threads"")=TRUE,""Threads""))))))"),"Twitter")</f>
        <v>Twitter</v>
      </c>
      <c r="G2926" s="41" t="s">
        <v>2135</v>
      </c>
      <c r="H2926" s="41" t="s">
        <v>2136</v>
      </c>
      <c r="I2926" s="41" t="s">
        <v>2137</v>
      </c>
      <c r="J2926" s="41" t="s">
        <v>188</v>
      </c>
      <c r="K2926" s="41"/>
      <c r="L2926" s="42"/>
    </row>
    <row r="2927">
      <c r="A2927" s="18">
        <v>2926.0</v>
      </c>
      <c r="B2927" s="76" t="s">
        <v>4983</v>
      </c>
      <c r="C2927" s="40" t="s">
        <v>5023</v>
      </c>
      <c r="D2927" s="41"/>
      <c r="E2927" s="41" t="s">
        <v>1178</v>
      </c>
      <c r="F2927" s="41" t="str">
        <f>IFERROR(__xludf.DUMMYFUNCTION("if(REGEXMATCH(C2927,""x.com"")=TRUE,""Twitter"",if(REGEXMATCH(C2927,""facebook"")=TRUE,""Facebook"",if(REGEXMATCH(C2927,""instagram"")=TRUE,""Instagram"",if(REGEXMATCH(C2927,""youtube"")=TRUE,""Youtube"",if(REGEXMATCH(C2927,""tiktok"")=TRUE,""Tiktok"",if("&amp;"REGEXMATCH(C2927,""threads"")=TRUE,""Threads""))))))"),"Twitter")</f>
        <v>Twitter</v>
      </c>
      <c r="G2927" s="41" t="s">
        <v>2135</v>
      </c>
      <c r="H2927" s="41" t="s">
        <v>2136</v>
      </c>
      <c r="I2927" s="41" t="s">
        <v>2137</v>
      </c>
      <c r="J2927" s="41" t="s">
        <v>188</v>
      </c>
      <c r="K2927" s="41"/>
      <c r="L2927" s="42"/>
    </row>
    <row r="2928">
      <c r="A2928" s="18">
        <v>2927.0</v>
      </c>
      <c r="B2928" s="76" t="s">
        <v>4983</v>
      </c>
      <c r="C2928" s="40" t="s">
        <v>5024</v>
      </c>
      <c r="D2928" s="41"/>
      <c r="E2928" s="41" t="s">
        <v>1178</v>
      </c>
      <c r="F2928" s="41" t="str">
        <f>IFERROR(__xludf.DUMMYFUNCTION("if(REGEXMATCH(C2928,""x.com"")=TRUE,""Twitter"",if(REGEXMATCH(C2928,""facebook"")=TRUE,""Facebook"",if(REGEXMATCH(C2928,""instagram"")=TRUE,""Instagram"",if(REGEXMATCH(C2928,""youtube"")=TRUE,""Youtube"",if(REGEXMATCH(C2928,""tiktok"")=TRUE,""Tiktok"",if("&amp;"REGEXMATCH(C2928,""threads"")=TRUE,""Threads""))))))"),"Twitter")</f>
        <v>Twitter</v>
      </c>
      <c r="G2928" s="41" t="s">
        <v>2135</v>
      </c>
      <c r="H2928" s="41" t="s">
        <v>2136</v>
      </c>
      <c r="I2928" s="41" t="s">
        <v>2137</v>
      </c>
      <c r="J2928" s="41" t="s">
        <v>188</v>
      </c>
      <c r="K2928" s="41"/>
      <c r="L2928" s="42"/>
    </row>
    <row r="2929">
      <c r="A2929" s="18">
        <v>2928.0</v>
      </c>
      <c r="B2929" s="76" t="s">
        <v>4983</v>
      </c>
      <c r="C2929" s="40" t="s">
        <v>5025</v>
      </c>
      <c r="D2929" s="41"/>
      <c r="E2929" s="41" t="s">
        <v>1178</v>
      </c>
      <c r="F2929" s="41" t="str">
        <f>IFERROR(__xludf.DUMMYFUNCTION("if(REGEXMATCH(C2929,""x.com"")=TRUE,""Twitter"",if(REGEXMATCH(C2929,""facebook"")=TRUE,""Facebook"",if(REGEXMATCH(C2929,""instagram"")=TRUE,""Instagram"",if(REGEXMATCH(C2929,""youtube"")=TRUE,""Youtube"",if(REGEXMATCH(C2929,""tiktok"")=TRUE,""Tiktok"",if("&amp;"REGEXMATCH(C2929,""threads"")=TRUE,""Threads""))))))"),"Twitter")</f>
        <v>Twitter</v>
      </c>
      <c r="G2929" s="41" t="s">
        <v>2135</v>
      </c>
      <c r="H2929" s="41" t="s">
        <v>2136</v>
      </c>
      <c r="I2929" s="41" t="s">
        <v>2137</v>
      </c>
      <c r="J2929" s="41" t="s">
        <v>188</v>
      </c>
      <c r="K2929" s="41"/>
      <c r="L2929" s="42"/>
    </row>
    <row r="2930">
      <c r="A2930" s="18">
        <v>2929.0</v>
      </c>
      <c r="B2930" s="76" t="s">
        <v>4983</v>
      </c>
      <c r="C2930" s="40" t="s">
        <v>5026</v>
      </c>
      <c r="D2930" s="41"/>
      <c r="E2930" s="41" t="s">
        <v>1178</v>
      </c>
      <c r="F2930" s="41" t="str">
        <f>IFERROR(__xludf.DUMMYFUNCTION("if(REGEXMATCH(C2930,""x.com"")=TRUE,""Twitter"",if(REGEXMATCH(C2930,""facebook"")=TRUE,""Facebook"",if(REGEXMATCH(C2930,""instagram"")=TRUE,""Instagram"",if(REGEXMATCH(C2930,""youtube"")=TRUE,""Youtube"",if(REGEXMATCH(C2930,""tiktok"")=TRUE,""Tiktok"",if("&amp;"REGEXMATCH(C2930,""threads"")=TRUE,""Threads""))))))"),"Twitter")</f>
        <v>Twitter</v>
      </c>
      <c r="G2930" s="41" t="s">
        <v>2135</v>
      </c>
      <c r="H2930" s="41" t="s">
        <v>2136</v>
      </c>
      <c r="I2930" s="41" t="s">
        <v>2137</v>
      </c>
      <c r="J2930" s="41" t="s">
        <v>188</v>
      </c>
      <c r="K2930" s="41"/>
      <c r="L2930" s="42"/>
    </row>
    <row r="2931">
      <c r="A2931" s="18">
        <v>2930.0</v>
      </c>
      <c r="B2931" s="76" t="s">
        <v>4983</v>
      </c>
      <c r="C2931" s="40" t="s">
        <v>5027</v>
      </c>
      <c r="D2931" s="41"/>
      <c r="E2931" s="41" t="s">
        <v>1178</v>
      </c>
      <c r="F2931" s="41" t="str">
        <f>IFERROR(__xludf.DUMMYFUNCTION("if(REGEXMATCH(C2931,""x.com"")=TRUE,""Twitter"",if(REGEXMATCH(C2931,""facebook"")=TRUE,""Facebook"",if(REGEXMATCH(C2931,""instagram"")=TRUE,""Instagram"",if(REGEXMATCH(C2931,""youtube"")=TRUE,""Youtube"",if(REGEXMATCH(C2931,""tiktok"")=TRUE,""Tiktok"",if("&amp;"REGEXMATCH(C2931,""threads"")=TRUE,""Threads""))))))"),"Twitter")</f>
        <v>Twitter</v>
      </c>
      <c r="G2931" s="41" t="s">
        <v>2135</v>
      </c>
      <c r="H2931" s="41" t="s">
        <v>2136</v>
      </c>
      <c r="I2931" s="41" t="s">
        <v>2137</v>
      </c>
      <c r="J2931" s="41" t="s">
        <v>188</v>
      </c>
      <c r="K2931" s="41"/>
      <c r="L2931" s="42"/>
    </row>
    <row r="2932">
      <c r="A2932" s="18">
        <v>2931.0</v>
      </c>
      <c r="B2932" s="76" t="s">
        <v>4983</v>
      </c>
      <c r="C2932" s="40" t="s">
        <v>5028</v>
      </c>
      <c r="D2932" s="41"/>
      <c r="E2932" s="41" t="s">
        <v>2018</v>
      </c>
      <c r="F2932" s="41" t="str">
        <f>IFERROR(__xludf.DUMMYFUNCTION("if(REGEXMATCH(C2932,""x.com"")=TRUE,""Twitter"",if(REGEXMATCH(C2932,""facebook"")=TRUE,""Facebook"",if(REGEXMATCH(C2932,""instagram"")=TRUE,""Instagram"",if(REGEXMATCH(C2932,""youtube"")=TRUE,""Youtube"",if(REGEXMATCH(C2932,""tiktok"")=TRUE,""Tiktok"",if("&amp;"REGEXMATCH(C2932,""threads"")=TRUE,""Threads""))))))"),"Facebook")</f>
        <v>Facebook</v>
      </c>
      <c r="G2932" s="44" t="s">
        <v>5029</v>
      </c>
      <c r="H2932" s="41" t="s">
        <v>2023</v>
      </c>
      <c r="I2932" s="41"/>
      <c r="J2932" s="41" t="s">
        <v>188</v>
      </c>
      <c r="K2932" s="41"/>
      <c r="L2932" s="42"/>
    </row>
    <row r="2933">
      <c r="A2933" s="18">
        <v>2932.0</v>
      </c>
      <c r="B2933" s="76" t="s">
        <v>4983</v>
      </c>
      <c r="C2933" s="40" t="s">
        <v>5030</v>
      </c>
      <c r="D2933" s="41"/>
      <c r="E2933" s="41" t="s">
        <v>2018</v>
      </c>
      <c r="F2933" s="41" t="str">
        <f>IFERROR(__xludf.DUMMYFUNCTION("if(REGEXMATCH(C2933,""x.com"")=TRUE,""Twitter"",if(REGEXMATCH(C2933,""facebook"")=TRUE,""Facebook"",if(REGEXMATCH(C2933,""instagram"")=TRUE,""Instagram"",if(REGEXMATCH(C2933,""youtube"")=TRUE,""Youtube"",if(REGEXMATCH(C2933,""tiktok"")=TRUE,""Tiktok"",if("&amp;"REGEXMATCH(C2933,""threads"")=TRUE,""Threads""))))))"),"Instagram")</f>
        <v>Instagram</v>
      </c>
      <c r="G2933" s="44" t="s">
        <v>5031</v>
      </c>
      <c r="H2933" s="41" t="s">
        <v>2023</v>
      </c>
      <c r="I2933" s="41"/>
      <c r="J2933" s="41" t="s">
        <v>188</v>
      </c>
      <c r="K2933" s="41"/>
      <c r="L2933" s="42"/>
    </row>
    <row r="2934">
      <c r="A2934" s="18">
        <v>2933.0</v>
      </c>
      <c r="B2934" s="76" t="s">
        <v>4983</v>
      </c>
      <c r="C2934" s="40" t="s">
        <v>5032</v>
      </c>
      <c r="D2934" s="41"/>
      <c r="E2934" s="41" t="s">
        <v>2018</v>
      </c>
      <c r="F2934" s="41" t="str">
        <f>IFERROR(__xludf.DUMMYFUNCTION("if(REGEXMATCH(C2934,""x.com"")=TRUE,""Twitter"",if(REGEXMATCH(C2934,""facebook"")=TRUE,""Facebook"",if(REGEXMATCH(C2934,""instagram"")=TRUE,""Instagram"",if(REGEXMATCH(C2934,""youtube"")=TRUE,""Youtube"",if(REGEXMATCH(C2934,""tiktok"")=TRUE,""Tiktok"",if("&amp;"REGEXMATCH(C2934,""threads"")=TRUE,""Threads""))))))"),"Instagram")</f>
        <v>Instagram</v>
      </c>
      <c r="G2934" s="44" t="s">
        <v>5033</v>
      </c>
      <c r="H2934" s="41" t="s">
        <v>2023</v>
      </c>
      <c r="I2934" s="41"/>
      <c r="J2934" s="41" t="s">
        <v>188</v>
      </c>
      <c r="K2934" s="41"/>
      <c r="L2934" s="42"/>
    </row>
    <row r="2935">
      <c r="A2935" s="18">
        <v>2934.0</v>
      </c>
      <c r="B2935" s="76" t="s">
        <v>4983</v>
      </c>
      <c r="C2935" s="40" t="s">
        <v>5034</v>
      </c>
      <c r="D2935" s="41"/>
      <c r="E2935" s="41" t="s">
        <v>2018</v>
      </c>
      <c r="F2935" s="41" t="str">
        <f>IFERROR(__xludf.DUMMYFUNCTION("if(REGEXMATCH(C2935,""x.com"")=TRUE,""Twitter"",if(REGEXMATCH(C2935,""facebook"")=TRUE,""Facebook"",if(REGEXMATCH(C2935,""instagram"")=TRUE,""Instagram"",if(REGEXMATCH(C2935,""youtube"")=TRUE,""Youtube"",if(REGEXMATCH(C2935,""tiktok"")=TRUE,""Tiktok"",if("&amp;"REGEXMATCH(C2935,""threads"")=TRUE,""Threads""))))))"),"Instagram")</f>
        <v>Instagram</v>
      </c>
      <c r="G2935" s="44" t="s">
        <v>5035</v>
      </c>
      <c r="H2935" s="41" t="s">
        <v>2023</v>
      </c>
      <c r="I2935" s="41"/>
      <c r="J2935" s="41" t="s">
        <v>188</v>
      </c>
      <c r="K2935" s="41"/>
      <c r="L2935" s="42"/>
    </row>
    <row r="2936">
      <c r="A2936" s="18">
        <v>2935.0</v>
      </c>
      <c r="B2936" s="76" t="s">
        <v>4983</v>
      </c>
      <c r="C2936" s="40" t="s">
        <v>5036</v>
      </c>
      <c r="D2936" s="41"/>
      <c r="E2936" s="41" t="s">
        <v>2018</v>
      </c>
      <c r="F2936" s="41" t="str">
        <f>IFERROR(__xludf.DUMMYFUNCTION("if(REGEXMATCH(C2936,""x.com"")=TRUE,""Twitter"",if(REGEXMATCH(C2936,""facebook"")=TRUE,""Facebook"",if(REGEXMATCH(C2936,""instagram"")=TRUE,""Instagram"",if(REGEXMATCH(C2936,""youtube"")=TRUE,""Youtube"",if(REGEXMATCH(C2936,""tiktok"")=TRUE,""Tiktok"",if("&amp;"REGEXMATCH(C2936,""threads"")=TRUE,""Threads""))))))"),"Instagram")</f>
        <v>Instagram</v>
      </c>
      <c r="G2936" s="44" t="s">
        <v>5037</v>
      </c>
      <c r="H2936" s="41" t="s">
        <v>2023</v>
      </c>
      <c r="I2936" s="41"/>
      <c r="J2936" s="41" t="s">
        <v>188</v>
      </c>
      <c r="K2936" s="41"/>
      <c r="L2936" s="42"/>
    </row>
    <row r="2937">
      <c r="A2937" s="18">
        <v>2936.0</v>
      </c>
      <c r="B2937" s="76" t="s">
        <v>4983</v>
      </c>
      <c r="C2937" s="40" t="s">
        <v>5038</v>
      </c>
      <c r="D2937" s="41"/>
      <c r="E2937" s="41" t="s">
        <v>2018</v>
      </c>
      <c r="F2937" s="41" t="str">
        <f>IFERROR(__xludf.DUMMYFUNCTION("if(REGEXMATCH(C2937,""x.com"")=TRUE,""Twitter"",if(REGEXMATCH(C2937,""facebook"")=TRUE,""Facebook"",if(REGEXMATCH(C2937,""instagram"")=TRUE,""Instagram"",if(REGEXMATCH(C2937,""youtube"")=TRUE,""Youtube"",if(REGEXMATCH(C2937,""tiktok"")=TRUE,""Tiktok"",if("&amp;"REGEXMATCH(C2937,""threads"")=TRUE,""Threads""))))))"),"Instagram")</f>
        <v>Instagram</v>
      </c>
      <c r="G2937" s="44" t="s">
        <v>5039</v>
      </c>
      <c r="H2937" s="41" t="s">
        <v>2023</v>
      </c>
      <c r="I2937" s="41"/>
      <c r="J2937" s="41" t="s">
        <v>188</v>
      </c>
      <c r="K2937" s="41"/>
      <c r="L2937" s="42"/>
    </row>
    <row r="2938">
      <c r="A2938" s="18">
        <v>2937.0</v>
      </c>
      <c r="B2938" s="76" t="s">
        <v>4983</v>
      </c>
      <c r="C2938" s="40" t="s">
        <v>5040</v>
      </c>
      <c r="D2938" s="41"/>
      <c r="E2938" s="41" t="s">
        <v>2018</v>
      </c>
      <c r="F2938" s="41" t="str">
        <f>IFERROR(__xludf.DUMMYFUNCTION("if(REGEXMATCH(C2938,""x.com"")=TRUE,""Twitter"",if(REGEXMATCH(C2938,""facebook"")=TRUE,""Facebook"",if(REGEXMATCH(C2938,""instagram"")=TRUE,""Instagram"",if(REGEXMATCH(C2938,""youtube"")=TRUE,""Youtube"",if(REGEXMATCH(C2938,""tiktok"")=TRUE,""Tiktok"",if("&amp;"REGEXMATCH(C2938,""threads"")=TRUE,""Threads""))))))"),"Instagram")</f>
        <v>Instagram</v>
      </c>
      <c r="G2938" s="44" t="s">
        <v>5041</v>
      </c>
      <c r="H2938" s="41" t="s">
        <v>2023</v>
      </c>
      <c r="I2938" s="41"/>
      <c r="J2938" s="41" t="s">
        <v>188</v>
      </c>
      <c r="K2938" s="41"/>
      <c r="L2938" s="42"/>
    </row>
    <row r="2939">
      <c r="A2939" s="18">
        <v>2938.0</v>
      </c>
      <c r="B2939" s="76" t="s">
        <v>4983</v>
      </c>
      <c r="C2939" s="40" t="s">
        <v>5042</v>
      </c>
      <c r="D2939" s="41"/>
      <c r="E2939" s="41" t="s">
        <v>2018</v>
      </c>
      <c r="F2939" s="41" t="str">
        <f>IFERROR(__xludf.DUMMYFUNCTION("if(REGEXMATCH(C2939,""x.com"")=TRUE,""Twitter"",if(REGEXMATCH(C2939,""facebook"")=TRUE,""Facebook"",if(REGEXMATCH(C2939,""instagram"")=TRUE,""Instagram"",if(REGEXMATCH(C2939,""youtube"")=TRUE,""Youtube"",if(REGEXMATCH(C2939,""tiktok"")=TRUE,""Tiktok"",if("&amp;"REGEXMATCH(C2939,""threads"")=TRUE,""Threads""))))))"),"Instagram")</f>
        <v>Instagram</v>
      </c>
      <c r="G2939" s="44" t="s">
        <v>5043</v>
      </c>
      <c r="H2939" s="41" t="s">
        <v>2023</v>
      </c>
      <c r="I2939" s="41"/>
      <c r="J2939" s="41" t="s">
        <v>188</v>
      </c>
      <c r="K2939" s="41"/>
      <c r="L2939" s="42"/>
    </row>
    <row r="2940">
      <c r="A2940" s="18">
        <v>2939.0</v>
      </c>
      <c r="B2940" s="76" t="s">
        <v>4983</v>
      </c>
      <c r="C2940" s="40" t="s">
        <v>5044</v>
      </c>
      <c r="D2940" s="41"/>
      <c r="E2940" s="41" t="s">
        <v>2018</v>
      </c>
      <c r="F2940" s="41" t="str">
        <f>IFERROR(__xludf.DUMMYFUNCTION("if(REGEXMATCH(C2940,""x.com"")=TRUE,""Twitter"",if(REGEXMATCH(C2940,""facebook"")=TRUE,""Facebook"",if(REGEXMATCH(C2940,""instagram"")=TRUE,""Instagram"",if(REGEXMATCH(C2940,""youtube"")=TRUE,""Youtube"",if(REGEXMATCH(C2940,""tiktok"")=TRUE,""Tiktok"",if("&amp;"REGEXMATCH(C2940,""threads"")=TRUE,""Threads""))))))"),"Instagram")</f>
        <v>Instagram</v>
      </c>
      <c r="G2940" s="44" t="s">
        <v>5045</v>
      </c>
      <c r="H2940" s="41" t="s">
        <v>2023</v>
      </c>
      <c r="I2940" s="41"/>
      <c r="J2940" s="41" t="s">
        <v>188</v>
      </c>
      <c r="K2940" s="41"/>
      <c r="L2940" s="42"/>
    </row>
    <row r="2941">
      <c r="A2941" s="18">
        <v>2940.0</v>
      </c>
      <c r="B2941" s="76" t="s">
        <v>5046</v>
      </c>
      <c r="C2941" s="40" t="s">
        <v>5047</v>
      </c>
      <c r="D2941" s="41"/>
      <c r="E2941" s="41" t="s">
        <v>222</v>
      </c>
      <c r="F2941" s="41" t="str">
        <f>IFERROR(__xludf.DUMMYFUNCTION("if(REGEXMATCH(C2941,""x.com"")=TRUE,""Twitter"",if(REGEXMATCH(C2941,""facebook"")=TRUE,""Facebook"",if(REGEXMATCH(C2941,""instagram"")=TRUE,""Instagram"",if(REGEXMATCH(C2941,""youtube"")=TRUE,""Youtube"",if(REGEXMATCH(C2941,""tiktok"")=TRUE,""Tiktok"",if("&amp;"REGEXMATCH(C2941,""threads"")=TRUE,""Threads""))))))"),"Facebook")</f>
        <v>Facebook</v>
      </c>
      <c r="G2941" s="41" t="s">
        <v>5048</v>
      </c>
      <c r="H2941" s="43" t="s">
        <v>5049</v>
      </c>
      <c r="I2941" s="43" t="s">
        <v>4286</v>
      </c>
      <c r="J2941" s="41" t="s">
        <v>188</v>
      </c>
      <c r="K2941" s="41"/>
      <c r="L2941" s="42"/>
    </row>
    <row r="2942">
      <c r="A2942" s="18">
        <v>2941.0</v>
      </c>
      <c r="B2942" s="76" t="s">
        <v>5046</v>
      </c>
      <c r="C2942" s="40" t="s">
        <v>5050</v>
      </c>
      <c r="D2942" s="41"/>
      <c r="E2942" s="41" t="s">
        <v>1178</v>
      </c>
      <c r="F2942" s="41" t="str">
        <f>IFERROR(__xludf.DUMMYFUNCTION("if(REGEXMATCH(C2942,""x.com"")=TRUE,""Twitter"",if(REGEXMATCH(C2942,""facebook"")=TRUE,""Facebook"",if(REGEXMATCH(C2942,""instagram"")=TRUE,""Instagram"",if(REGEXMATCH(C2942,""youtube"")=TRUE,""Youtube"",if(REGEXMATCH(C2942,""tiktok"")=TRUE,""Tiktok"",if("&amp;"REGEXMATCH(C2942,""threads"")=TRUE,""Threads""))))))"),"Tiktok")</f>
        <v>Tiktok</v>
      </c>
      <c r="G2942" s="41" t="s">
        <v>5051</v>
      </c>
      <c r="H2942" s="36"/>
      <c r="I2942" s="36"/>
      <c r="J2942" s="41" t="s">
        <v>188</v>
      </c>
      <c r="K2942" s="41"/>
      <c r="L2942" s="42"/>
    </row>
    <row r="2943">
      <c r="A2943" s="18">
        <v>2942.0</v>
      </c>
      <c r="B2943" s="76" t="s">
        <v>5046</v>
      </c>
      <c r="C2943" s="40" t="s">
        <v>5052</v>
      </c>
      <c r="D2943" s="41"/>
      <c r="E2943" s="41" t="s">
        <v>447</v>
      </c>
      <c r="F2943" s="41" t="str">
        <f>IFERROR(__xludf.DUMMYFUNCTION("if(REGEXMATCH(C2943,""x.com"")=TRUE,""Twitter"",if(REGEXMATCH(C2943,""facebook"")=TRUE,""Facebook"",if(REGEXMATCH(C2943,""instagram"")=TRUE,""Instagram"",if(REGEXMATCH(C2943,""youtube"")=TRUE,""Youtube"",if(REGEXMATCH(C2943,""tiktok"")=TRUE,""Tiktok"",if("&amp;"REGEXMATCH(C2943,""threads"")=TRUE,""Threads""))))))"),"Tiktok")</f>
        <v>Tiktok</v>
      </c>
      <c r="G2943" s="44" t="s">
        <v>5053</v>
      </c>
      <c r="H2943" s="36"/>
      <c r="I2943" s="36"/>
      <c r="J2943" s="41" t="s">
        <v>188</v>
      </c>
      <c r="K2943" s="41"/>
      <c r="L2943" s="42"/>
    </row>
    <row r="2944">
      <c r="A2944" s="18">
        <v>2943.0</v>
      </c>
      <c r="B2944" s="76" t="s">
        <v>5046</v>
      </c>
      <c r="C2944" s="40" t="s">
        <v>5054</v>
      </c>
      <c r="D2944" s="41"/>
      <c r="E2944" s="41" t="s">
        <v>557</v>
      </c>
      <c r="F2944" s="41" t="str">
        <f>IFERROR(__xludf.DUMMYFUNCTION("if(REGEXMATCH(C2944,""x.com"")=TRUE,""Twitter"",if(REGEXMATCH(C2944,""facebook"")=TRUE,""Facebook"",if(REGEXMATCH(C2944,""instagram"")=TRUE,""Instagram"",if(REGEXMATCH(C2944,""youtube"")=TRUE,""Youtube"",if(REGEXMATCH(C2944,""tiktok"")=TRUE,""Tiktok"",if("&amp;"REGEXMATCH(C2944,""threads"")=TRUE,""Threads""))))))"),"Tiktok")</f>
        <v>Tiktok</v>
      </c>
      <c r="G2944" s="41" t="s">
        <v>5055</v>
      </c>
      <c r="H2944" s="36"/>
      <c r="I2944" s="36"/>
      <c r="J2944" s="41" t="s">
        <v>188</v>
      </c>
      <c r="K2944" s="41"/>
      <c r="L2944" s="42"/>
    </row>
    <row r="2945">
      <c r="A2945" s="18">
        <v>2944.0</v>
      </c>
      <c r="B2945" s="76" t="s">
        <v>5046</v>
      </c>
      <c r="C2945" s="40" t="s">
        <v>5056</v>
      </c>
      <c r="D2945" s="41"/>
      <c r="E2945" s="41" t="s">
        <v>5057</v>
      </c>
      <c r="F2945" s="41" t="str">
        <f>IFERROR(__xludf.DUMMYFUNCTION("if(REGEXMATCH(C2945,""x.com"")=TRUE,""Twitter"",if(REGEXMATCH(C2945,""facebook"")=TRUE,""Facebook"",if(REGEXMATCH(C2945,""instagram"")=TRUE,""Instagram"",if(REGEXMATCH(C2945,""youtube"")=TRUE,""Youtube"",if(REGEXMATCH(C2945,""tiktok"")=TRUE,""Tiktok"",if("&amp;"REGEXMATCH(C2945,""threads"")=TRUE,""Threads""))))))"),"Facebook")</f>
        <v>Facebook</v>
      </c>
      <c r="G2945" s="41" t="s">
        <v>5058</v>
      </c>
      <c r="H2945" s="36"/>
      <c r="I2945" s="36"/>
      <c r="J2945" s="41" t="s">
        <v>188</v>
      </c>
      <c r="K2945" s="41"/>
      <c r="L2945" s="42"/>
    </row>
    <row r="2946">
      <c r="A2946" s="18">
        <v>2945.0</v>
      </c>
      <c r="B2946" s="76" t="s">
        <v>5046</v>
      </c>
      <c r="C2946" s="40" t="s">
        <v>5059</v>
      </c>
      <c r="D2946" s="41"/>
      <c r="E2946" s="41" t="s">
        <v>4994</v>
      </c>
      <c r="F2946" s="41" t="str">
        <f>IFERROR(__xludf.DUMMYFUNCTION("if(REGEXMATCH(C2946,""x.com"")=TRUE,""Twitter"",if(REGEXMATCH(C2946,""facebook"")=TRUE,""Facebook"",if(REGEXMATCH(C2946,""instagram"")=TRUE,""Instagram"",if(REGEXMATCH(C2946,""youtube"")=TRUE,""Youtube"",if(REGEXMATCH(C2946,""tiktok"")=TRUE,""Tiktok"",if("&amp;"REGEXMATCH(C2946,""threads"")=TRUE,""Threads""))))))"),"Facebook")</f>
        <v>Facebook</v>
      </c>
      <c r="G2946" s="41" t="s">
        <v>5060</v>
      </c>
      <c r="H2946" s="36"/>
      <c r="I2946" s="36"/>
      <c r="J2946" s="41" t="s">
        <v>188</v>
      </c>
      <c r="K2946" s="41"/>
      <c r="L2946" s="42"/>
    </row>
    <row r="2947">
      <c r="A2947" s="18">
        <v>2946.0</v>
      </c>
      <c r="B2947" s="76" t="s">
        <v>5046</v>
      </c>
      <c r="C2947" s="40" t="s">
        <v>5061</v>
      </c>
      <c r="D2947" s="41"/>
      <c r="E2947" s="41" t="s">
        <v>447</v>
      </c>
      <c r="F2947" s="41" t="str">
        <f>IFERROR(__xludf.DUMMYFUNCTION("if(REGEXMATCH(C2947,""x.com"")=TRUE,""Twitter"",if(REGEXMATCH(C2947,""facebook"")=TRUE,""Facebook"",if(REGEXMATCH(C2947,""instagram"")=TRUE,""Instagram"",if(REGEXMATCH(C2947,""youtube"")=TRUE,""Youtube"",if(REGEXMATCH(C2947,""tiktok"")=TRUE,""Tiktok"",if("&amp;"REGEXMATCH(C2947,""threads"")=TRUE,""Threads""))))))"),"Tiktok")</f>
        <v>Tiktok</v>
      </c>
      <c r="G2947" s="41" t="s">
        <v>5062</v>
      </c>
      <c r="H2947" s="36"/>
      <c r="I2947" s="36"/>
      <c r="J2947" s="41" t="s">
        <v>188</v>
      </c>
      <c r="K2947" s="41"/>
      <c r="L2947" s="42"/>
    </row>
    <row r="2948">
      <c r="A2948" s="18">
        <v>2947.0</v>
      </c>
      <c r="B2948" s="76" t="s">
        <v>5046</v>
      </c>
      <c r="C2948" s="40" t="s">
        <v>5063</v>
      </c>
      <c r="D2948" s="41"/>
      <c r="E2948" s="41" t="s">
        <v>447</v>
      </c>
      <c r="F2948" s="41" t="str">
        <f>IFERROR(__xludf.DUMMYFUNCTION("if(REGEXMATCH(C2948,""x.com"")=TRUE,""Twitter"",if(REGEXMATCH(C2948,""facebook"")=TRUE,""Facebook"",if(REGEXMATCH(C2948,""instagram"")=TRUE,""Instagram"",if(REGEXMATCH(C2948,""youtube"")=TRUE,""Youtube"",if(REGEXMATCH(C2948,""tiktok"")=TRUE,""Tiktok"",if("&amp;"REGEXMATCH(C2948,""threads"")=TRUE,""Threads""))))))"),"Facebook")</f>
        <v>Facebook</v>
      </c>
      <c r="G2948" s="41" t="s">
        <v>5064</v>
      </c>
      <c r="H2948" s="36"/>
      <c r="I2948" s="36"/>
      <c r="J2948" s="41" t="s">
        <v>188</v>
      </c>
      <c r="K2948" s="41"/>
      <c r="L2948" s="42"/>
    </row>
    <row r="2949">
      <c r="A2949" s="18">
        <v>2948.0</v>
      </c>
      <c r="B2949" s="76" t="s">
        <v>5046</v>
      </c>
      <c r="C2949" s="40" t="s">
        <v>5065</v>
      </c>
      <c r="D2949" s="41"/>
      <c r="E2949" s="41" t="s">
        <v>447</v>
      </c>
      <c r="F2949" s="41" t="str">
        <f>IFERROR(__xludf.DUMMYFUNCTION("if(REGEXMATCH(C2949,""x.com"")=TRUE,""Twitter"",if(REGEXMATCH(C2949,""facebook"")=TRUE,""Facebook"",if(REGEXMATCH(C2949,""instagram"")=TRUE,""Instagram"",if(REGEXMATCH(C2949,""youtube"")=TRUE,""Youtube"",if(REGEXMATCH(C2949,""tiktok"")=TRUE,""Tiktok"",if("&amp;"REGEXMATCH(C2949,""threads"")=TRUE,""Threads""))))))"),"Tiktok")</f>
        <v>Tiktok</v>
      </c>
      <c r="G2949" s="41" t="s">
        <v>5066</v>
      </c>
      <c r="H2949" s="36"/>
      <c r="I2949" s="36"/>
      <c r="J2949" s="41" t="s">
        <v>188</v>
      </c>
      <c r="K2949" s="41"/>
      <c r="L2949" s="42"/>
    </row>
    <row r="2950">
      <c r="A2950" s="18">
        <v>2949.0</v>
      </c>
      <c r="B2950" s="76" t="s">
        <v>5046</v>
      </c>
      <c r="C2950" s="40" t="s">
        <v>5067</v>
      </c>
      <c r="D2950" s="41"/>
      <c r="E2950" s="41" t="s">
        <v>197</v>
      </c>
      <c r="F2950" s="41" t="str">
        <f>IFERROR(__xludf.DUMMYFUNCTION("if(REGEXMATCH(C2950,""x.com"")=TRUE,""Twitter"",if(REGEXMATCH(C2950,""facebook"")=TRUE,""Facebook"",if(REGEXMATCH(C2950,""instagram"")=TRUE,""Instagram"",if(REGEXMATCH(C2950,""youtube"")=TRUE,""Youtube"",if(REGEXMATCH(C2950,""tiktok"")=TRUE,""Tiktok"",if("&amp;"REGEXMATCH(C2950,""threads"")=TRUE,""Threads""))))))"),"Twitter")</f>
        <v>Twitter</v>
      </c>
      <c r="G2950" s="41" t="s">
        <v>5068</v>
      </c>
      <c r="H2950" s="36"/>
      <c r="I2950" s="36"/>
      <c r="J2950" s="41" t="s">
        <v>188</v>
      </c>
      <c r="K2950" s="41"/>
      <c r="L2950" s="42"/>
    </row>
    <row r="2951">
      <c r="A2951" s="18">
        <v>2950.0</v>
      </c>
      <c r="B2951" s="76" t="s">
        <v>5046</v>
      </c>
      <c r="C2951" s="40" t="s">
        <v>5069</v>
      </c>
      <c r="D2951" s="41"/>
      <c r="E2951" s="41" t="s">
        <v>197</v>
      </c>
      <c r="F2951" s="41" t="str">
        <f>IFERROR(__xludf.DUMMYFUNCTION("if(REGEXMATCH(C2951,""x.com"")=TRUE,""Twitter"",if(REGEXMATCH(C2951,""facebook"")=TRUE,""Facebook"",if(REGEXMATCH(C2951,""instagram"")=TRUE,""Instagram"",if(REGEXMATCH(C2951,""youtube"")=TRUE,""Youtube"",if(REGEXMATCH(C2951,""tiktok"")=TRUE,""Tiktok"",if("&amp;"REGEXMATCH(C2951,""threads"")=TRUE,""Threads""))))))"),"Twitter")</f>
        <v>Twitter</v>
      </c>
      <c r="G2951" s="41" t="s">
        <v>5070</v>
      </c>
      <c r="H2951" s="36"/>
      <c r="I2951" s="36"/>
      <c r="J2951" s="41" t="s">
        <v>188</v>
      </c>
      <c r="K2951" s="41"/>
      <c r="L2951" s="42"/>
    </row>
    <row r="2952">
      <c r="A2952" s="18">
        <v>2951.0</v>
      </c>
      <c r="B2952" s="76" t="s">
        <v>5046</v>
      </c>
      <c r="C2952" s="40" t="s">
        <v>5071</v>
      </c>
      <c r="D2952" s="41"/>
      <c r="E2952" s="41" t="s">
        <v>197</v>
      </c>
      <c r="F2952" s="41" t="str">
        <f>IFERROR(__xludf.DUMMYFUNCTION("if(REGEXMATCH(C2952,""x.com"")=TRUE,""Twitter"",if(REGEXMATCH(C2952,""facebook"")=TRUE,""Facebook"",if(REGEXMATCH(C2952,""instagram"")=TRUE,""Instagram"",if(REGEXMATCH(C2952,""youtube"")=TRUE,""Youtube"",if(REGEXMATCH(C2952,""tiktok"")=TRUE,""Tiktok"",if("&amp;"REGEXMATCH(C2952,""threads"")=TRUE,""Threads""))))))"),"Twitter")</f>
        <v>Twitter</v>
      </c>
      <c r="G2952" s="41" t="s">
        <v>5072</v>
      </c>
      <c r="H2952" s="36"/>
      <c r="I2952" s="36"/>
      <c r="J2952" s="41" t="s">
        <v>188</v>
      </c>
      <c r="K2952" s="41"/>
      <c r="L2952" s="42"/>
    </row>
    <row r="2953">
      <c r="A2953" s="18">
        <v>2952.0</v>
      </c>
      <c r="B2953" s="76" t="s">
        <v>5046</v>
      </c>
      <c r="C2953" s="40" t="s">
        <v>5073</v>
      </c>
      <c r="D2953" s="41"/>
      <c r="E2953" s="41" t="s">
        <v>197</v>
      </c>
      <c r="F2953" s="41" t="str">
        <f>IFERROR(__xludf.DUMMYFUNCTION("if(REGEXMATCH(C2953,""x.com"")=TRUE,""Twitter"",if(REGEXMATCH(C2953,""facebook"")=TRUE,""Facebook"",if(REGEXMATCH(C2953,""instagram"")=TRUE,""Instagram"",if(REGEXMATCH(C2953,""youtube"")=TRUE,""Youtube"",if(REGEXMATCH(C2953,""tiktok"")=TRUE,""Tiktok"",if("&amp;"REGEXMATCH(C2953,""threads"")=TRUE,""Threads""))))))"),"Twitter")</f>
        <v>Twitter</v>
      </c>
      <c r="G2953" s="41" t="s">
        <v>5074</v>
      </c>
      <c r="H2953" s="36"/>
      <c r="I2953" s="36"/>
      <c r="J2953" s="41" t="s">
        <v>188</v>
      </c>
      <c r="K2953" s="41"/>
      <c r="L2953" s="42"/>
    </row>
    <row r="2954">
      <c r="A2954" s="18">
        <v>2953.0</v>
      </c>
      <c r="B2954" s="76" t="s">
        <v>5046</v>
      </c>
      <c r="C2954" s="40" t="s">
        <v>5075</v>
      </c>
      <c r="D2954" s="41"/>
      <c r="E2954" s="41" t="s">
        <v>197</v>
      </c>
      <c r="F2954" s="41" t="str">
        <f>IFERROR(__xludf.DUMMYFUNCTION("if(REGEXMATCH(C2954,""x.com"")=TRUE,""Twitter"",if(REGEXMATCH(C2954,""facebook"")=TRUE,""Facebook"",if(REGEXMATCH(C2954,""instagram"")=TRUE,""Instagram"",if(REGEXMATCH(C2954,""youtube"")=TRUE,""Youtube"",if(REGEXMATCH(C2954,""tiktok"")=TRUE,""Tiktok"",if("&amp;"REGEXMATCH(C2954,""threads"")=TRUE,""Threads""))))))"),"Twitter")</f>
        <v>Twitter</v>
      </c>
      <c r="G2954" s="41" t="s">
        <v>5076</v>
      </c>
      <c r="H2954" s="36"/>
      <c r="I2954" s="36"/>
      <c r="J2954" s="41" t="s">
        <v>188</v>
      </c>
      <c r="K2954" s="41"/>
      <c r="L2954" s="42"/>
    </row>
    <row r="2955">
      <c r="A2955" s="18">
        <v>2954.0</v>
      </c>
      <c r="B2955" s="76" t="s">
        <v>5046</v>
      </c>
      <c r="C2955" s="40" t="s">
        <v>5077</v>
      </c>
      <c r="D2955" s="41"/>
      <c r="E2955" s="41" t="s">
        <v>197</v>
      </c>
      <c r="F2955" s="41" t="str">
        <f>IFERROR(__xludf.DUMMYFUNCTION("if(REGEXMATCH(C2955,""x.com"")=TRUE,""Twitter"",if(REGEXMATCH(C2955,""facebook"")=TRUE,""Facebook"",if(REGEXMATCH(C2955,""instagram"")=TRUE,""Instagram"",if(REGEXMATCH(C2955,""youtube"")=TRUE,""Youtube"",if(REGEXMATCH(C2955,""tiktok"")=TRUE,""Tiktok"",if("&amp;"REGEXMATCH(C2955,""threads"")=TRUE,""Threads""))))))"),"Facebook")</f>
        <v>Facebook</v>
      </c>
      <c r="G2955" s="41" t="s">
        <v>5078</v>
      </c>
      <c r="H2955" s="36"/>
      <c r="I2955" s="36"/>
      <c r="J2955" s="41" t="s">
        <v>188</v>
      </c>
      <c r="K2955" s="41"/>
      <c r="L2955" s="42"/>
    </row>
    <row r="2956">
      <c r="A2956" s="18">
        <v>2955.0</v>
      </c>
      <c r="B2956" s="76" t="s">
        <v>5046</v>
      </c>
      <c r="C2956" s="40" t="s">
        <v>5079</v>
      </c>
      <c r="D2956" s="41"/>
      <c r="E2956" s="41" t="s">
        <v>197</v>
      </c>
      <c r="F2956" s="41" t="str">
        <f>IFERROR(__xludf.DUMMYFUNCTION("if(REGEXMATCH(C2956,""x.com"")=TRUE,""Twitter"",if(REGEXMATCH(C2956,""facebook"")=TRUE,""Facebook"",if(REGEXMATCH(C2956,""instagram"")=TRUE,""Instagram"",if(REGEXMATCH(C2956,""youtube"")=TRUE,""Youtube"",if(REGEXMATCH(C2956,""tiktok"")=TRUE,""Tiktok"",if("&amp;"REGEXMATCH(C2956,""threads"")=TRUE,""Threads""))))))"),"Facebook")</f>
        <v>Facebook</v>
      </c>
      <c r="G2956" s="41" t="s">
        <v>5080</v>
      </c>
      <c r="H2956" s="36"/>
      <c r="I2956" s="36"/>
      <c r="J2956" s="41" t="s">
        <v>188</v>
      </c>
      <c r="K2956" s="41"/>
      <c r="L2956" s="42"/>
    </row>
    <row r="2957">
      <c r="A2957" s="18">
        <v>2956.0</v>
      </c>
      <c r="B2957" s="76" t="s">
        <v>5046</v>
      </c>
      <c r="C2957" s="40" t="s">
        <v>5081</v>
      </c>
      <c r="D2957" s="41"/>
      <c r="E2957" s="41" t="s">
        <v>197</v>
      </c>
      <c r="F2957" s="41" t="str">
        <f>IFERROR(__xludf.DUMMYFUNCTION("if(REGEXMATCH(C2957,""x.com"")=TRUE,""Twitter"",if(REGEXMATCH(C2957,""facebook"")=TRUE,""Facebook"",if(REGEXMATCH(C2957,""instagram"")=TRUE,""Instagram"",if(REGEXMATCH(C2957,""youtube"")=TRUE,""Youtube"",if(REGEXMATCH(C2957,""tiktok"")=TRUE,""Tiktok"",if("&amp;"REGEXMATCH(C2957,""threads"")=TRUE,""Threads""))))))"),"Facebook")</f>
        <v>Facebook</v>
      </c>
      <c r="G2957" s="41" t="s">
        <v>5082</v>
      </c>
      <c r="H2957" s="35"/>
      <c r="I2957" s="35"/>
      <c r="J2957" s="41" t="s">
        <v>188</v>
      </c>
      <c r="K2957" s="41"/>
      <c r="L2957" s="42"/>
    </row>
    <row r="2958">
      <c r="A2958" s="18">
        <v>2957.0</v>
      </c>
      <c r="B2958" s="76" t="s">
        <v>5046</v>
      </c>
      <c r="C2958" s="40" t="s">
        <v>5083</v>
      </c>
      <c r="D2958" s="41"/>
      <c r="E2958" s="41" t="s">
        <v>401</v>
      </c>
      <c r="F2958" s="41" t="str">
        <f>IFERROR(__xludf.DUMMYFUNCTION("if(REGEXMATCH(C2958,""x.com"")=TRUE,""Twitter"",if(REGEXMATCH(C2958,""facebook"")=TRUE,""Facebook"",if(REGEXMATCH(C2958,""instagram"")=TRUE,""Instagram"",if(REGEXMATCH(C2958,""youtube"")=TRUE,""Youtube"",if(REGEXMATCH(C2958,""tiktok"")=TRUE,""Tiktok"",if("&amp;"REGEXMATCH(C2958,""threads"")=TRUE,""Threads""))))))"),"Facebook")</f>
        <v>Facebook</v>
      </c>
      <c r="G2958" s="41" t="s">
        <v>937</v>
      </c>
      <c r="H2958" s="41" t="s">
        <v>1542</v>
      </c>
      <c r="I2958" s="41" t="s">
        <v>939</v>
      </c>
      <c r="J2958" s="41" t="s">
        <v>188</v>
      </c>
      <c r="K2958" s="41"/>
      <c r="L2958" s="42"/>
    </row>
    <row r="2959">
      <c r="A2959" s="18">
        <v>2958.0</v>
      </c>
      <c r="B2959" s="76" t="s">
        <v>5046</v>
      </c>
      <c r="C2959" s="40" t="s">
        <v>5084</v>
      </c>
      <c r="D2959" s="41"/>
      <c r="E2959" s="41" t="s">
        <v>401</v>
      </c>
      <c r="F2959" s="41" t="str">
        <f>IFERROR(__xludf.DUMMYFUNCTION("if(REGEXMATCH(C2959,""x.com"")=TRUE,""Twitter"",if(REGEXMATCH(C2959,""facebook"")=TRUE,""Facebook"",if(REGEXMATCH(C2959,""instagram"")=TRUE,""Instagram"",if(REGEXMATCH(C2959,""youtube"")=TRUE,""Youtube"",if(REGEXMATCH(C2959,""tiktok"")=TRUE,""Tiktok"",if("&amp;"REGEXMATCH(C2959,""threads"")=TRUE,""Threads""))))))"),"Facebook")</f>
        <v>Facebook</v>
      </c>
      <c r="G2959" s="41" t="s">
        <v>937</v>
      </c>
      <c r="H2959" s="41" t="s">
        <v>1542</v>
      </c>
      <c r="I2959" s="41" t="s">
        <v>939</v>
      </c>
      <c r="J2959" s="41" t="s">
        <v>188</v>
      </c>
      <c r="K2959" s="41"/>
      <c r="L2959" s="42"/>
    </row>
    <row r="2960">
      <c r="A2960" s="18">
        <v>2959.0</v>
      </c>
      <c r="B2960" s="76" t="s">
        <v>5046</v>
      </c>
      <c r="C2960" s="63" t="s">
        <v>5085</v>
      </c>
      <c r="D2960" s="41"/>
      <c r="E2960" s="41" t="s">
        <v>1178</v>
      </c>
      <c r="F2960" s="41" t="str">
        <f>IFERROR(__xludf.DUMMYFUNCTION("if(REGEXMATCH(C2960,""x.com"")=TRUE,""Twitter"",if(REGEXMATCH(C2960,""facebook"")=TRUE,""Facebook"",if(REGEXMATCH(C2960,""instagram"")=TRUE,""Instagram"",if(REGEXMATCH(C2960,""youtube"")=TRUE,""Youtube"",if(REGEXMATCH(C2960,""tiktok"")=TRUE,""Tiktok"",if("&amp;"REGEXMATCH(C2960,""threads"")=TRUE,""Threads""))))))"),"Facebook")</f>
        <v>Facebook</v>
      </c>
      <c r="G2960" s="41" t="s">
        <v>2135</v>
      </c>
      <c r="H2960" s="41" t="s">
        <v>2136</v>
      </c>
      <c r="I2960" s="41" t="s">
        <v>2137</v>
      </c>
      <c r="J2960" s="41" t="s">
        <v>188</v>
      </c>
      <c r="K2960" s="41"/>
      <c r="L2960" s="42"/>
    </row>
    <row r="2961">
      <c r="A2961" s="18">
        <v>2960.0</v>
      </c>
      <c r="B2961" s="76" t="s">
        <v>5046</v>
      </c>
      <c r="C2961" s="63" t="s">
        <v>5086</v>
      </c>
      <c r="D2961" s="41"/>
      <c r="E2961" s="41" t="s">
        <v>401</v>
      </c>
      <c r="F2961" s="41" t="str">
        <f>IFERROR(__xludf.DUMMYFUNCTION("if(REGEXMATCH(C2961,""x.com"")=TRUE,""Twitter"",if(REGEXMATCH(C2961,""facebook"")=TRUE,""Facebook"",if(REGEXMATCH(C2961,""instagram"")=TRUE,""Instagram"",if(REGEXMATCH(C2961,""youtube"")=TRUE,""Youtube"",if(REGEXMATCH(C2961,""tiktok"")=TRUE,""Tiktok"",if("&amp;"REGEXMATCH(C2961,""threads"")=TRUE,""Threads""))))))"),"Facebook")</f>
        <v>Facebook</v>
      </c>
      <c r="G2961" s="41" t="s">
        <v>937</v>
      </c>
      <c r="H2961" s="41" t="s">
        <v>1542</v>
      </c>
      <c r="I2961" s="41" t="s">
        <v>939</v>
      </c>
      <c r="J2961" s="41" t="s">
        <v>188</v>
      </c>
      <c r="K2961" s="41"/>
      <c r="L2961" s="42"/>
    </row>
    <row r="2962">
      <c r="A2962" s="18">
        <v>2961.0</v>
      </c>
      <c r="B2962" s="76" t="s">
        <v>5046</v>
      </c>
      <c r="C2962" s="40" t="s">
        <v>5087</v>
      </c>
      <c r="D2962" s="41"/>
      <c r="E2962" s="41" t="s">
        <v>1178</v>
      </c>
      <c r="F2962" s="41" t="str">
        <f>IFERROR(__xludf.DUMMYFUNCTION("if(REGEXMATCH(C2962,""x.com"")=TRUE,""Twitter"",if(REGEXMATCH(C2962,""facebook"")=TRUE,""Facebook"",if(REGEXMATCH(C2962,""instagram"")=TRUE,""Instagram"",if(REGEXMATCH(C2962,""youtube"")=TRUE,""Youtube"",if(REGEXMATCH(C2962,""tiktok"")=TRUE,""Tiktok"",if("&amp;"REGEXMATCH(C2962,""threads"")=TRUE,""Threads""))))))"),"Facebook")</f>
        <v>Facebook</v>
      </c>
      <c r="G2962" s="41" t="s">
        <v>2135</v>
      </c>
      <c r="H2962" s="41" t="s">
        <v>2136</v>
      </c>
      <c r="I2962" s="41" t="s">
        <v>2137</v>
      </c>
      <c r="J2962" s="41" t="s">
        <v>188</v>
      </c>
      <c r="K2962" s="41"/>
      <c r="L2962" s="42"/>
    </row>
    <row r="2963">
      <c r="A2963" s="18">
        <v>2962.0</v>
      </c>
      <c r="B2963" s="76" t="s">
        <v>5046</v>
      </c>
      <c r="C2963" s="40" t="s">
        <v>5088</v>
      </c>
      <c r="D2963" s="41"/>
      <c r="E2963" s="41" t="s">
        <v>1178</v>
      </c>
      <c r="F2963" s="41" t="str">
        <f>IFERROR(__xludf.DUMMYFUNCTION("if(REGEXMATCH(C2963,""x.com"")=TRUE,""Twitter"",if(REGEXMATCH(C2963,""facebook"")=TRUE,""Facebook"",if(REGEXMATCH(C2963,""instagram"")=TRUE,""Instagram"",if(REGEXMATCH(C2963,""youtube"")=TRUE,""Youtube"",if(REGEXMATCH(C2963,""tiktok"")=TRUE,""Tiktok"",if("&amp;"REGEXMATCH(C2963,""threads"")=TRUE,""Threads""))))))"),"Facebook")</f>
        <v>Facebook</v>
      </c>
      <c r="G2963" s="41" t="s">
        <v>2135</v>
      </c>
      <c r="H2963" s="41" t="s">
        <v>2136</v>
      </c>
      <c r="I2963" s="41" t="s">
        <v>2137</v>
      </c>
      <c r="J2963" s="41" t="s">
        <v>188</v>
      </c>
      <c r="K2963" s="41"/>
      <c r="L2963" s="42"/>
    </row>
    <row r="2964">
      <c r="A2964" s="18">
        <v>2963.0</v>
      </c>
      <c r="B2964" s="76" t="s">
        <v>5046</v>
      </c>
      <c r="C2964" s="40" t="s">
        <v>4810</v>
      </c>
      <c r="D2964" s="41"/>
      <c r="E2964" s="41" t="s">
        <v>1178</v>
      </c>
      <c r="F2964" s="41" t="str">
        <f>IFERROR(__xludf.DUMMYFUNCTION("if(REGEXMATCH(C2964,""x.com"")=TRUE,""Twitter"",if(REGEXMATCH(C2964,""facebook"")=TRUE,""Facebook"",if(REGEXMATCH(C2964,""instagram"")=TRUE,""Instagram"",if(REGEXMATCH(C2964,""youtube"")=TRUE,""Youtube"",if(REGEXMATCH(C2964,""tiktok"")=TRUE,""Tiktok"",if("&amp;"REGEXMATCH(C2964,""threads"")=TRUE,""Threads""))))))"),"Instagram")</f>
        <v>Instagram</v>
      </c>
      <c r="G2964" s="41" t="s">
        <v>2135</v>
      </c>
      <c r="H2964" s="41" t="s">
        <v>2136</v>
      </c>
      <c r="I2964" s="41" t="s">
        <v>2137</v>
      </c>
      <c r="J2964" s="41" t="s">
        <v>422</v>
      </c>
      <c r="K2964" s="41" t="s">
        <v>5089</v>
      </c>
      <c r="L2964" s="42"/>
    </row>
    <row r="2965">
      <c r="A2965" s="18">
        <v>2964.0</v>
      </c>
      <c r="B2965" s="76" t="s">
        <v>5046</v>
      </c>
      <c r="C2965" s="40" t="s">
        <v>5090</v>
      </c>
      <c r="D2965" s="41"/>
      <c r="E2965" s="41" t="s">
        <v>1178</v>
      </c>
      <c r="F2965" s="41" t="str">
        <f>IFERROR(__xludf.DUMMYFUNCTION("if(REGEXMATCH(C2965,""x.com"")=TRUE,""Twitter"",if(REGEXMATCH(C2965,""facebook"")=TRUE,""Facebook"",if(REGEXMATCH(C2965,""instagram"")=TRUE,""Instagram"",if(REGEXMATCH(C2965,""youtube"")=TRUE,""Youtube"",if(REGEXMATCH(C2965,""tiktok"")=TRUE,""Tiktok"",if("&amp;"REGEXMATCH(C2965,""threads"")=TRUE,""Threads""))))))"),"Instagram")</f>
        <v>Instagram</v>
      </c>
      <c r="G2965" s="41" t="s">
        <v>2135</v>
      </c>
      <c r="H2965" s="41" t="s">
        <v>2136</v>
      </c>
      <c r="I2965" s="41" t="s">
        <v>2137</v>
      </c>
      <c r="J2965" s="41" t="s">
        <v>188</v>
      </c>
      <c r="K2965" s="41"/>
      <c r="L2965" s="42"/>
    </row>
    <row r="2966">
      <c r="A2966" s="18">
        <v>2965.0</v>
      </c>
      <c r="B2966" s="76" t="s">
        <v>5046</v>
      </c>
      <c r="C2966" s="63" t="s">
        <v>5091</v>
      </c>
      <c r="D2966" s="41"/>
      <c r="E2966" s="41" t="s">
        <v>1178</v>
      </c>
      <c r="F2966" s="41" t="str">
        <f>IFERROR(__xludf.DUMMYFUNCTION("if(REGEXMATCH(C2966,""x.com"")=TRUE,""Twitter"",if(REGEXMATCH(C2966,""facebook"")=TRUE,""Facebook"",if(REGEXMATCH(C2966,""instagram"")=TRUE,""Instagram"",if(REGEXMATCH(C2966,""youtube"")=TRUE,""Youtube"",if(REGEXMATCH(C2966,""tiktok"")=TRUE,""Tiktok"",if("&amp;"REGEXMATCH(C2966,""threads"")=TRUE,""Threads""))))))"),"Twitter")</f>
        <v>Twitter</v>
      </c>
      <c r="G2966" s="41" t="s">
        <v>2135</v>
      </c>
      <c r="H2966" s="41" t="s">
        <v>2136</v>
      </c>
      <c r="I2966" s="41" t="s">
        <v>2137</v>
      </c>
      <c r="J2966" s="41" t="s">
        <v>188</v>
      </c>
      <c r="K2966" s="41"/>
      <c r="L2966" s="42"/>
    </row>
    <row r="2967">
      <c r="A2967" s="18">
        <v>2966.0</v>
      </c>
      <c r="B2967" s="76" t="s">
        <v>5046</v>
      </c>
      <c r="C2967" s="40" t="s">
        <v>5092</v>
      </c>
      <c r="D2967" s="41"/>
      <c r="E2967" s="41" t="s">
        <v>1178</v>
      </c>
      <c r="F2967" s="41" t="str">
        <f>IFERROR(__xludf.DUMMYFUNCTION("if(REGEXMATCH(C2967,""x.com"")=TRUE,""Twitter"",if(REGEXMATCH(C2967,""facebook"")=TRUE,""Facebook"",if(REGEXMATCH(C2967,""instagram"")=TRUE,""Instagram"",if(REGEXMATCH(C2967,""youtube"")=TRUE,""Youtube"",if(REGEXMATCH(C2967,""tiktok"")=TRUE,""Tiktok"",if("&amp;"REGEXMATCH(C2967,""threads"")=TRUE,""Threads""))))))"),"Twitter")</f>
        <v>Twitter</v>
      </c>
      <c r="G2967" s="41" t="s">
        <v>2135</v>
      </c>
      <c r="H2967" s="41" t="s">
        <v>2136</v>
      </c>
      <c r="I2967" s="41" t="s">
        <v>2137</v>
      </c>
      <c r="J2967" s="41" t="s">
        <v>188</v>
      </c>
      <c r="K2967" s="41"/>
      <c r="L2967" s="42"/>
    </row>
    <row r="2968">
      <c r="A2968" s="18">
        <v>2967.0</v>
      </c>
      <c r="B2968" s="76" t="s">
        <v>5046</v>
      </c>
      <c r="C2968" s="63" t="s">
        <v>5093</v>
      </c>
      <c r="D2968" s="41"/>
      <c r="E2968" s="41" t="s">
        <v>1178</v>
      </c>
      <c r="F2968" s="41" t="str">
        <f>IFERROR(__xludf.DUMMYFUNCTION("if(REGEXMATCH(C2968,""x.com"")=TRUE,""Twitter"",if(REGEXMATCH(C2968,""facebook"")=TRUE,""Facebook"",if(REGEXMATCH(C2968,""instagram"")=TRUE,""Instagram"",if(REGEXMATCH(C2968,""youtube"")=TRUE,""Youtube"",if(REGEXMATCH(C2968,""tiktok"")=TRUE,""Tiktok"",if("&amp;"REGEXMATCH(C2968,""threads"")=TRUE,""Threads""))))))"),"Twitter")</f>
        <v>Twitter</v>
      </c>
      <c r="G2968" s="41" t="s">
        <v>2135</v>
      </c>
      <c r="H2968" s="41" t="s">
        <v>2136</v>
      </c>
      <c r="I2968" s="41" t="s">
        <v>2137</v>
      </c>
      <c r="J2968" s="41" t="s">
        <v>188</v>
      </c>
      <c r="K2968" s="41"/>
      <c r="L2968" s="42"/>
    </row>
    <row r="2969">
      <c r="A2969" s="18">
        <v>2968.0</v>
      </c>
      <c r="B2969" s="76" t="s">
        <v>5046</v>
      </c>
      <c r="C2969" s="63" t="s">
        <v>5094</v>
      </c>
      <c r="D2969" s="41"/>
      <c r="E2969" s="41" t="s">
        <v>1178</v>
      </c>
      <c r="F2969" s="41" t="str">
        <f>IFERROR(__xludf.DUMMYFUNCTION("if(REGEXMATCH(C2969,""x.com"")=TRUE,""Twitter"",if(REGEXMATCH(C2969,""facebook"")=TRUE,""Facebook"",if(REGEXMATCH(C2969,""instagram"")=TRUE,""Instagram"",if(REGEXMATCH(C2969,""youtube"")=TRUE,""Youtube"",if(REGEXMATCH(C2969,""tiktok"")=TRUE,""Tiktok"",if("&amp;"REGEXMATCH(C2969,""threads"")=TRUE,""Threads""))))))"),"Twitter")</f>
        <v>Twitter</v>
      </c>
      <c r="G2969" s="41" t="s">
        <v>2135</v>
      </c>
      <c r="H2969" s="41" t="s">
        <v>2136</v>
      </c>
      <c r="I2969" s="41" t="s">
        <v>2137</v>
      </c>
      <c r="J2969" s="41" t="s">
        <v>188</v>
      </c>
      <c r="K2969" s="41"/>
      <c r="L2969" s="42"/>
    </row>
    <row r="2970">
      <c r="A2970" s="18">
        <v>2969.0</v>
      </c>
      <c r="B2970" s="76" t="s">
        <v>5046</v>
      </c>
      <c r="C2970" s="63" t="s">
        <v>5095</v>
      </c>
      <c r="D2970" s="41"/>
      <c r="E2970" s="41" t="s">
        <v>1178</v>
      </c>
      <c r="F2970" s="41" t="str">
        <f>IFERROR(__xludf.DUMMYFUNCTION("if(REGEXMATCH(C2970,""x.com"")=TRUE,""Twitter"",if(REGEXMATCH(C2970,""facebook"")=TRUE,""Facebook"",if(REGEXMATCH(C2970,""instagram"")=TRUE,""Instagram"",if(REGEXMATCH(C2970,""youtube"")=TRUE,""Youtube"",if(REGEXMATCH(C2970,""tiktok"")=TRUE,""Tiktok"",if("&amp;"REGEXMATCH(C2970,""threads"")=TRUE,""Threads""))))))"),"Twitter")</f>
        <v>Twitter</v>
      </c>
      <c r="G2970" s="41" t="s">
        <v>2135</v>
      </c>
      <c r="H2970" s="41" t="s">
        <v>2136</v>
      </c>
      <c r="I2970" s="41" t="s">
        <v>2137</v>
      </c>
      <c r="J2970" s="41" t="s">
        <v>188</v>
      </c>
      <c r="K2970" s="41"/>
      <c r="L2970" s="42"/>
    </row>
    <row r="2971">
      <c r="A2971" s="18">
        <v>2970.0</v>
      </c>
      <c r="B2971" s="76" t="s">
        <v>5046</v>
      </c>
      <c r="C2971" s="40" t="s">
        <v>5096</v>
      </c>
      <c r="D2971" s="41"/>
      <c r="E2971" s="41" t="s">
        <v>1178</v>
      </c>
      <c r="F2971" s="41" t="str">
        <f>IFERROR(__xludf.DUMMYFUNCTION("if(REGEXMATCH(C2971,""x.com"")=TRUE,""Twitter"",if(REGEXMATCH(C2971,""facebook"")=TRUE,""Facebook"",if(REGEXMATCH(C2971,""instagram"")=TRUE,""Instagram"",if(REGEXMATCH(C2971,""youtube"")=TRUE,""Youtube"",if(REGEXMATCH(C2971,""tiktok"")=TRUE,""Tiktok"",if("&amp;"REGEXMATCH(C2971,""threads"")=TRUE,""Threads""))))))"),"Twitter")</f>
        <v>Twitter</v>
      </c>
      <c r="G2971" s="41" t="s">
        <v>2135</v>
      </c>
      <c r="H2971" s="41" t="s">
        <v>2136</v>
      </c>
      <c r="I2971" s="41" t="s">
        <v>2137</v>
      </c>
      <c r="J2971" s="41" t="s">
        <v>188</v>
      </c>
      <c r="K2971" s="41"/>
      <c r="L2971" s="42"/>
    </row>
    <row r="2972">
      <c r="A2972" s="18">
        <v>2971.0</v>
      </c>
      <c r="B2972" s="76" t="s">
        <v>5046</v>
      </c>
      <c r="C2972" s="63" t="s">
        <v>5097</v>
      </c>
      <c r="D2972" s="41"/>
      <c r="E2972" s="41" t="s">
        <v>1178</v>
      </c>
      <c r="F2972" s="41" t="str">
        <f>IFERROR(__xludf.DUMMYFUNCTION("if(REGEXMATCH(C2972,""x.com"")=TRUE,""Twitter"",if(REGEXMATCH(C2972,""facebook"")=TRUE,""Facebook"",if(REGEXMATCH(C2972,""instagram"")=TRUE,""Instagram"",if(REGEXMATCH(C2972,""youtube"")=TRUE,""Youtube"",if(REGEXMATCH(C2972,""tiktok"")=TRUE,""Tiktok"",if("&amp;"REGEXMATCH(C2972,""threads"")=TRUE,""Threads""))))))"),"Twitter")</f>
        <v>Twitter</v>
      </c>
      <c r="G2972" s="41" t="s">
        <v>2135</v>
      </c>
      <c r="H2972" s="41" t="s">
        <v>2136</v>
      </c>
      <c r="I2972" s="41" t="s">
        <v>2137</v>
      </c>
      <c r="J2972" s="41" t="s">
        <v>188</v>
      </c>
      <c r="K2972" s="41"/>
      <c r="L2972" s="42"/>
    </row>
    <row r="2973">
      <c r="A2973" s="18">
        <v>2972.0</v>
      </c>
      <c r="B2973" s="76" t="s">
        <v>5046</v>
      </c>
      <c r="C2973" s="63" t="s">
        <v>5098</v>
      </c>
      <c r="D2973" s="41"/>
      <c r="E2973" s="41" t="s">
        <v>1178</v>
      </c>
      <c r="F2973" s="41" t="str">
        <f>IFERROR(__xludf.DUMMYFUNCTION("if(REGEXMATCH(C2973,""x.com"")=TRUE,""Twitter"",if(REGEXMATCH(C2973,""facebook"")=TRUE,""Facebook"",if(REGEXMATCH(C2973,""instagram"")=TRUE,""Instagram"",if(REGEXMATCH(C2973,""youtube"")=TRUE,""Youtube"",if(REGEXMATCH(C2973,""tiktok"")=TRUE,""Tiktok"",if("&amp;"REGEXMATCH(C2973,""threads"")=TRUE,""Threads""))))))"),"Twitter")</f>
        <v>Twitter</v>
      </c>
      <c r="G2973" s="41" t="s">
        <v>2135</v>
      </c>
      <c r="H2973" s="41" t="s">
        <v>2136</v>
      </c>
      <c r="I2973" s="41" t="s">
        <v>2137</v>
      </c>
      <c r="J2973" s="41" t="s">
        <v>188</v>
      </c>
      <c r="K2973" s="41"/>
      <c r="L2973" s="42"/>
    </row>
    <row r="2974">
      <c r="A2974" s="18">
        <v>2973.0</v>
      </c>
      <c r="B2974" s="76" t="s">
        <v>5046</v>
      </c>
      <c r="C2974" s="63" t="s">
        <v>5099</v>
      </c>
      <c r="D2974" s="41"/>
      <c r="E2974" s="41" t="s">
        <v>1178</v>
      </c>
      <c r="F2974" s="41" t="str">
        <f>IFERROR(__xludf.DUMMYFUNCTION("if(REGEXMATCH(C2974,""x.com"")=TRUE,""Twitter"",if(REGEXMATCH(C2974,""facebook"")=TRUE,""Facebook"",if(REGEXMATCH(C2974,""instagram"")=TRUE,""Instagram"",if(REGEXMATCH(C2974,""youtube"")=TRUE,""Youtube"",if(REGEXMATCH(C2974,""tiktok"")=TRUE,""Tiktok"",if("&amp;"REGEXMATCH(C2974,""threads"")=TRUE,""Threads""))))))"),"Twitter")</f>
        <v>Twitter</v>
      </c>
      <c r="G2974" s="41" t="s">
        <v>2135</v>
      </c>
      <c r="H2974" s="41" t="s">
        <v>2136</v>
      </c>
      <c r="I2974" s="41" t="s">
        <v>2137</v>
      </c>
      <c r="J2974" s="41" t="s">
        <v>188</v>
      </c>
      <c r="K2974" s="41"/>
      <c r="L2974" s="42"/>
    </row>
    <row r="2975">
      <c r="A2975" s="18">
        <v>2974.0</v>
      </c>
      <c r="B2975" s="76" t="s">
        <v>5046</v>
      </c>
      <c r="C2975" s="40" t="s">
        <v>5100</v>
      </c>
      <c r="D2975" s="41"/>
      <c r="E2975" s="41" t="s">
        <v>1178</v>
      </c>
      <c r="F2975" s="41" t="str">
        <f>IFERROR(__xludf.DUMMYFUNCTION("if(REGEXMATCH(C2975,""x.com"")=TRUE,""Twitter"",if(REGEXMATCH(C2975,""facebook"")=TRUE,""Facebook"",if(REGEXMATCH(C2975,""instagram"")=TRUE,""Instagram"",if(REGEXMATCH(C2975,""youtube"")=TRUE,""Youtube"",if(REGEXMATCH(C2975,""tiktok"")=TRUE,""Tiktok"",if("&amp;"REGEXMATCH(C2975,""threads"")=TRUE,""Threads""))))))"),"Twitter")</f>
        <v>Twitter</v>
      </c>
      <c r="G2975" s="41" t="s">
        <v>2135</v>
      </c>
      <c r="H2975" s="41" t="s">
        <v>2136</v>
      </c>
      <c r="I2975" s="41" t="s">
        <v>2137</v>
      </c>
      <c r="J2975" s="41" t="s">
        <v>188</v>
      </c>
      <c r="K2975" s="41"/>
      <c r="L2975" s="42"/>
    </row>
    <row r="2976">
      <c r="A2976" s="18">
        <v>2975.0</v>
      </c>
      <c r="B2976" s="76" t="s">
        <v>5046</v>
      </c>
      <c r="C2976" s="63" t="s">
        <v>5101</v>
      </c>
      <c r="D2976" s="41"/>
      <c r="E2976" s="41" t="s">
        <v>401</v>
      </c>
      <c r="F2976" s="41" t="str">
        <f>IFERROR(__xludf.DUMMYFUNCTION("if(REGEXMATCH(C2976,""x.com"")=TRUE,""Twitter"",if(REGEXMATCH(C2976,""facebook"")=TRUE,""Facebook"",if(REGEXMATCH(C2976,""instagram"")=TRUE,""Instagram"",if(REGEXMATCH(C2976,""youtube"")=TRUE,""Youtube"",if(REGEXMATCH(C2976,""tiktok"")=TRUE,""Tiktok"",if("&amp;"REGEXMATCH(C2976,""threads"")=TRUE,""Threads""))))))"),"Facebook")</f>
        <v>Facebook</v>
      </c>
      <c r="G2976" s="41" t="s">
        <v>937</v>
      </c>
      <c r="H2976" s="41" t="s">
        <v>1542</v>
      </c>
      <c r="I2976" s="41" t="s">
        <v>939</v>
      </c>
      <c r="J2976" s="41" t="s">
        <v>188</v>
      </c>
      <c r="K2976" s="41"/>
      <c r="L2976" s="42"/>
    </row>
    <row r="2977">
      <c r="A2977" s="18">
        <v>2976.0</v>
      </c>
      <c r="B2977" s="76" t="s">
        <v>5046</v>
      </c>
      <c r="C2977" s="63" t="s">
        <v>5102</v>
      </c>
      <c r="D2977" s="41"/>
      <c r="E2977" s="41" t="s">
        <v>1178</v>
      </c>
      <c r="F2977" s="41" t="str">
        <f>IFERROR(__xludf.DUMMYFUNCTION("if(REGEXMATCH(C2977,""x.com"")=TRUE,""Twitter"",if(REGEXMATCH(C2977,""facebook"")=TRUE,""Facebook"",if(REGEXMATCH(C2977,""instagram"")=TRUE,""Instagram"",if(REGEXMATCH(C2977,""youtube"")=TRUE,""Youtube"",if(REGEXMATCH(C2977,""tiktok"")=TRUE,""Tiktok"",if("&amp;"REGEXMATCH(C2977,""threads"")=TRUE,""Threads""))))))"),"Facebook")</f>
        <v>Facebook</v>
      </c>
      <c r="G2977" s="41" t="s">
        <v>2135</v>
      </c>
      <c r="H2977" s="41" t="s">
        <v>2136</v>
      </c>
      <c r="I2977" s="41" t="s">
        <v>2137</v>
      </c>
      <c r="J2977" s="41" t="s">
        <v>188</v>
      </c>
      <c r="K2977" s="41"/>
      <c r="L2977" s="42"/>
    </row>
    <row r="2978">
      <c r="A2978" s="18">
        <v>2977.0</v>
      </c>
      <c r="B2978" s="76" t="s">
        <v>5046</v>
      </c>
      <c r="C2978" s="63" t="s">
        <v>5103</v>
      </c>
      <c r="D2978" s="41"/>
      <c r="E2978" s="41" t="s">
        <v>1178</v>
      </c>
      <c r="F2978" s="41" t="str">
        <f>IFERROR(__xludf.DUMMYFUNCTION("if(REGEXMATCH(C2978,""x.com"")=TRUE,""Twitter"",if(REGEXMATCH(C2978,""facebook"")=TRUE,""Facebook"",if(REGEXMATCH(C2978,""instagram"")=TRUE,""Instagram"",if(REGEXMATCH(C2978,""youtube"")=TRUE,""Youtube"",if(REGEXMATCH(C2978,""tiktok"")=TRUE,""Tiktok"",if("&amp;"REGEXMATCH(C2978,""threads"")=TRUE,""Threads""))))))"),"Twitter")</f>
        <v>Twitter</v>
      </c>
      <c r="G2978" s="41" t="s">
        <v>2135</v>
      </c>
      <c r="H2978" s="41" t="s">
        <v>2136</v>
      </c>
      <c r="I2978" s="41" t="s">
        <v>2137</v>
      </c>
      <c r="J2978" s="41" t="s">
        <v>188</v>
      </c>
      <c r="K2978" s="41"/>
      <c r="L2978" s="42"/>
    </row>
    <row r="2979">
      <c r="A2979" s="18">
        <v>2978.0</v>
      </c>
      <c r="B2979" s="76" t="s">
        <v>5046</v>
      </c>
      <c r="C2979" s="40" t="s">
        <v>5104</v>
      </c>
      <c r="D2979" s="41"/>
      <c r="E2979" s="41" t="s">
        <v>1178</v>
      </c>
      <c r="F2979" s="41" t="str">
        <f>IFERROR(__xludf.DUMMYFUNCTION("if(REGEXMATCH(C2979,""x.com"")=TRUE,""Twitter"",if(REGEXMATCH(C2979,""facebook"")=TRUE,""Facebook"",if(REGEXMATCH(C2979,""instagram"")=TRUE,""Instagram"",if(REGEXMATCH(C2979,""youtube"")=TRUE,""Youtube"",if(REGEXMATCH(C2979,""tiktok"")=TRUE,""Tiktok"",if("&amp;"REGEXMATCH(C2979,""threads"")=TRUE,""Threads""))))))"),"Twitter")</f>
        <v>Twitter</v>
      </c>
      <c r="G2979" s="41" t="s">
        <v>2135</v>
      </c>
      <c r="H2979" s="41" t="s">
        <v>2136</v>
      </c>
      <c r="I2979" s="41" t="s">
        <v>2137</v>
      </c>
      <c r="J2979" s="41" t="s">
        <v>422</v>
      </c>
      <c r="K2979" s="41" t="s">
        <v>5105</v>
      </c>
      <c r="L2979" s="42"/>
    </row>
    <row r="2980">
      <c r="A2980" s="18">
        <v>2979.0</v>
      </c>
      <c r="B2980" s="76" t="s">
        <v>5046</v>
      </c>
      <c r="C2980" s="63" t="s">
        <v>5106</v>
      </c>
      <c r="D2980" s="41"/>
      <c r="E2980" s="41" t="s">
        <v>1178</v>
      </c>
      <c r="F2980" s="41" t="str">
        <f>IFERROR(__xludf.DUMMYFUNCTION("if(REGEXMATCH(C2980,""x.com"")=TRUE,""Twitter"",if(REGEXMATCH(C2980,""facebook"")=TRUE,""Facebook"",if(REGEXMATCH(C2980,""instagram"")=TRUE,""Instagram"",if(REGEXMATCH(C2980,""youtube"")=TRUE,""Youtube"",if(REGEXMATCH(C2980,""tiktok"")=TRUE,""Tiktok"",if("&amp;"REGEXMATCH(C2980,""threads"")=TRUE,""Threads""))))))"),"Twitter")</f>
        <v>Twitter</v>
      </c>
      <c r="G2980" s="41" t="s">
        <v>2135</v>
      </c>
      <c r="H2980" s="41" t="s">
        <v>2136</v>
      </c>
      <c r="I2980" s="41" t="s">
        <v>2137</v>
      </c>
      <c r="J2980" s="41" t="s">
        <v>422</v>
      </c>
      <c r="K2980" s="41" t="s">
        <v>5105</v>
      </c>
      <c r="L2980" s="42"/>
    </row>
    <row r="2981">
      <c r="A2981" s="18">
        <v>2980.0</v>
      </c>
      <c r="B2981" s="76" t="s">
        <v>5046</v>
      </c>
      <c r="C2981" s="63" t="s">
        <v>5107</v>
      </c>
      <c r="D2981" s="41"/>
      <c r="E2981" s="41" t="s">
        <v>401</v>
      </c>
      <c r="F2981" s="41" t="str">
        <f>IFERROR(__xludf.DUMMYFUNCTION("if(REGEXMATCH(C2981,""x.com"")=TRUE,""Twitter"",if(REGEXMATCH(C2981,""facebook"")=TRUE,""Facebook"",if(REGEXMATCH(C2981,""instagram"")=TRUE,""Instagram"",if(REGEXMATCH(C2981,""youtube"")=TRUE,""Youtube"",if(REGEXMATCH(C2981,""tiktok"")=TRUE,""Tiktok"",if("&amp;"REGEXMATCH(C2981,""threads"")=TRUE,""Threads""))))))"),"Facebook")</f>
        <v>Facebook</v>
      </c>
      <c r="G2981" s="41" t="s">
        <v>937</v>
      </c>
      <c r="H2981" s="41" t="s">
        <v>1542</v>
      </c>
      <c r="I2981" s="41" t="s">
        <v>939</v>
      </c>
      <c r="J2981" s="41" t="s">
        <v>188</v>
      </c>
      <c r="K2981" s="41"/>
      <c r="L2981" s="42"/>
    </row>
    <row r="2982">
      <c r="A2982" s="18">
        <v>2981.0</v>
      </c>
      <c r="B2982" s="76" t="s">
        <v>5046</v>
      </c>
      <c r="C2982" s="63" t="s">
        <v>5108</v>
      </c>
      <c r="D2982" s="41"/>
      <c r="E2982" s="41" t="s">
        <v>1178</v>
      </c>
      <c r="F2982" s="41" t="str">
        <f>IFERROR(__xludf.DUMMYFUNCTION("if(REGEXMATCH(C2982,""x.com"")=TRUE,""Twitter"",if(REGEXMATCH(C2982,""facebook"")=TRUE,""Facebook"",if(REGEXMATCH(C2982,""instagram"")=TRUE,""Instagram"",if(REGEXMATCH(C2982,""youtube"")=TRUE,""Youtube"",if(REGEXMATCH(C2982,""tiktok"")=TRUE,""Tiktok"",if("&amp;"REGEXMATCH(C2982,""threads"")=TRUE,""Threads""))))))"),"Facebook")</f>
        <v>Facebook</v>
      </c>
      <c r="G2982" s="41" t="s">
        <v>2135</v>
      </c>
      <c r="H2982" s="41" t="s">
        <v>2136</v>
      </c>
      <c r="I2982" s="41" t="s">
        <v>2137</v>
      </c>
      <c r="J2982" s="41" t="s">
        <v>188</v>
      </c>
      <c r="K2982" s="41"/>
      <c r="L2982" s="42"/>
    </row>
    <row r="2983">
      <c r="A2983" s="18">
        <v>2982.0</v>
      </c>
      <c r="B2983" s="76" t="s">
        <v>5046</v>
      </c>
      <c r="C2983" s="46" t="s">
        <v>5109</v>
      </c>
      <c r="D2983" s="41"/>
      <c r="E2983" s="41" t="s">
        <v>1178</v>
      </c>
      <c r="F2983" s="41" t="str">
        <f>IFERROR(__xludf.DUMMYFUNCTION("if(REGEXMATCH(C2983,""x.com"")=TRUE,""Twitter"",if(REGEXMATCH(C2983,""facebook"")=TRUE,""Facebook"",if(REGEXMATCH(C2983,""instagram"")=TRUE,""Instagram"",if(REGEXMATCH(C2983,""youtube"")=TRUE,""Youtube"",if(REGEXMATCH(C2983,""tiktok"")=TRUE,""Tiktok"",if("&amp;"REGEXMATCH(C2983,""threads"")=TRUE,""Threads""))))))"),"Facebook")</f>
        <v>Facebook</v>
      </c>
      <c r="G2983" s="41" t="s">
        <v>2135</v>
      </c>
      <c r="H2983" s="41" t="s">
        <v>2136</v>
      </c>
      <c r="I2983" s="41" t="s">
        <v>2137</v>
      </c>
      <c r="J2983" s="41" t="s">
        <v>188</v>
      </c>
      <c r="K2983" s="41"/>
      <c r="L2983" s="42"/>
    </row>
    <row r="2984">
      <c r="A2984" s="18">
        <v>2983.0</v>
      </c>
      <c r="B2984" s="76" t="s">
        <v>5046</v>
      </c>
      <c r="C2984" s="40" t="s">
        <v>5110</v>
      </c>
      <c r="D2984" s="41"/>
      <c r="E2984" s="41" t="s">
        <v>401</v>
      </c>
      <c r="F2984" s="41" t="str">
        <f>IFERROR(__xludf.DUMMYFUNCTION("if(REGEXMATCH(C2984,""x.com"")=TRUE,""Twitter"",if(REGEXMATCH(C2984,""facebook"")=TRUE,""Facebook"",if(REGEXMATCH(C2984,""instagram"")=TRUE,""Instagram"",if(REGEXMATCH(C2984,""youtube"")=TRUE,""Youtube"",if(REGEXMATCH(C2984,""tiktok"")=TRUE,""Tiktok"",if("&amp;"REGEXMATCH(C2984,""threads"")=TRUE,""Threads""))))))"),"Facebook")</f>
        <v>Facebook</v>
      </c>
      <c r="G2984" s="41" t="s">
        <v>937</v>
      </c>
      <c r="H2984" s="41" t="s">
        <v>1542</v>
      </c>
      <c r="I2984" s="41" t="s">
        <v>939</v>
      </c>
      <c r="J2984" s="41" t="s">
        <v>188</v>
      </c>
      <c r="K2984" s="41"/>
      <c r="L2984" s="42"/>
    </row>
    <row r="2985">
      <c r="A2985" s="18">
        <v>2984.0</v>
      </c>
      <c r="B2985" s="76" t="s">
        <v>5046</v>
      </c>
      <c r="C2985" s="63" t="s">
        <v>5111</v>
      </c>
      <c r="D2985" s="41"/>
      <c r="E2985" s="41" t="s">
        <v>401</v>
      </c>
      <c r="F2985" s="41" t="str">
        <f>IFERROR(__xludf.DUMMYFUNCTION("if(REGEXMATCH(C2985,""x.com"")=TRUE,""Twitter"",if(REGEXMATCH(C2985,""facebook"")=TRUE,""Facebook"",if(REGEXMATCH(C2985,""instagram"")=TRUE,""Instagram"",if(REGEXMATCH(C2985,""youtube"")=TRUE,""Youtube"",if(REGEXMATCH(C2985,""tiktok"")=TRUE,""Tiktok"",if("&amp;"REGEXMATCH(C2985,""threads"")=TRUE,""Threads""))))))"),"Facebook")</f>
        <v>Facebook</v>
      </c>
      <c r="G2985" s="41" t="s">
        <v>937</v>
      </c>
      <c r="H2985" s="41" t="s">
        <v>1542</v>
      </c>
      <c r="I2985" s="41" t="s">
        <v>939</v>
      </c>
      <c r="J2985" s="41" t="s">
        <v>188</v>
      </c>
      <c r="K2985" s="41"/>
      <c r="L2985" s="42"/>
    </row>
    <row r="2986">
      <c r="A2986" s="18">
        <v>2985.0</v>
      </c>
      <c r="B2986" s="76" t="s">
        <v>5046</v>
      </c>
      <c r="C2986" s="63" t="s">
        <v>5112</v>
      </c>
      <c r="D2986" s="41"/>
      <c r="E2986" s="41" t="s">
        <v>401</v>
      </c>
      <c r="F2986" s="41" t="str">
        <f>IFERROR(__xludf.DUMMYFUNCTION("if(REGEXMATCH(C2986,""x.com"")=TRUE,""Twitter"",if(REGEXMATCH(C2986,""facebook"")=TRUE,""Facebook"",if(REGEXMATCH(C2986,""instagram"")=TRUE,""Instagram"",if(REGEXMATCH(C2986,""youtube"")=TRUE,""Youtube"",if(REGEXMATCH(C2986,""tiktok"")=TRUE,""Tiktok"",if("&amp;"REGEXMATCH(C2986,""threads"")=TRUE,""Threads""))))))"),"Facebook")</f>
        <v>Facebook</v>
      </c>
      <c r="G2986" s="41" t="s">
        <v>937</v>
      </c>
      <c r="H2986" s="41" t="s">
        <v>1542</v>
      </c>
      <c r="I2986" s="41" t="s">
        <v>939</v>
      </c>
      <c r="J2986" s="41" t="s">
        <v>188</v>
      </c>
      <c r="K2986" s="41"/>
      <c r="L2986" s="42"/>
    </row>
    <row r="2987">
      <c r="A2987" s="18">
        <v>2986.0</v>
      </c>
      <c r="B2987" s="76" t="s">
        <v>5046</v>
      </c>
      <c r="C2987" s="63" t="s">
        <v>5113</v>
      </c>
      <c r="D2987" s="41"/>
      <c r="E2987" s="41" t="s">
        <v>401</v>
      </c>
      <c r="F2987" s="41" t="str">
        <f>IFERROR(__xludf.DUMMYFUNCTION("if(REGEXMATCH(C2987,""x.com"")=TRUE,""Twitter"",if(REGEXMATCH(C2987,""facebook"")=TRUE,""Facebook"",if(REGEXMATCH(C2987,""instagram"")=TRUE,""Instagram"",if(REGEXMATCH(C2987,""youtube"")=TRUE,""Youtube"",if(REGEXMATCH(C2987,""tiktok"")=TRUE,""Tiktok"",if("&amp;"REGEXMATCH(C2987,""threads"")=TRUE,""Threads""))))))"),"Facebook")</f>
        <v>Facebook</v>
      </c>
      <c r="G2987" s="41" t="s">
        <v>937</v>
      </c>
      <c r="H2987" s="41" t="s">
        <v>1542</v>
      </c>
      <c r="I2987" s="41" t="s">
        <v>939</v>
      </c>
      <c r="J2987" s="41" t="s">
        <v>188</v>
      </c>
      <c r="K2987" s="41"/>
      <c r="L2987" s="42"/>
    </row>
    <row r="2988">
      <c r="A2988" s="18">
        <v>2987.0</v>
      </c>
      <c r="B2988" s="76" t="s">
        <v>5046</v>
      </c>
      <c r="C2988" s="40" t="s">
        <v>5114</v>
      </c>
      <c r="D2988" s="41"/>
      <c r="E2988" s="41" t="s">
        <v>401</v>
      </c>
      <c r="F2988" s="41" t="str">
        <f>IFERROR(__xludf.DUMMYFUNCTION("if(REGEXMATCH(C2988,""x.com"")=TRUE,""Twitter"",if(REGEXMATCH(C2988,""facebook"")=TRUE,""Facebook"",if(REGEXMATCH(C2988,""instagram"")=TRUE,""Instagram"",if(REGEXMATCH(C2988,""youtube"")=TRUE,""Youtube"",if(REGEXMATCH(C2988,""tiktok"")=TRUE,""Tiktok"",if("&amp;"REGEXMATCH(C2988,""threads"")=TRUE,""Threads""))))))"),"Facebook")</f>
        <v>Facebook</v>
      </c>
      <c r="G2988" s="41" t="s">
        <v>937</v>
      </c>
      <c r="H2988" s="41" t="s">
        <v>1542</v>
      </c>
      <c r="I2988" s="41" t="s">
        <v>939</v>
      </c>
      <c r="J2988" s="41" t="s">
        <v>188</v>
      </c>
      <c r="K2988" s="41"/>
      <c r="L2988" s="42"/>
    </row>
    <row r="2989">
      <c r="A2989" s="18">
        <v>2988.0</v>
      </c>
      <c r="B2989" s="76" t="s">
        <v>5046</v>
      </c>
      <c r="C2989" s="63" t="s">
        <v>5115</v>
      </c>
      <c r="D2989" s="41"/>
      <c r="E2989" s="41" t="s">
        <v>401</v>
      </c>
      <c r="F2989" s="41" t="str">
        <f>IFERROR(__xludf.DUMMYFUNCTION("if(REGEXMATCH(C2989,""x.com"")=TRUE,""Twitter"",if(REGEXMATCH(C2989,""facebook"")=TRUE,""Facebook"",if(REGEXMATCH(C2989,""instagram"")=TRUE,""Instagram"",if(REGEXMATCH(C2989,""youtube"")=TRUE,""Youtube"",if(REGEXMATCH(C2989,""tiktok"")=TRUE,""Tiktok"",if("&amp;"REGEXMATCH(C2989,""threads"")=TRUE,""Threads""))))))"),"Facebook")</f>
        <v>Facebook</v>
      </c>
      <c r="G2989" s="41" t="s">
        <v>937</v>
      </c>
      <c r="H2989" s="41" t="s">
        <v>1542</v>
      </c>
      <c r="I2989" s="41" t="s">
        <v>939</v>
      </c>
      <c r="J2989" s="41" t="s">
        <v>188</v>
      </c>
      <c r="K2989" s="41"/>
      <c r="L2989" s="42"/>
    </row>
    <row r="2990">
      <c r="A2990" s="18">
        <v>2989.0</v>
      </c>
      <c r="B2990" s="76" t="s">
        <v>5046</v>
      </c>
      <c r="C2990" s="63" t="s">
        <v>5116</v>
      </c>
      <c r="D2990" s="41"/>
      <c r="E2990" s="41" t="s">
        <v>401</v>
      </c>
      <c r="F2990" s="41" t="str">
        <f>IFERROR(__xludf.DUMMYFUNCTION("if(REGEXMATCH(C2990,""x.com"")=TRUE,""Twitter"",if(REGEXMATCH(C2990,""facebook"")=TRUE,""Facebook"",if(REGEXMATCH(C2990,""instagram"")=TRUE,""Instagram"",if(REGEXMATCH(C2990,""youtube"")=TRUE,""Youtube"",if(REGEXMATCH(C2990,""tiktok"")=TRUE,""Tiktok"",if("&amp;"REGEXMATCH(C2990,""threads"")=TRUE,""Threads""))))))"),"Facebook")</f>
        <v>Facebook</v>
      </c>
      <c r="G2990" s="41" t="s">
        <v>937</v>
      </c>
      <c r="H2990" s="41" t="s">
        <v>1542</v>
      </c>
      <c r="I2990" s="41" t="s">
        <v>939</v>
      </c>
      <c r="J2990" s="41" t="s">
        <v>188</v>
      </c>
      <c r="K2990" s="41"/>
      <c r="L2990" s="42"/>
    </row>
    <row r="2991">
      <c r="A2991" s="18">
        <v>2990.0</v>
      </c>
      <c r="B2991" s="76" t="s">
        <v>5046</v>
      </c>
      <c r="C2991" s="63" t="s">
        <v>5117</v>
      </c>
      <c r="D2991" s="41"/>
      <c r="E2991" s="41" t="s">
        <v>401</v>
      </c>
      <c r="F2991" s="41" t="str">
        <f>IFERROR(__xludf.DUMMYFUNCTION("if(REGEXMATCH(C2991,""x.com"")=TRUE,""Twitter"",if(REGEXMATCH(C2991,""facebook"")=TRUE,""Facebook"",if(REGEXMATCH(C2991,""instagram"")=TRUE,""Instagram"",if(REGEXMATCH(C2991,""youtube"")=TRUE,""Youtube"",if(REGEXMATCH(C2991,""tiktok"")=TRUE,""Tiktok"",if("&amp;"REGEXMATCH(C2991,""threads"")=TRUE,""Threads""))))))"),"Facebook")</f>
        <v>Facebook</v>
      </c>
      <c r="G2991" s="41" t="s">
        <v>937</v>
      </c>
      <c r="H2991" s="41" t="s">
        <v>1542</v>
      </c>
      <c r="I2991" s="41" t="s">
        <v>939</v>
      </c>
      <c r="J2991" s="41" t="s">
        <v>188</v>
      </c>
      <c r="K2991" s="41"/>
      <c r="L2991" s="42"/>
    </row>
    <row r="2992">
      <c r="A2992" s="18">
        <v>2991.0</v>
      </c>
      <c r="B2992" s="76" t="s">
        <v>5046</v>
      </c>
      <c r="C2992" s="40" t="s">
        <v>5118</v>
      </c>
      <c r="D2992" s="41"/>
      <c r="E2992" s="41" t="s">
        <v>401</v>
      </c>
      <c r="F2992" s="41" t="str">
        <f>IFERROR(__xludf.DUMMYFUNCTION("if(REGEXMATCH(C2992,""x.com"")=TRUE,""Twitter"",if(REGEXMATCH(C2992,""facebook"")=TRUE,""Facebook"",if(REGEXMATCH(C2992,""instagram"")=TRUE,""Instagram"",if(REGEXMATCH(C2992,""youtube"")=TRUE,""Youtube"",if(REGEXMATCH(C2992,""tiktok"")=TRUE,""Tiktok"",if("&amp;"REGEXMATCH(C2992,""threads"")=TRUE,""Threads""))))))"),"Facebook")</f>
        <v>Facebook</v>
      </c>
      <c r="G2992" s="41" t="s">
        <v>937</v>
      </c>
      <c r="H2992" s="41" t="s">
        <v>1542</v>
      </c>
      <c r="I2992" s="41" t="s">
        <v>939</v>
      </c>
      <c r="J2992" s="41" t="s">
        <v>188</v>
      </c>
      <c r="K2992" s="41"/>
      <c r="L2992" s="42"/>
    </row>
    <row r="2993">
      <c r="A2993" s="18">
        <v>2992.0</v>
      </c>
      <c r="B2993" s="76" t="s">
        <v>5046</v>
      </c>
      <c r="C2993" s="63" t="s">
        <v>5119</v>
      </c>
      <c r="D2993" s="41"/>
      <c r="E2993" s="41" t="s">
        <v>401</v>
      </c>
      <c r="F2993" s="41" t="str">
        <f>IFERROR(__xludf.DUMMYFUNCTION("if(REGEXMATCH(C2993,""x.com"")=TRUE,""Twitter"",if(REGEXMATCH(C2993,""facebook"")=TRUE,""Facebook"",if(REGEXMATCH(C2993,""instagram"")=TRUE,""Instagram"",if(REGEXMATCH(C2993,""youtube"")=TRUE,""Youtube"",if(REGEXMATCH(C2993,""tiktok"")=TRUE,""Tiktok"",if("&amp;"REGEXMATCH(C2993,""threads"")=TRUE,""Threads""))))))"),"Facebook")</f>
        <v>Facebook</v>
      </c>
      <c r="G2993" s="41" t="s">
        <v>937</v>
      </c>
      <c r="H2993" s="41" t="s">
        <v>1542</v>
      </c>
      <c r="I2993" s="41" t="s">
        <v>939</v>
      </c>
      <c r="J2993" s="41" t="s">
        <v>188</v>
      </c>
      <c r="K2993" s="41"/>
      <c r="L2993" s="42"/>
    </row>
    <row r="2994">
      <c r="A2994" s="18">
        <v>2993.0</v>
      </c>
      <c r="B2994" s="76" t="s">
        <v>5046</v>
      </c>
      <c r="C2994" s="46" t="s">
        <v>5120</v>
      </c>
      <c r="D2994" s="41"/>
      <c r="E2994" s="41" t="s">
        <v>401</v>
      </c>
      <c r="F2994" s="41" t="str">
        <f>IFERROR(__xludf.DUMMYFUNCTION("if(REGEXMATCH(C2994,""x.com"")=TRUE,""Twitter"",if(REGEXMATCH(C2994,""facebook"")=TRUE,""Facebook"",if(REGEXMATCH(C2994,""instagram"")=TRUE,""Instagram"",if(REGEXMATCH(C2994,""youtube"")=TRUE,""Youtube"",if(REGEXMATCH(C2994,""tiktok"")=TRUE,""Tiktok"",if("&amp;"REGEXMATCH(C2994,""threads"")=TRUE,""Threads""))))))"),"Facebook")</f>
        <v>Facebook</v>
      </c>
      <c r="G2994" s="41" t="s">
        <v>937</v>
      </c>
      <c r="H2994" s="41" t="s">
        <v>1542</v>
      </c>
      <c r="I2994" s="41" t="s">
        <v>939</v>
      </c>
      <c r="J2994" s="41" t="s">
        <v>188</v>
      </c>
      <c r="K2994" s="41"/>
      <c r="L2994" s="42"/>
    </row>
    <row r="2995">
      <c r="A2995" s="18">
        <v>2994.0</v>
      </c>
      <c r="B2995" s="76" t="s">
        <v>5046</v>
      </c>
      <c r="C2995" s="46" t="s">
        <v>5121</v>
      </c>
      <c r="D2995" s="41"/>
      <c r="E2995" s="41" t="s">
        <v>401</v>
      </c>
      <c r="F2995" s="41" t="str">
        <f>IFERROR(__xludf.DUMMYFUNCTION("if(REGEXMATCH(C2995,""x.com"")=TRUE,""Twitter"",if(REGEXMATCH(C2995,""facebook"")=TRUE,""Facebook"",if(REGEXMATCH(C2995,""instagram"")=TRUE,""Instagram"",if(REGEXMATCH(C2995,""youtube"")=TRUE,""Youtube"",if(REGEXMATCH(C2995,""tiktok"")=TRUE,""Tiktok"",if("&amp;"REGEXMATCH(C2995,""threads"")=TRUE,""Threads""))))))"),"Facebook")</f>
        <v>Facebook</v>
      </c>
      <c r="G2995" s="41" t="s">
        <v>937</v>
      </c>
      <c r="H2995" s="41" t="s">
        <v>1542</v>
      </c>
      <c r="I2995" s="41" t="s">
        <v>939</v>
      </c>
      <c r="J2995" s="41" t="s">
        <v>188</v>
      </c>
      <c r="K2995" s="41"/>
      <c r="L2995" s="42"/>
    </row>
    <row r="2996">
      <c r="A2996" s="18">
        <v>2995.0</v>
      </c>
      <c r="B2996" s="76" t="s">
        <v>5046</v>
      </c>
      <c r="C2996" s="46" t="s">
        <v>5122</v>
      </c>
      <c r="D2996" s="41"/>
      <c r="E2996" s="41" t="s">
        <v>401</v>
      </c>
      <c r="F2996" s="41" t="str">
        <f>IFERROR(__xludf.DUMMYFUNCTION("if(REGEXMATCH(C2996,""x.com"")=TRUE,""Twitter"",if(REGEXMATCH(C2996,""facebook"")=TRUE,""Facebook"",if(REGEXMATCH(C2996,""instagram"")=TRUE,""Instagram"",if(REGEXMATCH(C2996,""youtube"")=TRUE,""Youtube"",if(REGEXMATCH(C2996,""tiktok"")=TRUE,""Tiktok"",if("&amp;"REGEXMATCH(C2996,""threads"")=TRUE,""Threads""))))))"),"Facebook")</f>
        <v>Facebook</v>
      </c>
      <c r="G2996" s="41" t="s">
        <v>937</v>
      </c>
      <c r="H2996" s="41" t="s">
        <v>1542</v>
      </c>
      <c r="I2996" s="41" t="s">
        <v>939</v>
      </c>
      <c r="J2996" s="41" t="s">
        <v>188</v>
      </c>
      <c r="K2996" s="41"/>
      <c r="L2996" s="42"/>
    </row>
    <row r="2997">
      <c r="A2997" s="18">
        <v>2996.0</v>
      </c>
      <c r="B2997" s="76" t="s">
        <v>5046</v>
      </c>
      <c r="C2997" s="46" t="s">
        <v>5123</v>
      </c>
      <c r="D2997" s="41"/>
      <c r="E2997" s="41" t="s">
        <v>401</v>
      </c>
      <c r="F2997" s="41" t="str">
        <f>IFERROR(__xludf.DUMMYFUNCTION("if(REGEXMATCH(C2997,""x.com"")=TRUE,""Twitter"",if(REGEXMATCH(C2997,""facebook"")=TRUE,""Facebook"",if(REGEXMATCH(C2997,""instagram"")=TRUE,""Instagram"",if(REGEXMATCH(C2997,""youtube"")=TRUE,""Youtube"",if(REGEXMATCH(C2997,""tiktok"")=TRUE,""Tiktok"",if("&amp;"REGEXMATCH(C2997,""threads"")=TRUE,""Threads""))))))"),"Facebook")</f>
        <v>Facebook</v>
      </c>
      <c r="G2997" s="41" t="s">
        <v>937</v>
      </c>
      <c r="H2997" s="41" t="s">
        <v>1542</v>
      </c>
      <c r="I2997" s="41" t="s">
        <v>939</v>
      </c>
      <c r="J2997" s="41" t="s">
        <v>188</v>
      </c>
      <c r="K2997" s="41"/>
      <c r="L2997" s="42"/>
    </row>
    <row r="2998">
      <c r="A2998" s="18">
        <v>2997.0</v>
      </c>
      <c r="B2998" s="76" t="s">
        <v>5046</v>
      </c>
      <c r="C2998" s="46" t="s">
        <v>5124</v>
      </c>
      <c r="D2998" s="41"/>
      <c r="E2998" s="41" t="s">
        <v>401</v>
      </c>
      <c r="F2998" s="41" t="str">
        <f>IFERROR(__xludf.DUMMYFUNCTION("if(REGEXMATCH(C2998,""x.com"")=TRUE,""Twitter"",if(REGEXMATCH(C2998,""facebook"")=TRUE,""Facebook"",if(REGEXMATCH(C2998,""instagram"")=TRUE,""Instagram"",if(REGEXMATCH(C2998,""youtube"")=TRUE,""Youtube"",if(REGEXMATCH(C2998,""tiktok"")=TRUE,""Tiktok"",if("&amp;"REGEXMATCH(C2998,""threads"")=TRUE,""Threads""))))))"),"Facebook")</f>
        <v>Facebook</v>
      </c>
      <c r="G2998" s="41" t="s">
        <v>937</v>
      </c>
      <c r="H2998" s="41" t="s">
        <v>1542</v>
      </c>
      <c r="I2998" s="41" t="s">
        <v>939</v>
      </c>
      <c r="J2998" s="41" t="s">
        <v>188</v>
      </c>
      <c r="K2998" s="41"/>
      <c r="L2998" s="42"/>
    </row>
    <row r="2999">
      <c r="A2999" s="18">
        <v>2998.0</v>
      </c>
      <c r="B2999" s="76" t="s">
        <v>5046</v>
      </c>
      <c r="C2999" s="46" t="s">
        <v>5125</v>
      </c>
      <c r="D2999" s="41"/>
      <c r="E2999" s="41" t="s">
        <v>1178</v>
      </c>
      <c r="F2999" s="41" t="str">
        <f>IFERROR(__xludf.DUMMYFUNCTION("if(REGEXMATCH(C2999,""x.com"")=TRUE,""Twitter"",if(REGEXMATCH(C2999,""facebook"")=TRUE,""Facebook"",if(REGEXMATCH(C2999,""instagram"")=TRUE,""Instagram"",if(REGEXMATCH(C2999,""youtube"")=TRUE,""Youtube"",if(REGEXMATCH(C2999,""tiktok"")=TRUE,""Tiktok"",if("&amp;"REGEXMATCH(C2999,""threads"")=TRUE,""Threads""))))))"),"Twitter")</f>
        <v>Twitter</v>
      </c>
      <c r="G2999" s="41" t="s">
        <v>2135</v>
      </c>
      <c r="H2999" s="41" t="s">
        <v>2136</v>
      </c>
      <c r="I2999" s="41" t="s">
        <v>2137</v>
      </c>
      <c r="J2999" s="41" t="s">
        <v>188</v>
      </c>
      <c r="K2999" s="41"/>
      <c r="L2999" s="42"/>
    </row>
    <row r="3000">
      <c r="A3000" s="18">
        <v>2999.0</v>
      </c>
      <c r="B3000" s="76" t="s">
        <v>5046</v>
      </c>
      <c r="C3000" s="46" t="s">
        <v>5126</v>
      </c>
      <c r="D3000" s="41"/>
      <c r="E3000" s="41" t="s">
        <v>1178</v>
      </c>
      <c r="F3000" s="41" t="str">
        <f>IFERROR(__xludf.DUMMYFUNCTION("if(REGEXMATCH(C3000,""x.com"")=TRUE,""Twitter"",if(REGEXMATCH(C3000,""facebook"")=TRUE,""Facebook"",if(REGEXMATCH(C3000,""instagram"")=TRUE,""Instagram"",if(REGEXMATCH(C3000,""youtube"")=TRUE,""Youtube"",if(REGEXMATCH(C3000,""tiktok"")=TRUE,""Tiktok"",if("&amp;"REGEXMATCH(C3000,""threads"")=TRUE,""Threads""))))))"),"Twitter")</f>
        <v>Twitter</v>
      </c>
      <c r="G3000" s="41" t="s">
        <v>2135</v>
      </c>
      <c r="H3000" s="41" t="s">
        <v>2136</v>
      </c>
      <c r="I3000" s="41" t="s">
        <v>2137</v>
      </c>
      <c r="J3000" s="41" t="s">
        <v>188</v>
      </c>
      <c r="K3000" s="41"/>
      <c r="L3000" s="42"/>
    </row>
    <row r="3001">
      <c r="A3001" s="18">
        <v>3000.0</v>
      </c>
      <c r="B3001" s="76" t="s">
        <v>5046</v>
      </c>
      <c r="C3001" s="46" t="s">
        <v>5127</v>
      </c>
      <c r="D3001" s="41"/>
      <c r="E3001" s="41" t="s">
        <v>401</v>
      </c>
      <c r="F3001" s="41" t="str">
        <f>IFERROR(__xludf.DUMMYFUNCTION("if(REGEXMATCH(C3001,""x.com"")=TRUE,""Twitter"",if(REGEXMATCH(C3001,""facebook"")=TRUE,""Facebook"",if(REGEXMATCH(C3001,""instagram"")=TRUE,""Instagram"",if(REGEXMATCH(C3001,""youtube"")=TRUE,""Youtube"",if(REGEXMATCH(C3001,""tiktok"")=TRUE,""Tiktok"",if("&amp;"REGEXMATCH(C3001,""threads"")=TRUE,""Threads""))))))"),"Facebook")</f>
        <v>Facebook</v>
      </c>
      <c r="G3001" s="41" t="s">
        <v>937</v>
      </c>
      <c r="H3001" s="41" t="s">
        <v>1542</v>
      </c>
      <c r="I3001" s="41" t="s">
        <v>939</v>
      </c>
      <c r="J3001" s="41" t="s">
        <v>188</v>
      </c>
      <c r="K3001" s="41"/>
      <c r="L3001" s="42"/>
    </row>
    <row r="3002">
      <c r="A3002" s="18">
        <v>3001.0</v>
      </c>
      <c r="B3002" s="76" t="s">
        <v>5046</v>
      </c>
      <c r="C3002" s="46" t="s">
        <v>5128</v>
      </c>
      <c r="D3002" s="41"/>
      <c r="E3002" s="41" t="s">
        <v>401</v>
      </c>
      <c r="F3002" s="41" t="str">
        <f>IFERROR(__xludf.DUMMYFUNCTION("if(REGEXMATCH(C3002,""x.com"")=TRUE,""Twitter"",if(REGEXMATCH(C3002,""facebook"")=TRUE,""Facebook"",if(REGEXMATCH(C3002,""instagram"")=TRUE,""Instagram"",if(REGEXMATCH(C3002,""youtube"")=TRUE,""Youtube"",if(REGEXMATCH(C3002,""tiktok"")=TRUE,""Tiktok"",if("&amp;"REGEXMATCH(C3002,""threads"")=TRUE,""Threads""))))))"),"Facebook")</f>
        <v>Facebook</v>
      </c>
      <c r="G3002" s="41" t="s">
        <v>937</v>
      </c>
      <c r="H3002" s="41" t="s">
        <v>1542</v>
      </c>
      <c r="I3002" s="41" t="s">
        <v>939</v>
      </c>
      <c r="J3002" s="41" t="s">
        <v>188</v>
      </c>
      <c r="K3002" s="41"/>
      <c r="L3002" s="42"/>
    </row>
    <row r="3003">
      <c r="A3003" s="18">
        <v>3002.0</v>
      </c>
      <c r="B3003" s="76" t="s">
        <v>5046</v>
      </c>
      <c r="C3003" s="81" t="s">
        <v>5129</v>
      </c>
      <c r="D3003" s="41"/>
      <c r="E3003" s="41" t="s">
        <v>2018</v>
      </c>
      <c r="F3003" s="41" t="str">
        <f>IFERROR(__xludf.DUMMYFUNCTION("if(REGEXMATCH(C3003,""x.com"")=TRUE,""Twitter"",if(REGEXMATCH(C3003,""facebook"")=TRUE,""Facebook"",if(REGEXMATCH(C3003,""instagram"")=TRUE,""Instagram"",if(REGEXMATCH(C3003,""youtube"")=TRUE,""Youtube"",if(REGEXMATCH(C3003,""tiktok"")=TRUE,""Tiktok"",if("&amp;"REGEXMATCH(C3003,""threads"")=TRUE,""Threads""))))))"),"Tiktok")</f>
        <v>Tiktok</v>
      </c>
      <c r="G3003" s="41" t="s">
        <v>5130</v>
      </c>
      <c r="H3003" s="41" t="s">
        <v>2023</v>
      </c>
      <c r="I3003" s="41"/>
      <c r="J3003" s="41" t="s">
        <v>188</v>
      </c>
      <c r="K3003" s="42"/>
      <c r="L3003" s="42"/>
    </row>
    <row r="3004">
      <c r="A3004" s="18">
        <v>3003.0</v>
      </c>
      <c r="B3004" s="76" t="s">
        <v>5046</v>
      </c>
      <c r="C3004" s="81" t="s">
        <v>5131</v>
      </c>
      <c r="D3004" s="41"/>
      <c r="E3004" s="41" t="s">
        <v>2018</v>
      </c>
      <c r="F3004" s="41" t="str">
        <f>IFERROR(__xludf.DUMMYFUNCTION("if(REGEXMATCH(C3004,""x.com"")=TRUE,""Twitter"",if(REGEXMATCH(C3004,""facebook"")=TRUE,""Facebook"",if(REGEXMATCH(C3004,""instagram"")=TRUE,""Instagram"",if(REGEXMATCH(C3004,""youtube"")=TRUE,""Youtube"",if(REGEXMATCH(C3004,""tiktok"")=TRUE,""Tiktok"",if("&amp;"REGEXMATCH(C3004,""threads"")=TRUE,""Threads""))))))"),"Facebook")</f>
        <v>Facebook</v>
      </c>
      <c r="G3004" s="41" t="s">
        <v>5132</v>
      </c>
      <c r="H3004" s="41" t="s">
        <v>2023</v>
      </c>
      <c r="I3004" s="41"/>
      <c r="J3004" s="41" t="s">
        <v>188</v>
      </c>
      <c r="K3004" s="42"/>
      <c r="L3004" s="42"/>
    </row>
    <row r="3005">
      <c r="A3005" s="18">
        <v>3004.0</v>
      </c>
      <c r="B3005" s="76" t="s">
        <v>5046</v>
      </c>
      <c r="C3005" s="40" t="s">
        <v>5133</v>
      </c>
      <c r="D3005" s="41"/>
      <c r="E3005" s="41" t="s">
        <v>2018</v>
      </c>
      <c r="F3005" s="41" t="str">
        <f>IFERROR(__xludf.DUMMYFUNCTION("if(REGEXMATCH(C3005,""x.com"")=TRUE,""Twitter"",if(REGEXMATCH(C3005,""facebook"")=TRUE,""Facebook"",if(REGEXMATCH(C3005,""instagram"")=TRUE,""Instagram"",if(REGEXMATCH(C3005,""youtube"")=TRUE,""Youtube"",if(REGEXMATCH(C3005,""tiktok"")=TRUE,""Tiktok"",if("&amp;"REGEXMATCH(C3005,""threads"")=TRUE,""Threads""))))))"),"Facebook")</f>
        <v>Facebook</v>
      </c>
      <c r="G3005" s="41" t="s">
        <v>5132</v>
      </c>
      <c r="H3005" s="41" t="s">
        <v>2023</v>
      </c>
      <c r="I3005" s="41"/>
      <c r="J3005" s="41" t="s">
        <v>188</v>
      </c>
      <c r="K3005" s="42"/>
      <c r="L3005" s="42"/>
    </row>
    <row r="3006">
      <c r="A3006" s="18">
        <v>3005.0</v>
      </c>
      <c r="B3006" s="76" t="s">
        <v>5134</v>
      </c>
      <c r="C3006" s="40" t="s">
        <v>5135</v>
      </c>
      <c r="D3006" s="41"/>
      <c r="E3006" s="41" t="s">
        <v>197</v>
      </c>
      <c r="F3006" s="41" t="str">
        <f>IFERROR(__xludf.DUMMYFUNCTION("if(REGEXMATCH(C3006,""x.com"")=TRUE,""Twitter"",if(REGEXMATCH(C3006,""facebook"")=TRUE,""Facebook"",if(REGEXMATCH(C3006,""instagram"")=TRUE,""Instagram"",if(REGEXMATCH(C3006,""youtube"")=TRUE,""Youtube"",if(REGEXMATCH(C3006,""tiktok"")=TRUE,""Tiktok"",if("&amp;"REGEXMATCH(C3006,""threads"")=TRUE,""Threads""))))))"),"Twitter")</f>
        <v>Twitter</v>
      </c>
      <c r="G3006" s="41" t="s">
        <v>5136</v>
      </c>
      <c r="H3006" s="43" t="s">
        <v>779</v>
      </c>
      <c r="I3006" s="43" t="s">
        <v>535</v>
      </c>
      <c r="J3006" s="41" t="s">
        <v>188</v>
      </c>
      <c r="K3006" s="41"/>
      <c r="L3006" s="42"/>
    </row>
    <row r="3007">
      <c r="A3007" s="18">
        <v>3006.0</v>
      </c>
      <c r="B3007" s="76" t="s">
        <v>5134</v>
      </c>
      <c r="C3007" s="40" t="s">
        <v>5137</v>
      </c>
      <c r="D3007" s="41"/>
      <c r="E3007" s="41" t="s">
        <v>197</v>
      </c>
      <c r="F3007" s="41" t="str">
        <f>IFERROR(__xludf.DUMMYFUNCTION("if(REGEXMATCH(C3007,""x.com"")=TRUE,""Twitter"",if(REGEXMATCH(C3007,""facebook"")=TRUE,""Facebook"",if(REGEXMATCH(C3007,""instagram"")=TRUE,""Instagram"",if(REGEXMATCH(C3007,""youtube"")=TRUE,""Youtube"",if(REGEXMATCH(C3007,""tiktok"")=TRUE,""Tiktok"",if("&amp;"REGEXMATCH(C3007,""threads"")=TRUE,""Threads""))))))"),"Tiktok")</f>
        <v>Tiktok</v>
      </c>
      <c r="G3007" s="41" t="s">
        <v>5138</v>
      </c>
      <c r="H3007" s="36"/>
      <c r="I3007" s="36"/>
      <c r="J3007" s="41" t="s">
        <v>188</v>
      </c>
      <c r="K3007" s="41"/>
      <c r="L3007" s="42"/>
    </row>
    <row r="3008">
      <c r="A3008" s="18">
        <v>3007.0</v>
      </c>
      <c r="B3008" s="76" t="s">
        <v>5134</v>
      </c>
      <c r="C3008" s="40" t="s">
        <v>5139</v>
      </c>
      <c r="D3008" s="41"/>
      <c r="E3008" s="41" t="s">
        <v>197</v>
      </c>
      <c r="F3008" s="41" t="str">
        <f>IFERROR(__xludf.DUMMYFUNCTION("if(REGEXMATCH(C3008,""x.com"")=TRUE,""Twitter"",if(REGEXMATCH(C3008,""facebook"")=TRUE,""Facebook"",if(REGEXMATCH(C3008,""instagram"")=TRUE,""Instagram"",if(REGEXMATCH(C3008,""youtube"")=TRUE,""Youtube"",if(REGEXMATCH(C3008,""tiktok"")=TRUE,""Tiktok"",if("&amp;"REGEXMATCH(C3008,""threads"")=TRUE,""Threads""))))))"),"Facebook")</f>
        <v>Facebook</v>
      </c>
      <c r="G3008" s="41" t="s">
        <v>5140</v>
      </c>
      <c r="H3008" s="36"/>
      <c r="I3008" s="36"/>
      <c r="J3008" s="41" t="s">
        <v>188</v>
      </c>
      <c r="K3008" s="41"/>
      <c r="L3008" s="42"/>
    </row>
    <row r="3009">
      <c r="A3009" s="18">
        <v>3008.0</v>
      </c>
      <c r="B3009" s="76" t="s">
        <v>5134</v>
      </c>
      <c r="C3009" s="40" t="s">
        <v>5141</v>
      </c>
      <c r="D3009" s="41"/>
      <c r="E3009" s="41" t="s">
        <v>197</v>
      </c>
      <c r="F3009" s="41" t="str">
        <f>IFERROR(__xludf.DUMMYFUNCTION("if(REGEXMATCH(C3009,""x.com"")=TRUE,""Twitter"",if(REGEXMATCH(C3009,""facebook"")=TRUE,""Facebook"",if(REGEXMATCH(C3009,""instagram"")=TRUE,""Instagram"",if(REGEXMATCH(C3009,""youtube"")=TRUE,""Youtube"",if(REGEXMATCH(C3009,""tiktok"")=TRUE,""Tiktok"",if("&amp;"REGEXMATCH(C3009,""threads"")=TRUE,""Threads""))))))"),"Instagram")</f>
        <v>Instagram</v>
      </c>
      <c r="G3009" s="41" t="s">
        <v>5142</v>
      </c>
      <c r="H3009" s="36"/>
      <c r="I3009" s="36"/>
      <c r="J3009" s="41" t="s">
        <v>188</v>
      </c>
      <c r="K3009" s="41"/>
      <c r="L3009" s="42"/>
    </row>
    <row r="3010">
      <c r="A3010" s="18">
        <v>3009.0</v>
      </c>
      <c r="B3010" s="76" t="s">
        <v>5134</v>
      </c>
      <c r="C3010" s="40" t="s">
        <v>5143</v>
      </c>
      <c r="D3010" s="41"/>
      <c r="E3010" s="41" t="s">
        <v>197</v>
      </c>
      <c r="F3010" s="41" t="str">
        <f>IFERROR(__xludf.DUMMYFUNCTION("if(REGEXMATCH(C3010,""x.com"")=TRUE,""Twitter"",if(REGEXMATCH(C3010,""facebook"")=TRUE,""Facebook"",if(REGEXMATCH(C3010,""instagram"")=TRUE,""Instagram"",if(REGEXMATCH(C3010,""youtube"")=TRUE,""Youtube"",if(REGEXMATCH(C3010,""tiktok"")=TRUE,""Tiktok"",if("&amp;"REGEXMATCH(C3010,""threads"")=TRUE,""Threads""))))))"),"Instagram")</f>
        <v>Instagram</v>
      </c>
      <c r="G3010" s="41" t="s">
        <v>5144</v>
      </c>
      <c r="H3010" s="36"/>
      <c r="I3010" s="36"/>
      <c r="J3010" s="41" t="s">
        <v>422</v>
      </c>
      <c r="K3010" s="41" t="s">
        <v>5145</v>
      </c>
      <c r="L3010" s="42"/>
    </row>
    <row r="3011">
      <c r="A3011" s="18">
        <v>3010.0</v>
      </c>
      <c r="B3011" s="76" t="s">
        <v>5134</v>
      </c>
      <c r="C3011" s="40" t="s">
        <v>5146</v>
      </c>
      <c r="D3011" s="41"/>
      <c r="E3011" s="41" t="s">
        <v>197</v>
      </c>
      <c r="F3011" s="41" t="str">
        <f>IFERROR(__xludf.DUMMYFUNCTION("if(REGEXMATCH(C3011,""x.com"")=TRUE,""Twitter"",if(REGEXMATCH(C3011,""facebook"")=TRUE,""Facebook"",if(REGEXMATCH(C3011,""instagram"")=TRUE,""Instagram"",if(REGEXMATCH(C3011,""youtube"")=TRUE,""Youtube"",if(REGEXMATCH(C3011,""tiktok"")=TRUE,""Tiktok"",if("&amp;"REGEXMATCH(C3011,""threads"")=TRUE,""Threads""))))))"),"Twitter")</f>
        <v>Twitter</v>
      </c>
      <c r="G3011" s="41" t="s">
        <v>5147</v>
      </c>
      <c r="H3011" s="36"/>
      <c r="I3011" s="36"/>
      <c r="J3011" s="41" t="s">
        <v>188</v>
      </c>
      <c r="K3011" s="41"/>
      <c r="L3011" s="42"/>
    </row>
    <row r="3012">
      <c r="A3012" s="18">
        <v>3011.0</v>
      </c>
      <c r="B3012" s="76" t="s">
        <v>5134</v>
      </c>
      <c r="C3012" s="40" t="s">
        <v>5148</v>
      </c>
      <c r="D3012" s="41"/>
      <c r="E3012" s="41" t="s">
        <v>197</v>
      </c>
      <c r="F3012" s="41" t="str">
        <f>IFERROR(__xludf.DUMMYFUNCTION("if(REGEXMATCH(C3012,""x.com"")=TRUE,""Twitter"",if(REGEXMATCH(C3012,""facebook"")=TRUE,""Facebook"",if(REGEXMATCH(C3012,""instagram"")=TRUE,""Instagram"",if(REGEXMATCH(C3012,""youtube"")=TRUE,""Youtube"",if(REGEXMATCH(C3012,""tiktok"")=TRUE,""Tiktok"",if("&amp;"REGEXMATCH(C3012,""threads"")=TRUE,""Threads""))))))"),"Twitter")</f>
        <v>Twitter</v>
      </c>
      <c r="G3012" s="41" t="s">
        <v>5149</v>
      </c>
      <c r="H3012" s="36"/>
      <c r="I3012" s="36"/>
      <c r="J3012" s="41" t="s">
        <v>188</v>
      </c>
      <c r="K3012" s="41"/>
      <c r="L3012" s="42"/>
    </row>
    <row r="3013">
      <c r="A3013" s="18">
        <v>3012.0</v>
      </c>
      <c r="B3013" s="76" t="s">
        <v>5134</v>
      </c>
      <c r="C3013" s="40" t="s">
        <v>5150</v>
      </c>
      <c r="D3013" s="41"/>
      <c r="E3013" s="41" t="s">
        <v>2875</v>
      </c>
      <c r="F3013" s="41" t="str">
        <f>IFERROR(__xludf.DUMMYFUNCTION("if(REGEXMATCH(C3013,""x.com"")=TRUE,""Twitter"",if(REGEXMATCH(C3013,""facebook"")=TRUE,""Facebook"",if(REGEXMATCH(C3013,""instagram"")=TRUE,""Instagram"",if(REGEXMATCH(C3013,""youtube"")=TRUE,""Youtube"",if(REGEXMATCH(C3013,""tiktok"")=TRUE,""Tiktok"",if("&amp;"REGEXMATCH(C3013,""threads"")=TRUE,""Threads""))))))"),"Twitter")</f>
        <v>Twitter</v>
      </c>
      <c r="G3013" s="41" t="s">
        <v>5151</v>
      </c>
      <c r="H3013" s="36"/>
      <c r="I3013" s="36"/>
      <c r="J3013" s="41" t="s">
        <v>188</v>
      </c>
      <c r="K3013" s="41"/>
      <c r="L3013" s="42"/>
    </row>
    <row r="3014">
      <c r="A3014" s="18">
        <v>3013.0</v>
      </c>
      <c r="B3014" s="76" t="s">
        <v>5134</v>
      </c>
      <c r="C3014" s="40" t="s">
        <v>5152</v>
      </c>
      <c r="D3014" s="41"/>
      <c r="E3014" s="41" t="s">
        <v>557</v>
      </c>
      <c r="F3014" s="41" t="str">
        <f>IFERROR(__xludf.DUMMYFUNCTION("if(REGEXMATCH(C3014,""x.com"")=TRUE,""Twitter"",if(REGEXMATCH(C3014,""facebook"")=TRUE,""Facebook"",if(REGEXMATCH(C3014,""instagram"")=TRUE,""Instagram"",if(REGEXMATCH(C3014,""youtube"")=TRUE,""Youtube"",if(REGEXMATCH(C3014,""tiktok"")=TRUE,""Tiktok"",if("&amp;"REGEXMATCH(C3014,""threads"")=TRUE,""Threads""))))))"),"Twitter")</f>
        <v>Twitter</v>
      </c>
      <c r="G3014" s="41" t="s">
        <v>5153</v>
      </c>
      <c r="H3014" s="36"/>
      <c r="I3014" s="36"/>
      <c r="J3014" s="41" t="s">
        <v>188</v>
      </c>
      <c r="K3014" s="41"/>
      <c r="L3014" s="42"/>
    </row>
    <row r="3015">
      <c r="A3015" s="18">
        <v>3014.0</v>
      </c>
      <c r="B3015" s="76" t="s">
        <v>5134</v>
      </c>
      <c r="C3015" s="40" t="s">
        <v>5154</v>
      </c>
      <c r="D3015" s="41"/>
      <c r="E3015" s="41" t="s">
        <v>3329</v>
      </c>
      <c r="F3015" s="41" t="str">
        <f>IFERROR(__xludf.DUMMYFUNCTION("if(REGEXMATCH(C3015,""x.com"")=TRUE,""Twitter"",if(REGEXMATCH(C3015,""facebook"")=TRUE,""Facebook"",if(REGEXMATCH(C3015,""instagram"")=TRUE,""Instagram"",if(REGEXMATCH(C3015,""youtube"")=TRUE,""Youtube"",if(REGEXMATCH(C3015,""tiktok"")=TRUE,""Tiktok"",if("&amp;"REGEXMATCH(C3015,""threads"")=TRUE,""Threads""))))))"),"Facebook")</f>
        <v>Facebook</v>
      </c>
      <c r="G3015" s="41" t="s">
        <v>5155</v>
      </c>
      <c r="H3015" s="36"/>
      <c r="I3015" s="36"/>
      <c r="J3015" s="41" t="s">
        <v>188</v>
      </c>
      <c r="K3015" s="41"/>
      <c r="L3015" s="42"/>
    </row>
    <row r="3016">
      <c r="A3016" s="18">
        <v>3015.0</v>
      </c>
      <c r="B3016" s="76" t="s">
        <v>5134</v>
      </c>
      <c r="C3016" s="40" t="s">
        <v>5156</v>
      </c>
      <c r="D3016" s="41"/>
      <c r="E3016" s="41" t="s">
        <v>557</v>
      </c>
      <c r="F3016" s="41" t="str">
        <f>IFERROR(__xludf.DUMMYFUNCTION("if(REGEXMATCH(C3016,""x.com"")=TRUE,""Twitter"",if(REGEXMATCH(C3016,""facebook"")=TRUE,""Facebook"",if(REGEXMATCH(C3016,""instagram"")=TRUE,""Instagram"",if(REGEXMATCH(C3016,""youtube"")=TRUE,""Youtube"",if(REGEXMATCH(C3016,""tiktok"")=TRUE,""Tiktok"",if("&amp;"REGEXMATCH(C3016,""threads"")=TRUE,""Threads""))))))"),"Facebook")</f>
        <v>Facebook</v>
      </c>
      <c r="G3016" s="41" t="s">
        <v>5157</v>
      </c>
      <c r="H3016" s="36"/>
      <c r="I3016" s="36"/>
      <c r="J3016" s="41" t="s">
        <v>188</v>
      </c>
      <c r="K3016" s="41"/>
      <c r="L3016" s="42"/>
    </row>
    <row r="3017">
      <c r="A3017" s="18">
        <v>3016.0</v>
      </c>
      <c r="B3017" s="76" t="s">
        <v>5134</v>
      </c>
      <c r="C3017" s="40" t="s">
        <v>5158</v>
      </c>
      <c r="D3017" s="41"/>
      <c r="E3017" s="41" t="s">
        <v>557</v>
      </c>
      <c r="F3017" s="41" t="str">
        <f>IFERROR(__xludf.DUMMYFUNCTION("if(REGEXMATCH(C3017,""x.com"")=TRUE,""Twitter"",if(REGEXMATCH(C3017,""facebook"")=TRUE,""Facebook"",if(REGEXMATCH(C3017,""instagram"")=TRUE,""Instagram"",if(REGEXMATCH(C3017,""youtube"")=TRUE,""Youtube"",if(REGEXMATCH(C3017,""tiktok"")=TRUE,""Tiktok"",if("&amp;"REGEXMATCH(C3017,""threads"")=TRUE,""Threads""))))))"),"Tiktok")</f>
        <v>Tiktok</v>
      </c>
      <c r="G3017" s="41" t="s">
        <v>5159</v>
      </c>
      <c r="H3017" s="36"/>
      <c r="I3017" s="36"/>
      <c r="J3017" s="41" t="s">
        <v>188</v>
      </c>
      <c r="K3017" s="41"/>
      <c r="L3017" s="42"/>
    </row>
    <row r="3018">
      <c r="A3018" s="18">
        <v>3017.0</v>
      </c>
      <c r="B3018" s="76" t="s">
        <v>5134</v>
      </c>
      <c r="C3018" s="40" t="s">
        <v>5160</v>
      </c>
      <c r="D3018" s="41"/>
      <c r="E3018" s="41" t="s">
        <v>557</v>
      </c>
      <c r="F3018" s="41" t="str">
        <f>IFERROR(__xludf.DUMMYFUNCTION("if(REGEXMATCH(C3018,""x.com"")=TRUE,""Twitter"",if(REGEXMATCH(C3018,""facebook"")=TRUE,""Facebook"",if(REGEXMATCH(C3018,""instagram"")=TRUE,""Instagram"",if(REGEXMATCH(C3018,""youtube"")=TRUE,""Youtube"",if(REGEXMATCH(C3018,""tiktok"")=TRUE,""Tiktok"",if("&amp;"REGEXMATCH(C3018,""threads"")=TRUE,""Threads""))))))"),"Tiktok")</f>
        <v>Tiktok</v>
      </c>
      <c r="G3018" s="41" t="s">
        <v>5161</v>
      </c>
      <c r="H3018" s="36"/>
      <c r="I3018" s="36"/>
      <c r="J3018" s="41" t="s">
        <v>188</v>
      </c>
      <c r="K3018" s="41"/>
      <c r="L3018" s="42"/>
    </row>
    <row r="3019">
      <c r="A3019" s="18">
        <v>3018.0</v>
      </c>
      <c r="B3019" s="76" t="s">
        <v>5134</v>
      </c>
      <c r="C3019" s="40" t="s">
        <v>5162</v>
      </c>
      <c r="D3019" s="41"/>
      <c r="E3019" s="41" t="s">
        <v>557</v>
      </c>
      <c r="F3019" s="41" t="str">
        <f>IFERROR(__xludf.DUMMYFUNCTION("if(REGEXMATCH(C3019,""x.com"")=TRUE,""Twitter"",if(REGEXMATCH(C3019,""facebook"")=TRUE,""Facebook"",if(REGEXMATCH(C3019,""instagram"")=TRUE,""Instagram"",if(REGEXMATCH(C3019,""youtube"")=TRUE,""Youtube"",if(REGEXMATCH(C3019,""tiktok"")=TRUE,""Tiktok"",if("&amp;"REGEXMATCH(C3019,""threads"")=TRUE,""Threads""))))))"),"Tiktok")</f>
        <v>Tiktok</v>
      </c>
      <c r="G3019" s="41" t="s">
        <v>5163</v>
      </c>
      <c r="H3019" s="35"/>
      <c r="I3019" s="35"/>
      <c r="J3019" s="41" t="s">
        <v>188</v>
      </c>
      <c r="K3019" s="41"/>
      <c r="L3019" s="42"/>
    </row>
    <row r="3020">
      <c r="A3020" s="18">
        <v>3019.0</v>
      </c>
      <c r="B3020" s="76" t="s">
        <v>5134</v>
      </c>
      <c r="C3020" s="40" t="s">
        <v>5164</v>
      </c>
      <c r="D3020" s="41"/>
      <c r="E3020" s="41" t="s">
        <v>1178</v>
      </c>
      <c r="F3020" s="41" t="str">
        <f>IFERROR(__xludf.DUMMYFUNCTION("if(REGEXMATCH(C3020,""x.com"")=TRUE,""Twitter"",if(REGEXMATCH(C3020,""facebook"")=TRUE,""Facebook"",if(REGEXMATCH(C3020,""instagram"")=TRUE,""Instagram"",if(REGEXMATCH(C3020,""youtube"")=TRUE,""Youtube"",if(REGEXMATCH(C3020,""tiktok"")=TRUE,""Tiktok"",if("&amp;"REGEXMATCH(C3020,""threads"")=TRUE,""Threads""))))))"),"Twitter")</f>
        <v>Twitter</v>
      </c>
      <c r="G3020" s="41" t="s">
        <v>2135</v>
      </c>
      <c r="H3020" s="41" t="s">
        <v>2136</v>
      </c>
      <c r="I3020" s="41" t="s">
        <v>2137</v>
      </c>
      <c r="J3020" s="41" t="s">
        <v>188</v>
      </c>
      <c r="K3020" s="41"/>
      <c r="L3020" s="42"/>
    </row>
    <row r="3021">
      <c r="A3021" s="18">
        <v>3020.0</v>
      </c>
      <c r="B3021" s="76" t="s">
        <v>5134</v>
      </c>
      <c r="C3021" s="40" t="s">
        <v>5165</v>
      </c>
      <c r="D3021" s="41"/>
      <c r="E3021" s="41" t="s">
        <v>1178</v>
      </c>
      <c r="F3021" s="41" t="str">
        <f>IFERROR(__xludf.DUMMYFUNCTION("if(REGEXMATCH(C3021,""x.com"")=TRUE,""Twitter"",if(REGEXMATCH(C3021,""facebook"")=TRUE,""Facebook"",if(REGEXMATCH(C3021,""instagram"")=TRUE,""Instagram"",if(REGEXMATCH(C3021,""youtube"")=TRUE,""Youtube"",if(REGEXMATCH(C3021,""tiktok"")=TRUE,""Tiktok"",if("&amp;"REGEXMATCH(C3021,""threads"")=TRUE,""Threads""))))))"),"Twitter")</f>
        <v>Twitter</v>
      </c>
      <c r="G3021" s="41" t="s">
        <v>2135</v>
      </c>
      <c r="H3021" s="41" t="s">
        <v>2136</v>
      </c>
      <c r="I3021" s="41" t="s">
        <v>2137</v>
      </c>
      <c r="J3021" s="41" t="s">
        <v>188</v>
      </c>
      <c r="K3021" s="41"/>
      <c r="L3021" s="42"/>
    </row>
    <row r="3022">
      <c r="A3022" s="18">
        <v>3021.0</v>
      </c>
      <c r="B3022" s="76" t="s">
        <v>5134</v>
      </c>
      <c r="C3022" s="44" t="s">
        <v>5166</v>
      </c>
      <c r="D3022" s="41"/>
      <c r="E3022" s="41" t="s">
        <v>1178</v>
      </c>
      <c r="F3022" s="41" t="str">
        <f>IFERROR(__xludf.DUMMYFUNCTION("if(REGEXMATCH(C3022,""x.com"")=TRUE,""Twitter"",if(REGEXMATCH(C3022,""facebook"")=TRUE,""Facebook"",if(REGEXMATCH(C3022,""instagram"")=TRUE,""Instagram"",if(REGEXMATCH(C3022,""youtube"")=TRUE,""Youtube"",if(REGEXMATCH(C3022,""tiktok"")=TRUE,""Tiktok"",if("&amp;"REGEXMATCH(C3022,""threads"")=TRUE,""Threads""))))))"),"Twitter")</f>
        <v>Twitter</v>
      </c>
      <c r="G3022" s="41" t="s">
        <v>2135</v>
      </c>
      <c r="H3022" s="41" t="s">
        <v>2136</v>
      </c>
      <c r="I3022" s="41" t="s">
        <v>2137</v>
      </c>
      <c r="J3022" s="41" t="s">
        <v>188</v>
      </c>
      <c r="K3022" s="41"/>
      <c r="L3022" s="42"/>
    </row>
    <row r="3023">
      <c r="A3023" s="18">
        <v>3022.0</v>
      </c>
      <c r="B3023" s="76" t="s">
        <v>5134</v>
      </c>
      <c r="C3023" s="47" t="s">
        <v>5167</v>
      </c>
      <c r="D3023" s="41"/>
      <c r="E3023" s="41" t="s">
        <v>1178</v>
      </c>
      <c r="F3023" s="41" t="str">
        <f>IFERROR(__xludf.DUMMYFUNCTION("if(REGEXMATCH(C3023,""x.com"")=TRUE,""Twitter"",if(REGEXMATCH(C3023,""facebook"")=TRUE,""Facebook"",if(REGEXMATCH(C3023,""instagram"")=TRUE,""Instagram"",if(REGEXMATCH(C3023,""youtube"")=TRUE,""Youtube"",if(REGEXMATCH(C3023,""tiktok"")=TRUE,""Tiktok"",if("&amp;"REGEXMATCH(C3023,""threads"")=TRUE,""Threads""))))))"),"Twitter")</f>
        <v>Twitter</v>
      </c>
      <c r="G3023" s="41" t="s">
        <v>2135</v>
      </c>
      <c r="H3023" s="41" t="s">
        <v>2136</v>
      </c>
      <c r="I3023" s="41" t="s">
        <v>2137</v>
      </c>
      <c r="J3023" s="41" t="s">
        <v>188</v>
      </c>
      <c r="K3023" s="41"/>
      <c r="L3023" s="42"/>
    </row>
    <row r="3024">
      <c r="A3024" s="18">
        <v>3023.0</v>
      </c>
      <c r="B3024" s="76" t="s">
        <v>5134</v>
      </c>
      <c r="C3024" s="40" t="s">
        <v>5168</v>
      </c>
      <c r="D3024" s="41"/>
      <c r="E3024" s="41" t="s">
        <v>1178</v>
      </c>
      <c r="F3024" s="41" t="str">
        <f>IFERROR(__xludf.DUMMYFUNCTION("if(REGEXMATCH(C3024,""x.com"")=TRUE,""Twitter"",if(REGEXMATCH(C3024,""facebook"")=TRUE,""Facebook"",if(REGEXMATCH(C3024,""instagram"")=TRUE,""Instagram"",if(REGEXMATCH(C3024,""youtube"")=TRUE,""Youtube"",if(REGEXMATCH(C3024,""tiktok"")=TRUE,""Tiktok"",if("&amp;"REGEXMATCH(C3024,""threads"")=TRUE,""Threads""))))))"),"Twitter")</f>
        <v>Twitter</v>
      </c>
      <c r="G3024" s="41" t="s">
        <v>2135</v>
      </c>
      <c r="H3024" s="41" t="s">
        <v>2136</v>
      </c>
      <c r="I3024" s="41" t="s">
        <v>2137</v>
      </c>
      <c r="J3024" s="41" t="s">
        <v>188</v>
      </c>
      <c r="K3024" s="41"/>
      <c r="L3024" s="42"/>
    </row>
    <row r="3025">
      <c r="A3025" s="18">
        <v>3024.0</v>
      </c>
      <c r="B3025" s="76" t="s">
        <v>5134</v>
      </c>
      <c r="C3025" s="40" t="s">
        <v>5169</v>
      </c>
      <c r="D3025" s="41"/>
      <c r="E3025" s="41" t="s">
        <v>1178</v>
      </c>
      <c r="F3025" s="41" t="str">
        <f>IFERROR(__xludf.DUMMYFUNCTION("if(REGEXMATCH(C3025,""x.com"")=TRUE,""Twitter"",if(REGEXMATCH(C3025,""facebook"")=TRUE,""Facebook"",if(REGEXMATCH(C3025,""instagram"")=TRUE,""Instagram"",if(REGEXMATCH(C3025,""youtube"")=TRUE,""Youtube"",if(REGEXMATCH(C3025,""tiktok"")=TRUE,""Tiktok"",if("&amp;"REGEXMATCH(C3025,""threads"")=TRUE,""Threads""))))))"),"Facebook")</f>
        <v>Facebook</v>
      </c>
      <c r="G3025" s="41" t="s">
        <v>2135</v>
      </c>
      <c r="H3025" s="41" t="s">
        <v>2136</v>
      </c>
      <c r="I3025" s="41" t="s">
        <v>2137</v>
      </c>
      <c r="J3025" s="41" t="s">
        <v>188</v>
      </c>
      <c r="K3025" s="41"/>
      <c r="L3025" s="42"/>
    </row>
    <row r="3026">
      <c r="A3026" s="18">
        <v>3025.0</v>
      </c>
      <c r="B3026" s="76" t="s">
        <v>5134</v>
      </c>
      <c r="C3026" s="40" t="s">
        <v>5170</v>
      </c>
      <c r="D3026" s="41"/>
      <c r="E3026" s="41" t="s">
        <v>1178</v>
      </c>
      <c r="F3026" s="41" t="str">
        <f>IFERROR(__xludf.DUMMYFUNCTION("if(REGEXMATCH(C3026,""x.com"")=TRUE,""Twitter"",if(REGEXMATCH(C3026,""facebook"")=TRUE,""Facebook"",if(REGEXMATCH(C3026,""instagram"")=TRUE,""Instagram"",if(REGEXMATCH(C3026,""youtube"")=TRUE,""Youtube"",if(REGEXMATCH(C3026,""tiktok"")=TRUE,""Tiktok"",if("&amp;"REGEXMATCH(C3026,""threads"")=TRUE,""Threads""))))))"),"Facebook")</f>
        <v>Facebook</v>
      </c>
      <c r="G3026" s="41" t="s">
        <v>2135</v>
      </c>
      <c r="H3026" s="41" t="s">
        <v>2136</v>
      </c>
      <c r="I3026" s="41" t="s">
        <v>2137</v>
      </c>
      <c r="J3026" s="41" t="s">
        <v>188</v>
      </c>
      <c r="K3026" s="41"/>
      <c r="L3026" s="42"/>
    </row>
    <row r="3027">
      <c r="A3027" s="18">
        <v>3026.0</v>
      </c>
      <c r="B3027" s="76" t="s">
        <v>5134</v>
      </c>
      <c r="C3027" s="40" t="s">
        <v>5171</v>
      </c>
      <c r="D3027" s="41"/>
      <c r="E3027" s="41" t="s">
        <v>1178</v>
      </c>
      <c r="F3027" s="41" t="str">
        <f>IFERROR(__xludf.DUMMYFUNCTION("if(REGEXMATCH(C3027,""x.com"")=TRUE,""Twitter"",if(REGEXMATCH(C3027,""facebook"")=TRUE,""Facebook"",if(REGEXMATCH(C3027,""instagram"")=TRUE,""Instagram"",if(REGEXMATCH(C3027,""youtube"")=TRUE,""Youtube"",if(REGEXMATCH(C3027,""tiktok"")=TRUE,""Tiktok"",if("&amp;"REGEXMATCH(C3027,""threads"")=TRUE,""Threads""))))))"),"Facebook")</f>
        <v>Facebook</v>
      </c>
      <c r="G3027" s="41" t="s">
        <v>2135</v>
      </c>
      <c r="H3027" s="41" t="s">
        <v>2136</v>
      </c>
      <c r="I3027" s="41" t="s">
        <v>2137</v>
      </c>
      <c r="J3027" s="41" t="s">
        <v>188</v>
      </c>
      <c r="K3027" s="41"/>
      <c r="L3027" s="42"/>
    </row>
    <row r="3028">
      <c r="A3028" s="18">
        <v>3027.0</v>
      </c>
      <c r="B3028" s="76" t="s">
        <v>5134</v>
      </c>
      <c r="C3028" s="40" t="s">
        <v>5172</v>
      </c>
      <c r="D3028" s="41"/>
      <c r="E3028" s="41" t="s">
        <v>1178</v>
      </c>
      <c r="F3028" s="41" t="str">
        <f>IFERROR(__xludf.DUMMYFUNCTION("if(REGEXMATCH(C3028,""x.com"")=TRUE,""Twitter"",if(REGEXMATCH(C3028,""facebook"")=TRUE,""Facebook"",if(REGEXMATCH(C3028,""instagram"")=TRUE,""Instagram"",if(REGEXMATCH(C3028,""youtube"")=TRUE,""Youtube"",if(REGEXMATCH(C3028,""tiktok"")=TRUE,""Tiktok"",if("&amp;"REGEXMATCH(C3028,""threads"")=TRUE,""Threads""))))))"),"Facebook")</f>
        <v>Facebook</v>
      </c>
      <c r="G3028" s="41" t="s">
        <v>2135</v>
      </c>
      <c r="H3028" s="41" t="s">
        <v>2136</v>
      </c>
      <c r="I3028" s="41" t="s">
        <v>2137</v>
      </c>
      <c r="J3028" s="41" t="s">
        <v>188</v>
      </c>
      <c r="K3028" s="41"/>
      <c r="L3028" s="42"/>
    </row>
    <row r="3029">
      <c r="A3029" s="18">
        <v>3028.0</v>
      </c>
      <c r="B3029" s="76" t="s">
        <v>5134</v>
      </c>
      <c r="C3029" s="40" t="s">
        <v>5173</v>
      </c>
      <c r="D3029" s="41"/>
      <c r="E3029" s="41" t="s">
        <v>1178</v>
      </c>
      <c r="F3029" s="41" t="str">
        <f>IFERROR(__xludf.DUMMYFUNCTION("if(REGEXMATCH(C3029,""x.com"")=TRUE,""Twitter"",if(REGEXMATCH(C3029,""facebook"")=TRUE,""Facebook"",if(REGEXMATCH(C3029,""instagram"")=TRUE,""Instagram"",if(REGEXMATCH(C3029,""youtube"")=TRUE,""Youtube"",if(REGEXMATCH(C3029,""tiktok"")=TRUE,""Tiktok"",if("&amp;"REGEXMATCH(C3029,""threads"")=TRUE,""Threads""))))))"),"Twitter")</f>
        <v>Twitter</v>
      </c>
      <c r="G3029" s="41" t="s">
        <v>2135</v>
      </c>
      <c r="H3029" s="41" t="s">
        <v>2136</v>
      </c>
      <c r="I3029" s="41" t="s">
        <v>2137</v>
      </c>
      <c r="J3029" s="41" t="s">
        <v>188</v>
      </c>
      <c r="K3029" s="41"/>
      <c r="L3029" s="42"/>
    </row>
    <row r="3030">
      <c r="A3030" s="18">
        <v>3029.0</v>
      </c>
      <c r="B3030" s="76" t="s">
        <v>5134</v>
      </c>
      <c r="C3030" s="40" t="s">
        <v>5174</v>
      </c>
      <c r="D3030" s="41"/>
      <c r="E3030" s="41" t="s">
        <v>1178</v>
      </c>
      <c r="F3030" s="41" t="str">
        <f>IFERROR(__xludf.DUMMYFUNCTION("if(REGEXMATCH(C3030,""x.com"")=TRUE,""Twitter"",if(REGEXMATCH(C3030,""facebook"")=TRUE,""Facebook"",if(REGEXMATCH(C3030,""instagram"")=TRUE,""Instagram"",if(REGEXMATCH(C3030,""youtube"")=TRUE,""Youtube"",if(REGEXMATCH(C3030,""tiktok"")=TRUE,""Tiktok"",if("&amp;"REGEXMATCH(C3030,""threads"")=TRUE,""Threads""))))))"),"Twitter")</f>
        <v>Twitter</v>
      </c>
      <c r="G3030" s="41" t="s">
        <v>2135</v>
      </c>
      <c r="H3030" s="41" t="s">
        <v>2136</v>
      </c>
      <c r="I3030" s="41" t="s">
        <v>2137</v>
      </c>
      <c r="J3030" s="41" t="s">
        <v>188</v>
      </c>
      <c r="K3030" s="41"/>
      <c r="L3030" s="42"/>
    </row>
    <row r="3031">
      <c r="A3031" s="18">
        <v>3030.0</v>
      </c>
      <c r="B3031" s="76" t="s">
        <v>5134</v>
      </c>
      <c r="C3031" s="40" t="s">
        <v>5175</v>
      </c>
      <c r="D3031" s="41"/>
      <c r="E3031" s="41" t="s">
        <v>1178</v>
      </c>
      <c r="F3031" s="41" t="str">
        <f>IFERROR(__xludf.DUMMYFUNCTION("if(REGEXMATCH(C3031,""x.com"")=TRUE,""Twitter"",if(REGEXMATCH(C3031,""facebook"")=TRUE,""Facebook"",if(REGEXMATCH(C3031,""instagram"")=TRUE,""Instagram"",if(REGEXMATCH(C3031,""youtube"")=TRUE,""Youtube"",if(REGEXMATCH(C3031,""tiktok"")=TRUE,""Tiktok"",if("&amp;"REGEXMATCH(C3031,""threads"")=TRUE,""Threads""))))))"),"Facebook")</f>
        <v>Facebook</v>
      </c>
      <c r="G3031" s="41" t="s">
        <v>2135</v>
      </c>
      <c r="H3031" s="41" t="s">
        <v>2136</v>
      </c>
      <c r="I3031" s="41" t="s">
        <v>2137</v>
      </c>
      <c r="J3031" s="41" t="s">
        <v>188</v>
      </c>
      <c r="K3031" s="41"/>
      <c r="L3031" s="42"/>
    </row>
    <row r="3032">
      <c r="A3032" s="18">
        <v>3031.0</v>
      </c>
      <c r="B3032" s="76" t="s">
        <v>5134</v>
      </c>
      <c r="C3032" s="40" t="s">
        <v>5176</v>
      </c>
      <c r="D3032" s="41"/>
      <c r="E3032" s="41" t="s">
        <v>1178</v>
      </c>
      <c r="F3032" s="41" t="str">
        <f>IFERROR(__xludf.DUMMYFUNCTION("if(REGEXMATCH(C3032,""x.com"")=TRUE,""Twitter"",if(REGEXMATCH(C3032,""facebook"")=TRUE,""Facebook"",if(REGEXMATCH(C3032,""instagram"")=TRUE,""Instagram"",if(REGEXMATCH(C3032,""youtube"")=TRUE,""Youtube"",if(REGEXMATCH(C3032,""tiktok"")=TRUE,""Tiktok"",if("&amp;"REGEXMATCH(C3032,""threads"")=TRUE,""Threads""))))))"),"Facebook")</f>
        <v>Facebook</v>
      </c>
      <c r="G3032" s="41" t="s">
        <v>2135</v>
      </c>
      <c r="H3032" s="41" t="s">
        <v>2136</v>
      </c>
      <c r="I3032" s="41" t="s">
        <v>2137</v>
      </c>
      <c r="J3032" s="41" t="s">
        <v>188</v>
      </c>
      <c r="K3032" s="41"/>
      <c r="L3032" s="42"/>
    </row>
    <row r="3033">
      <c r="A3033" s="18">
        <v>3032.0</v>
      </c>
      <c r="B3033" s="76" t="s">
        <v>5134</v>
      </c>
      <c r="C3033" s="40" t="s">
        <v>5177</v>
      </c>
      <c r="D3033" s="41"/>
      <c r="E3033" s="41" t="s">
        <v>1178</v>
      </c>
      <c r="F3033" s="41" t="str">
        <f>IFERROR(__xludf.DUMMYFUNCTION("if(REGEXMATCH(C3033,""x.com"")=TRUE,""Twitter"",if(REGEXMATCH(C3033,""facebook"")=TRUE,""Facebook"",if(REGEXMATCH(C3033,""instagram"")=TRUE,""Instagram"",if(REGEXMATCH(C3033,""youtube"")=TRUE,""Youtube"",if(REGEXMATCH(C3033,""tiktok"")=TRUE,""Tiktok"",if("&amp;"REGEXMATCH(C3033,""threads"")=TRUE,""Threads""))))))"),"Facebook")</f>
        <v>Facebook</v>
      </c>
      <c r="G3033" s="41" t="s">
        <v>2135</v>
      </c>
      <c r="H3033" s="41" t="s">
        <v>2136</v>
      </c>
      <c r="I3033" s="41" t="s">
        <v>2137</v>
      </c>
      <c r="J3033" s="41" t="s">
        <v>188</v>
      </c>
      <c r="K3033" s="41"/>
      <c r="L3033" s="42"/>
    </row>
    <row r="3034">
      <c r="A3034" s="18">
        <v>3033.0</v>
      </c>
      <c r="B3034" s="76" t="s">
        <v>5134</v>
      </c>
      <c r="C3034" s="40" t="s">
        <v>5178</v>
      </c>
      <c r="D3034" s="41"/>
      <c r="E3034" s="41" t="s">
        <v>1178</v>
      </c>
      <c r="F3034" s="41" t="str">
        <f>IFERROR(__xludf.DUMMYFUNCTION("if(REGEXMATCH(C3034,""x.com"")=TRUE,""Twitter"",if(REGEXMATCH(C3034,""facebook"")=TRUE,""Facebook"",if(REGEXMATCH(C3034,""instagram"")=TRUE,""Instagram"",if(REGEXMATCH(C3034,""youtube"")=TRUE,""Youtube"",if(REGEXMATCH(C3034,""tiktok"")=TRUE,""Tiktok"",if("&amp;"REGEXMATCH(C3034,""threads"")=TRUE,""Threads""))))))"),"Twitter")</f>
        <v>Twitter</v>
      </c>
      <c r="G3034" s="41" t="s">
        <v>2135</v>
      </c>
      <c r="H3034" s="41" t="s">
        <v>2136</v>
      </c>
      <c r="I3034" s="41" t="s">
        <v>2137</v>
      </c>
      <c r="J3034" s="41" t="s">
        <v>188</v>
      </c>
      <c r="K3034" s="41"/>
      <c r="L3034" s="42"/>
    </row>
    <row r="3035">
      <c r="A3035" s="18">
        <v>3034.0</v>
      </c>
      <c r="B3035" s="76" t="s">
        <v>5134</v>
      </c>
      <c r="C3035" s="40" t="s">
        <v>5179</v>
      </c>
      <c r="D3035" s="41"/>
      <c r="E3035" s="41" t="s">
        <v>1178</v>
      </c>
      <c r="F3035" s="41" t="str">
        <f>IFERROR(__xludf.DUMMYFUNCTION("if(REGEXMATCH(C3035,""x.com"")=TRUE,""Twitter"",if(REGEXMATCH(C3035,""facebook"")=TRUE,""Facebook"",if(REGEXMATCH(C3035,""instagram"")=TRUE,""Instagram"",if(REGEXMATCH(C3035,""youtube"")=TRUE,""Youtube"",if(REGEXMATCH(C3035,""tiktok"")=TRUE,""Tiktok"",if("&amp;"REGEXMATCH(C3035,""threads"")=TRUE,""Threads""))))))"),"Twitter")</f>
        <v>Twitter</v>
      </c>
      <c r="G3035" s="41" t="s">
        <v>2135</v>
      </c>
      <c r="H3035" s="41" t="s">
        <v>2136</v>
      </c>
      <c r="I3035" s="41" t="s">
        <v>2137</v>
      </c>
      <c r="J3035" s="41" t="s">
        <v>188</v>
      </c>
      <c r="K3035" s="41"/>
      <c r="L3035" s="42"/>
    </row>
    <row r="3036">
      <c r="A3036" s="18">
        <v>3035.0</v>
      </c>
      <c r="B3036" s="76" t="s">
        <v>5134</v>
      </c>
      <c r="C3036" s="81" t="s">
        <v>5180</v>
      </c>
      <c r="D3036" s="41"/>
      <c r="E3036" s="41" t="s">
        <v>1178</v>
      </c>
      <c r="F3036" s="41" t="str">
        <f>IFERROR(__xludf.DUMMYFUNCTION("if(REGEXMATCH(C3036,""x.com"")=TRUE,""Twitter"",if(REGEXMATCH(C3036,""facebook"")=TRUE,""Facebook"",if(REGEXMATCH(C3036,""instagram"")=TRUE,""Instagram"",if(REGEXMATCH(C3036,""youtube"")=TRUE,""Youtube"",if(REGEXMATCH(C3036,""tiktok"")=TRUE,""Tiktok"",if("&amp;"REGEXMATCH(C3036,""threads"")=TRUE,""Threads""))))))"),"Twitter")</f>
        <v>Twitter</v>
      </c>
      <c r="G3036" s="41" t="s">
        <v>2135</v>
      </c>
      <c r="H3036" s="41" t="s">
        <v>2136</v>
      </c>
      <c r="I3036" s="41" t="s">
        <v>2137</v>
      </c>
      <c r="J3036" s="41" t="s">
        <v>188</v>
      </c>
      <c r="K3036" s="41"/>
      <c r="L3036" s="42"/>
    </row>
    <row r="3037">
      <c r="A3037" s="18">
        <v>3036.0</v>
      </c>
      <c r="B3037" s="76" t="s">
        <v>5134</v>
      </c>
      <c r="C3037" s="81" t="s">
        <v>5181</v>
      </c>
      <c r="D3037" s="41"/>
      <c r="E3037" s="41" t="s">
        <v>1178</v>
      </c>
      <c r="F3037" s="41" t="str">
        <f>IFERROR(__xludf.DUMMYFUNCTION("if(REGEXMATCH(C3037,""x.com"")=TRUE,""Twitter"",if(REGEXMATCH(C3037,""facebook"")=TRUE,""Facebook"",if(REGEXMATCH(C3037,""instagram"")=TRUE,""Instagram"",if(REGEXMATCH(C3037,""youtube"")=TRUE,""Youtube"",if(REGEXMATCH(C3037,""tiktok"")=TRUE,""Tiktok"",if("&amp;"REGEXMATCH(C3037,""threads"")=TRUE,""Threads""))))))"),"Twitter")</f>
        <v>Twitter</v>
      </c>
      <c r="G3037" s="41" t="s">
        <v>2135</v>
      </c>
      <c r="H3037" s="41" t="s">
        <v>2136</v>
      </c>
      <c r="I3037" s="41" t="s">
        <v>2137</v>
      </c>
      <c r="J3037" s="41" t="s">
        <v>188</v>
      </c>
      <c r="K3037" s="41"/>
      <c r="L3037" s="42"/>
    </row>
    <row r="3038">
      <c r="A3038" s="18">
        <v>3037.0</v>
      </c>
      <c r="B3038" s="76" t="s">
        <v>5134</v>
      </c>
      <c r="C3038" s="81" t="s">
        <v>5182</v>
      </c>
      <c r="D3038" s="41"/>
      <c r="E3038" s="41" t="s">
        <v>1178</v>
      </c>
      <c r="F3038" s="41" t="str">
        <f>IFERROR(__xludf.DUMMYFUNCTION("if(REGEXMATCH(C3038,""x.com"")=TRUE,""Twitter"",if(REGEXMATCH(C3038,""facebook"")=TRUE,""Facebook"",if(REGEXMATCH(C3038,""instagram"")=TRUE,""Instagram"",if(REGEXMATCH(C3038,""youtube"")=TRUE,""Youtube"",if(REGEXMATCH(C3038,""tiktok"")=TRUE,""Tiktok"",if("&amp;"REGEXMATCH(C3038,""threads"")=TRUE,""Threads""))))))"),"Twitter")</f>
        <v>Twitter</v>
      </c>
      <c r="G3038" s="41" t="s">
        <v>2135</v>
      </c>
      <c r="H3038" s="41" t="s">
        <v>2136</v>
      </c>
      <c r="I3038" s="41" t="s">
        <v>2137</v>
      </c>
      <c r="J3038" s="41" t="s">
        <v>188</v>
      </c>
      <c r="K3038" s="41"/>
      <c r="L3038" s="42"/>
    </row>
    <row r="3039">
      <c r="A3039" s="18">
        <v>3038.0</v>
      </c>
      <c r="B3039" s="76" t="s">
        <v>5134</v>
      </c>
      <c r="C3039" s="81" t="s">
        <v>5183</v>
      </c>
      <c r="D3039" s="41"/>
      <c r="E3039" s="41" t="s">
        <v>1178</v>
      </c>
      <c r="F3039" s="41" t="str">
        <f>IFERROR(__xludf.DUMMYFUNCTION("if(REGEXMATCH(C3039,""x.com"")=TRUE,""Twitter"",if(REGEXMATCH(C3039,""facebook"")=TRUE,""Facebook"",if(REGEXMATCH(C3039,""instagram"")=TRUE,""Instagram"",if(REGEXMATCH(C3039,""youtube"")=TRUE,""Youtube"",if(REGEXMATCH(C3039,""tiktok"")=TRUE,""Tiktok"",if("&amp;"REGEXMATCH(C3039,""threads"")=TRUE,""Threads""))))))"),"Twitter")</f>
        <v>Twitter</v>
      </c>
      <c r="G3039" s="41" t="s">
        <v>2135</v>
      </c>
      <c r="H3039" s="41" t="s">
        <v>2136</v>
      </c>
      <c r="I3039" s="41" t="s">
        <v>2137</v>
      </c>
      <c r="J3039" s="41" t="s">
        <v>188</v>
      </c>
      <c r="K3039" s="41"/>
      <c r="L3039" s="42"/>
    </row>
    <row r="3040">
      <c r="A3040" s="18">
        <v>3039.0</v>
      </c>
      <c r="B3040" s="76" t="s">
        <v>5134</v>
      </c>
      <c r="C3040" s="81" t="s">
        <v>5184</v>
      </c>
      <c r="D3040" s="41"/>
      <c r="E3040" s="41" t="s">
        <v>1178</v>
      </c>
      <c r="F3040" s="41" t="str">
        <f>IFERROR(__xludf.DUMMYFUNCTION("if(REGEXMATCH(C3040,""x.com"")=TRUE,""Twitter"",if(REGEXMATCH(C3040,""facebook"")=TRUE,""Facebook"",if(REGEXMATCH(C3040,""instagram"")=TRUE,""Instagram"",if(REGEXMATCH(C3040,""youtube"")=TRUE,""Youtube"",if(REGEXMATCH(C3040,""tiktok"")=TRUE,""Tiktok"",if("&amp;"REGEXMATCH(C3040,""threads"")=TRUE,""Threads""))))))"),"Twitter")</f>
        <v>Twitter</v>
      </c>
      <c r="G3040" s="41" t="s">
        <v>2135</v>
      </c>
      <c r="H3040" s="41" t="s">
        <v>2136</v>
      </c>
      <c r="I3040" s="41" t="s">
        <v>2137</v>
      </c>
      <c r="J3040" s="41" t="s">
        <v>188</v>
      </c>
      <c r="K3040" s="41"/>
      <c r="L3040" s="42"/>
    </row>
    <row r="3041">
      <c r="A3041" s="18">
        <v>3040.0</v>
      </c>
      <c r="B3041" s="76" t="s">
        <v>5134</v>
      </c>
      <c r="C3041" s="81" t="s">
        <v>5185</v>
      </c>
      <c r="D3041" s="41"/>
      <c r="E3041" s="41" t="s">
        <v>1178</v>
      </c>
      <c r="F3041" s="41" t="str">
        <f>IFERROR(__xludf.DUMMYFUNCTION("if(REGEXMATCH(C3041,""x.com"")=TRUE,""Twitter"",if(REGEXMATCH(C3041,""facebook"")=TRUE,""Facebook"",if(REGEXMATCH(C3041,""instagram"")=TRUE,""Instagram"",if(REGEXMATCH(C3041,""youtube"")=TRUE,""Youtube"",if(REGEXMATCH(C3041,""tiktok"")=TRUE,""Tiktok"",if("&amp;"REGEXMATCH(C3041,""threads"")=TRUE,""Threads""))))))"),"Twitter")</f>
        <v>Twitter</v>
      </c>
      <c r="G3041" s="41" t="s">
        <v>2135</v>
      </c>
      <c r="H3041" s="41" t="s">
        <v>2136</v>
      </c>
      <c r="I3041" s="41" t="s">
        <v>2137</v>
      </c>
      <c r="J3041" s="41" t="s">
        <v>188</v>
      </c>
      <c r="K3041" s="41"/>
      <c r="L3041" s="42"/>
    </row>
    <row r="3042">
      <c r="A3042" s="18">
        <v>3041.0</v>
      </c>
      <c r="B3042" s="76" t="s">
        <v>5134</v>
      </c>
      <c r="C3042" s="81" t="s">
        <v>5186</v>
      </c>
      <c r="D3042" s="41"/>
      <c r="E3042" s="41" t="s">
        <v>1178</v>
      </c>
      <c r="F3042" s="41" t="str">
        <f>IFERROR(__xludf.DUMMYFUNCTION("if(REGEXMATCH(C3042,""x.com"")=TRUE,""Twitter"",if(REGEXMATCH(C3042,""facebook"")=TRUE,""Facebook"",if(REGEXMATCH(C3042,""instagram"")=TRUE,""Instagram"",if(REGEXMATCH(C3042,""youtube"")=TRUE,""Youtube"",if(REGEXMATCH(C3042,""tiktok"")=TRUE,""Tiktok"",if("&amp;"REGEXMATCH(C3042,""threads"")=TRUE,""Threads""))))))"),"Twitter")</f>
        <v>Twitter</v>
      </c>
      <c r="G3042" s="41" t="s">
        <v>2135</v>
      </c>
      <c r="H3042" s="41" t="s">
        <v>2136</v>
      </c>
      <c r="I3042" s="41" t="s">
        <v>2137</v>
      </c>
      <c r="J3042" s="41" t="s">
        <v>188</v>
      </c>
      <c r="K3042" s="41"/>
      <c r="L3042" s="42"/>
    </row>
    <row r="3043">
      <c r="A3043" s="18">
        <v>3042.0</v>
      </c>
      <c r="B3043" s="76" t="s">
        <v>5134</v>
      </c>
      <c r="C3043" s="81" t="s">
        <v>5187</v>
      </c>
      <c r="D3043" s="41"/>
      <c r="E3043" s="41" t="s">
        <v>1178</v>
      </c>
      <c r="F3043" s="41" t="str">
        <f>IFERROR(__xludf.DUMMYFUNCTION("if(REGEXMATCH(C3043,""x.com"")=TRUE,""Twitter"",if(REGEXMATCH(C3043,""facebook"")=TRUE,""Facebook"",if(REGEXMATCH(C3043,""instagram"")=TRUE,""Instagram"",if(REGEXMATCH(C3043,""youtube"")=TRUE,""Youtube"",if(REGEXMATCH(C3043,""tiktok"")=TRUE,""Tiktok"",if("&amp;"REGEXMATCH(C3043,""threads"")=TRUE,""Threads""))))))"),"Twitter")</f>
        <v>Twitter</v>
      </c>
      <c r="G3043" s="41" t="s">
        <v>2135</v>
      </c>
      <c r="H3043" s="41" t="s">
        <v>2136</v>
      </c>
      <c r="I3043" s="41" t="s">
        <v>2137</v>
      </c>
      <c r="J3043" s="41" t="s">
        <v>188</v>
      </c>
      <c r="K3043" s="41"/>
      <c r="L3043" s="42"/>
    </row>
    <row r="3044">
      <c r="A3044" s="18">
        <v>3043.0</v>
      </c>
      <c r="B3044" s="76" t="s">
        <v>5134</v>
      </c>
      <c r="C3044" s="81" t="s">
        <v>5188</v>
      </c>
      <c r="D3044" s="41"/>
      <c r="E3044" s="41" t="s">
        <v>1178</v>
      </c>
      <c r="F3044" s="41" t="str">
        <f>IFERROR(__xludf.DUMMYFUNCTION("if(REGEXMATCH(C3044,""x.com"")=TRUE,""Twitter"",if(REGEXMATCH(C3044,""facebook"")=TRUE,""Facebook"",if(REGEXMATCH(C3044,""instagram"")=TRUE,""Instagram"",if(REGEXMATCH(C3044,""youtube"")=TRUE,""Youtube"",if(REGEXMATCH(C3044,""tiktok"")=TRUE,""Tiktok"",if("&amp;"REGEXMATCH(C3044,""threads"")=TRUE,""Threads""))))))"),"Twitter")</f>
        <v>Twitter</v>
      </c>
      <c r="G3044" s="41" t="s">
        <v>2135</v>
      </c>
      <c r="H3044" s="41" t="s">
        <v>2136</v>
      </c>
      <c r="I3044" s="41" t="s">
        <v>2137</v>
      </c>
      <c r="J3044" s="41" t="s">
        <v>188</v>
      </c>
      <c r="K3044" s="41"/>
      <c r="L3044" s="42"/>
    </row>
    <row r="3045">
      <c r="A3045" s="18">
        <v>3044.0</v>
      </c>
      <c r="B3045" s="76" t="s">
        <v>5134</v>
      </c>
      <c r="C3045" s="81" t="s">
        <v>5189</v>
      </c>
      <c r="D3045" s="41"/>
      <c r="E3045" s="41" t="s">
        <v>1178</v>
      </c>
      <c r="F3045" s="41" t="str">
        <f>IFERROR(__xludf.DUMMYFUNCTION("if(REGEXMATCH(C3045,""x.com"")=TRUE,""Twitter"",if(REGEXMATCH(C3045,""facebook"")=TRUE,""Facebook"",if(REGEXMATCH(C3045,""instagram"")=TRUE,""Instagram"",if(REGEXMATCH(C3045,""youtube"")=TRUE,""Youtube"",if(REGEXMATCH(C3045,""tiktok"")=TRUE,""Tiktok"",if("&amp;"REGEXMATCH(C3045,""threads"")=TRUE,""Threads""))))))"),"Twitter")</f>
        <v>Twitter</v>
      </c>
      <c r="G3045" s="41" t="s">
        <v>2135</v>
      </c>
      <c r="H3045" s="41" t="s">
        <v>2136</v>
      </c>
      <c r="I3045" s="41" t="s">
        <v>2137</v>
      </c>
      <c r="J3045" s="41" t="s">
        <v>188</v>
      </c>
      <c r="K3045" s="41"/>
      <c r="L3045" s="42"/>
    </row>
    <row r="3046">
      <c r="A3046" s="18">
        <v>3045.0</v>
      </c>
      <c r="B3046" s="76" t="s">
        <v>5134</v>
      </c>
      <c r="C3046" s="81" t="s">
        <v>5190</v>
      </c>
      <c r="D3046" s="41"/>
      <c r="E3046" s="41" t="s">
        <v>1178</v>
      </c>
      <c r="F3046" s="41" t="str">
        <f>IFERROR(__xludf.DUMMYFUNCTION("if(REGEXMATCH(C3046,""x.com"")=TRUE,""Twitter"",if(REGEXMATCH(C3046,""facebook"")=TRUE,""Facebook"",if(REGEXMATCH(C3046,""instagram"")=TRUE,""Instagram"",if(REGEXMATCH(C3046,""youtube"")=TRUE,""Youtube"",if(REGEXMATCH(C3046,""tiktok"")=TRUE,""Tiktok"",if("&amp;"REGEXMATCH(C3046,""threads"")=TRUE,""Threads""))))))"),"Twitter")</f>
        <v>Twitter</v>
      </c>
      <c r="G3046" s="41" t="s">
        <v>2135</v>
      </c>
      <c r="H3046" s="41" t="s">
        <v>2136</v>
      </c>
      <c r="I3046" s="41" t="s">
        <v>2137</v>
      </c>
      <c r="J3046" s="41" t="s">
        <v>188</v>
      </c>
      <c r="K3046" s="41"/>
      <c r="L3046" s="42"/>
    </row>
    <row r="3047">
      <c r="A3047" s="18">
        <v>3046.0</v>
      </c>
      <c r="B3047" s="76" t="s">
        <v>5134</v>
      </c>
      <c r="C3047" s="81" t="s">
        <v>5191</v>
      </c>
      <c r="D3047" s="41"/>
      <c r="E3047" s="41" t="s">
        <v>1178</v>
      </c>
      <c r="F3047" s="41" t="str">
        <f>IFERROR(__xludf.DUMMYFUNCTION("if(REGEXMATCH(C3047,""x.com"")=TRUE,""Twitter"",if(REGEXMATCH(C3047,""facebook"")=TRUE,""Facebook"",if(REGEXMATCH(C3047,""instagram"")=TRUE,""Instagram"",if(REGEXMATCH(C3047,""youtube"")=TRUE,""Youtube"",if(REGEXMATCH(C3047,""tiktok"")=TRUE,""Tiktok"",if("&amp;"REGEXMATCH(C3047,""threads"")=TRUE,""Threads""))))))"),"Twitter")</f>
        <v>Twitter</v>
      </c>
      <c r="G3047" s="41" t="s">
        <v>2135</v>
      </c>
      <c r="H3047" s="41" t="s">
        <v>2136</v>
      </c>
      <c r="I3047" s="41" t="s">
        <v>2137</v>
      </c>
      <c r="J3047" s="41" t="s">
        <v>188</v>
      </c>
      <c r="K3047" s="41"/>
      <c r="L3047" s="42"/>
    </row>
    <row r="3048">
      <c r="A3048" s="18">
        <v>3047.0</v>
      </c>
      <c r="B3048" s="76" t="s">
        <v>5134</v>
      </c>
      <c r="C3048" s="81" t="s">
        <v>5192</v>
      </c>
      <c r="D3048" s="41"/>
      <c r="E3048" s="41" t="s">
        <v>1178</v>
      </c>
      <c r="F3048" s="41" t="str">
        <f>IFERROR(__xludf.DUMMYFUNCTION("if(REGEXMATCH(C3048,""x.com"")=TRUE,""Twitter"",if(REGEXMATCH(C3048,""facebook"")=TRUE,""Facebook"",if(REGEXMATCH(C3048,""instagram"")=TRUE,""Instagram"",if(REGEXMATCH(C3048,""youtube"")=TRUE,""Youtube"",if(REGEXMATCH(C3048,""tiktok"")=TRUE,""Tiktok"",if("&amp;"REGEXMATCH(C3048,""threads"")=TRUE,""Threads""))))))"),"Twitter")</f>
        <v>Twitter</v>
      </c>
      <c r="G3048" s="41" t="s">
        <v>2135</v>
      </c>
      <c r="H3048" s="41" t="s">
        <v>2136</v>
      </c>
      <c r="I3048" s="41" t="s">
        <v>2137</v>
      </c>
      <c r="J3048" s="41" t="s">
        <v>188</v>
      </c>
      <c r="K3048" s="41"/>
      <c r="L3048" s="42"/>
    </row>
    <row r="3049">
      <c r="A3049" s="18">
        <v>3048.0</v>
      </c>
      <c r="B3049" s="76" t="s">
        <v>5134</v>
      </c>
      <c r="C3049" s="40" t="s">
        <v>5193</v>
      </c>
      <c r="D3049" s="41"/>
      <c r="E3049" s="41" t="s">
        <v>2018</v>
      </c>
      <c r="F3049" s="41" t="str">
        <f>IFERROR(__xludf.DUMMYFUNCTION("if(REGEXMATCH(C3049,""x.com"")=TRUE,""Twitter"",if(REGEXMATCH(C3049,""facebook"")=TRUE,""Facebook"",if(REGEXMATCH(C3049,""instagram"")=TRUE,""Instagram"",if(REGEXMATCH(C3049,""youtube"")=TRUE,""Youtube"",if(REGEXMATCH(C3049,""tiktok"")=TRUE,""Tiktok"",if("&amp;"REGEXMATCH(C3049,""threads"")=TRUE,""Threads""))))))"),"Facebook")</f>
        <v>Facebook</v>
      </c>
      <c r="G3049" s="27" t="s">
        <v>5194</v>
      </c>
      <c r="H3049" s="41" t="s">
        <v>5195</v>
      </c>
      <c r="I3049" s="18"/>
      <c r="J3049" s="41" t="s">
        <v>188</v>
      </c>
      <c r="K3049" s="41"/>
      <c r="L3049" s="42"/>
    </row>
    <row r="3050">
      <c r="A3050" s="18">
        <v>3049.0</v>
      </c>
      <c r="B3050" s="76" t="s">
        <v>5134</v>
      </c>
      <c r="C3050" s="40" t="s">
        <v>5196</v>
      </c>
      <c r="D3050" s="41"/>
      <c r="E3050" s="41" t="s">
        <v>2018</v>
      </c>
      <c r="F3050" s="41" t="str">
        <f>IFERROR(__xludf.DUMMYFUNCTION("if(REGEXMATCH(C3050,""x.com"")=TRUE,""Twitter"",if(REGEXMATCH(C3050,""facebook"")=TRUE,""Facebook"",if(REGEXMATCH(C3050,""instagram"")=TRUE,""Instagram"",if(REGEXMATCH(C3050,""youtube"")=TRUE,""Youtube"",if(REGEXMATCH(C3050,""tiktok"")=TRUE,""Tiktok"",if("&amp;"REGEXMATCH(C3050,""threads"")=TRUE,""Threads""))))))"),"Facebook")</f>
        <v>Facebook</v>
      </c>
      <c r="G3050" s="27" t="s">
        <v>5197</v>
      </c>
      <c r="H3050" s="41" t="s">
        <v>5195</v>
      </c>
      <c r="I3050" s="18"/>
      <c r="J3050" s="41" t="s">
        <v>188</v>
      </c>
      <c r="K3050" s="41"/>
      <c r="L3050" s="42"/>
    </row>
    <row r="3051">
      <c r="A3051" s="18">
        <v>3050.0</v>
      </c>
      <c r="B3051" s="76" t="s">
        <v>5134</v>
      </c>
      <c r="C3051" s="40" t="s">
        <v>5198</v>
      </c>
      <c r="D3051" s="41"/>
      <c r="E3051" s="41" t="s">
        <v>2018</v>
      </c>
      <c r="F3051" s="41" t="str">
        <f>IFERROR(__xludf.DUMMYFUNCTION("if(REGEXMATCH(C3051,""x.com"")=TRUE,""Twitter"",if(REGEXMATCH(C3051,""facebook"")=TRUE,""Facebook"",if(REGEXMATCH(C3051,""instagram"")=TRUE,""Instagram"",if(REGEXMATCH(C3051,""youtube"")=TRUE,""Youtube"",if(REGEXMATCH(C3051,""tiktok"")=TRUE,""Tiktok"",if("&amp;"REGEXMATCH(C3051,""threads"")=TRUE,""Threads""))))))"),"Tiktok")</f>
        <v>Tiktok</v>
      </c>
      <c r="G3051" s="27" t="s">
        <v>5199</v>
      </c>
      <c r="H3051" s="41" t="s">
        <v>5195</v>
      </c>
      <c r="I3051" s="18"/>
      <c r="J3051" s="41" t="s">
        <v>188</v>
      </c>
      <c r="K3051" s="41"/>
      <c r="L3051" s="42"/>
    </row>
    <row r="3052">
      <c r="A3052" s="18">
        <v>3051.0</v>
      </c>
      <c r="B3052" s="76" t="s">
        <v>5134</v>
      </c>
      <c r="C3052" s="40" t="s">
        <v>5200</v>
      </c>
      <c r="D3052" s="41"/>
      <c r="E3052" s="41" t="s">
        <v>2018</v>
      </c>
      <c r="F3052" s="41" t="str">
        <f>IFERROR(__xludf.DUMMYFUNCTION("if(REGEXMATCH(C3052,""x.com"")=TRUE,""Twitter"",if(REGEXMATCH(C3052,""facebook"")=TRUE,""Facebook"",if(REGEXMATCH(C3052,""instagram"")=TRUE,""Instagram"",if(REGEXMATCH(C3052,""youtube"")=TRUE,""Youtube"",if(REGEXMATCH(C3052,""tiktok"")=TRUE,""Tiktok"",if("&amp;"REGEXMATCH(C3052,""threads"")=TRUE,""Threads""))))))"),"Tiktok")</f>
        <v>Tiktok</v>
      </c>
      <c r="G3052" s="44" t="s">
        <v>5201</v>
      </c>
      <c r="H3052" s="41" t="s">
        <v>5195</v>
      </c>
      <c r="I3052" s="18"/>
      <c r="J3052" s="41" t="s">
        <v>188</v>
      </c>
      <c r="K3052" s="41"/>
      <c r="L3052" s="42"/>
    </row>
    <row r="3053">
      <c r="A3053" s="18">
        <v>3052.0</v>
      </c>
      <c r="B3053" s="76" t="s">
        <v>5202</v>
      </c>
      <c r="C3053" s="40" t="s">
        <v>5203</v>
      </c>
      <c r="D3053" s="41"/>
      <c r="E3053" s="41" t="s">
        <v>197</v>
      </c>
      <c r="F3053" s="41" t="str">
        <f>IFERROR(__xludf.DUMMYFUNCTION("if(REGEXMATCH(C3053,""x.com"")=TRUE,""Twitter"",if(REGEXMATCH(C3053,""facebook"")=TRUE,""Facebook"",if(REGEXMATCH(C3053,""instagram"")=TRUE,""Instagram"",if(REGEXMATCH(C3053,""youtube"")=TRUE,""Youtube"",if(REGEXMATCH(C3053,""tiktok"")=TRUE,""Tiktok"",if("&amp;"REGEXMATCH(C3053,""threads"")=TRUE,""Threads""))))))"),"Tiktok")</f>
        <v>Tiktok</v>
      </c>
      <c r="G3053" s="41" t="s">
        <v>5204</v>
      </c>
      <c r="H3053" s="43" t="s">
        <v>779</v>
      </c>
      <c r="I3053" s="43" t="s">
        <v>535</v>
      </c>
      <c r="J3053" s="41" t="s">
        <v>188</v>
      </c>
      <c r="K3053" s="41"/>
      <c r="L3053" s="42"/>
    </row>
    <row r="3054">
      <c r="A3054" s="18">
        <v>3053.0</v>
      </c>
      <c r="B3054" s="76" t="s">
        <v>5202</v>
      </c>
      <c r="C3054" s="40" t="s">
        <v>5205</v>
      </c>
      <c r="D3054" s="41"/>
      <c r="E3054" s="41" t="s">
        <v>197</v>
      </c>
      <c r="F3054" s="41" t="str">
        <f>IFERROR(__xludf.DUMMYFUNCTION("if(REGEXMATCH(C3054,""x.com"")=TRUE,""Twitter"",if(REGEXMATCH(C3054,""facebook"")=TRUE,""Facebook"",if(REGEXMATCH(C3054,""instagram"")=TRUE,""Instagram"",if(REGEXMATCH(C3054,""youtube"")=TRUE,""Youtube"",if(REGEXMATCH(C3054,""tiktok"")=TRUE,""Tiktok"",if("&amp;"REGEXMATCH(C3054,""threads"")=TRUE,""Threads""))))))"),"Tiktok")</f>
        <v>Tiktok</v>
      </c>
      <c r="G3054" s="41" t="s">
        <v>5204</v>
      </c>
      <c r="H3054" s="36"/>
      <c r="I3054" s="36"/>
      <c r="J3054" s="41" t="s">
        <v>188</v>
      </c>
      <c r="K3054" s="41"/>
      <c r="L3054" s="42"/>
    </row>
    <row r="3055">
      <c r="A3055" s="18">
        <v>3054.0</v>
      </c>
      <c r="B3055" s="76" t="s">
        <v>5202</v>
      </c>
      <c r="C3055" s="40" t="s">
        <v>5206</v>
      </c>
      <c r="D3055" s="41"/>
      <c r="E3055" s="41" t="s">
        <v>197</v>
      </c>
      <c r="F3055" s="41" t="str">
        <f>IFERROR(__xludf.DUMMYFUNCTION("if(REGEXMATCH(C3055,""x.com"")=TRUE,""Twitter"",if(REGEXMATCH(C3055,""facebook"")=TRUE,""Facebook"",if(REGEXMATCH(C3055,""instagram"")=TRUE,""Instagram"",if(REGEXMATCH(C3055,""youtube"")=TRUE,""Youtube"",if(REGEXMATCH(C3055,""tiktok"")=TRUE,""Tiktok"",if("&amp;"REGEXMATCH(C3055,""threads"")=TRUE,""Threads""))))))"),"Tiktok")</f>
        <v>Tiktok</v>
      </c>
      <c r="G3055" s="41" t="s">
        <v>5207</v>
      </c>
      <c r="H3055" s="36"/>
      <c r="I3055" s="36"/>
      <c r="J3055" s="41" t="s">
        <v>188</v>
      </c>
      <c r="K3055" s="41"/>
      <c r="L3055" s="42"/>
    </row>
    <row r="3056">
      <c r="A3056" s="18">
        <v>3055.0</v>
      </c>
      <c r="B3056" s="76" t="s">
        <v>5202</v>
      </c>
      <c r="C3056" s="40" t="s">
        <v>5208</v>
      </c>
      <c r="D3056" s="41"/>
      <c r="E3056" s="41" t="s">
        <v>197</v>
      </c>
      <c r="F3056" s="41" t="str">
        <f>IFERROR(__xludf.DUMMYFUNCTION("if(REGEXMATCH(C3056,""x.com"")=TRUE,""Twitter"",if(REGEXMATCH(C3056,""facebook"")=TRUE,""Facebook"",if(REGEXMATCH(C3056,""instagram"")=TRUE,""Instagram"",if(REGEXMATCH(C3056,""youtube"")=TRUE,""Youtube"",if(REGEXMATCH(C3056,""tiktok"")=TRUE,""Tiktok"",if("&amp;"REGEXMATCH(C3056,""threads"")=TRUE,""Threads""))))))"),"Twitter")</f>
        <v>Twitter</v>
      </c>
      <c r="G3056" s="41" t="s">
        <v>5209</v>
      </c>
      <c r="H3056" s="36"/>
      <c r="I3056" s="36"/>
      <c r="J3056" s="41" t="s">
        <v>188</v>
      </c>
      <c r="K3056" s="41"/>
      <c r="L3056" s="42"/>
    </row>
    <row r="3057">
      <c r="A3057" s="18">
        <v>3056.0</v>
      </c>
      <c r="B3057" s="76" t="s">
        <v>5202</v>
      </c>
      <c r="C3057" s="40" t="s">
        <v>5210</v>
      </c>
      <c r="D3057" s="41"/>
      <c r="E3057" s="41" t="s">
        <v>197</v>
      </c>
      <c r="F3057" s="41" t="str">
        <f>IFERROR(__xludf.DUMMYFUNCTION("if(REGEXMATCH(C3057,""x.com"")=TRUE,""Twitter"",if(REGEXMATCH(C3057,""facebook"")=TRUE,""Facebook"",if(REGEXMATCH(C3057,""instagram"")=TRUE,""Instagram"",if(REGEXMATCH(C3057,""youtube"")=TRUE,""Youtube"",if(REGEXMATCH(C3057,""tiktok"")=TRUE,""Tiktok"",if("&amp;"REGEXMATCH(C3057,""threads"")=TRUE,""Threads""))))))"),"Twitter")</f>
        <v>Twitter</v>
      </c>
      <c r="G3057" s="41" t="s">
        <v>5211</v>
      </c>
      <c r="H3057" s="36"/>
      <c r="I3057" s="36"/>
      <c r="J3057" s="41" t="s">
        <v>188</v>
      </c>
      <c r="K3057" s="41"/>
      <c r="L3057" s="42"/>
    </row>
    <row r="3058">
      <c r="A3058" s="18">
        <v>3057.0</v>
      </c>
      <c r="B3058" s="76" t="s">
        <v>5202</v>
      </c>
      <c r="C3058" s="40" t="s">
        <v>5212</v>
      </c>
      <c r="D3058" s="41"/>
      <c r="E3058" s="41" t="s">
        <v>3329</v>
      </c>
      <c r="F3058" s="41" t="str">
        <f>IFERROR(__xludf.DUMMYFUNCTION("if(REGEXMATCH(C3058,""x.com"")=TRUE,""Twitter"",if(REGEXMATCH(C3058,""facebook"")=TRUE,""Facebook"",if(REGEXMATCH(C3058,""instagram"")=TRUE,""Instagram"",if(REGEXMATCH(C3058,""youtube"")=TRUE,""Youtube"",if(REGEXMATCH(C3058,""tiktok"")=TRUE,""Tiktok"",if("&amp;"REGEXMATCH(C3058,""threads"")=TRUE,""Threads""))))))"),"Tiktok")</f>
        <v>Tiktok</v>
      </c>
      <c r="G3058" s="41" t="s">
        <v>5213</v>
      </c>
      <c r="H3058" s="36"/>
      <c r="I3058" s="36"/>
      <c r="J3058" s="41" t="s">
        <v>188</v>
      </c>
      <c r="K3058" s="41"/>
      <c r="L3058" s="42"/>
    </row>
    <row r="3059">
      <c r="A3059" s="18">
        <v>3058.0</v>
      </c>
      <c r="B3059" s="76" t="s">
        <v>5202</v>
      </c>
      <c r="C3059" s="40" t="s">
        <v>5214</v>
      </c>
      <c r="D3059" s="41"/>
      <c r="E3059" s="41" t="s">
        <v>197</v>
      </c>
      <c r="F3059" s="41" t="str">
        <f>IFERROR(__xludf.DUMMYFUNCTION("if(REGEXMATCH(C3059,""x.com"")=TRUE,""Twitter"",if(REGEXMATCH(C3059,""facebook"")=TRUE,""Facebook"",if(REGEXMATCH(C3059,""instagram"")=TRUE,""Instagram"",if(REGEXMATCH(C3059,""youtube"")=TRUE,""Youtube"",if(REGEXMATCH(C3059,""tiktok"")=TRUE,""Tiktok"",if("&amp;"REGEXMATCH(C3059,""threads"")=TRUE,""Threads""))))))"),"Twitter")</f>
        <v>Twitter</v>
      </c>
      <c r="G3059" s="41" t="s">
        <v>5215</v>
      </c>
      <c r="H3059" s="36"/>
      <c r="I3059" s="36"/>
      <c r="J3059" s="41" t="s">
        <v>188</v>
      </c>
      <c r="K3059" s="41"/>
      <c r="L3059" s="42"/>
    </row>
    <row r="3060">
      <c r="A3060" s="18">
        <v>3059.0</v>
      </c>
      <c r="B3060" s="76" t="s">
        <v>5202</v>
      </c>
      <c r="C3060" s="40" t="s">
        <v>5216</v>
      </c>
      <c r="D3060" s="41"/>
      <c r="E3060" s="41" t="s">
        <v>197</v>
      </c>
      <c r="F3060" s="41" t="str">
        <f>IFERROR(__xludf.DUMMYFUNCTION("if(REGEXMATCH(C3060,""x.com"")=TRUE,""Twitter"",if(REGEXMATCH(C3060,""facebook"")=TRUE,""Facebook"",if(REGEXMATCH(C3060,""instagram"")=TRUE,""Instagram"",if(REGEXMATCH(C3060,""youtube"")=TRUE,""Youtube"",if(REGEXMATCH(C3060,""tiktok"")=TRUE,""Tiktok"",if("&amp;"REGEXMATCH(C3060,""threads"")=TRUE,""Threads""))))))"),"Twitter")</f>
        <v>Twitter</v>
      </c>
      <c r="G3060" s="41" t="s">
        <v>5215</v>
      </c>
      <c r="H3060" s="36"/>
      <c r="I3060" s="36"/>
      <c r="J3060" s="41" t="s">
        <v>188</v>
      </c>
      <c r="K3060" s="41"/>
      <c r="L3060" s="42"/>
    </row>
    <row r="3061">
      <c r="A3061" s="18">
        <v>3060.0</v>
      </c>
      <c r="B3061" s="76" t="s">
        <v>5202</v>
      </c>
      <c r="C3061" s="40" t="s">
        <v>5217</v>
      </c>
      <c r="D3061" s="41"/>
      <c r="E3061" s="41" t="s">
        <v>197</v>
      </c>
      <c r="F3061" s="41" t="str">
        <f>IFERROR(__xludf.DUMMYFUNCTION("if(REGEXMATCH(C3061,""x.com"")=TRUE,""Twitter"",if(REGEXMATCH(C3061,""facebook"")=TRUE,""Facebook"",if(REGEXMATCH(C3061,""instagram"")=TRUE,""Instagram"",if(REGEXMATCH(C3061,""youtube"")=TRUE,""Youtube"",if(REGEXMATCH(C3061,""tiktok"")=TRUE,""Tiktok"",if("&amp;"REGEXMATCH(C3061,""threads"")=TRUE,""Threads""))))))"),"Twitter")</f>
        <v>Twitter</v>
      </c>
      <c r="G3061" s="41" t="s">
        <v>5218</v>
      </c>
      <c r="H3061" s="36"/>
      <c r="I3061" s="36"/>
      <c r="J3061" s="41" t="s">
        <v>188</v>
      </c>
      <c r="K3061" s="41"/>
      <c r="L3061" s="42"/>
    </row>
    <row r="3062">
      <c r="A3062" s="18">
        <v>3061.0</v>
      </c>
      <c r="B3062" s="76" t="s">
        <v>5202</v>
      </c>
      <c r="C3062" s="40" t="s">
        <v>5219</v>
      </c>
      <c r="D3062" s="41"/>
      <c r="E3062" s="41" t="s">
        <v>197</v>
      </c>
      <c r="F3062" s="41" t="str">
        <f>IFERROR(__xludf.DUMMYFUNCTION("if(REGEXMATCH(C3062,""x.com"")=TRUE,""Twitter"",if(REGEXMATCH(C3062,""facebook"")=TRUE,""Facebook"",if(REGEXMATCH(C3062,""instagram"")=TRUE,""Instagram"",if(REGEXMATCH(C3062,""youtube"")=TRUE,""Youtube"",if(REGEXMATCH(C3062,""tiktok"")=TRUE,""Tiktok"",if("&amp;"REGEXMATCH(C3062,""threads"")=TRUE,""Threads""))))))"),"Twitter")</f>
        <v>Twitter</v>
      </c>
      <c r="G3062" s="41" t="s">
        <v>5218</v>
      </c>
      <c r="H3062" s="36"/>
      <c r="I3062" s="36"/>
      <c r="J3062" s="41" t="s">
        <v>188</v>
      </c>
      <c r="K3062" s="41"/>
      <c r="L3062" s="42"/>
    </row>
    <row r="3063">
      <c r="A3063" s="18">
        <v>3062.0</v>
      </c>
      <c r="B3063" s="76" t="s">
        <v>5202</v>
      </c>
      <c r="C3063" s="40" t="s">
        <v>5220</v>
      </c>
      <c r="D3063" s="41"/>
      <c r="E3063" s="41" t="s">
        <v>557</v>
      </c>
      <c r="F3063" s="41" t="str">
        <f>IFERROR(__xludf.DUMMYFUNCTION("if(REGEXMATCH(C3063,""x.com"")=TRUE,""Twitter"",if(REGEXMATCH(C3063,""facebook"")=TRUE,""Facebook"",if(REGEXMATCH(C3063,""instagram"")=TRUE,""Instagram"",if(REGEXMATCH(C3063,""youtube"")=TRUE,""Youtube"",if(REGEXMATCH(C3063,""tiktok"")=TRUE,""Tiktok"",if("&amp;"REGEXMATCH(C3063,""threads"")=TRUE,""Threads""))))))"),"Twitter")</f>
        <v>Twitter</v>
      </c>
      <c r="G3063" s="41" t="s">
        <v>5221</v>
      </c>
      <c r="H3063" s="35"/>
      <c r="I3063" s="35"/>
      <c r="J3063" s="41" t="s">
        <v>188</v>
      </c>
      <c r="K3063" s="41"/>
      <c r="L3063" s="42"/>
    </row>
    <row r="3064">
      <c r="A3064" s="18">
        <v>3063.0</v>
      </c>
      <c r="B3064" s="76" t="s">
        <v>5202</v>
      </c>
      <c r="C3064" s="40" t="s">
        <v>5222</v>
      </c>
      <c r="D3064" s="18"/>
      <c r="E3064" s="18" t="s">
        <v>3684</v>
      </c>
      <c r="F3064" s="41" t="str">
        <f>IFERROR(__xludf.DUMMYFUNCTION("if(REGEXMATCH(C3064,""x.com"")=TRUE,""Twitter"",if(REGEXMATCH(C3064,""facebook"")=TRUE,""Facebook"",if(REGEXMATCH(C3064,""instagram"")=TRUE,""Instagram"",if(REGEXMATCH(C3064,""youtube"")=TRUE,""Youtube"",if(REGEXMATCH(C3064,""tiktok"")=TRUE,""Tiktok"",if("&amp;"REGEXMATCH(C3064,""threads"")=TRUE,""Threads""))))))"),"Facebook")</f>
        <v>Facebook</v>
      </c>
      <c r="G3064" s="27" t="s">
        <v>5223</v>
      </c>
      <c r="H3064" s="18" t="s">
        <v>4980</v>
      </c>
      <c r="I3064" s="18"/>
      <c r="J3064" s="41" t="s">
        <v>188</v>
      </c>
      <c r="K3064" s="41" t="s">
        <v>1704</v>
      </c>
      <c r="L3064" s="42"/>
    </row>
    <row r="3065">
      <c r="A3065" s="18">
        <v>3064.0</v>
      </c>
      <c r="B3065" s="76" t="s">
        <v>5202</v>
      </c>
      <c r="C3065" s="44" t="s">
        <v>5224</v>
      </c>
      <c r="D3065" s="18"/>
      <c r="E3065" s="18" t="s">
        <v>3684</v>
      </c>
      <c r="F3065" s="41" t="str">
        <f>IFERROR(__xludf.DUMMYFUNCTION("if(REGEXMATCH(C3065,""x.com"")=TRUE,""Twitter"",if(REGEXMATCH(C3065,""facebook"")=TRUE,""Facebook"",if(REGEXMATCH(C3065,""instagram"")=TRUE,""Instagram"",if(REGEXMATCH(C3065,""youtube"")=TRUE,""Youtube"",if(REGEXMATCH(C3065,""tiktok"")=TRUE,""Tiktok"",if("&amp;"REGEXMATCH(C3065,""threads"")=TRUE,""Threads""))))))"),"Facebook")</f>
        <v>Facebook</v>
      </c>
      <c r="G3065" s="27" t="s">
        <v>5225</v>
      </c>
      <c r="H3065" s="18" t="s">
        <v>4980</v>
      </c>
      <c r="I3065" s="41"/>
      <c r="J3065" s="41" t="s">
        <v>188</v>
      </c>
      <c r="K3065" s="41" t="s">
        <v>1704</v>
      </c>
      <c r="L3065" s="42"/>
    </row>
    <row r="3066">
      <c r="A3066" s="18">
        <v>3065.0</v>
      </c>
      <c r="B3066" s="76" t="s">
        <v>5202</v>
      </c>
      <c r="C3066" s="40" t="s">
        <v>5226</v>
      </c>
      <c r="D3066" s="18"/>
      <c r="E3066" s="18" t="s">
        <v>3684</v>
      </c>
      <c r="F3066" s="41" t="str">
        <f>IFERROR(__xludf.DUMMYFUNCTION("if(REGEXMATCH(C3066,""x.com"")=TRUE,""Twitter"",if(REGEXMATCH(C3066,""facebook"")=TRUE,""Facebook"",if(REGEXMATCH(C3066,""instagram"")=TRUE,""Instagram"",if(REGEXMATCH(C3066,""youtube"")=TRUE,""Youtube"",if(REGEXMATCH(C3066,""tiktok"")=TRUE,""Tiktok"",if("&amp;"REGEXMATCH(C3066,""threads"")=TRUE,""Threads""))))))"),"Tiktok")</f>
        <v>Tiktok</v>
      </c>
      <c r="G3066" s="27" t="s">
        <v>5227</v>
      </c>
      <c r="H3066" s="18" t="s">
        <v>5228</v>
      </c>
      <c r="I3066" s="41"/>
      <c r="J3066" s="41" t="s">
        <v>188</v>
      </c>
      <c r="K3066" s="41" t="s">
        <v>1704</v>
      </c>
      <c r="L3066" s="42"/>
    </row>
    <row r="3067">
      <c r="A3067" s="18">
        <v>3066.0</v>
      </c>
      <c r="B3067" s="76" t="s">
        <v>5202</v>
      </c>
      <c r="C3067" s="44" t="s">
        <v>5229</v>
      </c>
      <c r="D3067" s="18"/>
      <c r="E3067" s="18" t="s">
        <v>3684</v>
      </c>
      <c r="F3067" s="41" t="str">
        <f>IFERROR(__xludf.DUMMYFUNCTION("if(REGEXMATCH(C3067,""x.com"")=TRUE,""Twitter"",if(REGEXMATCH(C3067,""facebook"")=TRUE,""Facebook"",if(REGEXMATCH(C3067,""instagram"")=TRUE,""Instagram"",if(REGEXMATCH(C3067,""youtube"")=TRUE,""Youtube"",if(REGEXMATCH(C3067,""tiktok"")=TRUE,""Tiktok"",if("&amp;"REGEXMATCH(C3067,""threads"")=TRUE,""Threads""))))))"),"Tiktok")</f>
        <v>Tiktok</v>
      </c>
      <c r="G3067" s="27" t="s">
        <v>5230</v>
      </c>
      <c r="H3067" s="18" t="s">
        <v>5228</v>
      </c>
      <c r="I3067" s="41"/>
      <c r="J3067" s="41" t="s">
        <v>188</v>
      </c>
      <c r="K3067" s="18" t="s">
        <v>1704</v>
      </c>
      <c r="L3067" s="42"/>
    </row>
    <row r="3068">
      <c r="A3068" s="18">
        <v>3067.0</v>
      </c>
      <c r="B3068" s="76" t="s">
        <v>5231</v>
      </c>
      <c r="C3068" s="40" t="s">
        <v>5232</v>
      </c>
      <c r="D3068" s="41"/>
      <c r="E3068" s="41" t="s">
        <v>197</v>
      </c>
      <c r="F3068" s="41" t="str">
        <f>IFERROR(__xludf.DUMMYFUNCTION("if(REGEXMATCH(C3068,""x.com"")=TRUE,""Twitter"",if(REGEXMATCH(C3068,""facebook"")=TRUE,""Facebook"",if(REGEXMATCH(C3068,""instagram"")=TRUE,""Instagram"",if(REGEXMATCH(C3068,""youtube"")=TRUE,""Youtube"",if(REGEXMATCH(C3068,""tiktok"")=TRUE,""Tiktok"",if("&amp;"REGEXMATCH(C3068,""threads"")=TRUE,""Threads""))))))"),"Facebook")</f>
        <v>Facebook</v>
      </c>
      <c r="G3068" s="41" t="s">
        <v>5233</v>
      </c>
      <c r="H3068" s="43" t="s">
        <v>779</v>
      </c>
      <c r="I3068" s="43" t="s">
        <v>535</v>
      </c>
      <c r="J3068" s="41" t="s">
        <v>422</v>
      </c>
      <c r="K3068" s="41" t="s">
        <v>1611</v>
      </c>
      <c r="L3068" s="42"/>
    </row>
    <row r="3069">
      <c r="A3069" s="18">
        <v>3068.0</v>
      </c>
      <c r="B3069" s="76" t="s">
        <v>5231</v>
      </c>
      <c r="C3069" s="40" t="s">
        <v>5234</v>
      </c>
      <c r="D3069" s="41"/>
      <c r="E3069" s="41" t="s">
        <v>197</v>
      </c>
      <c r="F3069" s="41" t="str">
        <f>IFERROR(__xludf.DUMMYFUNCTION("if(REGEXMATCH(C3069,""x.com"")=TRUE,""Twitter"",if(REGEXMATCH(C3069,""facebook"")=TRUE,""Facebook"",if(REGEXMATCH(C3069,""instagram"")=TRUE,""Instagram"",if(REGEXMATCH(C3069,""youtube"")=TRUE,""Youtube"",if(REGEXMATCH(C3069,""tiktok"")=TRUE,""Tiktok"",if("&amp;"REGEXMATCH(C3069,""threads"")=TRUE,""Threads""))))))"),"Facebook")</f>
        <v>Facebook</v>
      </c>
      <c r="G3069" s="41" t="s">
        <v>5235</v>
      </c>
      <c r="H3069" s="36"/>
      <c r="I3069" s="36"/>
      <c r="J3069" s="41" t="s">
        <v>422</v>
      </c>
      <c r="K3069" s="41" t="s">
        <v>1611</v>
      </c>
      <c r="L3069" s="42"/>
    </row>
    <row r="3070">
      <c r="A3070" s="18">
        <v>3069.0</v>
      </c>
      <c r="B3070" s="76" t="s">
        <v>5231</v>
      </c>
      <c r="C3070" s="40" t="s">
        <v>5236</v>
      </c>
      <c r="D3070" s="41"/>
      <c r="E3070" s="41" t="s">
        <v>197</v>
      </c>
      <c r="F3070" s="41" t="str">
        <f>IFERROR(__xludf.DUMMYFUNCTION("if(REGEXMATCH(C3070,""x.com"")=TRUE,""Twitter"",if(REGEXMATCH(C3070,""facebook"")=TRUE,""Facebook"",if(REGEXMATCH(C3070,""instagram"")=TRUE,""Instagram"",if(REGEXMATCH(C3070,""youtube"")=TRUE,""Youtube"",if(REGEXMATCH(C3070,""tiktok"")=TRUE,""Tiktok"",if("&amp;"REGEXMATCH(C3070,""threads"")=TRUE,""Threads""))))))"),"Facebook")</f>
        <v>Facebook</v>
      </c>
      <c r="G3070" s="41" t="s">
        <v>5237</v>
      </c>
      <c r="H3070" s="36"/>
      <c r="I3070" s="36"/>
      <c r="J3070" s="41" t="s">
        <v>422</v>
      </c>
      <c r="K3070" s="41" t="s">
        <v>1611</v>
      </c>
      <c r="L3070" s="42"/>
    </row>
    <row r="3071">
      <c r="A3071" s="18">
        <v>3070.0</v>
      </c>
      <c r="B3071" s="76" t="s">
        <v>5231</v>
      </c>
      <c r="C3071" s="40" t="s">
        <v>5238</v>
      </c>
      <c r="D3071" s="41"/>
      <c r="E3071" s="41" t="s">
        <v>557</v>
      </c>
      <c r="F3071" s="41" t="str">
        <f>IFERROR(__xludf.DUMMYFUNCTION("if(REGEXMATCH(C3071,""x.com"")=TRUE,""Twitter"",if(REGEXMATCH(C3071,""facebook"")=TRUE,""Facebook"",if(REGEXMATCH(C3071,""instagram"")=TRUE,""Instagram"",if(REGEXMATCH(C3071,""youtube"")=TRUE,""Youtube"",if(REGEXMATCH(C3071,""tiktok"")=TRUE,""Tiktok"",if("&amp;"REGEXMATCH(C3071,""threads"")=TRUE,""Threads""))))))"),"Facebook")</f>
        <v>Facebook</v>
      </c>
      <c r="G3071" s="41" t="s">
        <v>5239</v>
      </c>
      <c r="H3071" s="36"/>
      <c r="I3071" s="36"/>
      <c r="J3071" s="41" t="s">
        <v>422</v>
      </c>
      <c r="K3071" s="41" t="s">
        <v>1611</v>
      </c>
      <c r="L3071" s="42"/>
    </row>
    <row r="3072">
      <c r="A3072" s="18">
        <v>3071.0</v>
      </c>
      <c r="B3072" s="76" t="s">
        <v>5231</v>
      </c>
      <c r="C3072" s="40" t="s">
        <v>5240</v>
      </c>
      <c r="D3072" s="41"/>
      <c r="E3072" s="41" t="s">
        <v>557</v>
      </c>
      <c r="F3072" s="41" t="str">
        <f>IFERROR(__xludf.DUMMYFUNCTION("if(REGEXMATCH(C3072,""x.com"")=TRUE,""Twitter"",if(REGEXMATCH(C3072,""facebook"")=TRUE,""Facebook"",if(REGEXMATCH(C3072,""instagram"")=TRUE,""Instagram"",if(REGEXMATCH(C3072,""youtube"")=TRUE,""Youtube"",if(REGEXMATCH(C3072,""tiktok"")=TRUE,""Tiktok"",if("&amp;"REGEXMATCH(C3072,""threads"")=TRUE,""Threads""))))))"),"Facebook")</f>
        <v>Facebook</v>
      </c>
      <c r="G3072" s="41" t="s">
        <v>5241</v>
      </c>
      <c r="H3072" s="36"/>
      <c r="I3072" s="36"/>
      <c r="J3072" s="41" t="s">
        <v>422</v>
      </c>
      <c r="K3072" s="41" t="s">
        <v>1611</v>
      </c>
      <c r="L3072" s="42"/>
    </row>
    <row r="3073">
      <c r="A3073" s="18">
        <v>3072.0</v>
      </c>
      <c r="B3073" s="76" t="s">
        <v>5231</v>
      </c>
      <c r="C3073" s="40" t="s">
        <v>5242</v>
      </c>
      <c r="D3073" s="41"/>
      <c r="E3073" s="41" t="s">
        <v>557</v>
      </c>
      <c r="F3073" s="41" t="str">
        <f>IFERROR(__xludf.DUMMYFUNCTION("if(REGEXMATCH(C3073,""x.com"")=TRUE,""Twitter"",if(REGEXMATCH(C3073,""facebook"")=TRUE,""Facebook"",if(REGEXMATCH(C3073,""instagram"")=TRUE,""Instagram"",if(REGEXMATCH(C3073,""youtube"")=TRUE,""Youtube"",if(REGEXMATCH(C3073,""tiktok"")=TRUE,""Tiktok"",if("&amp;"REGEXMATCH(C3073,""threads"")=TRUE,""Threads""))))))"),"Facebook")</f>
        <v>Facebook</v>
      </c>
      <c r="G3073" s="41" t="s">
        <v>5243</v>
      </c>
      <c r="H3073" s="36"/>
      <c r="I3073" s="36"/>
      <c r="J3073" s="41" t="s">
        <v>422</v>
      </c>
      <c r="K3073" s="41" t="s">
        <v>1611</v>
      </c>
      <c r="L3073" s="42"/>
    </row>
    <row r="3074">
      <c r="A3074" s="18">
        <v>3073.0</v>
      </c>
      <c r="B3074" s="76" t="s">
        <v>5231</v>
      </c>
      <c r="C3074" s="40" t="s">
        <v>5244</v>
      </c>
      <c r="D3074" s="41"/>
      <c r="E3074" s="41" t="s">
        <v>557</v>
      </c>
      <c r="F3074" s="41" t="str">
        <f>IFERROR(__xludf.DUMMYFUNCTION("if(REGEXMATCH(C3074,""x.com"")=TRUE,""Twitter"",if(REGEXMATCH(C3074,""facebook"")=TRUE,""Facebook"",if(REGEXMATCH(C3074,""instagram"")=TRUE,""Instagram"",if(REGEXMATCH(C3074,""youtube"")=TRUE,""Youtube"",if(REGEXMATCH(C3074,""tiktok"")=TRUE,""Tiktok"",if("&amp;"REGEXMATCH(C3074,""threads"")=TRUE,""Threads""))))))"),"Facebook")</f>
        <v>Facebook</v>
      </c>
      <c r="G3074" s="41" t="s">
        <v>5245</v>
      </c>
      <c r="H3074" s="36"/>
      <c r="I3074" s="36"/>
      <c r="J3074" s="41" t="s">
        <v>422</v>
      </c>
      <c r="K3074" s="41" t="s">
        <v>1611</v>
      </c>
      <c r="L3074" s="42"/>
    </row>
    <row r="3075">
      <c r="A3075" s="18">
        <v>3074.0</v>
      </c>
      <c r="B3075" s="76" t="s">
        <v>5231</v>
      </c>
      <c r="C3075" s="40" t="s">
        <v>5246</v>
      </c>
      <c r="D3075" s="41" t="s">
        <v>3472</v>
      </c>
      <c r="E3075" s="41" t="s">
        <v>557</v>
      </c>
      <c r="F3075" s="41" t="str">
        <f>IFERROR(__xludf.DUMMYFUNCTION("if(REGEXMATCH(C3075,""x.com"")=TRUE,""Twitter"",if(REGEXMATCH(C3075,""facebook"")=TRUE,""Facebook"",if(REGEXMATCH(C3075,""instagram"")=TRUE,""Instagram"",if(REGEXMATCH(C3075,""youtube"")=TRUE,""Youtube"",if(REGEXMATCH(C3075,""tiktok"")=TRUE,""Tiktok"",if("&amp;"REGEXMATCH(C3075,""threads"")=TRUE,""Threads""))))))"),"Tiktok")</f>
        <v>Tiktok</v>
      </c>
      <c r="G3075" s="41" t="s">
        <v>5247</v>
      </c>
      <c r="H3075" s="36"/>
      <c r="I3075" s="36"/>
      <c r="J3075" s="41" t="s">
        <v>422</v>
      </c>
      <c r="K3075" s="41" t="s">
        <v>1611</v>
      </c>
      <c r="L3075" s="42"/>
    </row>
    <row r="3076">
      <c r="A3076" s="18">
        <v>3075.0</v>
      </c>
      <c r="B3076" s="76" t="s">
        <v>5231</v>
      </c>
      <c r="C3076" s="40" t="s">
        <v>5248</v>
      </c>
      <c r="D3076" s="41"/>
      <c r="E3076" s="41" t="s">
        <v>557</v>
      </c>
      <c r="F3076" s="41" t="str">
        <f>IFERROR(__xludf.DUMMYFUNCTION("if(REGEXMATCH(C3076,""x.com"")=TRUE,""Twitter"",if(REGEXMATCH(C3076,""facebook"")=TRUE,""Facebook"",if(REGEXMATCH(C3076,""instagram"")=TRUE,""Instagram"",if(REGEXMATCH(C3076,""youtube"")=TRUE,""Youtube"",if(REGEXMATCH(C3076,""tiktok"")=TRUE,""Tiktok"",if("&amp;"REGEXMATCH(C3076,""threads"")=TRUE,""Threads""))))))"),"Tiktok")</f>
        <v>Tiktok</v>
      </c>
      <c r="G3076" s="41" t="s">
        <v>5249</v>
      </c>
      <c r="H3076" s="36"/>
      <c r="I3076" s="36"/>
      <c r="J3076" s="41" t="s">
        <v>422</v>
      </c>
      <c r="K3076" s="41"/>
      <c r="L3076" s="42"/>
    </row>
    <row r="3077">
      <c r="A3077" s="18">
        <v>3076.0</v>
      </c>
      <c r="B3077" s="76" t="s">
        <v>5231</v>
      </c>
      <c r="C3077" s="40" t="s">
        <v>5250</v>
      </c>
      <c r="D3077" s="41"/>
      <c r="E3077" s="41" t="s">
        <v>4703</v>
      </c>
      <c r="F3077" s="41" t="str">
        <f>IFERROR(__xludf.DUMMYFUNCTION("if(REGEXMATCH(C3077,""x.com"")=TRUE,""Twitter"",if(REGEXMATCH(C3077,""facebook"")=TRUE,""Facebook"",if(REGEXMATCH(C3077,""instagram"")=TRUE,""Instagram"",if(REGEXMATCH(C3077,""youtube"")=TRUE,""Youtube"",if(REGEXMATCH(C3077,""tiktok"")=TRUE,""Tiktok"",if("&amp;"REGEXMATCH(C3077,""threads"")=TRUE,""Threads""))))))"),"Facebook")</f>
        <v>Facebook</v>
      </c>
      <c r="G3077" s="41" t="s">
        <v>5251</v>
      </c>
      <c r="H3077" s="36"/>
      <c r="I3077" s="36"/>
      <c r="J3077" s="41" t="s">
        <v>422</v>
      </c>
      <c r="K3077" s="41"/>
      <c r="L3077" s="42"/>
    </row>
    <row r="3078">
      <c r="A3078" s="18">
        <v>3077.0</v>
      </c>
      <c r="B3078" s="76" t="s">
        <v>5231</v>
      </c>
      <c r="C3078" s="40" t="s">
        <v>5252</v>
      </c>
      <c r="D3078" s="41"/>
      <c r="E3078" s="41" t="s">
        <v>4703</v>
      </c>
      <c r="F3078" s="41" t="str">
        <f>IFERROR(__xludf.DUMMYFUNCTION("if(REGEXMATCH(C3078,""x.com"")=TRUE,""Twitter"",if(REGEXMATCH(C3078,""facebook"")=TRUE,""Facebook"",if(REGEXMATCH(C3078,""instagram"")=TRUE,""Instagram"",if(REGEXMATCH(C3078,""youtube"")=TRUE,""Youtube"",if(REGEXMATCH(C3078,""tiktok"")=TRUE,""Tiktok"",if("&amp;"REGEXMATCH(C3078,""threads"")=TRUE,""Threads""))))))"),"Facebook")</f>
        <v>Facebook</v>
      </c>
      <c r="G3078" s="41" t="s">
        <v>5253</v>
      </c>
      <c r="H3078" s="36"/>
      <c r="I3078" s="36"/>
      <c r="J3078" s="41" t="s">
        <v>422</v>
      </c>
      <c r="K3078" s="41"/>
      <c r="L3078" s="42"/>
    </row>
    <row r="3079">
      <c r="A3079" s="18">
        <v>3078.0</v>
      </c>
      <c r="B3079" s="76" t="s">
        <v>5231</v>
      </c>
      <c r="C3079" s="40" t="s">
        <v>5254</v>
      </c>
      <c r="D3079" s="41"/>
      <c r="E3079" s="41" t="s">
        <v>447</v>
      </c>
      <c r="F3079" s="41" t="str">
        <f>IFERROR(__xludf.DUMMYFUNCTION("if(REGEXMATCH(C3079,""x.com"")=TRUE,""Twitter"",if(REGEXMATCH(C3079,""facebook"")=TRUE,""Facebook"",if(REGEXMATCH(C3079,""instagram"")=TRUE,""Instagram"",if(REGEXMATCH(C3079,""youtube"")=TRUE,""Youtube"",if(REGEXMATCH(C3079,""tiktok"")=TRUE,""Tiktok"",if("&amp;"REGEXMATCH(C3079,""threads"")=TRUE,""Threads""))))))"),"Facebook")</f>
        <v>Facebook</v>
      </c>
      <c r="G3079" s="41" t="s">
        <v>5255</v>
      </c>
      <c r="H3079" s="35"/>
      <c r="I3079" s="35"/>
      <c r="J3079" s="41" t="s">
        <v>422</v>
      </c>
      <c r="K3079" s="41"/>
      <c r="L3079" s="42"/>
    </row>
    <row r="3080">
      <c r="A3080" s="18">
        <v>3079.0</v>
      </c>
      <c r="B3080" s="76" t="s">
        <v>5231</v>
      </c>
      <c r="C3080" s="40" t="s">
        <v>5256</v>
      </c>
      <c r="D3080" s="18"/>
      <c r="E3080" s="18" t="s">
        <v>2018</v>
      </c>
      <c r="F3080" s="41" t="str">
        <f>IFERROR(__xludf.DUMMYFUNCTION("if(REGEXMATCH(C3080,""x.com"")=TRUE,""Twitter"",if(REGEXMATCH(C3080,""facebook"")=TRUE,""Facebook"",if(REGEXMATCH(C3080,""instagram"")=TRUE,""Instagram"",if(REGEXMATCH(C3080,""youtube"")=TRUE,""Youtube"",if(REGEXMATCH(C3080,""tiktok"")=TRUE,""Tiktok"",if("&amp;"REGEXMATCH(C3080,""threads"")=TRUE,""Threads""))))))"),"Facebook")</f>
        <v>Facebook</v>
      </c>
      <c r="G3080" s="27" t="s">
        <v>5257</v>
      </c>
      <c r="H3080" s="18" t="s">
        <v>5258</v>
      </c>
      <c r="I3080" s="18"/>
      <c r="J3080" s="41" t="s">
        <v>188</v>
      </c>
      <c r="K3080" s="41" t="s">
        <v>1704</v>
      </c>
      <c r="L3080" s="42"/>
    </row>
    <row r="3081">
      <c r="A3081" s="18">
        <v>3080.0</v>
      </c>
      <c r="B3081" s="76" t="s">
        <v>5231</v>
      </c>
      <c r="C3081" s="44" t="s">
        <v>5259</v>
      </c>
      <c r="D3081" s="18"/>
      <c r="E3081" s="18" t="s">
        <v>2018</v>
      </c>
      <c r="F3081" s="41" t="str">
        <f>IFERROR(__xludf.DUMMYFUNCTION("if(REGEXMATCH(C3081,""x.com"")=TRUE,""Twitter"",if(REGEXMATCH(C3081,""facebook"")=TRUE,""Facebook"",if(REGEXMATCH(C3081,""instagram"")=TRUE,""Instagram"",if(REGEXMATCH(C3081,""youtube"")=TRUE,""Youtube"",if(REGEXMATCH(C3081,""tiktok"")=TRUE,""Tiktok"",if("&amp;"REGEXMATCH(C3081,""threads"")=TRUE,""Threads""))))))"),"Facebook")</f>
        <v>Facebook</v>
      </c>
      <c r="G3081" s="27" t="s">
        <v>5260</v>
      </c>
      <c r="H3081" s="18" t="s">
        <v>5258</v>
      </c>
      <c r="I3081" s="18"/>
      <c r="J3081" s="41" t="s">
        <v>188</v>
      </c>
      <c r="K3081" s="41" t="s">
        <v>1704</v>
      </c>
      <c r="L3081" s="42"/>
    </row>
    <row r="3082">
      <c r="A3082" s="18">
        <v>3081.0</v>
      </c>
      <c r="B3082" s="76" t="s">
        <v>5231</v>
      </c>
      <c r="C3082" s="44" t="s">
        <v>5261</v>
      </c>
      <c r="D3082" s="18"/>
      <c r="E3082" s="18" t="s">
        <v>2018</v>
      </c>
      <c r="F3082" s="41" t="str">
        <f>IFERROR(__xludf.DUMMYFUNCTION("if(REGEXMATCH(C3082,""x.com"")=TRUE,""Twitter"",if(REGEXMATCH(C3082,""facebook"")=TRUE,""Facebook"",if(REGEXMATCH(C3082,""instagram"")=TRUE,""Instagram"",if(REGEXMATCH(C3082,""youtube"")=TRUE,""Youtube"",if(REGEXMATCH(C3082,""tiktok"")=TRUE,""Tiktok"",if("&amp;"REGEXMATCH(C3082,""threads"")=TRUE,""Threads""))))))"),"Facebook")</f>
        <v>Facebook</v>
      </c>
      <c r="G3082" s="27" t="s">
        <v>5262</v>
      </c>
      <c r="H3082" s="18" t="s">
        <v>5258</v>
      </c>
      <c r="I3082" s="18"/>
      <c r="J3082" s="41" t="s">
        <v>188</v>
      </c>
      <c r="K3082" s="41" t="s">
        <v>1704</v>
      </c>
      <c r="L3082" s="42"/>
    </row>
    <row r="3083">
      <c r="A3083" s="18">
        <v>3082.0</v>
      </c>
      <c r="B3083" s="76" t="s">
        <v>5231</v>
      </c>
      <c r="C3083" s="44" t="s">
        <v>5263</v>
      </c>
      <c r="D3083" s="18"/>
      <c r="E3083" s="18" t="s">
        <v>2018</v>
      </c>
      <c r="F3083" s="41" t="str">
        <f>IFERROR(__xludf.DUMMYFUNCTION("if(REGEXMATCH(C3083,""x.com"")=TRUE,""Twitter"",if(REGEXMATCH(C3083,""facebook"")=TRUE,""Facebook"",if(REGEXMATCH(C3083,""instagram"")=TRUE,""Instagram"",if(REGEXMATCH(C3083,""youtube"")=TRUE,""Youtube"",if(REGEXMATCH(C3083,""tiktok"")=TRUE,""Tiktok"",if("&amp;"REGEXMATCH(C3083,""threads"")=TRUE,""Threads""))))))"),"Facebook")</f>
        <v>Facebook</v>
      </c>
      <c r="G3083" s="27" t="s">
        <v>5264</v>
      </c>
      <c r="H3083" s="18" t="s">
        <v>5258</v>
      </c>
      <c r="I3083" s="18"/>
      <c r="J3083" s="41" t="s">
        <v>188</v>
      </c>
      <c r="K3083" s="41" t="s">
        <v>1704</v>
      </c>
      <c r="L3083" s="42"/>
    </row>
    <row r="3084">
      <c r="A3084" s="18">
        <v>3083.0</v>
      </c>
      <c r="B3084" s="76" t="s">
        <v>5231</v>
      </c>
      <c r="C3084" s="44" t="s">
        <v>5265</v>
      </c>
      <c r="D3084" s="18"/>
      <c r="E3084" s="18" t="s">
        <v>2018</v>
      </c>
      <c r="F3084" s="41" t="str">
        <f>IFERROR(__xludf.DUMMYFUNCTION("if(REGEXMATCH(C3084,""x.com"")=TRUE,""Twitter"",if(REGEXMATCH(C3084,""facebook"")=TRUE,""Facebook"",if(REGEXMATCH(C3084,""instagram"")=TRUE,""Instagram"",if(REGEXMATCH(C3084,""youtube"")=TRUE,""Youtube"",if(REGEXMATCH(C3084,""tiktok"")=TRUE,""Tiktok"",if("&amp;"REGEXMATCH(C3084,""threads"")=TRUE,""Threads""))))))"),"Tiktok")</f>
        <v>Tiktok</v>
      </c>
      <c r="G3084" s="27" t="s">
        <v>5266</v>
      </c>
      <c r="H3084" s="18" t="s">
        <v>5258</v>
      </c>
      <c r="I3084" s="18"/>
      <c r="J3084" s="41" t="s">
        <v>188</v>
      </c>
      <c r="K3084" s="41" t="s">
        <v>1704</v>
      </c>
      <c r="L3084" s="42"/>
    </row>
    <row r="3085">
      <c r="A3085" s="18">
        <v>3084.0</v>
      </c>
      <c r="B3085" s="76" t="s">
        <v>5231</v>
      </c>
      <c r="C3085" s="40" t="s">
        <v>5267</v>
      </c>
      <c r="D3085" s="18"/>
      <c r="E3085" s="18" t="s">
        <v>2018</v>
      </c>
      <c r="F3085" s="41" t="str">
        <f>IFERROR(__xludf.DUMMYFUNCTION("if(REGEXMATCH(C3085,""x.com"")=TRUE,""Twitter"",if(REGEXMATCH(C3085,""facebook"")=TRUE,""Facebook"",if(REGEXMATCH(C3085,""instagram"")=TRUE,""Instagram"",if(REGEXMATCH(C3085,""youtube"")=TRUE,""Youtube"",if(REGEXMATCH(C3085,""tiktok"")=TRUE,""Tiktok"",if("&amp;"REGEXMATCH(C3085,""threads"")=TRUE,""Threads""))))))"),"Tiktok")</f>
        <v>Tiktok</v>
      </c>
      <c r="G3085" s="27" t="s">
        <v>5268</v>
      </c>
      <c r="H3085" s="18" t="s">
        <v>5258</v>
      </c>
      <c r="I3085" s="18"/>
      <c r="J3085" s="41" t="s">
        <v>188</v>
      </c>
      <c r="K3085" s="41" t="s">
        <v>1704</v>
      </c>
      <c r="L3085" s="42"/>
    </row>
    <row r="3086">
      <c r="A3086" s="18">
        <v>3085.0</v>
      </c>
      <c r="B3086" s="76" t="s">
        <v>5269</v>
      </c>
      <c r="C3086" s="40" t="s">
        <v>5270</v>
      </c>
      <c r="D3086" s="41"/>
      <c r="E3086" s="41" t="s">
        <v>197</v>
      </c>
      <c r="F3086" s="41" t="str">
        <f>IFERROR(__xludf.DUMMYFUNCTION("if(REGEXMATCH(C3086,""x.com"")=TRUE,""Twitter"",if(REGEXMATCH(C3086,""facebook"")=TRUE,""Facebook"",if(REGEXMATCH(C3086,""instagram"")=TRUE,""Instagram"",if(REGEXMATCH(C3086,""youtube"")=TRUE,""Youtube"",if(REGEXMATCH(C3086,""tiktok"")=TRUE,""Tiktok"",if("&amp;"REGEXMATCH(C3086,""threads"")=TRUE,""Threads""))))))"),"Facebook")</f>
        <v>Facebook</v>
      </c>
      <c r="G3086" s="41" t="s">
        <v>5271</v>
      </c>
      <c r="H3086" s="43" t="s">
        <v>779</v>
      </c>
      <c r="I3086" s="43" t="s">
        <v>535</v>
      </c>
      <c r="J3086" s="41" t="s">
        <v>188</v>
      </c>
      <c r="K3086" s="41" t="s">
        <v>1611</v>
      </c>
      <c r="L3086" s="42"/>
    </row>
    <row r="3087">
      <c r="A3087" s="18">
        <v>3086.0</v>
      </c>
      <c r="B3087" s="76" t="s">
        <v>5269</v>
      </c>
      <c r="C3087" s="40" t="s">
        <v>5272</v>
      </c>
      <c r="D3087" s="41"/>
      <c r="E3087" s="41" t="s">
        <v>197</v>
      </c>
      <c r="F3087" s="41" t="str">
        <f>IFERROR(__xludf.DUMMYFUNCTION("if(REGEXMATCH(C3087,""x.com"")=TRUE,""Twitter"",if(REGEXMATCH(C3087,""facebook"")=TRUE,""Facebook"",if(REGEXMATCH(C3087,""instagram"")=TRUE,""Instagram"",if(REGEXMATCH(C3087,""youtube"")=TRUE,""Youtube"",if(REGEXMATCH(C3087,""tiktok"")=TRUE,""Tiktok"",if("&amp;"REGEXMATCH(C3087,""threads"")=TRUE,""Threads""))))))"),"Facebook")</f>
        <v>Facebook</v>
      </c>
      <c r="G3087" s="41" t="s">
        <v>5273</v>
      </c>
      <c r="H3087" s="36"/>
      <c r="I3087" s="36"/>
      <c r="J3087" s="41" t="s">
        <v>188</v>
      </c>
      <c r="K3087" s="41" t="s">
        <v>1611</v>
      </c>
      <c r="L3087" s="42"/>
    </row>
    <row r="3088">
      <c r="A3088" s="18">
        <v>3087.0</v>
      </c>
      <c r="B3088" s="76" t="s">
        <v>5269</v>
      </c>
      <c r="C3088" s="40" t="s">
        <v>5274</v>
      </c>
      <c r="D3088" s="41"/>
      <c r="E3088" s="41" t="s">
        <v>197</v>
      </c>
      <c r="F3088" s="41" t="str">
        <f>IFERROR(__xludf.DUMMYFUNCTION("if(REGEXMATCH(C3088,""x.com"")=TRUE,""Twitter"",if(REGEXMATCH(C3088,""facebook"")=TRUE,""Facebook"",if(REGEXMATCH(C3088,""instagram"")=TRUE,""Instagram"",if(REGEXMATCH(C3088,""youtube"")=TRUE,""Youtube"",if(REGEXMATCH(C3088,""tiktok"")=TRUE,""Tiktok"",if("&amp;"REGEXMATCH(C3088,""threads"")=TRUE,""Threads""))))))"),"Facebook")</f>
        <v>Facebook</v>
      </c>
      <c r="G3088" s="41" t="s">
        <v>5275</v>
      </c>
      <c r="H3088" s="36"/>
      <c r="I3088" s="36"/>
      <c r="J3088" s="41" t="s">
        <v>188</v>
      </c>
      <c r="K3088" s="41" t="s">
        <v>1611</v>
      </c>
      <c r="L3088" s="42"/>
    </row>
    <row r="3089">
      <c r="A3089" s="18">
        <v>3088.0</v>
      </c>
      <c r="B3089" s="76" t="s">
        <v>5269</v>
      </c>
      <c r="C3089" s="40" t="s">
        <v>5276</v>
      </c>
      <c r="D3089" s="41"/>
      <c r="E3089" s="41" t="s">
        <v>197</v>
      </c>
      <c r="F3089" s="41" t="str">
        <f>IFERROR(__xludf.DUMMYFUNCTION("if(REGEXMATCH(C3089,""x.com"")=TRUE,""Twitter"",if(REGEXMATCH(C3089,""facebook"")=TRUE,""Facebook"",if(REGEXMATCH(C3089,""instagram"")=TRUE,""Instagram"",if(REGEXMATCH(C3089,""youtube"")=TRUE,""Youtube"",if(REGEXMATCH(C3089,""tiktok"")=TRUE,""Tiktok"",if("&amp;"REGEXMATCH(C3089,""threads"")=TRUE,""Threads""))))))"),"Facebook")</f>
        <v>Facebook</v>
      </c>
      <c r="G3089" s="41" t="s">
        <v>5277</v>
      </c>
      <c r="H3089" s="36"/>
      <c r="I3089" s="36"/>
      <c r="J3089" s="41" t="s">
        <v>188</v>
      </c>
      <c r="K3089" s="41" t="s">
        <v>1611</v>
      </c>
      <c r="L3089" s="42"/>
    </row>
    <row r="3090">
      <c r="A3090" s="18">
        <v>3089.0</v>
      </c>
      <c r="B3090" s="76" t="s">
        <v>5269</v>
      </c>
      <c r="C3090" s="40" t="s">
        <v>5278</v>
      </c>
      <c r="D3090" s="41"/>
      <c r="E3090" s="41" t="s">
        <v>557</v>
      </c>
      <c r="F3090" s="41" t="str">
        <f>IFERROR(__xludf.DUMMYFUNCTION("if(REGEXMATCH(C3090,""x.com"")=TRUE,""Twitter"",if(REGEXMATCH(C3090,""facebook"")=TRUE,""Facebook"",if(REGEXMATCH(C3090,""instagram"")=TRUE,""Instagram"",if(REGEXMATCH(C3090,""youtube"")=TRUE,""Youtube"",if(REGEXMATCH(C3090,""tiktok"")=TRUE,""Tiktok"",if("&amp;"REGEXMATCH(C3090,""threads"")=TRUE,""Threads""))))))"),"Twitter")</f>
        <v>Twitter</v>
      </c>
      <c r="G3090" s="41" t="s">
        <v>5279</v>
      </c>
      <c r="H3090" s="36"/>
      <c r="I3090" s="36"/>
      <c r="J3090" s="41" t="s">
        <v>188</v>
      </c>
      <c r="K3090" s="41" t="s">
        <v>1611</v>
      </c>
      <c r="L3090" s="42"/>
    </row>
    <row r="3091">
      <c r="A3091" s="18">
        <v>3090.0</v>
      </c>
      <c r="B3091" s="76" t="s">
        <v>5269</v>
      </c>
      <c r="C3091" s="40" t="s">
        <v>5280</v>
      </c>
      <c r="D3091" s="41"/>
      <c r="E3091" s="41" t="s">
        <v>197</v>
      </c>
      <c r="F3091" s="41" t="str">
        <f>IFERROR(__xludf.DUMMYFUNCTION("if(REGEXMATCH(C3091,""x.com"")=TRUE,""Twitter"",if(REGEXMATCH(C3091,""facebook"")=TRUE,""Facebook"",if(REGEXMATCH(C3091,""instagram"")=TRUE,""Instagram"",if(REGEXMATCH(C3091,""youtube"")=TRUE,""Youtube"",if(REGEXMATCH(C3091,""tiktok"")=TRUE,""Tiktok"",if("&amp;"REGEXMATCH(C3091,""threads"")=TRUE,""Threads""))))))"),"Twitter")</f>
        <v>Twitter</v>
      </c>
      <c r="G3091" s="41" t="s">
        <v>5281</v>
      </c>
      <c r="H3091" s="36"/>
      <c r="I3091" s="36"/>
      <c r="J3091" s="41" t="s">
        <v>188</v>
      </c>
      <c r="K3091" s="41" t="s">
        <v>1611</v>
      </c>
      <c r="L3091" s="42"/>
    </row>
    <row r="3092">
      <c r="A3092" s="18">
        <v>3091.0</v>
      </c>
      <c r="B3092" s="76" t="s">
        <v>5269</v>
      </c>
      <c r="C3092" s="40" t="s">
        <v>5282</v>
      </c>
      <c r="D3092" s="41"/>
      <c r="E3092" s="41" t="s">
        <v>197</v>
      </c>
      <c r="F3092" s="41" t="str">
        <f>IFERROR(__xludf.DUMMYFUNCTION("if(REGEXMATCH(C3092,""x.com"")=TRUE,""Twitter"",if(REGEXMATCH(C3092,""facebook"")=TRUE,""Facebook"",if(REGEXMATCH(C3092,""instagram"")=TRUE,""Instagram"",if(REGEXMATCH(C3092,""youtube"")=TRUE,""Youtube"",if(REGEXMATCH(C3092,""tiktok"")=TRUE,""Tiktok"",if("&amp;"REGEXMATCH(C3092,""threads"")=TRUE,""Threads""))))))"),"Facebook")</f>
        <v>Facebook</v>
      </c>
      <c r="G3092" s="41" t="s">
        <v>5283</v>
      </c>
      <c r="H3092" s="36"/>
      <c r="I3092" s="36"/>
      <c r="J3092" s="41" t="s">
        <v>188</v>
      </c>
      <c r="K3092" s="41" t="s">
        <v>1611</v>
      </c>
      <c r="L3092" s="42"/>
    </row>
    <row r="3093">
      <c r="A3093" s="18">
        <v>3092.0</v>
      </c>
      <c r="B3093" s="76" t="s">
        <v>5269</v>
      </c>
      <c r="C3093" s="40" t="s">
        <v>5284</v>
      </c>
      <c r="D3093" s="41"/>
      <c r="E3093" s="41" t="s">
        <v>5285</v>
      </c>
      <c r="F3093" s="41" t="str">
        <f>IFERROR(__xludf.DUMMYFUNCTION("if(REGEXMATCH(C3093,""x.com"")=TRUE,""Twitter"",if(REGEXMATCH(C3093,""facebook"")=TRUE,""Facebook"",if(REGEXMATCH(C3093,""instagram"")=TRUE,""Instagram"",if(REGEXMATCH(C3093,""youtube"")=TRUE,""Youtube"",if(REGEXMATCH(C3093,""tiktok"")=TRUE,""Tiktok"",if("&amp;"REGEXMATCH(C3093,""threads"")=TRUE,""Threads""))))))"),"Tiktok")</f>
        <v>Tiktok</v>
      </c>
      <c r="G3093" s="41" t="s">
        <v>5286</v>
      </c>
      <c r="H3093" s="36"/>
      <c r="I3093" s="36"/>
      <c r="J3093" s="41" t="s">
        <v>188</v>
      </c>
      <c r="K3093" s="41" t="s">
        <v>1611</v>
      </c>
      <c r="L3093" s="42"/>
    </row>
    <row r="3094">
      <c r="A3094" s="18">
        <v>3093.0</v>
      </c>
      <c r="B3094" s="76" t="s">
        <v>5269</v>
      </c>
      <c r="C3094" s="40" t="s">
        <v>5287</v>
      </c>
      <c r="D3094" s="41"/>
      <c r="E3094" s="41" t="s">
        <v>447</v>
      </c>
      <c r="F3094" s="41" t="str">
        <f>IFERROR(__xludf.DUMMYFUNCTION("if(REGEXMATCH(C3094,""x.com"")=TRUE,""Twitter"",if(REGEXMATCH(C3094,""facebook"")=TRUE,""Facebook"",if(REGEXMATCH(C3094,""instagram"")=TRUE,""Instagram"",if(REGEXMATCH(C3094,""youtube"")=TRUE,""Youtube"",if(REGEXMATCH(C3094,""tiktok"")=TRUE,""Tiktok"",if("&amp;"REGEXMATCH(C3094,""threads"")=TRUE,""Threads""))))))"),"Tiktok")</f>
        <v>Tiktok</v>
      </c>
      <c r="G3094" s="41" t="s">
        <v>5288</v>
      </c>
      <c r="H3094" s="36"/>
      <c r="I3094" s="36"/>
      <c r="J3094" s="41" t="s">
        <v>188</v>
      </c>
      <c r="K3094" s="41"/>
      <c r="L3094" s="42"/>
    </row>
    <row r="3095">
      <c r="A3095" s="18">
        <v>3094.0</v>
      </c>
      <c r="B3095" s="76" t="s">
        <v>5269</v>
      </c>
      <c r="C3095" s="40" t="s">
        <v>5289</v>
      </c>
      <c r="D3095" s="41"/>
      <c r="E3095" s="41" t="s">
        <v>447</v>
      </c>
      <c r="F3095" s="41" t="str">
        <f>IFERROR(__xludf.DUMMYFUNCTION("if(REGEXMATCH(C3095,""x.com"")=TRUE,""Twitter"",if(REGEXMATCH(C3095,""facebook"")=TRUE,""Facebook"",if(REGEXMATCH(C3095,""instagram"")=TRUE,""Instagram"",if(REGEXMATCH(C3095,""youtube"")=TRUE,""Youtube"",if(REGEXMATCH(C3095,""tiktok"")=TRUE,""Tiktok"",if("&amp;"REGEXMATCH(C3095,""threads"")=TRUE,""Threads""))))))"),"Tiktok")</f>
        <v>Tiktok</v>
      </c>
      <c r="G3095" s="41" t="s">
        <v>5290</v>
      </c>
      <c r="H3095" s="36"/>
      <c r="I3095" s="36"/>
      <c r="J3095" s="41" t="s">
        <v>188</v>
      </c>
      <c r="K3095" s="41"/>
      <c r="L3095" s="42"/>
    </row>
    <row r="3096">
      <c r="A3096" s="18">
        <v>3095.0</v>
      </c>
      <c r="B3096" s="76" t="s">
        <v>5269</v>
      </c>
      <c r="C3096" s="40" t="s">
        <v>5291</v>
      </c>
      <c r="D3096" s="41"/>
      <c r="E3096" s="41" t="s">
        <v>4703</v>
      </c>
      <c r="F3096" s="41" t="str">
        <f>IFERROR(__xludf.DUMMYFUNCTION("if(REGEXMATCH(C3096,""x.com"")=TRUE,""Twitter"",if(REGEXMATCH(C3096,""facebook"")=TRUE,""Facebook"",if(REGEXMATCH(C3096,""instagram"")=TRUE,""Instagram"",if(REGEXMATCH(C3096,""youtube"")=TRUE,""Youtube"",if(REGEXMATCH(C3096,""tiktok"")=TRUE,""Tiktok"",if("&amp;"REGEXMATCH(C3096,""threads"")=TRUE,""Threads""))))))"),"Facebook")</f>
        <v>Facebook</v>
      </c>
      <c r="G3096" s="41" t="s">
        <v>5292</v>
      </c>
      <c r="H3096" s="36"/>
      <c r="I3096" s="36"/>
      <c r="J3096" s="41" t="s">
        <v>188</v>
      </c>
      <c r="K3096" s="41"/>
      <c r="L3096" s="42"/>
    </row>
    <row r="3097">
      <c r="A3097" s="18">
        <v>3096.0</v>
      </c>
      <c r="B3097" s="76" t="s">
        <v>5269</v>
      </c>
      <c r="C3097" s="40" t="s">
        <v>5293</v>
      </c>
      <c r="D3097" s="41"/>
      <c r="E3097" s="41" t="s">
        <v>4703</v>
      </c>
      <c r="F3097" s="41" t="str">
        <f>IFERROR(__xludf.DUMMYFUNCTION("if(REGEXMATCH(C3097,""x.com"")=TRUE,""Twitter"",if(REGEXMATCH(C3097,""facebook"")=TRUE,""Facebook"",if(REGEXMATCH(C3097,""instagram"")=TRUE,""Instagram"",if(REGEXMATCH(C3097,""youtube"")=TRUE,""Youtube"",if(REGEXMATCH(C3097,""tiktok"")=TRUE,""Tiktok"",if("&amp;"REGEXMATCH(C3097,""threads"")=TRUE,""Threads""))))))"),"Facebook")</f>
        <v>Facebook</v>
      </c>
      <c r="G3097" s="41" t="s">
        <v>5294</v>
      </c>
      <c r="H3097" s="35"/>
      <c r="I3097" s="35"/>
      <c r="J3097" s="41" t="s">
        <v>188</v>
      </c>
      <c r="K3097" s="41"/>
      <c r="L3097" s="42"/>
    </row>
    <row r="3098">
      <c r="A3098" s="18">
        <v>3097.0</v>
      </c>
      <c r="B3098" s="76" t="s">
        <v>5269</v>
      </c>
      <c r="C3098" s="40" t="s">
        <v>5295</v>
      </c>
      <c r="D3098" s="41"/>
      <c r="E3098" s="41" t="s">
        <v>447</v>
      </c>
      <c r="F3098" s="41" t="str">
        <f>IFERROR(__xludf.DUMMYFUNCTION("if(REGEXMATCH(C3098,""x.com"")=TRUE,""Twitter"",if(REGEXMATCH(C3098,""facebook"")=TRUE,""Facebook"",if(REGEXMATCH(C3098,""instagram"")=TRUE,""Instagram"",if(REGEXMATCH(C3098,""youtube"")=TRUE,""Youtube"",if(REGEXMATCH(C3098,""tiktok"")=TRUE,""Tiktok"",if("&amp;"REGEXMATCH(C3098,""threads"")=TRUE,""Threads""))))))"),"Facebook")</f>
        <v>Facebook</v>
      </c>
      <c r="G3098" s="41" t="s">
        <v>5296</v>
      </c>
      <c r="H3098" s="41"/>
      <c r="I3098" s="41"/>
      <c r="J3098" s="41" t="s">
        <v>188</v>
      </c>
      <c r="K3098" s="41"/>
      <c r="L3098" s="42"/>
    </row>
    <row r="3099">
      <c r="A3099" s="18">
        <v>3098.0</v>
      </c>
      <c r="B3099" s="76" t="s">
        <v>5269</v>
      </c>
      <c r="C3099" s="40" t="s">
        <v>5297</v>
      </c>
      <c r="D3099" s="41"/>
      <c r="E3099" s="41" t="s">
        <v>447</v>
      </c>
      <c r="F3099" s="41" t="str">
        <f>IFERROR(__xludf.DUMMYFUNCTION("if(REGEXMATCH(C3099,""x.com"")=TRUE,""Twitter"",if(REGEXMATCH(C3099,""facebook"")=TRUE,""Facebook"",if(REGEXMATCH(C3099,""instagram"")=TRUE,""Instagram"",if(REGEXMATCH(C3099,""youtube"")=TRUE,""Youtube"",if(REGEXMATCH(C3099,""tiktok"")=TRUE,""Tiktok"",if("&amp;"REGEXMATCH(C3099,""threads"")=TRUE,""Threads""))))))"),"Facebook")</f>
        <v>Facebook</v>
      </c>
      <c r="G3099" s="41" t="s">
        <v>5298</v>
      </c>
      <c r="H3099" s="41"/>
      <c r="I3099" s="41"/>
      <c r="J3099" s="41" t="s">
        <v>188</v>
      </c>
      <c r="K3099" s="41"/>
      <c r="L3099" s="42"/>
    </row>
    <row r="3100">
      <c r="A3100" s="18">
        <v>3099.0</v>
      </c>
      <c r="B3100" s="76" t="s">
        <v>5269</v>
      </c>
      <c r="C3100" s="46" t="s">
        <v>5299</v>
      </c>
      <c r="D3100" s="41"/>
      <c r="E3100" s="41" t="s">
        <v>401</v>
      </c>
      <c r="F3100" s="41" t="str">
        <f>IFERROR(__xludf.DUMMYFUNCTION("if(REGEXMATCH(C3100,""x.com"")=TRUE,""Twitter"",if(REGEXMATCH(C3100,""facebook"")=TRUE,""Facebook"",if(REGEXMATCH(C3100,""instagram"")=TRUE,""Instagram"",if(REGEXMATCH(C3100,""youtube"")=TRUE,""Youtube"",if(REGEXMATCH(C3100,""tiktok"")=TRUE,""Tiktok"",if("&amp;"REGEXMATCH(C3100,""threads"")=TRUE,""Threads""))))))"),"Facebook")</f>
        <v>Facebook</v>
      </c>
      <c r="G3100" s="41" t="s">
        <v>937</v>
      </c>
      <c r="H3100" s="41" t="s">
        <v>1542</v>
      </c>
      <c r="I3100" s="41" t="s">
        <v>939</v>
      </c>
      <c r="J3100" s="41" t="s">
        <v>188</v>
      </c>
      <c r="K3100" s="41"/>
      <c r="L3100" s="42"/>
    </row>
    <row r="3101">
      <c r="A3101" s="18">
        <v>3100.0</v>
      </c>
      <c r="B3101" s="76" t="s">
        <v>5269</v>
      </c>
      <c r="C3101" s="40" t="s">
        <v>5300</v>
      </c>
      <c r="D3101" s="41"/>
      <c r="E3101" s="41" t="s">
        <v>401</v>
      </c>
      <c r="F3101" s="41" t="str">
        <f>IFERROR(__xludf.DUMMYFUNCTION("if(REGEXMATCH(C3101,""x.com"")=TRUE,""Twitter"",if(REGEXMATCH(C3101,""facebook"")=TRUE,""Facebook"",if(REGEXMATCH(C3101,""instagram"")=TRUE,""Instagram"",if(REGEXMATCH(C3101,""youtube"")=TRUE,""Youtube"",if(REGEXMATCH(C3101,""tiktok"")=TRUE,""Tiktok"",if("&amp;"REGEXMATCH(C3101,""threads"")=TRUE,""Threads""))))))"),"Facebook")</f>
        <v>Facebook</v>
      </c>
      <c r="G3101" s="41" t="s">
        <v>937</v>
      </c>
      <c r="H3101" s="41" t="s">
        <v>1542</v>
      </c>
      <c r="I3101" s="41" t="s">
        <v>939</v>
      </c>
      <c r="J3101" s="41" t="s">
        <v>188</v>
      </c>
      <c r="K3101" s="41"/>
      <c r="L3101" s="42"/>
    </row>
    <row r="3102">
      <c r="A3102" s="18">
        <v>3101.0</v>
      </c>
      <c r="B3102" s="76" t="s">
        <v>5269</v>
      </c>
      <c r="C3102" s="46" t="s">
        <v>5301</v>
      </c>
      <c r="D3102" s="41"/>
      <c r="E3102" s="41" t="s">
        <v>401</v>
      </c>
      <c r="F3102" s="41" t="str">
        <f>IFERROR(__xludf.DUMMYFUNCTION("if(REGEXMATCH(C3102,""x.com"")=TRUE,""Twitter"",if(REGEXMATCH(C3102,""facebook"")=TRUE,""Facebook"",if(REGEXMATCH(C3102,""instagram"")=TRUE,""Instagram"",if(REGEXMATCH(C3102,""youtube"")=TRUE,""Youtube"",if(REGEXMATCH(C3102,""tiktok"")=TRUE,""Tiktok"",if("&amp;"REGEXMATCH(C3102,""threads"")=TRUE,""Threads""))))))"),"Facebook")</f>
        <v>Facebook</v>
      </c>
      <c r="G3102" s="41" t="s">
        <v>937</v>
      </c>
      <c r="H3102" s="41" t="s">
        <v>1542</v>
      </c>
      <c r="I3102" s="41" t="s">
        <v>939</v>
      </c>
      <c r="J3102" s="41" t="s">
        <v>188</v>
      </c>
      <c r="K3102" s="41"/>
      <c r="L3102" s="42"/>
    </row>
    <row r="3103">
      <c r="A3103" s="18">
        <v>3102.0</v>
      </c>
      <c r="B3103" s="76" t="s">
        <v>5269</v>
      </c>
      <c r="C3103" s="46" t="s">
        <v>5302</v>
      </c>
      <c r="D3103" s="41"/>
      <c r="E3103" s="41" t="s">
        <v>401</v>
      </c>
      <c r="F3103" s="41" t="str">
        <f>IFERROR(__xludf.DUMMYFUNCTION("if(REGEXMATCH(C3103,""x.com"")=TRUE,""Twitter"",if(REGEXMATCH(C3103,""facebook"")=TRUE,""Facebook"",if(REGEXMATCH(C3103,""instagram"")=TRUE,""Instagram"",if(REGEXMATCH(C3103,""youtube"")=TRUE,""Youtube"",if(REGEXMATCH(C3103,""tiktok"")=TRUE,""Tiktok"",if("&amp;"REGEXMATCH(C3103,""threads"")=TRUE,""Threads""))))))"),"Facebook")</f>
        <v>Facebook</v>
      </c>
      <c r="G3103" s="41" t="s">
        <v>937</v>
      </c>
      <c r="H3103" s="41" t="s">
        <v>1542</v>
      </c>
      <c r="I3103" s="41" t="s">
        <v>939</v>
      </c>
      <c r="J3103" s="41" t="s">
        <v>188</v>
      </c>
      <c r="K3103" s="41"/>
      <c r="L3103" s="42"/>
    </row>
    <row r="3104">
      <c r="A3104" s="18">
        <v>3103.0</v>
      </c>
      <c r="B3104" s="76" t="s">
        <v>5269</v>
      </c>
      <c r="C3104" s="46" t="s">
        <v>5303</v>
      </c>
      <c r="D3104" s="41"/>
      <c r="E3104" s="41" t="s">
        <v>401</v>
      </c>
      <c r="F3104" s="41" t="str">
        <f>IFERROR(__xludf.DUMMYFUNCTION("if(REGEXMATCH(C3104,""x.com"")=TRUE,""Twitter"",if(REGEXMATCH(C3104,""facebook"")=TRUE,""Facebook"",if(REGEXMATCH(C3104,""instagram"")=TRUE,""Instagram"",if(REGEXMATCH(C3104,""youtube"")=TRUE,""Youtube"",if(REGEXMATCH(C3104,""tiktok"")=TRUE,""Tiktok"",if("&amp;"REGEXMATCH(C3104,""threads"")=TRUE,""Threads""))))))"),"Facebook")</f>
        <v>Facebook</v>
      </c>
      <c r="G3104" s="41" t="s">
        <v>937</v>
      </c>
      <c r="H3104" s="41" t="s">
        <v>1542</v>
      </c>
      <c r="I3104" s="41" t="s">
        <v>939</v>
      </c>
      <c r="J3104" s="41" t="s">
        <v>188</v>
      </c>
      <c r="K3104" s="41"/>
      <c r="L3104" s="42"/>
    </row>
    <row r="3105">
      <c r="A3105" s="18">
        <v>3104.0</v>
      </c>
      <c r="B3105" s="76" t="s">
        <v>5269</v>
      </c>
      <c r="C3105" s="46" t="s">
        <v>5304</v>
      </c>
      <c r="D3105" s="41"/>
      <c r="E3105" s="41" t="s">
        <v>401</v>
      </c>
      <c r="F3105" s="41" t="str">
        <f>IFERROR(__xludf.DUMMYFUNCTION("if(REGEXMATCH(C3105,""x.com"")=TRUE,""Twitter"",if(REGEXMATCH(C3105,""facebook"")=TRUE,""Facebook"",if(REGEXMATCH(C3105,""instagram"")=TRUE,""Instagram"",if(REGEXMATCH(C3105,""youtube"")=TRUE,""Youtube"",if(REGEXMATCH(C3105,""tiktok"")=TRUE,""Tiktok"",if("&amp;"REGEXMATCH(C3105,""threads"")=TRUE,""Threads""))))))"),"Facebook")</f>
        <v>Facebook</v>
      </c>
      <c r="G3105" s="41" t="s">
        <v>937</v>
      </c>
      <c r="H3105" s="41" t="s">
        <v>1542</v>
      </c>
      <c r="I3105" s="41" t="s">
        <v>939</v>
      </c>
      <c r="J3105" s="41" t="s">
        <v>188</v>
      </c>
      <c r="K3105" s="41"/>
      <c r="L3105" s="42"/>
    </row>
    <row r="3106">
      <c r="A3106" s="18">
        <v>3105.0</v>
      </c>
      <c r="B3106" s="76" t="s">
        <v>5269</v>
      </c>
      <c r="C3106" s="46" t="s">
        <v>5305</v>
      </c>
      <c r="D3106" s="41"/>
      <c r="E3106" s="41" t="s">
        <v>401</v>
      </c>
      <c r="F3106" s="41" t="str">
        <f>IFERROR(__xludf.DUMMYFUNCTION("if(REGEXMATCH(C3106,""x.com"")=TRUE,""Twitter"",if(REGEXMATCH(C3106,""facebook"")=TRUE,""Facebook"",if(REGEXMATCH(C3106,""instagram"")=TRUE,""Instagram"",if(REGEXMATCH(C3106,""youtube"")=TRUE,""Youtube"",if(REGEXMATCH(C3106,""tiktok"")=TRUE,""Tiktok"",if("&amp;"REGEXMATCH(C3106,""threads"")=TRUE,""Threads""))))))"),"Facebook")</f>
        <v>Facebook</v>
      </c>
      <c r="G3106" s="41" t="s">
        <v>937</v>
      </c>
      <c r="H3106" s="41" t="s">
        <v>1542</v>
      </c>
      <c r="I3106" s="41" t="s">
        <v>939</v>
      </c>
      <c r="J3106" s="41" t="s">
        <v>188</v>
      </c>
      <c r="K3106" s="18"/>
      <c r="L3106" s="42"/>
    </row>
    <row r="3107">
      <c r="A3107" s="18">
        <v>3106.0</v>
      </c>
      <c r="B3107" s="76" t="s">
        <v>5269</v>
      </c>
      <c r="C3107" s="40" t="s">
        <v>5306</v>
      </c>
      <c r="D3107" s="18"/>
      <c r="E3107" s="18" t="s">
        <v>3684</v>
      </c>
      <c r="F3107" s="41" t="str">
        <f>IFERROR(__xludf.DUMMYFUNCTION("if(REGEXMATCH(C3107,""x.com"")=TRUE,""Twitter"",if(REGEXMATCH(C3107,""facebook"")=TRUE,""Facebook"",if(REGEXMATCH(C3107,""instagram"")=TRUE,""Instagram"",if(REGEXMATCH(C3107,""youtube"")=TRUE,""Youtube"",if(REGEXMATCH(C3107,""tiktok"")=TRUE,""Tiktok"",if("&amp;"REGEXMATCH(C3107,""threads"")=TRUE,""Threads""))))))"),"Facebook")</f>
        <v>Facebook</v>
      </c>
      <c r="G3107" s="44" t="s">
        <v>5307</v>
      </c>
      <c r="H3107" s="18" t="s">
        <v>5308</v>
      </c>
      <c r="I3107" s="41"/>
      <c r="J3107" s="41" t="s">
        <v>188</v>
      </c>
      <c r="K3107" s="41" t="s">
        <v>1704</v>
      </c>
      <c r="L3107" s="42"/>
    </row>
    <row r="3108">
      <c r="A3108" s="18">
        <v>3107.0</v>
      </c>
      <c r="B3108" s="76" t="s">
        <v>5269</v>
      </c>
      <c r="C3108" s="40" t="s">
        <v>5309</v>
      </c>
      <c r="D3108" s="18"/>
      <c r="E3108" s="18" t="s">
        <v>3684</v>
      </c>
      <c r="F3108" s="41" t="str">
        <f>IFERROR(__xludf.DUMMYFUNCTION("if(REGEXMATCH(C3108,""x.com"")=TRUE,""Twitter"",if(REGEXMATCH(C3108,""facebook"")=TRUE,""Facebook"",if(REGEXMATCH(C3108,""instagram"")=TRUE,""Instagram"",if(REGEXMATCH(C3108,""youtube"")=TRUE,""Youtube"",if(REGEXMATCH(C3108,""tiktok"")=TRUE,""Tiktok"",if("&amp;"REGEXMATCH(C3108,""threads"")=TRUE,""Threads""))))))"),"Facebook")</f>
        <v>Facebook</v>
      </c>
      <c r="G3108" s="27" t="s">
        <v>5310</v>
      </c>
      <c r="H3108" s="18" t="s">
        <v>5308</v>
      </c>
      <c r="I3108" s="18"/>
      <c r="J3108" s="41" t="s">
        <v>188</v>
      </c>
      <c r="K3108" s="41" t="s">
        <v>1704</v>
      </c>
      <c r="L3108" s="42"/>
    </row>
    <row r="3109">
      <c r="A3109" s="18">
        <v>3108.0</v>
      </c>
      <c r="B3109" s="76" t="s">
        <v>5269</v>
      </c>
      <c r="C3109" s="44" t="s">
        <v>5311</v>
      </c>
      <c r="D3109" s="18"/>
      <c r="E3109" s="18" t="s">
        <v>3684</v>
      </c>
      <c r="F3109" s="41" t="str">
        <f>IFERROR(__xludf.DUMMYFUNCTION("if(REGEXMATCH(C3109,""x.com"")=TRUE,""Twitter"",if(REGEXMATCH(C3109,""facebook"")=TRUE,""Facebook"",if(REGEXMATCH(C3109,""instagram"")=TRUE,""Instagram"",if(REGEXMATCH(C3109,""youtube"")=TRUE,""Youtube"",if(REGEXMATCH(C3109,""tiktok"")=TRUE,""Tiktok"",if("&amp;"REGEXMATCH(C3109,""threads"")=TRUE,""Threads""))))))"),"Facebook")</f>
        <v>Facebook</v>
      </c>
      <c r="G3109" s="27" t="s">
        <v>5312</v>
      </c>
      <c r="H3109" s="18" t="s">
        <v>5308</v>
      </c>
      <c r="I3109" s="18"/>
      <c r="J3109" s="41" t="s">
        <v>188</v>
      </c>
      <c r="K3109" s="41" t="s">
        <v>2623</v>
      </c>
      <c r="L3109" s="42"/>
    </row>
    <row r="3110">
      <c r="A3110" s="18">
        <v>3109.0</v>
      </c>
      <c r="B3110" s="76" t="s">
        <v>5269</v>
      </c>
      <c r="C3110" s="40" t="s">
        <v>5313</v>
      </c>
      <c r="D3110" s="18"/>
      <c r="E3110" s="18" t="s">
        <v>3684</v>
      </c>
      <c r="F3110" s="41" t="str">
        <f>IFERROR(__xludf.DUMMYFUNCTION("if(REGEXMATCH(C3110,""x.com"")=TRUE,""Twitter"",if(REGEXMATCH(C3110,""facebook"")=TRUE,""Facebook"",if(REGEXMATCH(C3110,""instagram"")=TRUE,""Instagram"",if(REGEXMATCH(C3110,""youtube"")=TRUE,""Youtube"",if(REGEXMATCH(C3110,""tiktok"")=TRUE,""Tiktok"",if("&amp;"REGEXMATCH(C3110,""threads"")=TRUE,""Threads""))))))"),"Tiktok")</f>
        <v>Tiktok</v>
      </c>
      <c r="G3110" s="27" t="s">
        <v>5314</v>
      </c>
      <c r="H3110" s="18" t="s">
        <v>2023</v>
      </c>
      <c r="I3110" s="18"/>
      <c r="J3110" s="41" t="s">
        <v>188</v>
      </c>
      <c r="K3110" s="41" t="s">
        <v>1704</v>
      </c>
      <c r="L3110" s="42"/>
    </row>
    <row r="3111">
      <c r="A3111" s="18">
        <v>3110.0</v>
      </c>
      <c r="B3111" s="76" t="s">
        <v>5315</v>
      </c>
      <c r="C3111" s="40" t="s">
        <v>5316</v>
      </c>
      <c r="D3111" s="41"/>
      <c r="E3111" s="41" t="s">
        <v>557</v>
      </c>
      <c r="F3111" s="41" t="str">
        <f>IFERROR(__xludf.DUMMYFUNCTION("if(REGEXMATCH(C3111,""x.com"")=TRUE,""Twitter"",if(REGEXMATCH(C3111,""facebook"")=TRUE,""Facebook"",if(REGEXMATCH(C3111,""instagram"")=TRUE,""Instagram"",if(REGEXMATCH(C3111,""youtube"")=TRUE,""Youtube"",if(REGEXMATCH(C3111,""tiktok"")=TRUE,""Tiktok"",if("&amp;"REGEXMATCH(C3111,""threads"")=TRUE,""Threads""))))))"),"Tiktok")</f>
        <v>Tiktok</v>
      </c>
      <c r="G3111" s="41" t="s">
        <v>5317</v>
      </c>
      <c r="H3111" s="43" t="s">
        <v>779</v>
      </c>
      <c r="I3111" s="43" t="s">
        <v>535</v>
      </c>
      <c r="J3111" s="41" t="s">
        <v>188</v>
      </c>
      <c r="K3111" s="41"/>
      <c r="L3111" s="42"/>
    </row>
    <row r="3112">
      <c r="A3112" s="18">
        <v>3111.0</v>
      </c>
      <c r="B3112" s="76" t="s">
        <v>5315</v>
      </c>
      <c r="C3112" s="40" t="s">
        <v>5318</v>
      </c>
      <c r="D3112" s="41"/>
      <c r="E3112" s="41" t="s">
        <v>557</v>
      </c>
      <c r="F3112" s="41" t="str">
        <f>IFERROR(__xludf.DUMMYFUNCTION("if(REGEXMATCH(C3112,""x.com"")=TRUE,""Twitter"",if(REGEXMATCH(C3112,""facebook"")=TRUE,""Facebook"",if(REGEXMATCH(C3112,""instagram"")=TRUE,""Instagram"",if(REGEXMATCH(C3112,""youtube"")=TRUE,""Youtube"",if(REGEXMATCH(C3112,""tiktok"")=TRUE,""Tiktok"",if("&amp;"REGEXMATCH(C3112,""threads"")=TRUE,""Threads""))))))"),"Tiktok")</f>
        <v>Tiktok</v>
      </c>
      <c r="G3112" s="41" t="s">
        <v>5319</v>
      </c>
      <c r="H3112" s="36"/>
      <c r="I3112" s="36"/>
      <c r="J3112" s="41" t="s">
        <v>188</v>
      </c>
      <c r="K3112" s="41"/>
      <c r="L3112" s="42"/>
    </row>
    <row r="3113">
      <c r="A3113" s="18">
        <v>3112.0</v>
      </c>
      <c r="B3113" s="76" t="s">
        <v>5315</v>
      </c>
      <c r="C3113" s="40" t="s">
        <v>5320</v>
      </c>
      <c r="D3113" s="41"/>
      <c r="E3113" s="41" t="s">
        <v>557</v>
      </c>
      <c r="F3113" s="41" t="str">
        <f>IFERROR(__xludf.DUMMYFUNCTION("if(REGEXMATCH(C3113,""x.com"")=TRUE,""Twitter"",if(REGEXMATCH(C3113,""facebook"")=TRUE,""Facebook"",if(REGEXMATCH(C3113,""instagram"")=TRUE,""Instagram"",if(REGEXMATCH(C3113,""youtube"")=TRUE,""Youtube"",if(REGEXMATCH(C3113,""tiktok"")=TRUE,""Tiktok"",if("&amp;"REGEXMATCH(C3113,""threads"")=TRUE,""Threads""))))))"),"Twitter")</f>
        <v>Twitter</v>
      </c>
      <c r="G3113" s="41" t="s">
        <v>5321</v>
      </c>
      <c r="H3113" s="36"/>
      <c r="I3113" s="36"/>
      <c r="J3113" s="41" t="s">
        <v>188</v>
      </c>
      <c r="K3113" s="41"/>
      <c r="L3113" s="42"/>
    </row>
    <row r="3114">
      <c r="A3114" s="18">
        <v>3113.0</v>
      </c>
      <c r="B3114" s="76" t="s">
        <v>5315</v>
      </c>
      <c r="C3114" s="40" t="s">
        <v>5322</v>
      </c>
      <c r="D3114" s="41"/>
      <c r="E3114" s="41" t="s">
        <v>197</v>
      </c>
      <c r="F3114" s="41" t="str">
        <f>IFERROR(__xludf.DUMMYFUNCTION("if(REGEXMATCH(C3114,""x.com"")=TRUE,""Twitter"",if(REGEXMATCH(C3114,""facebook"")=TRUE,""Facebook"",if(REGEXMATCH(C3114,""instagram"")=TRUE,""Instagram"",if(REGEXMATCH(C3114,""youtube"")=TRUE,""Youtube"",if(REGEXMATCH(C3114,""tiktok"")=TRUE,""Tiktok"",if("&amp;"REGEXMATCH(C3114,""threads"")=TRUE,""Threads""))))))"),"Twitter")</f>
        <v>Twitter</v>
      </c>
      <c r="G3114" s="41" t="s">
        <v>5323</v>
      </c>
      <c r="H3114" s="36"/>
      <c r="I3114" s="36"/>
      <c r="J3114" s="41" t="s">
        <v>188</v>
      </c>
      <c r="K3114" s="41"/>
      <c r="L3114" s="42"/>
    </row>
    <row r="3115">
      <c r="A3115" s="18">
        <v>3114.0</v>
      </c>
      <c r="B3115" s="76" t="s">
        <v>5315</v>
      </c>
      <c r="C3115" s="40" t="s">
        <v>5324</v>
      </c>
      <c r="D3115" s="41"/>
      <c r="E3115" s="41" t="s">
        <v>5325</v>
      </c>
      <c r="F3115" s="41" t="str">
        <f>IFERROR(__xludf.DUMMYFUNCTION("if(REGEXMATCH(C3115,""x.com"")=TRUE,""Twitter"",if(REGEXMATCH(C3115,""facebook"")=TRUE,""Facebook"",if(REGEXMATCH(C3115,""instagram"")=TRUE,""Instagram"",if(REGEXMATCH(C3115,""youtube"")=TRUE,""Youtube"",if(REGEXMATCH(C3115,""tiktok"")=TRUE,""Tiktok"",if("&amp;"REGEXMATCH(C3115,""threads"")=TRUE,""Threads""))))))"),"Twitter")</f>
        <v>Twitter</v>
      </c>
      <c r="G3115" s="41" t="s">
        <v>5326</v>
      </c>
      <c r="H3115" s="36"/>
      <c r="I3115" s="36"/>
      <c r="J3115" s="41" t="s">
        <v>188</v>
      </c>
      <c r="K3115" s="41"/>
      <c r="L3115" s="42"/>
    </row>
    <row r="3116">
      <c r="A3116" s="18">
        <v>3115.0</v>
      </c>
      <c r="B3116" s="76" t="s">
        <v>5315</v>
      </c>
      <c r="C3116" s="40" t="s">
        <v>5327</v>
      </c>
      <c r="D3116" s="41"/>
      <c r="E3116" s="41" t="s">
        <v>557</v>
      </c>
      <c r="F3116" s="41" t="str">
        <f>IFERROR(__xludf.DUMMYFUNCTION("if(REGEXMATCH(C3116,""x.com"")=TRUE,""Twitter"",if(REGEXMATCH(C3116,""facebook"")=TRUE,""Facebook"",if(REGEXMATCH(C3116,""instagram"")=TRUE,""Instagram"",if(REGEXMATCH(C3116,""youtube"")=TRUE,""Youtube"",if(REGEXMATCH(C3116,""tiktok"")=TRUE,""Tiktok"",if("&amp;"REGEXMATCH(C3116,""threads"")=TRUE,""Threads""))))))"),"Facebook")</f>
        <v>Facebook</v>
      </c>
      <c r="G3116" s="41" t="s">
        <v>5328</v>
      </c>
      <c r="H3116" s="36"/>
      <c r="I3116" s="36"/>
      <c r="J3116" s="41" t="s">
        <v>188</v>
      </c>
      <c r="K3116" s="41"/>
      <c r="L3116" s="42"/>
    </row>
    <row r="3117">
      <c r="A3117" s="18">
        <v>3116.0</v>
      </c>
      <c r="B3117" s="76" t="s">
        <v>5315</v>
      </c>
      <c r="C3117" s="40" t="s">
        <v>5329</v>
      </c>
      <c r="D3117" s="41"/>
      <c r="E3117" s="41" t="s">
        <v>557</v>
      </c>
      <c r="F3117" s="41" t="str">
        <f>IFERROR(__xludf.DUMMYFUNCTION("if(REGEXMATCH(C3117,""x.com"")=TRUE,""Twitter"",if(REGEXMATCH(C3117,""facebook"")=TRUE,""Facebook"",if(REGEXMATCH(C3117,""instagram"")=TRUE,""Instagram"",if(REGEXMATCH(C3117,""youtube"")=TRUE,""Youtube"",if(REGEXMATCH(C3117,""tiktok"")=TRUE,""Tiktok"",if("&amp;"REGEXMATCH(C3117,""threads"")=TRUE,""Threads""))))))"),"Facebook")</f>
        <v>Facebook</v>
      </c>
      <c r="G3117" s="41" t="s">
        <v>5330</v>
      </c>
      <c r="H3117" s="36"/>
      <c r="I3117" s="36"/>
      <c r="J3117" s="41" t="s">
        <v>188</v>
      </c>
      <c r="K3117" s="41"/>
      <c r="L3117" s="42"/>
    </row>
    <row r="3118">
      <c r="A3118" s="18">
        <v>3117.0</v>
      </c>
      <c r="B3118" s="76" t="s">
        <v>5315</v>
      </c>
      <c r="C3118" s="40" t="s">
        <v>5331</v>
      </c>
      <c r="D3118" s="41"/>
      <c r="E3118" s="41" t="s">
        <v>197</v>
      </c>
      <c r="F3118" s="41" t="str">
        <f>IFERROR(__xludf.DUMMYFUNCTION("if(REGEXMATCH(C3118,""x.com"")=TRUE,""Twitter"",if(REGEXMATCH(C3118,""facebook"")=TRUE,""Facebook"",if(REGEXMATCH(C3118,""instagram"")=TRUE,""Instagram"",if(REGEXMATCH(C3118,""youtube"")=TRUE,""Youtube"",if(REGEXMATCH(C3118,""tiktok"")=TRUE,""Tiktok"",if("&amp;"REGEXMATCH(C3118,""threads"")=TRUE,""Threads""))))))"),"Twitter")</f>
        <v>Twitter</v>
      </c>
      <c r="G3118" s="41" t="s">
        <v>5332</v>
      </c>
      <c r="H3118" s="36"/>
      <c r="I3118" s="36"/>
      <c r="J3118" s="41" t="s">
        <v>422</v>
      </c>
      <c r="K3118" s="62" t="s">
        <v>5333</v>
      </c>
      <c r="L3118" s="42"/>
    </row>
    <row r="3119">
      <c r="A3119" s="18">
        <v>3118.0</v>
      </c>
      <c r="B3119" s="76" t="s">
        <v>5315</v>
      </c>
      <c r="C3119" s="40" t="s">
        <v>5334</v>
      </c>
      <c r="D3119" s="41"/>
      <c r="E3119" s="41" t="s">
        <v>197</v>
      </c>
      <c r="F3119" s="41" t="str">
        <f>IFERROR(__xludf.DUMMYFUNCTION("if(REGEXMATCH(C3119,""x.com"")=TRUE,""Twitter"",if(REGEXMATCH(C3119,""facebook"")=TRUE,""Facebook"",if(REGEXMATCH(C3119,""instagram"")=TRUE,""Instagram"",if(REGEXMATCH(C3119,""youtube"")=TRUE,""Youtube"",if(REGEXMATCH(C3119,""tiktok"")=TRUE,""Tiktok"",if("&amp;"REGEXMATCH(C3119,""threads"")=TRUE,""Threads""))))))"),"Twitter")</f>
        <v>Twitter</v>
      </c>
      <c r="G3119" s="41" t="s">
        <v>5335</v>
      </c>
      <c r="H3119" s="36"/>
      <c r="I3119" s="36"/>
      <c r="J3119" s="41" t="s">
        <v>422</v>
      </c>
      <c r="K3119" s="41" t="s">
        <v>5336</v>
      </c>
      <c r="L3119" s="42"/>
    </row>
    <row r="3120">
      <c r="A3120" s="18">
        <v>3119.0</v>
      </c>
      <c r="B3120" s="76" t="s">
        <v>5315</v>
      </c>
      <c r="C3120" s="40" t="s">
        <v>5337</v>
      </c>
      <c r="D3120" s="41"/>
      <c r="E3120" s="41" t="s">
        <v>197</v>
      </c>
      <c r="F3120" s="41" t="str">
        <f>IFERROR(__xludf.DUMMYFUNCTION("if(REGEXMATCH(C3120,""x.com"")=TRUE,""Twitter"",if(REGEXMATCH(C3120,""facebook"")=TRUE,""Facebook"",if(REGEXMATCH(C3120,""instagram"")=TRUE,""Instagram"",if(REGEXMATCH(C3120,""youtube"")=TRUE,""Youtube"",if(REGEXMATCH(C3120,""tiktok"")=TRUE,""Tiktok"",if("&amp;"REGEXMATCH(C3120,""threads"")=TRUE,""Threads""))))))"),"Twitter")</f>
        <v>Twitter</v>
      </c>
      <c r="G3120" s="41" t="s">
        <v>5338</v>
      </c>
      <c r="H3120" s="36"/>
      <c r="I3120" s="36"/>
      <c r="J3120" s="41" t="s">
        <v>422</v>
      </c>
      <c r="K3120" s="41" t="s">
        <v>5339</v>
      </c>
      <c r="L3120" s="42"/>
    </row>
    <row r="3121">
      <c r="A3121" s="18">
        <v>3120.0</v>
      </c>
      <c r="B3121" s="76" t="s">
        <v>5315</v>
      </c>
      <c r="C3121" s="40" t="s">
        <v>5340</v>
      </c>
      <c r="D3121" s="41"/>
      <c r="E3121" s="41" t="s">
        <v>197</v>
      </c>
      <c r="F3121" s="41" t="str">
        <f>IFERROR(__xludf.DUMMYFUNCTION("if(REGEXMATCH(C3121,""x.com"")=TRUE,""Twitter"",if(REGEXMATCH(C3121,""facebook"")=TRUE,""Facebook"",if(REGEXMATCH(C3121,""instagram"")=TRUE,""Instagram"",if(REGEXMATCH(C3121,""youtube"")=TRUE,""Youtube"",if(REGEXMATCH(C3121,""tiktok"")=TRUE,""Tiktok"",if("&amp;"REGEXMATCH(C3121,""threads"")=TRUE,""Threads""))))))"),"Twitter")</f>
        <v>Twitter</v>
      </c>
      <c r="G3121" s="41" t="s">
        <v>5341</v>
      </c>
      <c r="H3121" s="36"/>
      <c r="I3121" s="36"/>
      <c r="J3121" s="41" t="s">
        <v>422</v>
      </c>
      <c r="K3121" s="41" t="s">
        <v>5336</v>
      </c>
      <c r="L3121" s="42"/>
    </row>
    <row r="3122">
      <c r="A3122" s="18">
        <v>3121.0</v>
      </c>
      <c r="B3122" s="76" t="s">
        <v>5315</v>
      </c>
      <c r="C3122" s="40" t="s">
        <v>5342</v>
      </c>
      <c r="D3122" s="41"/>
      <c r="E3122" s="41" t="s">
        <v>197</v>
      </c>
      <c r="F3122" s="41" t="str">
        <f>IFERROR(__xludf.DUMMYFUNCTION("if(REGEXMATCH(C3122,""x.com"")=TRUE,""Twitter"",if(REGEXMATCH(C3122,""facebook"")=TRUE,""Facebook"",if(REGEXMATCH(C3122,""instagram"")=TRUE,""Instagram"",if(REGEXMATCH(C3122,""youtube"")=TRUE,""Youtube"",if(REGEXMATCH(C3122,""tiktok"")=TRUE,""Tiktok"",if("&amp;"REGEXMATCH(C3122,""threads"")=TRUE,""Threads""))))))"),"Twitter")</f>
        <v>Twitter</v>
      </c>
      <c r="G3122" s="41" t="s">
        <v>5343</v>
      </c>
      <c r="H3122" s="36"/>
      <c r="I3122" s="36"/>
      <c r="J3122" s="41" t="s">
        <v>422</v>
      </c>
      <c r="K3122" s="41" t="s">
        <v>5344</v>
      </c>
      <c r="L3122" s="42"/>
    </row>
    <row r="3123">
      <c r="A3123" s="18">
        <v>3122.0</v>
      </c>
      <c r="B3123" s="76" t="s">
        <v>5315</v>
      </c>
      <c r="C3123" s="40" t="s">
        <v>5345</v>
      </c>
      <c r="D3123" s="41"/>
      <c r="E3123" s="41" t="s">
        <v>197</v>
      </c>
      <c r="F3123" s="41" t="str">
        <f>IFERROR(__xludf.DUMMYFUNCTION("if(REGEXMATCH(C3123,""x.com"")=TRUE,""Twitter"",if(REGEXMATCH(C3123,""facebook"")=TRUE,""Facebook"",if(REGEXMATCH(C3123,""instagram"")=TRUE,""Instagram"",if(REGEXMATCH(C3123,""youtube"")=TRUE,""Youtube"",if(REGEXMATCH(C3123,""tiktok"")=TRUE,""Tiktok"",if("&amp;"REGEXMATCH(C3123,""threads"")=TRUE,""Threads""))))))"),"Twitter")</f>
        <v>Twitter</v>
      </c>
      <c r="G3123" s="41" t="s">
        <v>5346</v>
      </c>
      <c r="H3123" s="36"/>
      <c r="I3123" s="36"/>
      <c r="J3123" s="41" t="s">
        <v>422</v>
      </c>
      <c r="K3123" s="41" t="s">
        <v>5347</v>
      </c>
      <c r="L3123" s="42"/>
    </row>
    <row r="3124">
      <c r="A3124" s="18">
        <v>3123.0</v>
      </c>
      <c r="B3124" s="76" t="s">
        <v>5315</v>
      </c>
      <c r="C3124" s="40" t="s">
        <v>5348</v>
      </c>
      <c r="D3124" s="41"/>
      <c r="E3124" s="41" t="s">
        <v>197</v>
      </c>
      <c r="F3124" s="41" t="str">
        <f>IFERROR(__xludf.DUMMYFUNCTION("if(REGEXMATCH(C3124,""x.com"")=TRUE,""Twitter"",if(REGEXMATCH(C3124,""facebook"")=TRUE,""Facebook"",if(REGEXMATCH(C3124,""instagram"")=TRUE,""Instagram"",if(REGEXMATCH(C3124,""youtube"")=TRUE,""Youtube"",if(REGEXMATCH(C3124,""tiktok"")=TRUE,""Tiktok"",if("&amp;"REGEXMATCH(C3124,""threads"")=TRUE,""Threads""))))))"),"Tiktok")</f>
        <v>Tiktok</v>
      </c>
      <c r="G3124" s="41" t="s">
        <v>5349</v>
      </c>
      <c r="H3124" s="35"/>
      <c r="I3124" s="35"/>
      <c r="J3124" s="41" t="s">
        <v>188</v>
      </c>
      <c r="K3124" s="41"/>
      <c r="L3124" s="42"/>
    </row>
    <row r="3125">
      <c r="A3125" s="18">
        <v>3124.0</v>
      </c>
      <c r="B3125" s="76" t="s">
        <v>5315</v>
      </c>
      <c r="C3125" s="79" t="s">
        <v>5350</v>
      </c>
      <c r="D3125" s="41"/>
      <c r="E3125" s="41" t="s">
        <v>1178</v>
      </c>
      <c r="F3125" s="41" t="str">
        <f>IFERROR(__xludf.DUMMYFUNCTION("if(REGEXMATCH(C3125,""x.com"")=TRUE,""Twitter"",if(REGEXMATCH(C3125,""facebook"")=TRUE,""Facebook"",if(REGEXMATCH(C3125,""instagram"")=TRUE,""Instagram"",if(REGEXMATCH(C3125,""youtube"")=TRUE,""Youtube"",if(REGEXMATCH(C3125,""tiktok"")=TRUE,""Tiktok"",if("&amp;"REGEXMATCH(C3125,""threads"")=TRUE,""Threads""))))))"),"Twitter")</f>
        <v>Twitter</v>
      </c>
      <c r="G3125" s="41" t="s">
        <v>2135</v>
      </c>
      <c r="H3125" s="41" t="s">
        <v>2136</v>
      </c>
      <c r="I3125" s="41" t="s">
        <v>2137</v>
      </c>
      <c r="J3125" s="41" t="s">
        <v>422</v>
      </c>
      <c r="K3125" s="41" t="s">
        <v>1150</v>
      </c>
      <c r="L3125" s="42"/>
    </row>
    <row r="3126">
      <c r="A3126" s="18">
        <v>3125.0</v>
      </c>
      <c r="B3126" s="76" t="s">
        <v>5315</v>
      </c>
      <c r="C3126" s="79" t="s">
        <v>5351</v>
      </c>
      <c r="D3126" s="41"/>
      <c r="E3126" s="41" t="s">
        <v>1178</v>
      </c>
      <c r="F3126" s="41" t="str">
        <f>IFERROR(__xludf.DUMMYFUNCTION("if(REGEXMATCH(C3126,""x.com"")=TRUE,""Twitter"",if(REGEXMATCH(C3126,""facebook"")=TRUE,""Facebook"",if(REGEXMATCH(C3126,""instagram"")=TRUE,""Instagram"",if(REGEXMATCH(C3126,""youtube"")=TRUE,""Youtube"",if(REGEXMATCH(C3126,""tiktok"")=TRUE,""Tiktok"",if("&amp;"REGEXMATCH(C3126,""threads"")=TRUE,""Threads""))))))"),"Twitter")</f>
        <v>Twitter</v>
      </c>
      <c r="G3126" s="41" t="s">
        <v>2135</v>
      </c>
      <c r="H3126" s="41" t="s">
        <v>2136</v>
      </c>
      <c r="I3126" s="41" t="s">
        <v>2137</v>
      </c>
      <c r="J3126" s="41" t="s">
        <v>188</v>
      </c>
      <c r="K3126" s="41"/>
      <c r="L3126" s="42"/>
    </row>
    <row r="3127">
      <c r="A3127" s="18">
        <v>3126.0</v>
      </c>
      <c r="B3127" s="76" t="s">
        <v>5315</v>
      </c>
      <c r="C3127" s="79" t="s">
        <v>5352</v>
      </c>
      <c r="D3127" s="41"/>
      <c r="E3127" s="41" t="s">
        <v>1178</v>
      </c>
      <c r="F3127" s="41" t="str">
        <f>IFERROR(__xludf.DUMMYFUNCTION("if(REGEXMATCH(C3127,""x.com"")=TRUE,""Twitter"",if(REGEXMATCH(C3127,""facebook"")=TRUE,""Facebook"",if(REGEXMATCH(C3127,""instagram"")=TRUE,""Instagram"",if(REGEXMATCH(C3127,""youtube"")=TRUE,""Youtube"",if(REGEXMATCH(C3127,""tiktok"")=TRUE,""Tiktok"",if("&amp;"REGEXMATCH(C3127,""threads"")=TRUE,""Threads""))))))"),"Twitter")</f>
        <v>Twitter</v>
      </c>
      <c r="G3127" s="41" t="s">
        <v>2135</v>
      </c>
      <c r="H3127" s="41" t="s">
        <v>2136</v>
      </c>
      <c r="I3127" s="41" t="s">
        <v>2137</v>
      </c>
      <c r="J3127" s="41" t="s">
        <v>188</v>
      </c>
      <c r="K3127" s="41"/>
      <c r="L3127" s="42"/>
    </row>
    <row r="3128">
      <c r="A3128" s="18">
        <v>3127.0</v>
      </c>
      <c r="B3128" s="76" t="s">
        <v>5315</v>
      </c>
      <c r="C3128" s="79" t="s">
        <v>5353</v>
      </c>
      <c r="D3128" s="41"/>
      <c r="E3128" s="41" t="s">
        <v>1178</v>
      </c>
      <c r="F3128" s="41" t="str">
        <f>IFERROR(__xludf.DUMMYFUNCTION("if(REGEXMATCH(C3128,""x.com"")=TRUE,""Twitter"",if(REGEXMATCH(C3128,""facebook"")=TRUE,""Facebook"",if(REGEXMATCH(C3128,""instagram"")=TRUE,""Instagram"",if(REGEXMATCH(C3128,""youtube"")=TRUE,""Youtube"",if(REGEXMATCH(C3128,""tiktok"")=TRUE,""Tiktok"",if("&amp;"REGEXMATCH(C3128,""threads"")=TRUE,""Threads""))))))"),"Twitter")</f>
        <v>Twitter</v>
      </c>
      <c r="G3128" s="41" t="s">
        <v>2135</v>
      </c>
      <c r="H3128" s="41" t="s">
        <v>2136</v>
      </c>
      <c r="I3128" s="41" t="s">
        <v>2137</v>
      </c>
      <c r="J3128" s="41" t="s">
        <v>422</v>
      </c>
      <c r="K3128" s="41" t="s">
        <v>5354</v>
      </c>
      <c r="L3128" s="42"/>
    </row>
    <row r="3129">
      <c r="A3129" s="18">
        <v>3128.0</v>
      </c>
      <c r="B3129" s="76" t="s">
        <v>5315</v>
      </c>
      <c r="C3129" s="79" t="s">
        <v>5355</v>
      </c>
      <c r="D3129" s="41"/>
      <c r="E3129" s="41" t="s">
        <v>1178</v>
      </c>
      <c r="F3129" s="41" t="str">
        <f>IFERROR(__xludf.DUMMYFUNCTION("if(REGEXMATCH(C3129,""x.com"")=TRUE,""Twitter"",if(REGEXMATCH(C3129,""facebook"")=TRUE,""Facebook"",if(REGEXMATCH(C3129,""instagram"")=TRUE,""Instagram"",if(REGEXMATCH(C3129,""youtube"")=TRUE,""Youtube"",if(REGEXMATCH(C3129,""tiktok"")=TRUE,""Tiktok"",if("&amp;"REGEXMATCH(C3129,""threads"")=TRUE,""Threads""))))))"),"Twitter")</f>
        <v>Twitter</v>
      </c>
      <c r="G3129" s="41" t="s">
        <v>2135</v>
      </c>
      <c r="H3129" s="41" t="s">
        <v>2136</v>
      </c>
      <c r="I3129" s="41" t="s">
        <v>2137</v>
      </c>
      <c r="J3129" s="41" t="s">
        <v>188</v>
      </c>
      <c r="K3129" s="41"/>
      <c r="L3129" s="42"/>
    </row>
    <row r="3130">
      <c r="A3130" s="18">
        <v>3129.0</v>
      </c>
      <c r="B3130" s="76" t="s">
        <v>5315</v>
      </c>
      <c r="C3130" s="79" t="s">
        <v>5356</v>
      </c>
      <c r="D3130" s="41"/>
      <c r="E3130" s="41" t="s">
        <v>1178</v>
      </c>
      <c r="F3130" s="41" t="str">
        <f>IFERROR(__xludf.DUMMYFUNCTION("if(REGEXMATCH(C3130,""x.com"")=TRUE,""Twitter"",if(REGEXMATCH(C3130,""facebook"")=TRUE,""Facebook"",if(REGEXMATCH(C3130,""instagram"")=TRUE,""Instagram"",if(REGEXMATCH(C3130,""youtube"")=TRUE,""Youtube"",if(REGEXMATCH(C3130,""tiktok"")=TRUE,""Tiktok"",if("&amp;"REGEXMATCH(C3130,""threads"")=TRUE,""Threads""))))))"),"Twitter")</f>
        <v>Twitter</v>
      </c>
      <c r="G3130" s="41" t="s">
        <v>2135</v>
      </c>
      <c r="H3130" s="41" t="s">
        <v>2136</v>
      </c>
      <c r="I3130" s="41" t="s">
        <v>2137</v>
      </c>
      <c r="J3130" s="41" t="s">
        <v>188</v>
      </c>
      <c r="K3130" s="41"/>
      <c r="L3130" s="42"/>
    </row>
    <row r="3131">
      <c r="A3131" s="18">
        <v>3130.0</v>
      </c>
      <c r="B3131" s="76" t="s">
        <v>5315</v>
      </c>
      <c r="C3131" s="79" t="s">
        <v>5357</v>
      </c>
      <c r="D3131" s="41"/>
      <c r="E3131" s="41" t="s">
        <v>1178</v>
      </c>
      <c r="F3131" s="41" t="str">
        <f>IFERROR(__xludf.DUMMYFUNCTION("if(REGEXMATCH(C3131,""x.com"")=TRUE,""Twitter"",if(REGEXMATCH(C3131,""facebook"")=TRUE,""Facebook"",if(REGEXMATCH(C3131,""instagram"")=TRUE,""Instagram"",if(REGEXMATCH(C3131,""youtube"")=TRUE,""Youtube"",if(REGEXMATCH(C3131,""tiktok"")=TRUE,""Tiktok"",if("&amp;"REGEXMATCH(C3131,""threads"")=TRUE,""Threads""))))))"),"Twitter")</f>
        <v>Twitter</v>
      </c>
      <c r="G3131" s="41" t="s">
        <v>2135</v>
      </c>
      <c r="H3131" s="41" t="s">
        <v>2136</v>
      </c>
      <c r="I3131" s="41" t="s">
        <v>2137</v>
      </c>
      <c r="J3131" s="41" t="s">
        <v>422</v>
      </c>
      <c r="K3131" s="18" t="s">
        <v>1150</v>
      </c>
      <c r="L3131" s="42"/>
    </row>
    <row r="3132">
      <c r="A3132" s="18">
        <v>3131.0</v>
      </c>
      <c r="B3132" s="76" t="s">
        <v>5315</v>
      </c>
      <c r="C3132" s="40" t="s">
        <v>5358</v>
      </c>
      <c r="D3132" s="41"/>
      <c r="E3132" s="41" t="s">
        <v>401</v>
      </c>
      <c r="F3132" s="41" t="str">
        <f>IFERROR(__xludf.DUMMYFUNCTION("if(REGEXMATCH(C3132,""x.com"")=TRUE,""Twitter"",if(REGEXMATCH(C3132,""facebook"")=TRUE,""Facebook"",if(REGEXMATCH(C3132,""instagram"")=TRUE,""Instagram"",if(REGEXMATCH(C3132,""youtube"")=TRUE,""Youtube"",if(REGEXMATCH(C3132,""tiktok"")=TRUE,""Tiktok"",if("&amp;"REGEXMATCH(C3132,""threads"")=TRUE,""Threads""))))))"),"Facebook")</f>
        <v>Facebook</v>
      </c>
      <c r="G3132" s="41" t="s">
        <v>937</v>
      </c>
      <c r="H3132" s="41" t="s">
        <v>1542</v>
      </c>
      <c r="I3132" s="41" t="s">
        <v>939</v>
      </c>
      <c r="J3132" s="41" t="s">
        <v>188</v>
      </c>
      <c r="K3132" s="41"/>
      <c r="L3132" s="42"/>
    </row>
    <row r="3133">
      <c r="A3133" s="18">
        <v>3132.0</v>
      </c>
      <c r="B3133" s="76" t="s">
        <v>5315</v>
      </c>
      <c r="C3133" s="40" t="s">
        <v>5359</v>
      </c>
      <c r="D3133" s="41"/>
      <c r="E3133" s="41" t="s">
        <v>401</v>
      </c>
      <c r="F3133" s="41" t="str">
        <f>IFERROR(__xludf.DUMMYFUNCTION("if(REGEXMATCH(C3133,""x.com"")=TRUE,""Twitter"",if(REGEXMATCH(C3133,""facebook"")=TRUE,""Facebook"",if(REGEXMATCH(C3133,""instagram"")=TRUE,""Instagram"",if(REGEXMATCH(C3133,""youtube"")=TRUE,""Youtube"",if(REGEXMATCH(C3133,""tiktok"")=TRUE,""Tiktok"",if("&amp;"REGEXMATCH(C3133,""threads"")=TRUE,""Threads""))))))"),"Facebook")</f>
        <v>Facebook</v>
      </c>
      <c r="G3133" s="41" t="s">
        <v>937</v>
      </c>
      <c r="H3133" s="41" t="s">
        <v>1542</v>
      </c>
      <c r="I3133" s="41" t="s">
        <v>939</v>
      </c>
      <c r="J3133" s="41" t="s">
        <v>188</v>
      </c>
      <c r="K3133" s="41"/>
      <c r="L3133" s="42"/>
    </row>
    <row r="3134">
      <c r="A3134" s="18">
        <v>3133.0</v>
      </c>
      <c r="B3134" s="76" t="s">
        <v>5315</v>
      </c>
      <c r="C3134" s="40" t="s">
        <v>5360</v>
      </c>
      <c r="D3134" s="41"/>
      <c r="E3134" s="41" t="s">
        <v>401</v>
      </c>
      <c r="F3134" s="41" t="str">
        <f>IFERROR(__xludf.DUMMYFUNCTION("if(REGEXMATCH(C3134,""x.com"")=TRUE,""Twitter"",if(REGEXMATCH(C3134,""facebook"")=TRUE,""Facebook"",if(REGEXMATCH(C3134,""instagram"")=TRUE,""Instagram"",if(REGEXMATCH(C3134,""youtube"")=TRUE,""Youtube"",if(REGEXMATCH(C3134,""tiktok"")=TRUE,""Tiktok"",if("&amp;"REGEXMATCH(C3134,""threads"")=TRUE,""Threads""))))))"),"Facebook")</f>
        <v>Facebook</v>
      </c>
      <c r="G3134" s="41" t="s">
        <v>937</v>
      </c>
      <c r="H3134" s="41" t="s">
        <v>1542</v>
      </c>
      <c r="I3134" s="41" t="s">
        <v>939</v>
      </c>
      <c r="J3134" s="41" t="s">
        <v>188</v>
      </c>
      <c r="K3134" s="41"/>
      <c r="L3134" s="42"/>
    </row>
    <row r="3135">
      <c r="A3135" s="18">
        <v>3134.0</v>
      </c>
      <c r="B3135" s="76" t="s">
        <v>5315</v>
      </c>
      <c r="C3135" s="40" t="s">
        <v>5361</v>
      </c>
      <c r="D3135" s="41"/>
      <c r="E3135" s="41" t="s">
        <v>1178</v>
      </c>
      <c r="F3135" s="41" t="str">
        <f>IFERROR(__xludf.DUMMYFUNCTION("if(REGEXMATCH(C3135,""x.com"")=TRUE,""Twitter"",if(REGEXMATCH(C3135,""facebook"")=TRUE,""Facebook"",if(REGEXMATCH(C3135,""instagram"")=TRUE,""Instagram"",if(REGEXMATCH(C3135,""youtube"")=TRUE,""Youtube"",if(REGEXMATCH(C3135,""tiktok"")=TRUE,""Tiktok"",if("&amp;"REGEXMATCH(C3135,""threads"")=TRUE,""Threads""))))))"),"Instagram")</f>
        <v>Instagram</v>
      </c>
      <c r="G3135" s="41" t="s">
        <v>2135</v>
      </c>
      <c r="H3135" s="41" t="s">
        <v>2136</v>
      </c>
      <c r="I3135" s="41" t="s">
        <v>2137</v>
      </c>
      <c r="J3135" s="41" t="s">
        <v>188</v>
      </c>
      <c r="K3135" s="41"/>
      <c r="L3135" s="42"/>
    </row>
    <row r="3136">
      <c r="A3136" s="18">
        <v>3135.0</v>
      </c>
      <c r="B3136" s="76" t="s">
        <v>5315</v>
      </c>
      <c r="C3136" s="40" t="s">
        <v>5362</v>
      </c>
      <c r="D3136" s="41"/>
      <c r="E3136" s="41" t="s">
        <v>1178</v>
      </c>
      <c r="F3136" s="41" t="str">
        <f>IFERROR(__xludf.DUMMYFUNCTION("if(REGEXMATCH(C3136,""x.com"")=TRUE,""Twitter"",if(REGEXMATCH(C3136,""facebook"")=TRUE,""Facebook"",if(REGEXMATCH(C3136,""instagram"")=TRUE,""Instagram"",if(REGEXMATCH(C3136,""youtube"")=TRUE,""Youtube"",if(REGEXMATCH(C3136,""tiktok"")=TRUE,""Tiktok"",if("&amp;"REGEXMATCH(C3136,""threads"")=TRUE,""Threads""))))))"),"Instagram")</f>
        <v>Instagram</v>
      </c>
      <c r="G3136" s="41" t="s">
        <v>2135</v>
      </c>
      <c r="H3136" s="41" t="s">
        <v>2136</v>
      </c>
      <c r="I3136" s="41" t="s">
        <v>2137</v>
      </c>
      <c r="J3136" s="41" t="s">
        <v>422</v>
      </c>
      <c r="K3136" s="41" t="s">
        <v>5363</v>
      </c>
      <c r="L3136" s="42"/>
    </row>
    <row r="3137">
      <c r="A3137" s="18">
        <v>3136.0</v>
      </c>
      <c r="B3137" s="76" t="s">
        <v>5315</v>
      </c>
      <c r="C3137" s="40" t="s">
        <v>5364</v>
      </c>
      <c r="D3137" s="41"/>
      <c r="E3137" s="41" t="s">
        <v>1178</v>
      </c>
      <c r="F3137" s="41" t="str">
        <f>IFERROR(__xludf.DUMMYFUNCTION("if(REGEXMATCH(C3137,""x.com"")=TRUE,""Twitter"",if(REGEXMATCH(C3137,""facebook"")=TRUE,""Facebook"",if(REGEXMATCH(C3137,""instagram"")=TRUE,""Instagram"",if(REGEXMATCH(C3137,""youtube"")=TRUE,""Youtube"",if(REGEXMATCH(C3137,""tiktok"")=TRUE,""Tiktok"",if("&amp;"REGEXMATCH(C3137,""threads"")=TRUE,""Threads""))))))"),"Twitter")</f>
        <v>Twitter</v>
      </c>
      <c r="G3137" s="41" t="s">
        <v>2135</v>
      </c>
      <c r="H3137" s="41" t="s">
        <v>2136</v>
      </c>
      <c r="I3137" s="41" t="s">
        <v>2137</v>
      </c>
      <c r="J3137" s="41" t="s">
        <v>188</v>
      </c>
      <c r="K3137" s="41"/>
      <c r="L3137" s="42"/>
    </row>
    <row r="3138">
      <c r="A3138" s="18">
        <v>3137.0</v>
      </c>
      <c r="B3138" s="76" t="s">
        <v>5315</v>
      </c>
      <c r="C3138" s="40" t="s">
        <v>5365</v>
      </c>
      <c r="D3138" s="41"/>
      <c r="E3138" s="41" t="s">
        <v>1178</v>
      </c>
      <c r="F3138" s="41" t="str">
        <f>IFERROR(__xludf.DUMMYFUNCTION("if(REGEXMATCH(C3138,""x.com"")=TRUE,""Twitter"",if(REGEXMATCH(C3138,""facebook"")=TRUE,""Facebook"",if(REGEXMATCH(C3138,""instagram"")=TRUE,""Instagram"",if(REGEXMATCH(C3138,""youtube"")=TRUE,""Youtube"",if(REGEXMATCH(C3138,""tiktok"")=TRUE,""Tiktok"",if("&amp;"REGEXMATCH(C3138,""threads"")=TRUE,""Threads""))))))"),"Twitter")</f>
        <v>Twitter</v>
      </c>
      <c r="G3138" s="41" t="s">
        <v>2135</v>
      </c>
      <c r="H3138" s="41" t="s">
        <v>2136</v>
      </c>
      <c r="I3138" s="41" t="s">
        <v>2137</v>
      </c>
      <c r="J3138" s="41" t="s">
        <v>188</v>
      </c>
      <c r="K3138" s="41"/>
      <c r="L3138" s="42"/>
    </row>
    <row r="3139">
      <c r="A3139" s="18">
        <v>3138.0</v>
      </c>
      <c r="B3139" s="76" t="s">
        <v>5315</v>
      </c>
      <c r="C3139" s="40" t="s">
        <v>5366</v>
      </c>
      <c r="D3139" s="41"/>
      <c r="E3139" s="41" t="s">
        <v>1178</v>
      </c>
      <c r="F3139" s="41" t="str">
        <f>IFERROR(__xludf.DUMMYFUNCTION("if(REGEXMATCH(C3139,""x.com"")=TRUE,""Twitter"",if(REGEXMATCH(C3139,""facebook"")=TRUE,""Facebook"",if(REGEXMATCH(C3139,""instagram"")=TRUE,""Instagram"",if(REGEXMATCH(C3139,""youtube"")=TRUE,""Youtube"",if(REGEXMATCH(C3139,""tiktok"")=TRUE,""Tiktok"",if("&amp;"REGEXMATCH(C3139,""threads"")=TRUE,""Threads""))))))"),"Twitter")</f>
        <v>Twitter</v>
      </c>
      <c r="G3139" s="41" t="s">
        <v>2135</v>
      </c>
      <c r="H3139" s="41" t="s">
        <v>2136</v>
      </c>
      <c r="I3139" s="41" t="s">
        <v>2137</v>
      </c>
      <c r="J3139" s="41" t="s">
        <v>188</v>
      </c>
      <c r="K3139" s="18"/>
      <c r="L3139" s="42"/>
    </row>
    <row r="3140">
      <c r="A3140" s="18">
        <v>3139.0</v>
      </c>
      <c r="B3140" s="76" t="s">
        <v>5315</v>
      </c>
      <c r="C3140" s="40" t="s">
        <v>5367</v>
      </c>
      <c r="D3140" s="41"/>
      <c r="E3140" s="41" t="s">
        <v>1178</v>
      </c>
      <c r="F3140" s="41" t="str">
        <f>IFERROR(__xludf.DUMMYFUNCTION("if(REGEXMATCH(C3140,""x.com"")=TRUE,""Twitter"",if(REGEXMATCH(C3140,""facebook"")=TRUE,""Facebook"",if(REGEXMATCH(C3140,""instagram"")=TRUE,""Instagram"",if(REGEXMATCH(C3140,""youtube"")=TRUE,""Youtube"",if(REGEXMATCH(C3140,""tiktok"")=TRUE,""Tiktok"",if("&amp;"REGEXMATCH(C3140,""threads"")=TRUE,""Threads""))))))"),"Twitter")</f>
        <v>Twitter</v>
      </c>
      <c r="G3140" s="41" t="s">
        <v>2135</v>
      </c>
      <c r="H3140" s="41" t="s">
        <v>2136</v>
      </c>
      <c r="I3140" s="41" t="s">
        <v>2137</v>
      </c>
      <c r="J3140" s="41" t="s">
        <v>188</v>
      </c>
      <c r="K3140" s="41"/>
      <c r="L3140" s="42"/>
    </row>
    <row r="3141">
      <c r="A3141" s="18">
        <v>3140.0</v>
      </c>
      <c r="B3141" s="76" t="s">
        <v>5315</v>
      </c>
      <c r="C3141" s="40" t="s">
        <v>5368</v>
      </c>
      <c r="D3141" s="41"/>
      <c r="E3141" s="41" t="s">
        <v>1178</v>
      </c>
      <c r="F3141" s="41" t="str">
        <f>IFERROR(__xludf.DUMMYFUNCTION("if(REGEXMATCH(C3141,""x.com"")=TRUE,""Twitter"",if(REGEXMATCH(C3141,""facebook"")=TRUE,""Facebook"",if(REGEXMATCH(C3141,""instagram"")=TRUE,""Instagram"",if(REGEXMATCH(C3141,""youtube"")=TRUE,""Youtube"",if(REGEXMATCH(C3141,""tiktok"")=TRUE,""Tiktok"",if("&amp;"REGEXMATCH(C3141,""threads"")=TRUE,""Threads""))))))"),"Twitter")</f>
        <v>Twitter</v>
      </c>
      <c r="G3141" s="41" t="s">
        <v>2135</v>
      </c>
      <c r="H3141" s="41" t="s">
        <v>2136</v>
      </c>
      <c r="I3141" s="41" t="s">
        <v>2137</v>
      </c>
      <c r="J3141" s="41" t="s">
        <v>188</v>
      </c>
      <c r="K3141" s="41"/>
      <c r="L3141" s="42"/>
    </row>
    <row r="3142">
      <c r="A3142" s="18">
        <v>3141.0</v>
      </c>
      <c r="B3142" s="76" t="s">
        <v>5315</v>
      </c>
      <c r="C3142" s="40" t="s">
        <v>5369</v>
      </c>
      <c r="D3142" s="41"/>
      <c r="E3142" s="41" t="s">
        <v>1178</v>
      </c>
      <c r="F3142" s="41" t="str">
        <f>IFERROR(__xludf.DUMMYFUNCTION("if(REGEXMATCH(C3142,""x.com"")=TRUE,""Twitter"",if(REGEXMATCH(C3142,""facebook"")=TRUE,""Facebook"",if(REGEXMATCH(C3142,""instagram"")=TRUE,""Instagram"",if(REGEXMATCH(C3142,""youtube"")=TRUE,""Youtube"",if(REGEXMATCH(C3142,""tiktok"")=TRUE,""Tiktok"",if("&amp;"REGEXMATCH(C3142,""threads"")=TRUE,""Threads""))))))"),"Twitter")</f>
        <v>Twitter</v>
      </c>
      <c r="G3142" s="41" t="s">
        <v>2135</v>
      </c>
      <c r="H3142" s="41" t="s">
        <v>2136</v>
      </c>
      <c r="I3142" s="41" t="s">
        <v>2137</v>
      </c>
      <c r="J3142" s="41" t="s">
        <v>188</v>
      </c>
      <c r="K3142" s="18"/>
      <c r="L3142" s="42"/>
    </row>
    <row r="3143">
      <c r="A3143" s="18">
        <v>3142.0</v>
      </c>
      <c r="B3143" s="76" t="s">
        <v>5315</v>
      </c>
      <c r="C3143" s="40" t="s">
        <v>5370</v>
      </c>
      <c r="D3143" s="41"/>
      <c r="E3143" s="41" t="s">
        <v>1178</v>
      </c>
      <c r="F3143" s="41" t="str">
        <f>IFERROR(__xludf.DUMMYFUNCTION("if(REGEXMATCH(C3143,""x.com"")=TRUE,""Twitter"",if(REGEXMATCH(C3143,""facebook"")=TRUE,""Facebook"",if(REGEXMATCH(C3143,""instagram"")=TRUE,""Instagram"",if(REGEXMATCH(C3143,""youtube"")=TRUE,""Youtube"",if(REGEXMATCH(C3143,""tiktok"")=TRUE,""Tiktok"",if("&amp;"REGEXMATCH(C3143,""threads"")=TRUE,""Threads""))))))"),"Twitter")</f>
        <v>Twitter</v>
      </c>
      <c r="G3143" s="41" t="s">
        <v>2135</v>
      </c>
      <c r="H3143" s="41" t="s">
        <v>2136</v>
      </c>
      <c r="I3143" s="41" t="s">
        <v>2137</v>
      </c>
      <c r="J3143" s="41" t="s">
        <v>188</v>
      </c>
      <c r="K3143" s="18"/>
      <c r="L3143" s="42"/>
    </row>
    <row r="3144">
      <c r="A3144" s="18">
        <v>3143.0</v>
      </c>
      <c r="B3144" s="76" t="s">
        <v>5315</v>
      </c>
      <c r="C3144" s="40" t="s">
        <v>5371</v>
      </c>
      <c r="D3144" s="41"/>
      <c r="E3144" s="41" t="s">
        <v>1178</v>
      </c>
      <c r="F3144" s="41" t="str">
        <f>IFERROR(__xludf.DUMMYFUNCTION("if(REGEXMATCH(C3144,""x.com"")=TRUE,""Twitter"",if(REGEXMATCH(C3144,""facebook"")=TRUE,""Facebook"",if(REGEXMATCH(C3144,""instagram"")=TRUE,""Instagram"",if(REGEXMATCH(C3144,""youtube"")=TRUE,""Youtube"",if(REGEXMATCH(C3144,""tiktok"")=TRUE,""Tiktok"",if("&amp;"REGEXMATCH(C3144,""threads"")=TRUE,""Threads""))))))"),"Twitter")</f>
        <v>Twitter</v>
      </c>
      <c r="G3144" s="41" t="s">
        <v>2135</v>
      </c>
      <c r="H3144" s="41" t="s">
        <v>2136</v>
      </c>
      <c r="I3144" s="41" t="s">
        <v>2137</v>
      </c>
      <c r="J3144" s="41" t="s">
        <v>188</v>
      </c>
      <c r="K3144" s="18"/>
      <c r="L3144" s="42"/>
    </row>
    <row r="3145">
      <c r="A3145" s="18">
        <v>3144.0</v>
      </c>
      <c r="B3145" s="76" t="s">
        <v>5315</v>
      </c>
      <c r="C3145" s="40" t="s">
        <v>5372</v>
      </c>
      <c r="D3145" s="41"/>
      <c r="E3145" s="41" t="s">
        <v>1178</v>
      </c>
      <c r="F3145" s="41" t="str">
        <f>IFERROR(__xludf.DUMMYFUNCTION("if(REGEXMATCH(C3145,""x.com"")=TRUE,""Twitter"",if(REGEXMATCH(C3145,""facebook"")=TRUE,""Facebook"",if(REGEXMATCH(C3145,""instagram"")=TRUE,""Instagram"",if(REGEXMATCH(C3145,""youtube"")=TRUE,""Youtube"",if(REGEXMATCH(C3145,""tiktok"")=TRUE,""Tiktok"",if("&amp;"REGEXMATCH(C3145,""threads"")=TRUE,""Threads""))))))"),"Twitter")</f>
        <v>Twitter</v>
      </c>
      <c r="G3145" s="41" t="s">
        <v>2135</v>
      </c>
      <c r="H3145" s="41" t="s">
        <v>2136</v>
      </c>
      <c r="I3145" s="41" t="s">
        <v>2137</v>
      </c>
      <c r="J3145" s="41" t="s">
        <v>188</v>
      </c>
      <c r="K3145" s="18"/>
      <c r="L3145" s="42"/>
    </row>
    <row r="3146">
      <c r="A3146" s="18">
        <v>3145.0</v>
      </c>
      <c r="B3146" s="76" t="s">
        <v>5315</v>
      </c>
      <c r="C3146" s="40" t="s">
        <v>5373</v>
      </c>
      <c r="D3146" s="41"/>
      <c r="E3146" s="41" t="s">
        <v>1178</v>
      </c>
      <c r="F3146" s="41" t="str">
        <f>IFERROR(__xludf.DUMMYFUNCTION("if(REGEXMATCH(C3146,""x.com"")=TRUE,""Twitter"",if(REGEXMATCH(C3146,""facebook"")=TRUE,""Facebook"",if(REGEXMATCH(C3146,""instagram"")=TRUE,""Instagram"",if(REGEXMATCH(C3146,""youtube"")=TRUE,""Youtube"",if(REGEXMATCH(C3146,""tiktok"")=TRUE,""Tiktok"",if("&amp;"REGEXMATCH(C3146,""threads"")=TRUE,""Threads""))))))"),"Facebook")</f>
        <v>Facebook</v>
      </c>
      <c r="G3146" s="41" t="s">
        <v>2135</v>
      </c>
      <c r="H3146" s="41" t="s">
        <v>2136</v>
      </c>
      <c r="I3146" s="41" t="s">
        <v>2137</v>
      </c>
      <c r="J3146" s="41" t="s">
        <v>188</v>
      </c>
      <c r="K3146" s="18"/>
      <c r="L3146" s="42"/>
    </row>
    <row r="3147">
      <c r="A3147" s="18">
        <v>3146.0</v>
      </c>
      <c r="B3147" s="76" t="s">
        <v>5315</v>
      </c>
      <c r="C3147" s="46" t="s">
        <v>5374</v>
      </c>
      <c r="D3147" s="41"/>
      <c r="E3147" s="41" t="s">
        <v>1178</v>
      </c>
      <c r="F3147" s="41" t="str">
        <f>IFERROR(__xludf.DUMMYFUNCTION("if(REGEXMATCH(C3147,""x.com"")=TRUE,""Twitter"",if(REGEXMATCH(C3147,""facebook"")=TRUE,""Facebook"",if(REGEXMATCH(C3147,""instagram"")=TRUE,""Instagram"",if(REGEXMATCH(C3147,""youtube"")=TRUE,""Youtube"",if(REGEXMATCH(C3147,""tiktok"")=TRUE,""Tiktok"",if("&amp;"REGEXMATCH(C3147,""threads"")=TRUE,""Threads""))))))"),"Twitter")</f>
        <v>Twitter</v>
      </c>
      <c r="G3147" s="41" t="s">
        <v>2135</v>
      </c>
      <c r="H3147" s="41" t="s">
        <v>2136</v>
      </c>
      <c r="I3147" s="41" t="s">
        <v>2137</v>
      </c>
      <c r="J3147" s="41" t="s">
        <v>188</v>
      </c>
      <c r="K3147" s="18"/>
      <c r="L3147" s="42"/>
    </row>
    <row r="3148">
      <c r="A3148" s="18">
        <v>3147.0</v>
      </c>
      <c r="B3148" s="76" t="s">
        <v>5315</v>
      </c>
      <c r="C3148" s="46" t="s">
        <v>5375</v>
      </c>
      <c r="D3148" s="41"/>
      <c r="E3148" s="41" t="s">
        <v>1178</v>
      </c>
      <c r="F3148" s="41" t="str">
        <f>IFERROR(__xludf.DUMMYFUNCTION("if(REGEXMATCH(C3148,""x.com"")=TRUE,""Twitter"",if(REGEXMATCH(C3148,""facebook"")=TRUE,""Facebook"",if(REGEXMATCH(C3148,""instagram"")=TRUE,""Instagram"",if(REGEXMATCH(C3148,""youtube"")=TRUE,""Youtube"",if(REGEXMATCH(C3148,""tiktok"")=TRUE,""Tiktok"",if("&amp;"REGEXMATCH(C3148,""threads"")=TRUE,""Threads""))))))"),"Twitter")</f>
        <v>Twitter</v>
      </c>
      <c r="G3148" s="41" t="s">
        <v>2135</v>
      </c>
      <c r="H3148" s="41" t="s">
        <v>2136</v>
      </c>
      <c r="I3148" s="41" t="s">
        <v>2137</v>
      </c>
      <c r="J3148" s="41" t="s">
        <v>188</v>
      </c>
      <c r="K3148" s="18"/>
      <c r="L3148" s="42"/>
    </row>
    <row r="3149">
      <c r="A3149" s="18">
        <v>3148.0</v>
      </c>
      <c r="B3149" s="76" t="s">
        <v>5315</v>
      </c>
      <c r="C3149" s="46" t="s">
        <v>5376</v>
      </c>
      <c r="D3149" s="41"/>
      <c r="E3149" s="41" t="s">
        <v>1178</v>
      </c>
      <c r="F3149" s="41" t="str">
        <f>IFERROR(__xludf.DUMMYFUNCTION("if(REGEXMATCH(C3149,""x.com"")=TRUE,""Twitter"",if(REGEXMATCH(C3149,""facebook"")=TRUE,""Facebook"",if(REGEXMATCH(C3149,""instagram"")=TRUE,""Instagram"",if(REGEXMATCH(C3149,""youtube"")=TRUE,""Youtube"",if(REGEXMATCH(C3149,""tiktok"")=TRUE,""Tiktok"",if("&amp;"REGEXMATCH(C3149,""threads"")=TRUE,""Threads""))))))"),"Facebook")</f>
        <v>Facebook</v>
      </c>
      <c r="G3149" s="41" t="s">
        <v>2135</v>
      </c>
      <c r="H3149" s="41" t="s">
        <v>2136</v>
      </c>
      <c r="I3149" s="41" t="s">
        <v>2137</v>
      </c>
      <c r="J3149" s="41" t="s">
        <v>188</v>
      </c>
      <c r="K3149" s="18"/>
      <c r="L3149" s="42"/>
    </row>
    <row r="3150">
      <c r="A3150" s="18">
        <v>3149.0</v>
      </c>
      <c r="B3150" s="76" t="s">
        <v>5315</v>
      </c>
      <c r="C3150" s="46" t="s">
        <v>5377</v>
      </c>
      <c r="D3150" s="41"/>
      <c r="E3150" s="41" t="s">
        <v>1178</v>
      </c>
      <c r="F3150" s="41" t="str">
        <f>IFERROR(__xludf.DUMMYFUNCTION("if(REGEXMATCH(C3150,""x.com"")=TRUE,""Twitter"",if(REGEXMATCH(C3150,""facebook"")=TRUE,""Facebook"",if(REGEXMATCH(C3150,""instagram"")=TRUE,""Instagram"",if(REGEXMATCH(C3150,""youtube"")=TRUE,""Youtube"",if(REGEXMATCH(C3150,""tiktok"")=TRUE,""Tiktok"",if("&amp;"REGEXMATCH(C3150,""threads"")=TRUE,""Threads""))))))"),"Facebook")</f>
        <v>Facebook</v>
      </c>
      <c r="G3150" s="41" t="s">
        <v>2135</v>
      </c>
      <c r="H3150" s="41" t="s">
        <v>2136</v>
      </c>
      <c r="I3150" s="41" t="s">
        <v>2137</v>
      </c>
      <c r="J3150" s="41" t="s">
        <v>188</v>
      </c>
      <c r="K3150" s="18"/>
      <c r="L3150" s="42"/>
    </row>
    <row r="3151">
      <c r="A3151" s="18">
        <v>3150.0</v>
      </c>
      <c r="B3151" s="76" t="s">
        <v>5315</v>
      </c>
      <c r="C3151" s="46" t="s">
        <v>5378</v>
      </c>
      <c r="D3151" s="41"/>
      <c r="E3151" s="41" t="s">
        <v>1178</v>
      </c>
      <c r="F3151" s="41" t="str">
        <f>IFERROR(__xludf.DUMMYFUNCTION("if(REGEXMATCH(C3151,""x.com"")=TRUE,""Twitter"",if(REGEXMATCH(C3151,""facebook"")=TRUE,""Facebook"",if(REGEXMATCH(C3151,""instagram"")=TRUE,""Instagram"",if(REGEXMATCH(C3151,""youtube"")=TRUE,""Youtube"",if(REGEXMATCH(C3151,""tiktok"")=TRUE,""Tiktok"",if("&amp;"REGEXMATCH(C3151,""threads"")=TRUE,""Threads""))))))"),"Twitter")</f>
        <v>Twitter</v>
      </c>
      <c r="G3151" s="41" t="s">
        <v>2135</v>
      </c>
      <c r="H3151" s="41" t="s">
        <v>2136</v>
      </c>
      <c r="I3151" s="41" t="s">
        <v>2137</v>
      </c>
      <c r="J3151" s="41" t="s">
        <v>188</v>
      </c>
      <c r="K3151" s="18"/>
      <c r="L3151" s="42"/>
    </row>
    <row r="3152">
      <c r="A3152" s="18">
        <v>3151.0</v>
      </c>
      <c r="B3152" s="76" t="s">
        <v>5315</v>
      </c>
      <c r="C3152" s="46" t="s">
        <v>5379</v>
      </c>
      <c r="D3152" s="41"/>
      <c r="E3152" s="41" t="s">
        <v>1178</v>
      </c>
      <c r="F3152" s="41" t="str">
        <f>IFERROR(__xludf.DUMMYFUNCTION("if(REGEXMATCH(C3152,""x.com"")=TRUE,""Twitter"",if(REGEXMATCH(C3152,""facebook"")=TRUE,""Facebook"",if(REGEXMATCH(C3152,""instagram"")=TRUE,""Instagram"",if(REGEXMATCH(C3152,""youtube"")=TRUE,""Youtube"",if(REGEXMATCH(C3152,""tiktok"")=TRUE,""Tiktok"",if("&amp;"REGEXMATCH(C3152,""threads"")=TRUE,""Threads""))))))"),"Twitter")</f>
        <v>Twitter</v>
      </c>
      <c r="G3152" s="41" t="s">
        <v>2135</v>
      </c>
      <c r="H3152" s="41" t="s">
        <v>2136</v>
      </c>
      <c r="I3152" s="41" t="s">
        <v>2137</v>
      </c>
      <c r="J3152" s="41" t="s">
        <v>188</v>
      </c>
      <c r="K3152" s="18"/>
      <c r="L3152" s="42"/>
    </row>
    <row r="3153">
      <c r="A3153" s="18">
        <v>3152.0</v>
      </c>
      <c r="B3153" s="76" t="s">
        <v>5315</v>
      </c>
      <c r="C3153" s="44" t="s">
        <v>5380</v>
      </c>
      <c r="D3153" s="18"/>
      <c r="E3153" s="18" t="s">
        <v>2018</v>
      </c>
      <c r="F3153" s="41" t="str">
        <f>IFERROR(__xludf.DUMMYFUNCTION("if(REGEXMATCH(C3153,""x.com"")=TRUE,""Twitter"",if(REGEXMATCH(C3153,""facebook"")=TRUE,""Facebook"",if(REGEXMATCH(C3153,""instagram"")=TRUE,""Instagram"",if(REGEXMATCH(C3153,""youtube"")=TRUE,""Youtube"",if(REGEXMATCH(C3153,""tiktok"")=TRUE,""Tiktok"",if("&amp;"REGEXMATCH(C3153,""threads"")=TRUE,""Threads""))))))"),"Facebook")</f>
        <v>Facebook</v>
      </c>
      <c r="G3153" s="44" t="s">
        <v>5381</v>
      </c>
      <c r="H3153" s="41" t="s">
        <v>5382</v>
      </c>
      <c r="I3153" s="41"/>
      <c r="J3153" s="41" t="s">
        <v>188</v>
      </c>
      <c r="K3153" s="41" t="s">
        <v>1704</v>
      </c>
      <c r="L3153" s="42"/>
    </row>
    <row r="3154">
      <c r="A3154" s="18">
        <v>3153.0</v>
      </c>
      <c r="B3154" s="76" t="s">
        <v>5315</v>
      </c>
      <c r="C3154" s="40" t="s">
        <v>5383</v>
      </c>
      <c r="D3154" s="18"/>
      <c r="E3154" s="18" t="s">
        <v>2018</v>
      </c>
      <c r="F3154" s="41" t="str">
        <f>IFERROR(__xludf.DUMMYFUNCTION("if(REGEXMATCH(C3154,""x.com"")=TRUE,""Twitter"",if(REGEXMATCH(C3154,""facebook"")=TRUE,""Facebook"",if(REGEXMATCH(C3154,""instagram"")=TRUE,""Instagram"",if(REGEXMATCH(C3154,""youtube"")=TRUE,""Youtube"",if(REGEXMATCH(C3154,""tiktok"")=TRUE,""Tiktok"",if("&amp;"REGEXMATCH(C3154,""threads"")=TRUE,""Threads""))))))"),"Facebook")</f>
        <v>Facebook</v>
      </c>
      <c r="G3154" s="44" t="s">
        <v>5384</v>
      </c>
      <c r="H3154" s="41" t="s">
        <v>2023</v>
      </c>
      <c r="I3154" s="18"/>
      <c r="J3154" s="41" t="s">
        <v>188</v>
      </c>
      <c r="K3154" s="41" t="s">
        <v>1704</v>
      </c>
      <c r="L3154" s="42"/>
    </row>
    <row r="3155">
      <c r="A3155" s="18">
        <v>3154.0</v>
      </c>
      <c r="B3155" s="76" t="s">
        <v>5315</v>
      </c>
      <c r="C3155" s="44" t="s">
        <v>5385</v>
      </c>
      <c r="D3155" s="18"/>
      <c r="E3155" s="18" t="s">
        <v>2018</v>
      </c>
      <c r="F3155" s="41" t="str">
        <f>IFERROR(__xludf.DUMMYFUNCTION("if(REGEXMATCH(C3155,""x.com"")=TRUE,""Twitter"",if(REGEXMATCH(C3155,""facebook"")=TRUE,""Facebook"",if(REGEXMATCH(C3155,""instagram"")=TRUE,""Instagram"",if(REGEXMATCH(C3155,""youtube"")=TRUE,""Youtube"",if(REGEXMATCH(C3155,""tiktok"")=TRUE,""Tiktok"",if("&amp;"REGEXMATCH(C3155,""threads"")=TRUE,""Threads""))))))"),"Facebook")</f>
        <v>Facebook</v>
      </c>
      <c r="G3155" s="44" t="s">
        <v>5386</v>
      </c>
      <c r="H3155" s="41" t="s">
        <v>2023</v>
      </c>
      <c r="I3155" s="18"/>
      <c r="J3155" s="41" t="s">
        <v>188</v>
      </c>
      <c r="K3155" s="41" t="s">
        <v>1704</v>
      </c>
      <c r="L3155" s="42"/>
    </row>
    <row r="3156">
      <c r="A3156" s="18">
        <v>3155.0</v>
      </c>
      <c r="B3156" s="76" t="s">
        <v>5315</v>
      </c>
      <c r="C3156" s="44" t="s">
        <v>5387</v>
      </c>
      <c r="D3156" s="18"/>
      <c r="E3156" s="18" t="s">
        <v>2018</v>
      </c>
      <c r="F3156" s="41" t="str">
        <f>IFERROR(__xludf.DUMMYFUNCTION("if(REGEXMATCH(C3156,""x.com"")=TRUE,""Twitter"",if(REGEXMATCH(C3156,""facebook"")=TRUE,""Facebook"",if(REGEXMATCH(C3156,""instagram"")=TRUE,""Instagram"",if(REGEXMATCH(C3156,""youtube"")=TRUE,""Youtube"",if(REGEXMATCH(C3156,""tiktok"")=TRUE,""Tiktok"",if("&amp;"REGEXMATCH(C3156,""threads"")=TRUE,""Threads""))))))"),"Facebook")</f>
        <v>Facebook</v>
      </c>
      <c r="G3156" s="44" t="s">
        <v>5388</v>
      </c>
      <c r="H3156" s="41" t="s">
        <v>2023</v>
      </c>
      <c r="I3156" s="18"/>
      <c r="J3156" s="41" t="s">
        <v>188</v>
      </c>
      <c r="K3156" s="41" t="s">
        <v>1704</v>
      </c>
      <c r="L3156" s="42"/>
    </row>
    <row r="3157">
      <c r="A3157" s="18">
        <v>3156.0</v>
      </c>
      <c r="B3157" s="76" t="s">
        <v>5315</v>
      </c>
      <c r="C3157" s="44" t="s">
        <v>5389</v>
      </c>
      <c r="D3157" s="18"/>
      <c r="E3157" s="18" t="s">
        <v>2018</v>
      </c>
      <c r="F3157" s="41" t="str">
        <f>IFERROR(__xludf.DUMMYFUNCTION("if(REGEXMATCH(C3157,""x.com"")=TRUE,""Twitter"",if(REGEXMATCH(C3157,""facebook"")=TRUE,""Facebook"",if(REGEXMATCH(C3157,""instagram"")=TRUE,""Instagram"",if(REGEXMATCH(C3157,""youtube"")=TRUE,""Youtube"",if(REGEXMATCH(C3157,""tiktok"")=TRUE,""Tiktok"",if("&amp;"REGEXMATCH(C3157,""threads"")=TRUE,""Threads""))))))"),"Facebook")</f>
        <v>Facebook</v>
      </c>
      <c r="G3157" s="44" t="s">
        <v>5390</v>
      </c>
      <c r="H3157" s="41" t="s">
        <v>2023</v>
      </c>
      <c r="I3157" s="18"/>
      <c r="J3157" s="41" t="s">
        <v>188</v>
      </c>
      <c r="K3157" s="41" t="s">
        <v>1704</v>
      </c>
      <c r="L3157" s="42"/>
    </row>
    <row r="3158">
      <c r="A3158" s="18">
        <v>3157.0</v>
      </c>
      <c r="B3158" s="76" t="s">
        <v>5315</v>
      </c>
      <c r="C3158" s="44" t="s">
        <v>5391</v>
      </c>
      <c r="D3158" s="18"/>
      <c r="E3158" s="18" t="s">
        <v>2018</v>
      </c>
      <c r="F3158" s="41" t="str">
        <f>IFERROR(__xludf.DUMMYFUNCTION("if(REGEXMATCH(C3158,""x.com"")=TRUE,""Twitter"",if(REGEXMATCH(C3158,""facebook"")=TRUE,""Facebook"",if(REGEXMATCH(C3158,""instagram"")=TRUE,""Instagram"",if(REGEXMATCH(C3158,""youtube"")=TRUE,""Youtube"",if(REGEXMATCH(C3158,""tiktok"")=TRUE,""Tiktok"",if("&amp;"REGEXMATCH(C3158,""threads"")=TRUE,""Threads""))))))"),"Facebook")</f>
        <v>Facebook</v>
      </c>
      <c r="G3158" s="27" t="s">
        <v>5392</v>
      </c>
      <c r="H3158" s="18" t="s">
        <v>5393</v>
      </c>
      <c r="I3158" s="18"/>
      <c r="J3158" s="41" t="s">
        <v>188</v>
      </c>
      <c r="K3158" s="41" t="s">
        <v>1704</v>
      </c>
      <c r="L3158" s="42"/>
    </row>
    <row r="3159">
      <c r="A3159" s="18">
        <v>3158.0</v>
      </c>
      <c r="B3159" s="76" t="s">
        <v>5394</v>
      </c>
      <c r="C3159" s="40" t="s">
        <v>5395</v>
      </c>
      <c r="D3159" s="41"/>
      <c r="E3159" s="41" t="s">
        <v>557</v>
      </c>
      <c r="F3159" s="41" t="str">
        <f>IFERROR(__xludf.DUMMYFUNCTION("if(REGEXMATCH(C3159,""x.com"")=TRUE,""Twitter"",if(REGEXMATCH(C3159,""facebook"")=TRUE,""Facebook"",if(REGEXMATCH(C3159,""instagram"")=TRUE,""Instagram"",if(REGEXMATCH(C3159,""youtube"")=TRUE,""Youtube"",if(REGEXMATCH(C3159,""tiktok"")=TRUE,""Tiktok"",if("&amp;"REGEXMATCH(C3159,""threads"")=TRUE,""Threads""))))))"),"Tiktok")</f>
        <v>Tiktok</v>
      </c>
      <c r="G3159" s="41" t="s">
        <v>5396</v>
      </c>
      <c r="H3159" s="43" t="s">
        <v>779</v>
      </c>
      <c r="I3159" s="43" t="s">
        <v>535</v>
      </c>
      <c r="J3159" s="41" t="s">
        <v>188</v>
      </c>
      <c r="K3159" s="42"/>
      <c r="L3159" s="42"/>
    </row>
    <row r="3160">
      <c r="A3160" s="18">
        <v>3159.0</v>
      </c>
      <c r="B3160" s="76" t="s">
        <v>5394</v>
      </c>
      <c r="C3160" s="40" t="s">
        <v>5397</v>
      </c>
      <c r="D3160" s="41"/>
      <c r="E3160" s="41" t="s">
        <v>3714</v>
      </c>
      <c r="F3160" s="41" t="str">
        <f>IFERROR(__xludf.DUMMYFUNCTION("if(REGEXMATCH(C3160,""x.com"")=TRUE,""Twitter"",if(REGEXMATCH(C3160,""facebook"")=TRUE,""Facebook"",if(REGEXMATCH(C3160,""instagram"")=TRUE,""Instagram"",if(REGEXMATCH(C3160,""youtube"")=TRUE,""Youtube"",if(REGEXMATCH(C3160,""tiktok"")=TRUE,""Tiktok"",if("&amp;"REGEXMATCH(C3160,""threads"")=TRUE,""Threads""))))))"),"Tiktok")</f>
        <v>Tiktok</v>
      </c>
      <c r="G3160" s="41" t="s">
        <v>5398</v>
      </c>
      <c r="H3160" s="36"/>
      <c r="I3160" s="36"/>
      <c r="J3160" s="41" t="s">
        <v>188</v>
      </c>
      <c r="K3160" s="42"/>
      <c r="L3160" s="42"/>
    </row>
    <row r="3161">
      <c r="A3161" s="18">
        <v>3160.0</v>
      </c>
      <c r="B3161" s="76" t="s">
        <v>5394</v>
      </c>
      <c r="C3161" s="40" t="s">
        <v>5399</v>
      </c>
      <c r="D3161" s="41"/>
      <c r="E3161" s="41" t="s">
        <v>557</v>
      </c>
      <c r="F3161" s="41" t="str">
        <f>IFERROR(__xludf.DUMMYFUNCTION("if(REGEXMATCH(C3161,""x.com"")=TRUE,""Twitter"",if(REGEXMATCH(C3161,""facebook"")=TRUE,""Facebook"",if(REGEXMATCH(C3161,""instagram"")=TRUE,""Instagram"",if(REGEXMATCH(C3161,""youtube"")=TRUE,""Youtube"",if(REGEXMATCH(C3161,""tiktok"")=TRUE,""Tiktok"",if("&amp;"REGEXMATCH(C3161,""threads"")=TRUE,""Threads""))))))"),"Twitter")</f>
        <v>Twitter</v>
      </c>
      <c r="G3161" s="41" t="s">
        <v>5400</v>
      </c>
      <c r="H3161" s="36"/>
      <c r="I3161" s="36"/>
      <c r="J3161" s="41" t="s">
        <v>188</v>
      </c>
      <c r="K3161" s="42"/>
      <c r="L3161" s="42"/>
    </row>
    <row r="3162">
      <c r="A3162" s="18">
        <v>3161.0</v>
      </c>
      <c r="B3162" s="76" t="s">
        <v>5394</v>
      </c>
      <c r="C3162" s="40" t="s">
        <v>5401</v>
      </c>
      <c r="D3162" s="41"/>
      <c r="E3162" s="41" t="s">
        <v>1645</v>
      </c>
      <c r="F3162" s="41" t="str">
        <f>IFERROR(__xludf.DUMMYFUNCTION("if(REGEXMATCH(C3162,""x.com"")=TRUE,""Twitter"",if(REGEXMATCH(C3162,""facebook"")=TRUE,""Facebook"",if(REGEXMATCH(C3162,""instagram"")=TRUE,""Instagram"",if(REGEXMATCH(C3162,""youtube"")=TRUE,""Youtube"",if(REGEXMATCH(C3162,""tiktok"")=TRUE,""Tiktok"",if("&amp;"REGEXMATCH(C3162,""threads"")=TRUE,""Threads""))))))"),"Twitter")</f>
        <v>Twitter</v>
      </c>
      <c r="G3162" s="41" t="s">
        <v>5402</v>
      </c>
      <c r="H3162" s="36"/>
      <c r="I3162" s="36"/>
      <c r="J3162" s="41" t="s">
        <v>188</v>
      </c>
      <c r="K3162" s="42"/>
      <c r="L3162" s="42"/>
    </row>
    <row r="3163">
      <c r="A3163" s="18">
        <v>3162.0</v>
      </c>
      <c r="B3163" s="76" t="s">
        <v>5394</v>
      </c>
      <c r="C3163" s="40" t="s">
        <v>5403</v>
      </c>
      <c r="D3163" s="41"/>
      <c r="E3163" s="41" t="s">
        <v>3329</v>
      </c>
      <c r="F3163" s="41" t="str">
        <f>IFERROR(__xludf.DUMMYFUNCTION("if(REGEXMATCH(C3163,""x.com"")=TRUE,""Twitter"",if(REGEXMATCH(C3163,""facebook"")=TRUE,""Facebook"",if(REGEXMATCH(C3163,""instagram"")=TRUE,""Instagram"",if(REGEXMATCH(C3163,""youtube"")=TRUE,""Youtube"",if(REGEXMATCH(C3163,""tiktok"")=TRUE,""Tiktok"",if("&amp;"REGEXMATCH(C3163,""threads"")=TRUE,""Threads""))))))"),"Twitter")</f>
        <v>Twitter</v>
      </c>
      <c r="G3163" s="41" t="s">
        <v>5404</v>
      </c>
      <c r="H3163" s="36"/>
      <c r="I3163" s="36"/>
      <c r="J3163" s="41" t="s">
        <v>188</v>
      </c>
      <c r="K3163" s="42"/>
      <c r="L3163" s="42"/>
    </row>
    <row r="3164">
      <c r="A3164" s="18">
        <v>3163.0</v>
      </c>
      <c r="B3164" s="76" t="s">
        <v>5394</v>
      </c>
      <c r="C3164" s="40" t="s">
        <v>5405</v>
      </c>
      <c r="D3164" s="41"/>
      <c r="E3164" s="41" t="s">
        <v>197</v>
      </c>
      <c r="F3164" s="41" t="str">
        <f>IFERROR(__xludf.DUMMYFUNCTION("if(REGEXMATCH(C3164,""x.com"")=TRUE,""Twitter"",if(REGEXMATCH(C3164,""facebook"")=TRUE,""Facebook"",if(REGEXMATCH(C3164,""instagram"")=TRUE,""Instagram"",if(REGEXMATCH(C3164,""youtube"")=TRUE,""Youtube"",if(REGEXMATCH(C3164,""tiktok"")=TRUE,""Tiktok"",if("&amp;"REGEXMATCH(C3164,""threads"")=TRUE,""Threads""))))))"),"Twitter")</f>
        <v>Twitter</v>
      </c>
      <c r="G3164" s="41" t="s">
        <v>4458</v>
      </c>
      <c r="H3164" s="36"/>
      <c r="I3164" s="36"/>
      <c r="J3164" s="41" t="s">
        <v>188</v>
      </c>
      <c r="K3164" s="42"/>
      <c r="L3164" s="42"/>
    </row>
    <row r="3165">
      <c r="A3165" s="18">
        <v>3164.0</v>
      </c>
      <c r="B3165" s="76" t="s">
        <v>5394</v>
      </c>
      <c r="C3165" s="40" t="s">
        <v>5406</v>
      </c>
      <c r="D3165" s="41"/>
      <c r="E3165" s="41"/>
      <c r="F3165" s="41" t="str">
        <f>IFERROR(__xludf.DUMMYFUNCTION("if(REGEXMATCH(C3165,""x.com"")=TRUE,""Twitter"",if(REGEXMATCH(C3165,""facebook"")=TRUE,""Facebook"",if(REGEXMATCH(C3165,""instagram"")=TRUE,""Instagram"",if(REGEXMATCH(C3165,""youtube"")=TRUE,""Youtube"",if(REGEXMATCH(C3165,""tiktok"")=TRUE,""Tiktok"",if("&amp;"REGEXMATCH(C3165,""threads"")=TRUE,""Threads""))))))"),"Twitter")</f>
        <v>Twitter</v>
      </c>
      <c r="G3165" s="41" t="s">
        <v>5407</v>
      </c>
      <c r="H3165" s="36"/>
      <c r="I3165" s="36"/>
      <c r="J3165" s="41" t="s">
        <v>188</v>
      </c>
      <c r="K3165" s="42"/>
      <c r="L3165" s="42"/>
    </row>
    <row r="3166">
      <c r="A3166" s="18">
        <v>3165.0</v>
      </c>
      <c r="B3166" s="76" t="s">
        <v>5394</v>
      </c>
      <c r="C3166" s="40" t="s">
        <v>5408</v>
      </c>
      <c r="D3166" s="41"/>
      <c r="E3166" s="41" t="s">
        <v>1178</v>
      </c>
      <c r="F3166" s="41" t="str">
        <f>IFERROR(__xludf.DUMMYFUNCTION("if(REGEXMATCH(C3166,""x.com"")=TRUE,""Twitter"",if(REGEXMATCH(C3166,""facebook"")=TRUE,""Facebook"",if(REGEXMATCH(C3166,""instagram"")=TRUE,""Instagram"",if(REGEXMATCH(C3166,""youtube"")=TRUE,""Youtube"",if(REGEXMATCH(C3166,""tiktok"")=TRUE,""Tiktok"",if("&amp;"REGEXMATCH(C3166,""threads"")=TRUE,""Threads""))))))"),"Twitter")</f>
        <v>Twitter</v>
      </c>
      <c r="G3166" s="41" t="s">
        <v>5409</v>
      </c>
      <c r="H3166" s="36"/>
      <c r="I3166" s="36"/>
      <c r="J3166" s="41" t="s">
        <v>188</v>
      </c>
      <c r="K3166" s="42"/>
      <c r="L3166" s="42"/>
    </row>
    <row r="3167">
      <c r="A3167" s="18">
        <v>3166.0</v>
      </c>
      <c r="B3167" s="76" t="s">
        <v>5394</v>
      </c>
      <c r="C3167" s="40" t="s">
        <v>5410</v>
      </c>
      <c r="D3167" s="41"/>
      <c r="E3167" s="41"/>
      <c r="F3167" s="41" t="str">
        <f>IFERROR(__xludf.DUMMYFUNCTION("if(REGEXMATCH(C3167,""x.com"")=TRUE,""Twitter"",if(REGEXMATCH(C3167,""facebook"")=TRUE,""Facebook"",if(REGEXMATCH(C3167,""instagram"")=TRUE,""Instagram"",if(REGEXMATCH(C3167,""youtube"")=TRUE,""Youtube"",if(REGEXMATCH(C3167,""tiktok"")=TRUE,""Tiktok"",if("&amp;"REGEXMATCH(C3167,""threads"")=TRUE,""Threads""))))))"),"Twitter")</f>
        <v>Twitter</v>
      </c>
      <c r="G3167" s="41" t="s">
        <v>5411</v>
      </c>
      <c r="H3167" s="36"/>
      <c r="I3167" s="36"/>
      <c r="J3167" s="41" t="s">
        <v>188</v>
      </c>
      <c r="K3167" s="42"/>
      <c r="L3167" s="42"/>
    </row>
    <row r="3168">
      <c r="A3168" s="18">
        <v>3167.0</v>
      </c>
      <c r="B3168" s="76" t="s">
        <v>5394</v>
      </c>
      <c r="C3168" s="40" t="s">
        <v>5412</v>
      </c>
      <c r="D3168" s="41"/>
      <c r="E3168" s="41" t="s">
        <v>557</v>
      </c>
      <c r="F3168" s="41" t="str">
        <f>IFERROR(__xludf.DUMMYFUNCTION("if(REGEXMATCH(C3168,""x.com"")=TRUE,""Twitter"",if(REGEXMATCH(C3168,""facebook"")=TRUE,""Facebook"",if(REGEXMATCH(C3168,""instagram"")=TRUE,""Instagram"",if(REGEXMATCH(C3168,""youtube"")=TRUE,""Youtube"",if(REGEXMATCH(C3168,""tiktok"")=TRUE,""Tiktok"",if("&amp;"REGEXMATCH(C3168,""threads"")=TRUE,""Threads""))))))"),"Facebook")</f>
        <v>Facebook</v>
      </c>
      <c r="G3168" s="41" t="s">
        <v>5413</v>
      </c>
      <c r="H3168" s="36"/>
      <c r="I3168" s="36"/>
      <c r="J3168" s="41" t="s">
        <v>188</v>
      </c>
      <c r="K3168" s="42"/>
      <c r="L3168" s="42"/>
    </row>
    <row r="3169">
      <c r="A3169" s="18">
        <v>3168.0</v>
      </c>
      <c r="B3169" s="76" t="s">
        <v>5394</v>
      </c>
      <c r="C3169" s="40" t="s">
        <v>5414</v>
      </c>
      <c r="D3169" s="41"/>
      <c r="E3169" s="41" t="s">
        <v>197</v>
      </c>
      <c r="F3169" s="41" t="str">
        <f>IFERROR(__xludf.DUMMYFUNCTION("if(REGEXMATCH(C3169,""x.com"")=TRUE,""Twitter"",if(REGEXMATCH(C3169,""facebook"")=TRUE,""Facebook"",if(REGEXMATCH(C3169,""instagram"")=TRUE,""Instagram"",if(REGEXMATCH(C3169,""youtube"")=TRUE,""Youtube"",if(REGEXMATCH(C3169,""tiktok"")=TRUE,""Tiktok"",if("&amp;"REGEXMATCH(C3169,""threads"")=TRUE,""Threads""))))))"),"Twitter")</f>
        <v>Twitter</v>
      </c>
      <c r="G3169" s="41" t="s">
        <v>5415</v>
      </c>
      <c r="H3169" s="36"/>
      <c r="I3169" s="36"/>
      <c r="J3169" s="41" t="s">
        <v>188</v>
      </c>
      <c r="K3169" s="42"/>
      <c r="L3169" s="42"/>
    </row>
    <row r="3170">
      <c r="A3170" s="18">
        <v>3169.0</v>
      </c>
      <c r="B3170" s="76" t="s">
        <v>5394</v>
      </c>
      <c r="C3170" s="40" t="s">
        <v>5416</v>
      </c>
      <c r="D3170" s="41"/>
      <c r="E3170" s="41" t="s">
        <v>197</v>
      </c>
      <c r="F3170" s="41" t="str">
        <f>IFERROR(__xludf.DUMMYFUNCTION("if(REGEXMATCH(C3170,""x.com"")=TRUE,""Twitter"",if(REGEXMATCH(C3170,""facebook"")=TRUE,""Facebook"",if(REGEXMATCH(C3170,""instagram"")=TRUE,""Instagram"",if(REGEXMATCH(C3170,""youtube"")=TRUE,""Youtube"",if(REGEXMATCH(C3170,""tiktok"")=TRUE,""Tiktok"",if("&amp;"REGEXMATCH(C3170,""threads"")=TRUE,""Threads""))))))"),"Twitter")</f>
        <v>Twitter</v>
      </c>
      <c r="G3170" s="41" t="s">
        <v>5417</v>
      </c>
      <c r="H3170" s="36"/>
      <c r="I3170" s="36"/>
      <c r="J3170" s="41" t="s">
        <v>188</v>
      </c>
      <c r="K3170" s="42"/>
      <c r="L3170" s="42"/>
    </row>
    <row r="3171">
      <c r="A3171" s="18">
        <v>3170.0</v>
      </c>
      <c r="B3171" s="76" t="s">
        <v>5394</v>
      </c>
      <c r="C3171" s="40" t="s">
        <v>5418</v>
      </c>
      <c r="D3171" s="41"/>
      <c r="E3171" s="41" t="s">
        <v>197</v>
      </c>
      <c r="F3171" s="41" t="str">
        <f>IFERROR(__xludf.DUMMYFUNCTION("if(REGEXMATCH(C3171,""x.com"")=TRUE,""Twitter"",if(REGEXMATCH(C3171,""facebook"")=TRUE,""Facebook"",if(REGEXMATCH(C3171,""instagram"")=TRUE,""Instagram"",if(REGEXMATCH(C3171,""youtube"")=TRUE,""Youtube"",if(REGEXMATCH(C3171,""tiktok"")=TRUE,""Tiktok"",if("&amp;"REGEXMATCH(C3171,""threads"")=TRUE,""Threads""))))))"),"Twitter")</f>
        <v>Twitter</v>
      </c>
      <c r="G3171" s="41" t="s">
        <v>5419</v>
      </c>
      <c r="H3171" s="35"/>
      <c r="I3171" s="35"/>
      <c r="J3171" s="41" t="s">
        <v>188</v>
      </c>
      <c r="K3171" s="42"/>
      <c r="L3171" s="42"/>
    </row>
    <row r="3172">
      <c r="A3172" s="18">
        <v>3171.0</v>
      </c>
      <c r="B3172" s="76" t="s">
        <v>5394</v>
      </c>
      <c r="C3172" s="40" t="s">
        <v>5420</v>
      </c>
      <c r="D3172" s="41"/>
      <c r="E3172" s="41" t="s">
        <v>197</v>
      </c>
      <c r="F3172" s="41" t="str">
        <f>IFERROR(__xludf.DUMMYFUNCTION("if(REGEXMATCH(C3172,""x.com"")=TRUE,""Twitter"",if(REGEXMATCH(C3172,""facebook"")=TRUE,""Facebook"",if(REGEXMATCH(C3172,""instagram"")=TRUE,""Instagram"",if(REGEXMATCH(C3172,""youtube"")=TRUE,""Youtube"",if(REGEXMATCH(C3172,""tiktok"")=TRUE,""Tiktok"",if("&amp;"REGEXMATCH(C3172,""threads"")=TRUE,""Threads""))))))"),"Twitter")</f>
        <v>Twitter</v>
      </c>
      <c r="G3172" s="41" t="s">
        <v>5421</v>
      </c>
      <c r="H3172" s="41"/>
      <c r="I3172" s="41"/>
      <c r="J3172" s="41" t="s">
        <v>188</v>
      </c>
      <c r="K3172" s="42"/>
      <c r="L3172" s="42"/>
    </row>
    <row r="3173">
      <c r="A3173" s="18">
        <v>3172.0</v>
      </c>
      <c r="B3173" s="76" t="s">
        <v>5394</v>
      </c>
      <c r="C3173" s="40" t="s">
        <v>5422</v>
      </c>
      <c r="D3173" s="41"/>
      <c r="E3173" s="41" t="s">
        <v>197</v>
      </c>
      <c r="F3173" s="41" t="str">
        <f>IFERROR(__xludf.DUMMYFUNCTION("if(REGEXMATCH(C3173,""x.com"")=TRUE,""Twitter"",if(REGEXMATCH(C3173,""facebook"")=TRUE,""Facebook"",if(REGEXMATCH(C3173,""instagram"")=TRUE,""Instagram"",if(REGEXMATCH(C3173,""youtube"")=TRUE,""Youtube"",if(REGEXMATCH(C3173,""tiktok"")=TRUE,""Tiktok"",if("&amp;"REGEXMATCH(C3173,""threads"")=TRUE,""Threads""))))))"),"Tiktok")</f>
        <v>Tiktok</v>
      </c>
      <c r="G3173" s="41" t="s">
        <v>5423</v>
      </c>
      <c r="H3173" s="41"/>
      <c r="I3173" s="41"/>
      <c r="J3173" s="41" t="s">
        <v>188</v>
      </c>
      <c r="K3173" s="42"/>
      <c r="L3173" s="42"/>
    </row>
    <row r="3174">
      <c r="A3174" s="18">
        <v>3173.0</v>
      </c>
      <c r="B3174" s="76" t="s">
        <v>5394</v>
      </c>
      <c r="C3174" s="46" t="s">
        <v>5424</v>
      </c>
      <c r="D3174" s="41"/>
      <c r="E3174" s="41" t="s">
        <v>401</v>
      </c>
      <c r="F3174" s="41" t="str">
        <f>IFERROR(__xludf.DUMMYFUNCTION("if(REGEXMATCH(C3174,""x.com"")=TRUE,""Twitter"",if(REGEXMATCH(C3174,""facebook"")=TRUE,""Facebook"",if(REGEXMATCH(C3174,""instagram"")=TRUE,""Instagram"",if(REGEXMATCH(C3174,""youtube"")=TRUE,""Youtube"",if(REGEXMATCH(C3174,""tiktok"")=TRUE,""Tiktok"",if("&amp;"REGEXMATCH(C3174,""threads"")=TRUE,""Threads""))))))"),"Facebook")</f>
        <v>Facebook</v>
      </c>
      <c r="G3174" s="41" t="s">
        <v>937</v>
      </c>
      <c r="H3174" s="41" t="s">
        <v>1542</v>
      </c>
      <c r="I3174" s="41" t="s">
        <v>939</v>
      </c>
      <c r="J3174" s="41" t="s">
        <v>188</v>
      </c>
      <c r="K3174" s="42"/>
      <c r="L3174" s="42"/>
    </row>
    <row r="3175">
      <c r="A3175" s="18">
        <v>3174.0</v>
      </c>
      <c r="B3175" s="76" t="s">
        <v>5394</v>
      </c>
      <c r="C3175" s="46" t="s">
        <v>5425</v>
      </c>
      <c r="D3175" s="41"/>
      <c r="E3175" s="41" t="s">
        <v>401</v>
      </c>
      <c r="F3175" s="41" t="str">
        <f>IFERROR(__xludf.DUMMYFUNCTION("if(REGEXMATCH(C3175,""x.com"")=TRUE,""Twitter"",if(REGEXMATCH(C3175,""facebook"")=TRUE,""Facebook"",if(REGEXMATCH(C3175,""instagram"")=TRUE,""Instagram"",if(REGEXMATCH(C3175,""youtube"")=TRUE,""Youtube"",if(REGEXMATCH(C3175,""tiktok"")=TRUE,""Tiktok"",if("&amp;"REGEXMATCH(C3175,""threads"")=TRUE,""Threads""))))))"),"Facebook")</f>
        <v>Facebook</v>
      </c>
      <c r="G3175" s="41" t="s">
        <v>937</v>
      </c>
      <c r="H3175" s="41" t="s">
        <v>1542</v>
      </c>
      <c r="I3175" s="41" t="s">
        <v>939</v>
      </c>
      <c r="J3175" s="41" t="s">
        <v>188</v>
      </c>
      <c r="K3175" s="42"/>
      <c r="L3175" s="42"/>
    </row>
    <row r="3176">
      <c r="A3176" s="18">
        <v>3175.0</v>
      </c>
      <c r="B3176" s="76" t="s">
        <v>5394</v>
      </c>
      <c r="C3176" s="46" t="s">
        <v>5426</v>
      </c>
      <c r="D3176" s="41"/>
      <c r="E3176" s="41" t="s">
        <v>401</v>
      </c>
      <c r="F3176" s="41" t="str">
        <f>IFERROR(__xludf.DUMMYFUNCTION("if(REGEXMATCH(C3176,""x.com"")=TRUE,""Twitter"",if(REGEXMATCH(C3176,""facebook"")=TRUE,""Facebook"",if(REGEXMATCH(C3176,""instagram"")=TRUE,""Instagram"",if(REGEXMATCH(C3176,""youtube"")=TRUE,""Youtube"",if(REGEXMATCH(C3176,""tiktok"")=TRUE,""Tiktok"",if("&amp;"REGEXMATCH(C3176,""threads"")=TRUE,""Threads""))))))"),"Facebook")</f>
        <v>Facebook</v>
      </c>
      <c r="G3176" s="41" t="s">
        <v>937</v>
      </c>
      <c r="H3176" s="41" t="s">
        <v>1542</v>
      </c>
      <c r="I3176" s="41" t="s">
        <v>939</v>
      </c>
      <c r="J3176" s="41" t="s">
        <v>188</v>
      </c>
      <c r="K3176" s="42"/>
      <c r="L3176" s="42"/>
    </row>
    <row r="3177">
      <c r="A3177" s="18">
        <v>3176.0</v>
      </c>
      <c r="B3177" s="76" t="s">
        <v>5394</v>
      </c>
      <c r="C3177" s="46" t="s">
        <v>5427</v>
      </c>
      <c r="D3177" s="41"/>
      <c r="E3177" s="41" t="s">
        <v>401</v>
      </c>
      <c r="F3177" s="41" t="str">
        <f>IFERROR(__xludf.DUMMYFUNCTION("if(REGEXMATCH(C3177,""x.com"")=TRUE,""Twitter"",if(REGEXMATCH(C3177,""facebook"")=TRUE,""Facebook"",if(REGEXMATCH(C3177,""instagram"")=TRUE,""Instagram"",if(REGEXMATCH(C3177,""youtube"")=TRUE,""Youtube"",if(REGEXMATCH(C3177,""tiktok"")=TRUE,""Tiktok"",if("&amp;"REGEXMATCH(C3177,""threads"")=TRUE,""Threads""))))))"),"Facebook")</f>
        <v>Facebook</v>
      </c>
      <c r="G3177" s="41" t="s">
        <v>937</v>
      </c>
      <c r="H3177" s="41" t="s">
        <v>1542</v>
      </c>
      <c r="I3177" s="41" t="s">
        <v>939</v>
      </c>
      <c r="J3177" s="41" t="s">
        <v>188</v>
      </c>
      <c r="K3177" s="42"/>
      <c r="L3177" s="42"/>
    </row>
    <row r="3178">
      <c r="A3178" s="18">
        <v>3177.0</v>
      </c>
      <c r="B3178" s="76" t="s">
        <v>5394</v>
      </c>
      <c r="C3178" s="46" t="s">
        <v>5428</v>
      </c>
      <c r="D3178" s="41"/>
      <c r="E3178" s="41" t="s">
        <v>401</v>
      </c>
      <c r="F3178" s="41" t="str">
        <f>IFERROR(__xludf.DUMMYFUNCTION("if(REGEXMATCH(C3178,""x.com"")=TRUE,""Twitter"",if(REGEXMATCH(C3178,""facebook"")=TRUE,""Facebook"",if(REGEXMATCH(C3178,""instagram"")=TRUE,""Instagram"",if(REGEXMATCH(C3178,""youtube"")=TRUE,""Youtube"",if(REGEXMATCH(C3178,""tiktok"")=TRUE,""Tiktok"",if("&amp;"REGEXMATCH(C3178,""threads"")=TRUE,""Threads""))))))"),"Facebook")</f>
        <v>Facebook</v>
      </c>
      <c r="G3178" s="41" t="s">
        <v>937</v>
      </c>
      <c r="H3178" s="41" t="s">
        <v>1542</v>
      </c>
      <c r="I3178" s="41" t="s">
        <v>939</v>
      </c>
      <c r="J3178" s="41" t="s">
        <v>188</v>
      </c>
      <c r="K3178" s="42"/>
      <c r="L3178" s="42"/>
    </row>
    <row r="3179">
      <c r="A3179" s="18">
        <v>3178.0</v>
      </c>
      <c r="B3179" s="76" t="s">
        <v>5394</v>
      </c>
      <c r="C3179" s="46" t="s">
        <v>5429</v>
      </c>
      <c r="D3179" s="41"/>
      <c r="E3179" s="41" t="s">
        <v>401</v>
      </c>
      <c r="F3179" s="41" t="str">
        <f>IFERROR(__xludf.DUMMYFUNCTION("if(REGEXMATCH(C3179,""x.com"")=TRUE,""Twitter"",if(REGEXMATCH(C3179,""facebook"")=TRUE,""Facebook"",if(REGEXMATCH(C3179,""instagram"")=TRUE,""Instagram"",if(REGEXMATCH(C3179,""youtube"")=TRUE,""Youtube"",if(REGEXMATCH(C3179,""tiktok"")=TRUE,""Tiktok"",if("&amp;"REGEXMATCH(C3179,""threads"")=TRUE,""Threads""))))))"),"Facebook")</f>
        <v>Facebook</v>
      </c>
      <c r="G3179" s="41" t="s">
        <v>937</v>
      </c>
      <c r="H3179" s="41" t="s">
        <v>1542</v>
      </c>
      <c r="I3179" s="41" t="s">
        <v>939</v>
      </c>
      <c r="J3179" s="41" t="s">
        <v>188</v>
      </c>
      <c r="K3179" s="42"/>
      <c r="L3179" s="42"/>
    </row>
    <row r="3180">
      <c r="A3180" s="18">
        <v>3179.0</v>
      </c>
      <c r="B3180" s="76" t="s">
        <v>5394</v>
      </c>
      <c r="C3180" s="46" t="s">
        <v>5430</v>
      </c>
      <c r="D3180" s="41"/>
      <c r="E3180" s="41" t="s">
        <v>401</v>
      </c>
      <c r="F3180" s="41" t="str">
        <f>IFERROR(__xludf.DUMMYFUNCTION("if(REGEXMATCH(C3180,""x.com"")=TRUE,""Twitter"",if(REGEXMATCH(C3180,""facebook"")=TRUE,""Facebook"",if(REGEXMATCH(C3180,""instagram"")=TRUE,""Instagram"",if(REGEXMATCH(C3180,""youtube"")=TRUE,""Youtube"",if(REGEXMATCH(C3180,""tiktok"")=TRUE,""Tiktok"",if("&amp;"REGEXMATCH(C3180,""threads"")=TRUE,""Threads""))))))"),"Facebook")</f>
        <v>Facebook</v>
      </c>
      <c r="G3180" s="41" t="s">
        <v>937</v>
      </c>
      <c r="H3180" s="41" t="s">
        <v>1542</v>
      </c>
      <c r="I3180" s="41" t="s">
        <v>939</v>
      </c>
      <c r="J3180" s="41" t="s">
        <v>188</v>
      </c>
      <c r="K3180" s="42"/>
      <c r="L3180" s="42"/>
    </row>
    <row r="3181">
      <c r="A3181" s="18">
        <v>3180.0</v>
      </c>
      <c r="B3181" s="76" t="s">
        <v>5394</v>
      </c>
      <c r="C3181" s="46" t="s">
        <v>5431</v>
      </c>
      <c r="D3181" s="41"/>
      <c r="E3181" s="41" t="s">
        <v>401</v>
      </c>
      <c r="F3181" s="41" t="str">
        <f>IFERROR(__xludf.DUMMYFUNCTION("if(REGEXMATCH(C3181,""x.com"")=TRUE,""Twitter"",if(REGEXMATCH(C3181,""facebook"")=TRUE,""Facebook"",if(REGEXMATCH(C3181,""instagram"")=TRUE,""Instagram"",if(REGEXMATCH(C3181,""youtube"")=TRUE,""Youtube"",if(REGEXMATCH(C3181,""tiktok"")=TRUE,""Tiktok"",if("&amp;"REGEXMATCH(C3181,""threads"")=TRUE,""Threads""))))))"),"Facebook")</f>
        <v>Facebook</v>
      </c>
      <c r="G3181" s="41" t="s">
        <v>937</v>
      </c>
      <c r="H3181" s="41" t="s">
        <v>1542</v>
      </c>
      <c r="I3181" s="41" t="s">
        <v>939</v>
      </c>
      <c r="J3181" s="41" t="s">
        <v>188</v>
      </c>
      <c r="K3181" s="42"/>
      <c r="L3181" s="42"/>
    </row>
    <row r="3182">
      <c r="A3182" s="18">
        <v>3181.0</v>
      </c>
      <c r="B3182" s="76" t="s">
        <v>5394</v>
      </c>
      <c r="C3182" s="40" t="s">
        <v>5432</v>
      </c>
      <c r="D3182" s="18"/>
      <c r="E3182" s="18" t="s">
        <v>3684</v>
      </c>
      <c r="F3182" s="41" t="str">
        <f>IFERROR(__xludf.DUMMYFUNCTION("if(REGEXMATCH(C3182,""x.com"")=TRUE,""Twitter"",if(REGEXMATCH(C3182,""facebook"")=TRUE,""Facebook"",if(REGEXMATCH(C3182,""instagram"")=TRUE,""Instagram"",if(REGEXMATCH(C3182,""youtube"")=TRUE,""Youtube"",if(REGEXMATCH(C3182,""tiktok"")=TRUE,""Tiktok"",if("&amp;"REGEXMATCH(C3182,""threads"")=TRUE,""Threads""))))))"),"Facebook")</f>
        <v>Facebook</v>
      </c>
      <c r="G3182" s="44" t="s">
        <v>5433</v>
      </c>
      <c r="H3182" s="41" t="s">
        <v>2023</v>
      </c>
      <c r="I3182" s="41"/>
      <c r="J3182" s="41" t="s">
        <v>188</v>
      </c>
      <c r="K3182" s="41"/>
      <c r="L3182" s="42"/>
    </row>
    <row r="3183">
      <c r="A3183" s="18">
        <v>3182.0</v>
      </c>
      <c r="B3183" s="76" t="s">
        <v>5394</v>
      </c>
      <c r="C3183" s="40" t="s">
        <v>5434</v>
      </c>
      <c r="D3183" s="18"/>
      <c r="E3183" s="18" t="s">
        <v>3684</v>
      </c>
      <c r="F3183" s="41" t="str">
        <f>IFERROR(__xludf.DUMMYFUNCTION("if(REGEXMATCH(C3183,""x.com"")=TRUE,""Twitter"",if(REGEXMATCH(C3183,""facebook"")=TRUE,""Facebook"",if(REGEXMATCH(C3183,""instagram"")=TRUE,""Instagram"",if(REGEXMATCH(C3183,""youtube"")=TRUE,""Youtube"",if(REGEXMATCH(C3183,""tiktok"")=TRUE,""Tiktok"",if("&amp;"REGEXMATCH(C3183,""threads"")=TRUE,""Threads""))))))"),"Facebook")</f>
        <v>Facebook</v>
      </c>
      <c r="G3183" s="44" t="s">
        <v>5435</v>
      </c>
      <c r="H3183" s="41" t="s">
        <v>2023</v>
      </c>
      <c r="I3183" s="18"/>
      <c r="J3183" s="41" t="s">
        <v>188</v>
      </c>
      <c r="K3183" s="41"/>
      <c r="L3183" s="42"/>
    </row>
    <row r="3184">
      <c r="A3184" s="18">
        <v>3183.0</v>
      </c>
      <c r="B3184" s="76" t="s">
        <v>5394</v>
      </c>
      <c r="C3184" s="44" t="s">
        <v>5436</v>
      </c>
      <c r="D3184" s="18"/>
      <c r="E3184" s="18" t="s">
        <v>3684</v>
      </c>
      <c r="F3184" s="41" t="str">
        <f>IFERROR(__xludf.DUMMYFUNCTION("if(REGEXMATCH(C3184,""x.com"")=TRUE,""Twitter"",if(REGEXMATCH(C3184,""facebook"")=TRUE,""Facebook"",if(REGEXMATCH(C3184,""instagram"")=TRUE,""Instagram"",if(REGEXMATCH(C3184,""youtube"")=TRUE,""Youtube"",if(REGEXMATCH(C3184,""tiktok"")=TRUE,""Tiktok"",if("&amp;"REGEXMATCH(C3184,""threads"")=TRUE,""Threads""))))))"),"Facebook")</f>
        <v>Facebook</v>
      </c>
      <c r="G3184" s="44" t="s">
        <v>5437</v>
      </c>
      <c r="H3184" s="41" t="s">
        <v>2023</v>
      </c>
      <c r="I3184" s="18"/>
      <c r="J3184" s="41" t="s">
        <v>188</v>
      </c>
      <c r="K3184" s="41"/>
      <c r="L3184" s="42"/>
    </row>
    <row r="3185">
      <c r="A3185" s="18">
        <v>3184.0</v>
      </c>
      <c r="B3185" s="76" t="s">
        <v>5394</v>
      </c>
      <c r="C3185" s="40" t="s">
        <v>5438</v>
      </c>
      <c r="D3185" s="18"/>
      <c r="E3185" s="18" t="s">
        <v>3684</v>
      </c>
      <c r="F3185" s="41" t="str">
        <f>IFERROR(__xludf.DUMMYFUNCTION("if(REGEXMATCH(C3185,""x.com"")=TRUE,""Twitter"",if(REGEXMATCH(C3185,""facebook"")=TRUE,""Facebook"",if(REGEXMATCH(C3185,""instagram"")=TRUE,""Instagram"",if(REGEXMATCH(C3185,""youtube"")=TRUE,""Youtube"",if(REGEXMATCH(C3185,""tiktok"")=TRUE,""Tiktok"",if("&amp;"REGEXMATCH(C3185,""threads"")=TRUE,""Threads""))))))"),"Facebook")</f>
        <v>Facebook</v>
      </c>
      <c r="G3185" s="44" t="s">
        <v>5439</v>
      </c>
      <c r="H3185" s="41" t="s">
        <v>2023</v>
      </c>
      <c r="I3185" s="18"/>
      <c r="J3185" s="41" t="s">
        <v>188</v>
      </c>
      <c r="K3185" s="41"/>
      <c r="L3185" s="42"/>
    </row>
    <row r="3186">
      <c r="A3186" s="18">
        <v>3185.0</v>
      </c>
      <c r="B3186" s="76" t="s">
        <v>5394</v>
      </c>
      <c r="C3186" s="44" t="s">
        <v>5440</v>
      </c>
      <c r="D3186" s="18"/>
      <c r="E3186" s="18" t="s">
        <v>3684</v>
      </c>
      <c r="F3186" s="41" t="str">
        <f>IFERROR(__xludf.DUMMYFUNCTION("if(REGEXMATCH(C3186,""x.com"")=TRUE,""Twitter"",if(REGEXMATCH(C3186,""facebook"")=TRUE,""Facebook"",if(REGEXMATCH(C3186,""instagram"")=TRUE,""Instagram"",if(REGEXMATCH(C3186,""youtube"")=TRUE,""Youtube"",if(REGEXMATCH(C3186,""tiktok"")=TRUE,""Tiktok"",if("&amp;"REGEXMATCH(C3186,""threads"")=TRUE,""Threads""))))))"),"Instagram")</f>
        <v>Instagram</v>
      </c>
      <c r="G3186" s="44" t="s">
        <v>5441</v>
      </c>
      <c r="H3186" s="41" t="s">
        <v>2023</v>
      </c>
      <c r="I3186" s="18"/>
      <c r="J3186" s="41" t="s">
        <v>188</v>
      </c>
      <c r="K3186" s="41"/>
      <c r="L3186" s="42"/>
    </row>
    <row r="3187">
      <c r="A3187" s="18">
        <v>3186.0</v>
      </c>
      <c r="B3187" s="76" t="s">
        <v>5394</v>
      </c>
      <c r="C3187" s="40" t="s">
        <v>5442</v>
      </c>
      <c r="D3187" s="41"/>
      <c r="E3187" s="41" t="s">
        <v>222</v>
      </c>
      <c r="F3187" s="18" t="str">
        <f>IFERROR(__xludf.DUMMYFUNCTION("if(REGEXMATCH(C3187,""x.com"")=TRUE,""Twitter"",if(REGEXMATCH(C3187,""facebook"")=TRUE,""Facebook"",if(REGEXMATCH(C3187,""instagram"")=TRUE,""Instagram"",if(REGEXMATCH(C3187,""youtube"")=TRUE,""Youtube"",if(REGEXMATCH(C3187,""tiktok"")=TRUE,""Tiktok"",if("&amp;"REGEXMATCH(C3187,""threads"")=TRUE,""Threads""))))))"),"Tiktok")</f>
        <v>Tiktok</v>
      </c>
      <c r="G3187" s="41" t="s">
        <v>5443</v>
      </c>
      <c r="H3187" s="52" t="s">
        <v>2057</v>
      </c>
      <c r="I3187" s="41" t="s">
        <v>535</v>
      </c>
      <c r="J3187" s="41" t="s">
        <v>188</v>
      </c>
      <c r="K3187" s="41" t="s">
        <v>1611</v>
      </c>
      <c r="L3187" s="42"/>
    </row>
    <row r="3188">
      <c r="A3188" s="18">
        <v>3187.0</v>
      </c>
      <c r="B3188" s="76" t="s">
        <v>5394</v>
      </c>
      <c r="C3188" s="40" t="s">
        <v>5444</v>
      </c>
      <c r="D3188" s="41"/>
      <c r="E3188" s="41" t="s">
        <v>222</v>
      </c>
      <c r="F3188" s="18" t="str">
        <f>IFERROR(__xludf.DUMMYFUNCTION("if(REGEXMATCH(C3188,""x.com"")=TRUE,""Twitter"",if(REGEXMATCH(C3188,""facebook"")=TRUE,""Facebook"",if(REGEXMATCH(C3188,""instagram"")=TRUE,""Instagram"",if(REGEXMATCH(C3188,""youtube"")=TRUE,""Youtube"",if(REGEXMATCH(C3188,""tiktok"")=TRUE,""Tiktok"",if("&amp;"REGEXMATCH(C3188,""threads"")=TRUE,""Threads""))))))"),"Facebook")</f>
        <v>Facebook</v>
      </c>
      <c r="G3188" s="41" t="s">
        <v>5445</v>
      </c>
      <c r="H3188" s="52" t="s">
        <v>2057</v>
      </c>
      <c r="I3188" s="41" t="s">
        <v>535</v>
      </c>
      <c r="J3188" s="41" t="s">
        <v>188</v>
      </c>
      <c r="K3188" s="41" t="s">
        <v>1611</v>
      </c>
      <c r="L3188" s="42"/>
    </row>
    <row r="3189">
      <c r="A3189" s="18">
        <v>3188.0</v>
      </c>
      <c r="B3189" s="76" t="s">
        <v>5394</v>
      </c>
      <c r="C3189" s="40" t="s">
        <v>5446</v>
      </c>
      <c r="D3189" s="41"/>
      <c r="E3189" s="41" t="s">
        <v>222</v>
      </c>
      <c r="F3189" s="18" t="str">
        <f>IFERROR(__xludf.DUMMYFUNCTION("if(REGEXMATCH(C3189,""x.com"")=TRUE,""Twitter"",if(REGEXMATCH(C3189,""facebook"")=TRUE,""Facebook"",if(REGEXMATCH(C3189,""instagram"")=TRUE,""Instagram"",if(REGEXMATCH(C3189,""youtube"")=TRUE,""Youtube"",if(REGEXMATCH(C3189,""tiktok"")=TRUE,""Tiktok"",if("&amp;"REGEXMATCH(C3189,""threads"")=TRUE,""Threads""))))))"),"Facebook")</f>
        <v>Facebook</v>
      </c>
      <c r="G3189" s="41" t="s">
        <v>5447</v>
      </c>
      <c r="H3189" s="52" t="s">
        <v>2057</v>
      </c>
      <c r="I3189" s="41" t="s">
        <v>535</v>
      </c>
      <c r="J3189" s="41" t="s">
        <v>188</v>
      </c>
      <c r="K3189" s="41" t="s">
        <v>1611</v>
      </c>
      <c r="L3189" s="42"/>
    </row>
    <row r="3190">
      <c r="A3190" s="18">
        <v>3189.0</v>
      </c>
      <c r="B3190" s="76" t="s">
        <v>5394</v>
      </c>
      <c r="C3190" s="40" t="s">
        <v>5448</v>
      </c>
      <c r="D3190" s="41"/>
      <c r="E3190" s="41" t="s">
        <v>1178</v>
      </c>
      <c r="F3190" s="18" t="str">
        <f>IFERROR(__xludf.DUMMYFUNCTION("if(REGEXMATCH(C3190,""x.com"")=TRUE,""Twitter"",if(REGEXMATCH(C3190,""facebook"")=TRUE,""Facebook"",if(REGEXMATCH(C3190,""instagram"")=TRUE,""Instagram"",if(REGEXMATCH(C3190,""youtube"")=TRUE,""Youtube"",if(REGEXMATCH(C3190,""tiktok"")=TRUE,""Tiktok"",if("&amp;"REGEXMATCH(C3190,""threads"")=TRUE,""Threads""))))))"),"Tiktok")</f>
        <v>Tiktok</v>
      </c>
      <c r="G3190" s="41" t="s">
        <v>5449</v>
      </c>
      <c r="H3190" s="52" t="s">
        <v>2057</v>
      </c>
      <c r="I3190" s="41" t="s">
        <v>535</v>
      </c>
      <c r="J3190" s="41" t="s">
        <v>188</v>
      </c>
      <c r="K3190" s="41" t="s">
        <v>1611</v>
      </c>
      <c r="L3190" s="42"/>
    </row>
    <row r="3191">
      <c r="A3191" s="18">
        <v>3190.0</v>
      </c>
      <c r="B3191" s="76" t="s">
        <v>5394</v>
      </c>
      <c r="C3191" s="40" t="s">
        <v>5450</v>
      </c>
      <c r="D3191" s="41"/>
      <c r="E3191" s="41" t="s">
        <v>197</v>
      </c>
      <c r="F3191" s="18" t="str">
        <f>IFERROR(__xludf.DUMMYFUNCTION("if(REGEXMATCH(C3191,""x.com"")=TRUE,""Twitter"",if(REGEXMATCH(C3191,""facebook"")=TRUE,""Facebook"",if(REGEXMATCH(C3191,""instagram"")=TRUE,""Instagram"",if(REGEXMATCH(C3191,""youtube"")=TRUE,""Youtube"",if(REGEXMATCH(C3191,""tiktok"")=TRUE,""Tiktok"",if("&amp;"REGEXMATCH(C3191,""threads"")=TRUE,""Threads""))))))"),"Facebook")</f>
        <v>Facebook</v>
      </c>
      <c r="G3191" s="41" t="s">
        <v>5451</v>
      </c>
      <c r="H3191" s="52" t="s">
        <v>5452</v>
      </c>
      <c r="I3191" s="41" t="s">
        <v>535</v>
      </c>
      <c r="J3191" s="41" t="s">
        <v>188</v>
      </c>
      <c r="K3191" s="41" t="s">
        <v>1611</v>
      </c>
      <c r="L3191" s="42"/>
    </row>
    <row r="3192">
      <c r="A3192" s="18">
        <v>3191.0</v>
      </c>
      <c r="B3192" s="76" t="s">
        <v>5394</v>
      </c>
      <c r="C3192" s="40" t="s">
        <v>5453</v>
      </c>
      <c r="D3192" s="41"/>
      <c r="E3192" s="41" t="s">
        <v>447</v>
      </c>
      <c r="F3192" s="18" t="str">
        <f>IFERROR(__xludf.DUMMYFUNCTION("if(REGEXMATCH(C3192,""x.com"")=TRUE,""Twitter"",if(REGEXMATCH(C3192,""facebook"")=TRUE,""Facebook"",if(REGEXMATCH(C3192,""instagram"")=TRUE,""Instagram"",if(REGEXMATCH(C3192,""youtube"")=TRUE,""Youtube"",if(REGEXMATCH(C3192,""tiktok"")=TRUE,""Tiktok"",if("&amp;"REGEXMATCH(C3192,""threads"")=TRUE,""Threads""))))))"),"Facebook")</f>
        <v>Facebook</v>
      </c>
      <c r="G3192" s="41" t="s">
        <v>5454</v>
      </c>
      <c r="H3192" s="52" t="s">
        <v>2057</v>
      </c>
      <c r="I3192" s="41" t="s">
        <v>535</v>
      </c>
      <c r="J3192" s="41" t="s">
        <v>188</v>
      </c>
      <c r="K3192" s="41" t="s">
        <v>1611</v>
      </c>
      <c r="L3192" s="42"/>
    </row>
    <row r="3193">
      <c r="A3193" s="18">
        <v>3192.0</v>
      </c>
      <c r="B3193" s="76" t="s">
        <v>5394</v>
      </c>
      <c r="C3193" s="40" t="s">
        <v>5455</v>
      </c>
      <c r="D3193" s="41"/>
      <c r="E3193" s="41" t="s">
        <v>447</v>
      </c>
      <c r="F3193" s="18" t="str">
        <f>IFERROR(__xludf.DUMMYFUNCTION("if(REGEXMATCH(C3193,""x.com"")=TRUE,""Twitter"",if(REGEXMATCH(C3193,""facebook"")=TRUE,""Facebook"",if(REGEXMATCH(C3193,""instagram"")=TRUE,""Instagram"",if(REGEXMATCH(C3193,""youtube"")=TRUE,""Youtube"",if(REGEXMATCH(C3193,""tiktok"")=TRUE,""Tiktok"",if("&amp;"REGEXMATCH(C3193,""threads"")=TRUE,""Threads""))))))"),"Tiktok")</f>
        <v>Tiktok</v>
      </c>
      <c r="G3193" s="41" t="s">
        <v>5456</v>
      </c>
      <c r="H3193" s="52" t="s">
        <v>5452</v>
      </c>
      <c r="I3193" s="41" t="s">
        <v>535</v>
      </c>
      <c r="J3193" s="41" t="s">
        <v>188</v>
      </c>
      <c r="K3193" s="41" t="s">
        <v>1611</v>
      </c>
      <c r="L3193" s="42"/>
    </row>
    <row r="3194">
      <c r="A3194" s="18">
        <v>3193.0</v>
      </c>
      <c r="B3194" s="76" t="s">
        <v>5394</v>
      </c>
      <c r="C3194" s="40" t="s">
        <v>5457</v>
      </c>
      <c r="D3194" s="41"/>
      <c r="E3194" s="41" t="s">
        <v>447</v>
      </c>
      <c r="F3194" s="18" t="str">
        <f>IFERROR(__xludf.DUMMYFUNCTION("if(REGEXMATCH(C3194,""x.com"")=TRUE,""Twitter"",if(REGEXMATCH(C3194,""facebook"")=TRUE,""Facebook"",if(REGEXMATCH(C3194,""instagram"")=TRUE,""Instagram"",if(REGEXMATCH(C3194,""youtube"")=TRUE,""Youtube"",if(REGEXMATCH(C3194,""tiktok"")=TRUE,""Tiktok"",if("&amp;"REGEXMATCH(C3194,""threads"")=TRUE,""Threads""))))))"),"Tiktok")</f>
        <v>Tiktok</v>
      </c>
      <c r="G3194" s="41" t="s">
        <v>5458</v>
      </c>
      <c r="H3194" s="52" t="s">
        <v>5452</v>
      </c>
      <c r="I3194" s="41" t="s">
        <v>535</v>
      </c>
      <c r="J3194" s="41" t="s">
        <v>188</v>
      </c>
      <c r="K3194" s="41" t="s">
        <v>1611</v>
      </c>
      <c r="L3194" s="42"/>
    </row>
    <row r="3195">
      <c r="A3195" s="18">
        <v>3194.0</v>
      </c>
      <c r="B3195" s="76" t="s">
        <v>5394</v>
      </c>
      <c r="C3195" s="40" t="s">
        <v>5459</v>
      </c>
      <c r="D3195" s="41"/>
      <c r="E3195" s="41" t="s">
        <v>197</v>
      </c>
      <c r="F3195" s="18" t="str">
        <f>IFERROR(__xludf.DUMMYFUNCTION("if(REGEXMATCH(C3195,""x.com"")=TRUE,""Twitter"",if(REGEXMATCH(C3195,""facebook"")=TRUE,""Facebook"",if(REGEXMATCH(C3195,""instagram"")=TRUE,""Instagram"",if(REGEXMATCH(C3195,""youtube"")=TRUE,""Youtube"",if(REGEXMATCH(C3195,""tiktok"")=TRUE,""Tiktok"",if("&amp;"REGEXMATCH(C3195,""threads"")=TRUE,""Threads""))))))"),"Facebook")</f>
        <v>Facebook</v>
      </c>
      <c r="G3195" s="41" t="s">
        <v>5460</v>
      </c>
      <c r="H3195" s="52" t="s">
        <v>5452</v>
      </c>
      <c r="I3195" s="41" t="s">
        <v>535</v>
      </c>
      <c r="J3195" s="41" t="s">
        <v>188</v>
      </c>
      <c r="K3195" s="41"/>
      <c r="L3195" s="42"/>
    </row>
    <row r="3196">
      <c r="A3196" s="18">
        <v>3195.0</v>
      </c>
      <c r="B3196" s="76" t="s">
        <v>5394</v>
      </c>
      <c r="C3196" s="40" t="s">
        <v>5461</v>
      </c>
      <c r="D3196" s="41"/>
      <c r="E3196" s="41" t="s">
        <v>197</v>
      </c>
      <c r="F3196" s="18" t="str">
        <f>IFERROR(__xludf.DUMMYFUNCTION("if(REGEXMATCH(C3196,""x.com"")=TRUE,""Twitter"",if(REGEXMATCH(C3196,""facebook"")=TRUE,""Facebook"",if(REGEXMATCH(C3196,""instagram"")=TRUE,""Instagram"",if(REGEXMATCH(C3196,""youtube"")=TRUE,""Youtube"",if(REGEXMATCH(C3196,""tiktok"")=TRUE,""Tiktok"",if("&amp;"REGEXMATCH(C3196,""threads"")=TRUE,""Threads""))))))"),"Twitter")</f>
        <v>Twitter</v>
      </c>
      <c r="G3196" s="41" t="s">
        <v>5462</v>
      </c>
      <c r="H3196" s="52" t="s">
        <v>5452</v>
      </c>
      <c r="I3196" s="41" t="s">
        <v>535</v>
      </c>
      <c r="J3196" s="41" t="s">
        <v>188</v>
      </c>
      <c r="K3196" s="41"/>
      <c r="L3196" s="42"/>
    </row>
    <row r="3197">
      <c r="A3197" s="18">
        <v>3196.0</v>
      </c>
      <c r="B3197" s="76" t="s">
        <v>5394</v>
      </c>
      <c r="C3197" s="40" t="s">
        <v>5463</v>
      </c>
      <c r="D3197" s="41"/>
      <c r="E3197" s="41" t="s">
        <v>197</v>
      </c>
      <c r="F3197" s="18" t="str">
        <f>IFERROR(__xludf.DUMMYFUNCTION("if(REGEXMATCH(C3197,""x.com"")=TRUE,""Twitter"",if(REGEXMATCH(C3197,""facebook"")=TRUE,""Facebook"",if(REGEXMATCH(C3197,""instagram"")=TRUE,""Instagram"",if(REGEXMATCH(C3197,""youtube"")=TRUE,""Youtube"",if(REGEXMATCH(C3197,""tiktok"")=TRUE,""Tiktok"",if("&amp;"REGEXMATCH(C3197,""threads"")=TRUE,""Threads""))))))"),"Twitter")</f>
        <v>Twitter</v>
      </c>
      <c r="G3197" s="41" t="s">
        <v>5464</v>
      </c>
      <c r="H3197" s="52" t="s">
        <v>5452</v>
      </c>
      <c r="I3197" s="41" t="s">
        <v>535</v>
      </c>
      <c r="J3197" s="41" t="s">
        <v>188</v>
      </c>
      <c r="K3197" s="41"/>
      <c r="L3197" s="42"/>
    </row>
    <row r="3198">
      <c r="A3198" s="18">
        <v>3197.0</v>
      </c>
      <c r="B3198" s="76" t="s">
        <v>5394</v>
      </c>
      <c r="C3198" s="40" t="s">
        <v>5465</v>
      </c>
      <c r="D3198" s="41"/>
      <c r="E3198" s="41" t="s">
        <v>557</v>
      </c>
      <c r="F3198" s="18" t="str">
        <f>IFERROR(__xludf.DUMMYFUNCTION("if(REGEXMATCH(C3198,""x.com"")=TRUE,""Twitter"",if(REGEXMATCH(C3198,""facebook"")=TRUE,""Facebook"",if(REGEXMATCH(C3198,""instagram"")=TRUE,""Instagram"",if(REGEXMATCH(C3198,""youtube"")=TRUE,""Youtube"",if(REGEXMATCH(C3198,""tiktok"")=TRUE,""Tiktok"",if("&amp;"REGEXMATCH(C3198,""threads"")=TRUE,""Threads""))))))"),"Twitter")</f>
        <v>Twitter</v>
      </c>
      <c r="G3198" s="41" t="s">
        <v>5466</v>
      </c>
      <c r="H3198" s="52" t="s">
        <v>5452</v>
      </c>
      <c r="I3198" s="41" t="s">
        <v>535</v>
      </c>
      <c r="J3198" s="41" t="s">
        <v>188</v>
      </c>
      <c r="K3198" s="41"/>
      <c r="L3198" s="42"/>
    </row>
    <row r="3199">
      <c r="A3199" s="18">
        <v>3198.0</v>
      </c>
      <c r="B3199" s="76" t="s">
        <v>5394</v>
      </c>
      <c r="C3199" s="40" t="s">
        <v>5467</v>
      </c>
      <c r="D3199" s="41"/>
      <c r="E3199" s="41" t="s">
        <v>557</v>
      </c>
      <c r="F3199" s="18" t="str">
        <f>IFERROR(__xludf.DUMMYFUNCTION("if(REGEXMATCH(C3199,""x.com"")=TRUE,""Twitter"",if(REGEXMATCH(C3199,""facebook"")=TRUE,""Facebook"",if(REGEXMATCH(C3199,""instagram"")=TRUE,""Instagram"",if(REGEXMATCH(C3199,""youtube"")=TRUE,""Youtube"",if(REGEXMATCH(C3199,""tiktok"")=TRUE,""Tiktok"",if("&amp;"REGEXMATCH(C3199,""threads"")=TRUE,""Threads""))))))"),"Twitter")</f>
        <v>Twitter</v>
      </c>
      <c r="G3199" s="41" t="s">
        <v>5468</v>
      </c>
      <c r="H3199" s="52" t="s">
        <v>2057</v>
      </c>
      <c r="I3199" s="41" t="s">
        <v>535</v>
      </c>
      <c r="J3199" s="41" t="s">
        <v>188</v>
      </c>
      <c r="K3199" s="41"/>
      <c r="L3199" s="42"/>
    </row>
    <row r="3200">
      <c r="A3200" s="18">
        <v>3199.0</v>
      </c>
      <c r="B3200" s="76" t="s">
        <v>5394</v>
      </c>
      <c r="C3200" s="40" t="s">
        <v>5469</v>
      </c>
      <c r="D3200" s="41"/>
      <c r="E3200" s="41" t="s">
        <v>557</v>
      </c>
      <c r="F3200" s="18" t="str">
        <f>IFERROR(__xludf.DUMMYFUNCTION("if(REGEXMATCH(C3200,""x.com"")=TRUE,""Twitter"",if(REGEXMATCH(C3200,""facebook"")=TRUE,""Facebook"",if(REGEXMATCH(C3200,""instagram"")=TRUE,""Instagram"",if(REGEXMATCH(C3200,""youtube"")=TRUE,""Youtube"",if(REGEXMATCH(C3200,""tiktok"")=TRUE,""Tiktok"",if("&amp;"REGEXMATCH(C3200,""threads"")=TRUE,""Threads""))))))"),"Facebook")</f>
        <v>Facebook</v>
      </c>
      <c r="G3200" s="41" t="s">
        <v>5470</v>
      </c>
      <c r="H3200" s="52" t="s">
        <v>2057</v>
      </c>
      <c r="I3200" s="41" t="s">
        <v>535</v>
      </c>
      <c r="J3200" s="41" t="s">
        <v>188</v>
      </c>
      <c r="K3200" s="41"/>
      <c r="L3200" s="42"/>
    </row>
    <row r="3201">
      <c r="A3201" s="18">
        <v>3200.0</v>
      </c>
      <c r="B3201" s="76" t="s">
        <v>5394</v>
      </c>
      <c r="C3201" s="44" t="s">
        <v>5471</v>
      </c>
      <c r="D3201" s="18"/>
      <c r="E3201" s="18" t="s">
        <v>2018</v>
      </c>
      <c r="F3201" s="18" t="str">
        <f>IFERROR(__xludf.DUMMYFUNCTION("if(REGEXMATCH(C3201,""x.com"")=TRUE,""Twitter"",if(REGEXMATCH(C3201,""facebook"")=TRUE,""Facebook"",if(REGEXMATCH(C3201,""instagram"")=TRUE,""Instagram"",if(REGEXMATCH(C3201,""youtube"")=TRUE,""Youtube"",if(REGEXMATCH(C3201,""tiktok"")=TRUE,""Tiktok"",if("&amp;"REGEXMATCH(C3201,""threads"")=TRUE,""Threads""))))))"),"Facebook")</f>
        <v>Facebook</v>
      </c>
      <c r="G3201" s="41" t="s">
        <v>5472</v>
      </c>
      <c r="H3201" s="18" t="s">
        <v>2023</v>
      </c>
      <c r="I3201" s="41"/>
      <c r="J3201" s="41" t="s">
        <v>188</v>
      </c>
      <c r="K3201" s="41"/>
      <c r="L3201" s="42"/>
    </row>
    <row r="3202">
      <c r="A3202" s="18">
        <v>3201.0</v>
      </c>
      <c r="B3202" s="76" t="s">
        <v>5394</v>
      </c>
      <c r="C3202" s="44" t="s">
        <v>5473</v>
      </c>
      <c r="D3202" s="18"/>
      <c r="E3202" s="18" t="s">
        <v>2018</v>
      </c>
      <c r="F3202" s="18" t="str">
        <f>IFERROR(__xludf.DUMMYFUNCTION("if(REGEXMATCH(C3202,""x.com"")=TRUE,""Twitter"",if(REGEXMATCH(C3202,""facebook"")=TRUE,""Facebook"",if(REGEXMATCH(C3202,""instagram"")=TRUE,""Instagram"",if(REGEXMATCH(C3202,""youtube"")=TRUE,""Youtube"",if(REGEXMATCH(C3202,""tiktok"")=TRUE,""Tiktok"",if("&amp;"REGEXMATCH(C3202,""threads"")=TRUE,""Threads""))))))"),"Facebook")</f>
        <v>Facebook</v>
      </c>
      <c r="G3202" s="41" t="s">
        <v>5472</v>
      </c>
      <c r="H3202" s="18" t="s">
        <v>2023</v>
      </c>
      <c r="I3202" s="41"/>
      <c r="J3202" s="41" t="s">
        <v>188</v>
      </c>
      <c r="K3202" s="41"/>
      <c r="L3202" s="42"/>
    </row>
    <row r="3203">
      <c r="A3203" s="18">
        <v>3202.0</v>
      </c>
      <c r="B3203" s="76" t="s">
        <v>5394</v>
      </c>
      <c r="C3203" s="44" t="s">
        <v>5474</v>
      </c>
      <c r="D3203" s="18"/>
      <c r="E3203" s="18" t="s">
        <v>2018</v>
      </c>
      <c r="F3203" s="18" t="str">
        <f>IFERROR(__xludf.DUMMYFUNCTION("if(REGEXMATCH(C3203,""x.com"")=TRUE,""Twitter"",if(REGEXMATCH(C3203,""facebook"")=TRUE,""Facebook"",if(REGEXMATCH(C3203,""instagram"")=TRUE,""Instagram"",if(REGEXMATCH(C3203,""youtube"")=TRUE,""Youtube"",if(REGEXMATCH(C3203,""tiktok"")=TRUE,""Tiktok"",if("&amp;"REGEXMATCH(C3203,""threads"")=TRUE,""Threads""))))))"),"Facebook")</f>
        <v>Facebook</v>
      </c>
      <c r="G3203" s="41" t="s">
        <v>5472</v>
      </c>
      <c r="H3203" s="18" t="s">
        <v>2020</v>
      </c>
      <c r="I3203" s="41"/>
      <c r="J3203" s="41" t="s">
        <v>188</v>
      </c>
      <c r="K3203" s="41"/>
      <c r="L3203" s="42"/>
    </row>
    <row r="3204">
      <c r="A3204" s="18">
        <v>3203.0</v>
      </c>
      <c r="B3204" s="76" t="s">
        <v>5475</v>
      </c>
      <c r="C3204" s="40" t="s">
        <v>5442</v>
      </c>
      <c r="D3204" s="41"/>
      <c r="E3204" s="41" t="s">
        <v>222</v>
      </c>
      <c r="F3204" s="18" t="str">
        <f>IFERROR(__xludf.DUMMYFUNCTION("if(REGEXMATCH(C3204,""x.com"")=TRUE,""Twitter"",if(REGEXMATCH(C3204,""facebook"")=TRUE,""Facebook"",if(REGEXMATCH(C3204,""instagram"")=TRUE,""Instagram"",if(REGEXMATCH(C3204,""youtube"")=TRUE,""Youtube"",if(REGEXMATCH(C3204,""tiktok"")=TRUE,""Tiktok"",if("&amp;"REGEXMATCH(C3204,""threads"")=TRUE,""Threads""))))))"),"Tiktok")</f>
        <v>Tiktok</v>
      </c>
      <c r="G3204" s="41" t="s">
        <v>5443</v>
      </c>
      <c r="H3204" s="52" t="s">
        <v>2057</v>
      </c>
      <c r="I3204" s="41" t="s">
        <v>535</v>
      </c>
      <c r="J3204" s="41" t="s">
        <v>188</v>
      </c>
      <c r="K3204" s="41" t="s">
        <v>1611</v>
      </c>
      <c r="L3204" s="42"/>
    </row>
    <row r="3205">
      <c r="A3205" s="18">
        <v>3204.0</v>
      </c>
      <c r="B3205" s="76" t="s">
        <v>5475</v>
      </c>
      <c r="C3205" s="40" t="s">
        <v>5476</v>
      </c>
      <c r="D3205" s="41"/>
      <c r="E3205" s="41" t="s">
        <v>222</v>
      </c>
      <c r="F3205" s="18" t="str">
        <f>IFERROR(__xludf.DUMMYFUNCTION("if(REGEXMATCH(C3205,""x.com"")=TRUE,""Twitter"",if(REGEXMATCH(C3205,""facebook"")=TRUE,""Facebook"",if(REGEXMATCH(C3205,""instagram"")=TRUE,""Instagram"",if(REGEXMATCH(C3205,""youtube"")=TRUE,""Youtube"",if(REGEXMATCH(C3205,""tiktok"")=TRUE,""Tiktok"",if("&amp;"REGEXMATCH(C3205,""threads"")=TRUE,""Threads""))))))"),"Facebook")</f>
        <v>Facebook</v>
      </c>
      <c r="G3205" s="41" t="s">
        <v>5445</v>
      </c>
      <c r="H3205" s="52" t="s">
        <v>2057</v>
      </c>
      <c r="I3205" s="41" t="s">
        <v>535</v>
      </c>
      <c r="J3205" s="41" t="s">
        <v>188</v>
      </c>
      <c r="K3205" s="41" t="s">
        <v>1611</v>
      </c>
      <c r="L3205" s="42"/>
    </row>
    <row r="3206">
      <c r="A3206" s="18">
        <v>3205.0</v>
      </c>
      <c r="B3206" s="76" t="s">
        <v>5475</v>
      </c>
      <c r="C3206" s="40" t="s">
        <v>5477</v>
      </c>
      <c r="D3206" s="41"/>
      <c r="E3206" s="41" t="s">
        <v>222</v>
      </c>
      <c r="F3206" s="18" t="str">
        <f>IFERROR(__xludf.DUMMYFUNCTION("if(REGEXMATCH(C3206,""x.com"")=TRUE,""Twitter"",if(REGEXMATCH(C3206,""facebook"")=TRUE,""Facebook"",if(REGEXMATCH(C3206,""instagram"")=TRUE,""Instagram"",if(REGEXMATCH(C3206,""youtube"")=TRUE,""Youtube"",if(REGEXMATCH(C3206,""tiktok"")=TRUE,""Tiktok"",if("&amp;"REGEXMATCH(C3206,""threads"")=TRUE,""Threads""))))))"),"Facebook")</f>
        <v>Facebook</v>
      </c>
      <c r="G3206" s="41" t="s">
        <v>5447</v>
      </c>
      <c r="H3206" s="52" t="s">
        <v>2057</v>
      </c>
      <c r="I3206" s="41" t="s">
        <v>535</v>
      </c>
      <c r="J3206" s="41" t="s">
        <v>188</v>
      </c>
      <c r="K3206" s="41" t="s">
        <v>1611</v>
      </c>
      <c r="L3206" s="42"/>
    </row>
    <row r="3207">
      <c r="A3207" s="18">
        <v>3206.0</v>
      </c>
      <c r="B3207" s="76" t="s">
        <v>5475</v>
      </c>
      <c r="C3207" s="40" t="s">
        <v>5478</v>
      </c>
      <c r="D3207" s="41"/>
      <c r="E3207" s="41" t="s">
        <v>1178</v>
      </c>
      <c r="F3207" s="18" t="str">
        <f>IFERROR(__xludf.DUMMYFUNCTION("if(REGEXMATCH(C3207,""x.com"")=TRUE,""Twitter"",if(REGEXMATCH(C3207,""facebook"")=TRUE,""Facebook"",if(REGEXMATCH(C3207,""instagram"")=TRUE,""Instagram"",if(REGEXMATCH(C3207,""youtube"")=TRUE,""Youtube"",if(REGEXMATCH(C3207,""tiktok"")=TRUE,""Tiktok"",if("&amp;"REGEXMATCH(C3207,""threads"")=TRUE,""Threads""))))))"),"Tiktok")</f>
        <v>Tiktok</v>
      </c>
      <c r="G3207" s="41" t="s">
        <v>5449</v>
      </c>
      <c r="H3207" s="52" t="s">
        <v>5452</v>
      </c>
      <c r="I3207" s="41" t="s">
        <v>535</v>
      </c>
      <c r="J3207" s="41" t="s">
        <v>188</v>
      </c>
      <c r="K3207" s="41" t="s">
        <v>1611</v>
      </c>
      <c r="L3207" s="42"/>
    </row>
    <row r="3208">
      <c r="A3208" s="18">
        <v>3207.0</v>
      </c>
      <c r="B3208" s="76" t="s">
        <v>5475</v>
      </c>
      <c r="C3208" s="40" t="s">
        <v>5479</v>
      </c>
      <c r="D3208" s="41"/>
      <c r="E3208" s="41" t="s">
        <v>197</v>
      </c>
      <c r="F3208" s="18" t="str">
        <f>IFERROR(__xludf.DUMMYFUNCTION("if(REGEXMATCH(C3208,""x.com"")=TRUE,""Twitter"",if(REGEXMATCH(C3208,""facebook"")=TRUE,""Facebook"",if(REGEXMATCH(C3208,""instagram"")=TRUE,""Instagram"",if(REGEXMATCH(C3208,""youtube"")=TRUE,""Youtube"",if(REGEXMATCH(C3208,""tiktok"")=TRUE,""Tiktok"",if("&amp;"REGEXMATCH(C3208,""threads"")=TRUE,""Threads""))))))"),"Facebook")</f>
        <v>Facebook</v>
      </c>
      <c r="G3208" s="41" t="s">
        <v>5451</v>
      </c>
      <c r="H3208" s="52" t="s">
        <v>2057</v>
      </c>
      <c r="I3208" s="41" t="s">
        <v>535</v>
      </c>
      <c r="J3208" s="41" t="s">
        <v>188</v>
      </c>
      <c r="K3208" s="41" t="s">
        <v>1611</v>
      </c>
      <c r="L3208" s="42"/>
    </row>
    <row r="3209">
      <c r="A3209" s="18">
        <v>3208.0</v>
      </c>
      <c r="B3209" s="76" t="s">
        <v>5475</v>
      </c>
      <c r="C3209" s="40" t="s">
        <v>5480</v>
      </c>
      <c r="D3209" s="41"/>
      <c r="E3209" s="41" t="s">
        <v>447</v>
      </c>
      <c r="F3209" s="18" t="str">
        <f>IFERROR(__xludf.DUMMYFUNCTION("if(REGEXMATCH(C3209,""x.com"")=TRUE,""Twitter"",if(REGEXMATCH(C3209,""facebook"")=TRUE,""Facebook"",if(REGEXMATCH(C3209,""instagram"")=TRUE,""Instagram"",if(REGEXMATCH(C3209,""youtube"")=TRUE,""Youtube"",if(REGEXMATCH(C3209,""tiktok"")=TRUE,""Tiktok"",if("&amp;"REGEXMATCH(C3209,""threads"")=TRUE,""Threads""))))))"),"Facebook")</f>
        <v>Facebook</v>
      </c>
      <c r="G3209" s="41" t="s">
        <v>5454</v>
      </c>
      <c r="H3209" s="52" t="s">
        <v>2057</v>
      </c>
      <c r="I3209" s="41" t="s">
        <v>535</v>
      </c>
      <c r="J3209" s="41" t="s">
        <v>188</v>
      </c>
      <c r="K3209" s="41" t="s">
        <v>1611</v>
      </c>
      <c r="L3209" s="42"/>
    </row>
    <row r="3210">
      <c r="A3210" s="18">
        <v>3209.0</v>
      </c>
      <c r="B3210" s="76" t="s">
        <v>5475</v>
      </c>
      <c r="C3210" s="40" t="s">
        <v>5481</v>
      </c>
      <c r="D3210" s="41"/>
      <c r="E3210" s="41" t="s">
        <v>447</v>
      </c>
      <c r="F3210" s="18" t="str">
        <f>IFERROR(__xludf.DUMMYFUNCTION("if(REGEXMATCH(C3210,""x.com"")=TRUE,""Twitter"",if(REGEXMATCH(C3210,""facebook"")=TRUE,""Facebook"",if(REGEXMATCH(C3210,""instagram"")=TRUE,""Instagram"",if(REGEXMATCH(C3210,""youtube"")=TRUE,""Youtube"",if(REGEXMATCH(C3210,""tiktok"")=TRUE,""Tiktok"",if("&amp;"REGEXMATCH(C3210,""threads"")=TRUE,""Threads""))))))"),"Tiktok")</f>
        <v>Tiktok</v>
      </c>
      <c r="G3210" s="41" t="s">
        <v>5456</v>
      </c>
      <c r="H3210" s="52" t="s">
        <v>2057</v>
      </c>
      <c r="I3210" s="41" t="s">
        <v>535</v>
      </c>
      <c r="J3210" s="41" t="s">
        <v>188</v>
      </c>
      <c r="K3210" s="41" t="s">
        <v>1611</v>
      </c>
      <c r="L3210" s="42"/>
    </row>
    <row r="3211">
      <c r="A3211" s="18">
        <v>3210.0</v>
      </c>
      <c r="B3211" s="76" t="s">
        <v>5475</v>
      </c>
      <c r="C3211" s="40" t="s">
        <v>5482</v>
      </c>
      <c r="D3211" s="41"/>
      <c r="E3211" s="41" t="s">
        <v>447</v>
      </c>
      <c r="F3211" s="18" t="str">
        <f>IFERROR(__xludf.DUMMYFUNCTION("if(REGEXMATCH(C3211,""x.com"")=TRUE,""Twitter"",if(REGEXMATCH(C3211,""facebook"")=TRUE,""Facebook"",if(REGEXMATCH(C3211,""instagram"")=TRUE,""Instagram"",if(REGEXMATCH(C3211,""youtube"")=TRUE,""Youtube"",if(REGEXMATCH(C3211,""tiktok"")=TRUE,""Tiktok"",if("&amp;"REGEXMATCH(C3211,""threads"")=TRUE,""Threads""))))))"),"Tiktok")</f>
        <v>Tiktok</v>
      </c>
      <c r="G3211" s="41" t="s">
        <v>5458</v>
      </c>
      <c r="H3211" s="52" t="s">
        <v>5452</v>
      </c>
      <c r="I3211" s="41" t="s">
        <v>535</v>
      </c>
      <c r="J3211" s="41" t="s">
        <v>188</v>
      </c>
      <c r="K3211" s="41" t="s">
        <v>1611</v>
      </c>
      <c r="L3211" s="42"/>
    </row>
    <row r="3212">
      <c r="A3212" s="18">
        <v>3211.0</v>
      </c>
      <c r="B3212" s="76" t="s">
        <v>5475</v>
      </c>
      <c r="C3212" s="40" t="s">
        <v>5483</v>
      </c>
      <c r="D3212" s="41"/>
      <c r="E3212" s="41" t="s">
        <v>197</v>
      </c>
      <c r="F3212" s="18" t="str">
        <f>IFERROR(__xludf.DUMMYFUNCTION("if(REGEXMATCH(C3212,""x.com"")=TRUE,""Twitter"",if(REGEXMATCH(C3212,""facebook"")=TRUE,""Facebook"",if(REGEXMATCH(C3212,""instagram"")=TRUE,""Instagram"",if(REGEXMATCH(C3212,""youtube"")=TRUE,""Youtube"",if(REGEXMATCH(C3212,""tiktok"")=TRUE,""Tiktok"",if("&amp;"REGEXMATCH(C3212,""threads"")=TRUE,""Threads""))))))"),"Facebook")</f>
        <v>Facebook</v>
      </c>
      <c r="G3212" s="41" t="s">
        <v>5460</v>
      </c>
      <c r="H3212" s="52" t="s">
        <v>2057</v>
      </c>
      <c r="I3212" s="41" t="s">
        <v>535</v>
      </c>
      <c r="J3212" s="41" t="s">
        <v>188</v>
      </c>
      <c r="K3212" s="41"/>
      <c r="L3212" s="42"/>
    </row>
    <row r="3213">
      <c r="A3213" s="18">
        <v>3212.0</v>
      </c>
      <c r="B3213" s="76" t="s">
        <v>5475</v>
      </c>
      <c r="C3213" s="40" t="s">
        <v>5484</v>
      </c>
      <c r="D3213" s="41"/>
      <c r="E3213" s="41" t="s">
        <v>197</v>
      </c>
      <c r="F3213" s="18" t="str">
        <f>IFERROR(__xludf.DUMMYFUNCTION("if(REGEXMATCH(C3213,""x.com"")=TRUE,""Twitter"",if(REGEXMATCH(C3213,""facebook"")=TRUE,""Facebook"",if(REGEXMATCH(C3213,""instagram"")=TRUE,""Instagram"",if(REGEXMATCH(C3213,""youtube"")=TRUE,""Youtube"",if(REGEXMATCH(C3213,""tiktok"")=TRUE,""Tiktok"",if("&amp;"REGEXMATCH(C3213,""threads"")=TRUE,""Threads""))))))"),"Twitter")</f>
        <v>Twitter</v>
      </c>
      <c r="G3213" s="41" t="s">
        <v>5462</v>
      </c>
      <c r="H3213" s="52" t="s">
        <v>2057</v>
      </c>
      <c r="I3213" s="41" t="s">
        <v>535</v>
      </c>
      <c r="J3213" s="41" t="s">
        <v>188</v>
      </c>
      <c r="K3213" s="41"/>
      <c r="L3213" s="42"/>
    </row>
    <row r="3214">
      <c r="A3214" s="18">
        <v>3213.0</v>
      </c>
      <c r="B3214" s="76" t="s">
        <v>5475</v>
      </c>
      <c r="C3214" s="40" t="s">
        <v>5485</v>
      </c>
      <c r="D3214" s="41"/>
      <c r="E3214" s="41" t="s">
        <v>197</v>
      </c>
      <c r="F3214" s="18" t="str">
        <f>IFERROR(__xludf.DUMMYFUNCTION("if(REGEXMATCH(C3214,""x.com"")=TRUE,""Twitter"",if(REGEXMATCH(C3214,""facebook"")=TRUE,""Facebook"",if(REGEXMATCH(C3214,""instagram"")=TRUE,""Instagram"",if(REGEXMATCH(C3214,""youtube"")=TRUE,""Youtube"",if(REGEXMATCH(C3214,""tiktok"")=TRUE,""Tiktok"",if("&amp;"REGEXMATCH(C3214,""threads"")=TRUE,""Threads""))))))"),"Twitter")</f>
        <v>Twitter</v>
      </c>
      <c r="G3214" s="41" t="s">
        <v>5464</v>
      </c>
      <c r="H3214" s="52" t="s">
        <v>2057</v>
      </c>
      <c r="I3214" s="41" t="s">
        <v>535</v>
      </c>
      <c r="J3214" s="41" t="s">
        <v>188</v>
      </c>
      <c r="K3214" s="41"/>
      <c r="L3214" s="42"/>
    </row>
    <row r="3215">
      <c r="A3215" s="18">
        <v>3214.0</v>
      </c>
      <c r="B3215" s="76" t="s">
        <v>5475</v>
      </c>
      <c r="C3215" s="40" t="s">
        <v>5486</v>
      </c>
      <c r="D3215" s="41"/>
      <c r="E3215" s="41" t="s">
        <v>557</v>
      </c>
      <c r="F3215" s="18" t="str">
        <f>IFERROR(__xludf.DUMMYFUNCTION("if(REGEXMATCH(C3215,""x.com"")=TRUE,""Twitter"",if(REGEXMATCH(C3215,""facebook"")=TRUE,""Facebook"",if(REGEXMATCH(C3215,""instagram"")=TRUE,""Instagram"",if(REGEXMATCH(C3215,""youtube"")=TRUE,""Youtube"",if(REGEXMATCH(C3215,""tiktok"")=TRUE,""Tiktok"",if("&amp;"REGEXMATCH(C3215,""threads"")=TRUE,""Threads""))))))"),"Twitter")</f>
        <v>Twitter</v>
      </c>
      <c r="G3215" s="41" t="s">
        <v>5466</v>
      </c>
      <c r="H3215" s="52" t="s">
        <v>2057</v>
      </c>
      <c r="I3215" s="41" t="s">
        <v>535</v>
      </c>
      <c r="J3215" s="41" t="s">
        <v>188</v>
      </c>
      <c r="K3215" s="41"/>
      <c r="L3215" s="42"/>
    </row>
    <row r="3216">
      <c r="A3216" s="18">
        <v>3215.0</v>
      </c>
      <c r="B3216" s="76" t="s">
        <v>5475</v>
      </c>
      <c r="C3216" s="40" t="s">
        <v>5487</v>
      </c>
      <c r="D3216" s="41"/>
      <c r="E3216" s="41" t="s">
        <v>557</v>
      </c>
      <c r="F3216" s="18" t="str">
        <f>IFERROR(__xludf.DUMMYFUNCTION("if(REGEXMATCH(C3216,""x.com"")=TRUE,""Twitter"",if(REGEXMATCH(C3216,""facebook"")=TRUE,""Facebook"",if(REGEXMATCH(C3216,""instagram"")=TRUE,""Instagram"",if(REGEXMATCH(C3216,""youtube"")=TRUE,""Youtube"",if(REGEXMATCH(C3216,""tiktok"")=TRUE,""Tiktok"",if("&amp;"REGEXMATCH(C3216,""threads"")=TRUE,""Threads""))))))"),"Twitter")</f>
        <v>Twitter</v>
      </c>
      <c r="G3216" s="41" t="s">
        <v>5468</v>
      </c>
      <c r="H3216" s="52" t="s">
        <v>2057</v>
      </c>
      <c r="I3216" s="41" t="s">
        <v>535</v>
      </c>
      <c r="J3216" s="41" t="s">
        <v>188</v>
      </c>
      <c r="K3216" s="41"/>
      <c r="L3216" s="42"/>
    </row>
    <row r="3217">
      <c r="A3217" s="18">
        <v>3216.0</v>
      </c>
      <c r="B3217" s="76" t="s">
        <v>5475</v>
      </c>
      <c r="C3217" s="40" t="s">
        <v>5488</v>
      </c>
      <c r="D3217" s="41"/>
      <c r="E3217" s="41" t="s">
        <v>557</v>
      </c>
      <c r="F3217" s="18" t="str">
        <f>IFERROR(__xludf.DUMMYFUNCTION("if(REGEXMATCH(C3217,""x.com"")=TRUE,""Twitter"",if(REGEXMATCH(C3217,""facebook"")=TRUE,""Facebook"",if(REGEXMATCH(C3217,""instagram"")=TRUE,""Instagram"",if(REGEXMATCH(C3217,""youtube"")=TRUE,""Youtube"",if(REGEXMATCH(C3217,""tiktok"")=TRUE,""Tiktok"",if("&amp;"REGEXMATCH(C3217,""threads"")=TRUE,""Threads""))))))"),"Facebook")</f>
        <v>Facebook</v>
      </c>
      <c r="G3217" s="41" t="s">
        <v>5470</v>
      </c>
      <c r="H3217" s="52" t="s">
        <v>2057</v>
      </c>
      <c r="I3217" s="41" t="s">
        <v>535</v>
      </c>
      <c r="J3217" s="41" t="s">
        <v>188</v>
      </c>
      <c r="K3217" s="41"/>
      <c r="L3217" s="42"/>
    </row>
    <row r="3218">
      <c r="A3218" s="18">
        <v>3217.0</v>
      </c>
      <c r="B3218" s="76" t="s">
        <v>5475</v>
      </c>
      <c r="C3218" s="44" t="s">
        <v>5489</v>
      </c>
      <c r="D3218" s="18"/>
      <c r="E3218" s="18" t="s">
        <v>2018</v>
      </c>
      <c r="F3218" s="18" t="str">
        <f>IFERROR(__xludf.DUMMYFUNCTION("if(REGEXMATCH(C3218,""x.com"")=TRUE,""Twitter"",if(REGEXMATCH(C3218,""facebook"")=TRUE,""Facebook"",if(REGEXMATCH(C3218,""instagram"")=TRUE,""Instagram"",if(REGEXMATCH(C3218,""youtube"")=TRUE,""Youtube"",if(REGEXMATCH(C3218,""tiktok"")=TRUE,""Tiktok"",if("&amp;"REGEXMATCH(C3218,""threads"")=TRUE,""Threads""))))))"),"Facebook")</f>
        <v>Facebook</v>
      </c>
      <c r="G3218" s="41" t="s">
        <v>5472</v>
      </c>
      <c r="H3218" s="18" t="s">
        <v>2023</v>
      </c>
      <c r="I3218" s="41"/>
      <c r="J3218" s="41" t="s">
        <v>188</v>
      </c>
      <c r="K3218" s="42"/>
      <c r="L3218" s="42"/>
    </row>
    <row r="3219">
      <c r="A3219" s="18">
        <v>3218.0</v>
      </c>
      <c r="B3219" s="76" t="s">
        <v>5475</v>
      </c>
      <c r="C3219" s="44" t="s">
        <v>5490</v>
      </c>
      <c r="D3219" s="18"/>
      <c r="E3219" s="18" t="s">
        <v>2018</v>
      </c>
      <c r="F3219" s="18" t="str">
        <f>IFERROR(__xludf.DUMMYFUNCTION("if(REGEXMATCH(C3219,""x.com"")=TRUE,""Twitter"",if(REGEXMATCH(C3219,""facebook"")=TRUE,""Facebook"",if(REGEXMATCH(C3219,""instagram"")=TRUE,""Instagram"",if(REGEXMATCH(C3219,""youtube"")=TRUE,""Youtube"",if(REGEXMATCH(C3219,""tiktok"")=TRUE,""Tiktok"",if("&amp;"REGEXMATCH(C3219,""threads"")=TRUE,""Threads""))))))"),"Facebook")</f>
        <v>Facebook</v>
      </c>
      <c r="G3219" s="41" t="s">
        <v>5472</v>
      </c>
      <c r="H3219" s="18" t="s">
        <v>2023</v>
      </c>
      <c r="I3219" s="41"/>
      <c r="J3219" s="41" t="s">
        <v>188</v>
      </c>
      <c r="K3219" s="42"/>
      <c r="L3219" s="42"/>
    </row>
    <row r="3220">
      <c r="A3220" s="18">
        <v>3219.0</v>
      </c>
      <c r="B3220" s="76" t="s">
        <v>5475</v>
      </c>
      <c r="C3220" s="44" t="s">
        <v>5491</v>
      </c>
      <c r="D3220" s="18"/>
      <c r="E3220" s="18" t="s">
        <v>2018</v>
      </c>
      <c r="F3220" s="18" t="str">
        <f>IFERROR(__xludf.DUMMYFUNCTION("if(REGEXMATCH(C3220,""x.com"")=TRUE,""Twitter"",if(REGEXMATCH(C3220,""facebook"")=TRUE,""Facebook"",if(REGEXMATCH(C3220,""instagram"")=TRUE,""Instagram"",if(REGEXMATCH(C3220,""youtube"")=TRUE,""Youtube"",if(REGEXMATCH(C3220,""tiktok"")=TRUE,""Tiktok"",if("&amp;"REGEXMATCH(C3220,""threads"")=TRUE,""Threads""))))))"),"Facebook")</f>
        <v>Facebook</v>
      </c>
      <c r="G3220" s="41" t="s">
        <v>5472</v>
      </c>
      <c r="H3220" s="18" t="s">
        <v>2020</v>
      </c>
      <c r="I3220" s="41"/>
      <c r="J3220" s="41" t="s">
        <v>188</v>
      </c>
      <c r="K3220" s="42"/>
      <c r="L3220" s="42"/>
    </row>
    <row r="3221">
      <c r="A3221" s="18">
        <v>3220.0</v>
      </c>
      <c r="B3221" s="76" t="s">
        <v>5492</v>
      </c>
      <c r="C3221" s="40" t="s">
        <v>5493</v>
      </c>
      <c r="D3221" s="41"/>
      <c r="E3221" s="41" t="s">
        <v>4994</v>
      </c>
      <c r="F3221" s="18" t="str">
        <f>IFERROR(__xludf.DUMMYFUNCTION("if(REGEXMATCH(C3221,""x.com"")=TRUE,""Twitter"",if(REGEXMATCH(C3221,""facebook"")=TRUE,""Facebook"",if(REGEXMATCH(C3221,""instagram"")=TRUE,""Instagram"",if(REGEXMATCH(C3221,""youtube"")=TRUE,""Youtube"",if(REGEXMATCH(C3221,""tiktok"")=TRUE,""Tiktok"",if("&amp;"REGEXMATCH(C3221,""threads"")=TRUE,""Threads""))))))"),"Facebook")</f>
        <v>Facebook</v>
      </c>
      <c r="G3221" s="41" t="s">
        <v>5494</v>
      </c>
      <c r="H3221" s="52" t="s">
        <v>4181</v>
      </c>
      <c r="I3221" s="41" t="s">
        <v>535</v>
      </c>
      <c r="J3221" s="41" t="s">
        <v>188</v>
      </c>
      <c r="K3221" s="41" t="s">
        <v>1611</v>
      </c>
      <c r="L3221" s="42"/>
    </row>
    <row r="3222">
      <c r="A3222" s="18">
        <v>3221.0</v>
      </c>
      <c r="B3222" s="76" t="s">
        <v>5492</v>
      </c>
      <c r="C3222" s="40" t="s">
        <v>5495</v>
      </c>
      <c r="D3222" s="41"/>
      <c r="E3222" s="41" t="s">
        <v>4994</v>
      </c>
      <c r="F3222" s="18" t="str">
        <f>IFERROR(__xludf.DUMMYFUNCTION("if(REGEXMATCH(C3222,""x.com"")=TRUE,""Twitter"",if(REGEXMATCH(C3222,""facebook"")=TRUE,""Facebook"",if(REGEXMATCH(C3222,""instagram"")=TRUE,""Instagram"",if(REGEXMATCH(C3222,""youtube"")=TRUE,""Youtube"",if(REGEXMATCH(C3222,""tiktok"")=TRUE,""Tiktok"",if("&amp;"REGEXMATCH(C3222,""threads"")=TRUE,""Threads""))))))"),"Facebook")</f>
        <v>Facebook</v>
      </c>
      <c r="G3222" s="41" t="s">
        <v>5496</v>
      </c>
      <c r="H3222" s="52" t="s">
        <v>4181</v>
      </c>
      <c r="I3222" s="41" t="s">
        <v>535</v>
      </c>
      <c r="J3222" s="41" t="s">
        <v>188</v>
      </c>
      <c r="K3222" s="41" t="s">
        <v>1611</v>
      </c>
      <c r="L3222" s="42"/>
    </row>
    <row r="3223">
      <c r="A3223" s="18">
        <v>3222.0</v>
      </c>
      <c r="B3223" s="76" t="s">
        <v>5492</v>
      </c>
      <c r="C3223" s="40" t="s">
        <v>5497</v>
      </c>
      <c r="D3223" s="41"/>
      <c r="E3223" s="41" t="s">
        <v>222</v>
      </c>
      <c r="F3223" s="18" t="str">
        <f>IFERROR(__xludf.DUMMYFUNCTION("if(REGEXMATCH(C3223,""x.com"")=TRUE,""Twitter"",if(REGEXMATCH(C3223,""facebook"")=TRUE,""Facebook"",if(REGEXMATCH(C3223,""instagram"")=TRUE,""Instagram"",if(REGEXMATCH(C3223,""youtube"")=TRUE,""Youtube"",if(REGEXMATCH(C3223,""tiktok"")=TRUE,""Tiktok"",if("&amp;"REGEXMATCH(C3223,""threads"")=TRUE,""Threads""))))))"),"Facebook")</f>
        <v>Facebook</v>
      </c>
      <c r="G3223" s="41" t="s">
        <v>5498</v>
      </c>
      <c r="H3223" s="52" t="s">
        <v>4181</v>
      </c>
      <c r="I3223" s="41" t="s">
        <v>535</v>
      </c>
      <c r="J3223" s="41" t="s">
        <v>188</v>
      </c>
      <c r="K3223" s="41" t="s">
        <v>1611</v>
      </c>
      <c r="L3223" s="42"/>
    </row>
    <row r="3224">
      <c r="A3224" s="18">
        <v>3223.0</v>
      </c>
      <c r="B3224" s="76" t="s">
        <v>5492</v>
      </c>
      <c r="C3224" s="40" t="s">
        <v>5499</v>
      </c>
      <c r="D3224" s="41"/>
      <c r="E3224" s="41" t="s">
        <v>222</v>
      </c>
      <c r="F3224" s="18" t="str">
        <f>IFERROR(__xludf.DUMMYFUNCTION("if(REGEXMATCH(C3224,""x.com"")=TRUE,""Twitter"",if(REGEXMATCH(C3224,""facebook"")=TRUE,""Facebook"",if(REGEXMATCH(C3224,""instagram"")=TRUE,""Instagram"",if(REGEXMATCH(C3224,""youtube"")=TRUE,""Youtube"",if(REGEXMATCH(C3224,""tiktok"")=TRUE,""Tiktok"",if("&amp;"REGEXMATCH(C3224,""threads"")=TRUE,""Threads""))))))"),"Facebook")</f>
        <v>Facebook</v>
      </c>
      <c r="G3224" s="41" t="s">
        <v>5500</v>
      </c>
      <c r="H3224" s="52" t="s">
        <v>4181</v>
      </c>
      <c r="I3224" s="41" t="s">
        <v>535</v>
      </c>
      <c r="J3224" s="41" t="s">
        <v>188</v>
      </c>
      <c r="K3224" s="41" t="s">
        <v>1611</v>
      </c>
      <c r="L3224" s="42"/>
    </row>
    <row r="3225">
      <c r="A3225" s="18">
        <v>3224.0</v>
      </c>
      <c r="B3225" s="76" t="s">
        <v>5492</v>
      </c>
      <c r="C3225" s="40" t="s">
        <v>5501</v>
      </c>
      <c r="D3225" s="41"/>
      <c r="E3225" s="41" t="s">
        <v>197</v>
      </c>
      <c r="F3225" s="18" t="str">
        <f>IFERROR(__xludf.DUMMYFUNCTION("if(REGEXMATCH(C3225,""x.com"")=TRUE,""Twitter"",if(REGEXMATCH(C3225,""facebook"")=TRUE,""Facebook"",if(REGEXMATCH(C3225,""instagram"")=TRUE,""Instagram"",if(REGEXMATCH(C3225,""youtube"")=TRUE,""Youtube"",if(REGEXMATCH(C3225,""tiktok"")=TRUE,""Tiktok"",if("&amp;"REGEXMATCH(C3225,""threads"")=TRUE,""Threads""))))))"),"Facebook")</f>
        <v>Facebook</v>
      </c>
      <c r="G3225" s="41" t="s">
        <v>5502</v>
      </c>
      <c r="H3225" s="52" t="s">
        <v>5503</v>
      </c>
      <c r="I3225" s="41" t="s">
        <v>535</v>
      </c>
      <c r="J3225" s="41" t="s">
        <v>188</v>
      </c>
      <c r="K3225" s="41" t="s">
        <v>1611</v>
      </c>
      <c r="L3225" s="42"/>
    </row>
    <row r="3226">
      <c r="A3226" s="18">
        <v>3225.0</v>
      </c>
      <c r="B3226" s="76" t="s">
        <v>5492</v>
      </c>
      <c r="C3226" s="40" t="s">
        <v>5504</v>
      </c>
      <c r="D3226" s="41"/>
      <c r="E3226" s="41" t="s">
        <v>1645</v>
      </c>
      <c r="F3226" s="18" t="str">
        <f>IFERROR(__xludf.DUMMYFUNCTION("if(REGEXMATCH(C3226,""x.com"")=TRUE,""Twitter"",if(REGEXMATCH(C3226,""facebook"")=TRUE,""Facebook"",if(REGEXMATCH(C3226,""instagram"")=TRUE,""Instagram"",if(REGEXMATCH(C3226,""youtube"")=TRUE,""Youtube"",if(REGEXMATCH(C3226,""tiktok"")=TRUE,""Tiktok"",if("&amp;"REGEXMATCH(C3226,""threads"")=TRUE,""Threads""))))))"),"Facebook")</f>
        <v>Facebook</v>
      </c>
      <c r="G3226" s="44" t="s">
        <v>5505</v>
      </c>
      <c r="H3226" s="52" t="s">
        <v>4181</v>
      </c>
      <c r="I3226" s="41" t="s">
        <v>535</v>
      </c>
      <c r="J3226" s="41" t="s">
        <v>188</v>
      </c>
      <c r="K3226" s="41" t="s">
        <v>1611</v>
      </c>
      <c r="L3226" s="42"/>
    </row>
    <row r="3227">
      <c r="A3227" s="18">
        <v>3226.0</v>
      </c>
      <c r="B3227" s="76" t="s">
        <v>5492</v>
      </c>
      <c r="C3227" s="40" t="s">
        <v>5506</v>
      </c>
      <c r="D3227" s="41"/>
      <c r="E3227" s="41" t="s">
        <v>447</v>
      </c>
      <c r="F3227" s="18" t="str">
        <f>IFERROR(__xludf.DUMMYFUNCTION("if(REGEXMATCH(C3227,""x.com"")=TRUE,""Twitter"",if(REGEXMATCH(C3227,""facebook"")=TRUE,""Facebook"",if(REGEXMATCH(C3227,""instagram"")=TRUE,""Instagram"",if(REGEXMATCH(C3227,""youtube"")=TRUE,""Youtube"",if(REGEXMATCH(C3227,""tiktok"")=TRUE,""Tiktok"",if("&amp;"REGEXMATCH(C3227,""threads"")=TRUE,""Threads""))))))"),"Facebook")</f>
        <v>Facebook</v>
      </c>
      <c r="G3227" s="44" t="s">
        <v>5507</v>
      </c>
      <c r="H3227" s="52" t="s">
        <v>4181</v>
      </c>
      <c r="I3227" s="41" t="s">
        <v>535</v>
      </c>
      <c r="J3227" s="41" t="s">
        <v>188</v>
      </c>
      <c r="K3227" s="41" t="s">
        <v>1611</v>
      </c>
      <c r="L3227" s="42"/>
    </row>
    <row r="3228">
      <c r="A3228" s="18">
        <v>3227.0</v>
      </c>
      <c r="B3228" s="76" t="s">
        <v>5492</v>
      </c>
      <c r="C3228" s="40" t="s">
        <v>5508</v>
      </c>
      <c r="D3228" s="41"/>
      <c r="E3228" s="41" t="s">
        <v>197</v>
      </c>
      <c r="F3228" s="18" t="str">
        <f>IFERROR(__xludf.DUMMYFUNCTION("if(REGEXMATCH(C3228,""x.com"")=TRUE,""Twitter"",if(REGEXMATCH(C3228,""facebook"")=TRUE,""Facebook"",if(REGEXMATCH(C3228,""instagram"")=TRUE,""Instagram"",if(REGEXMATCH(C3228,""youtube"")=TRUE,""Youtube"",if(REGEXMATCH(C3228,""tiktok"")=TRUE,""Tiktok"",if("&amp;"REGEXMATCH(C3228,""threads"")=TRUE,""Threads""))))))"),"Facebook")</f>
        <v>Facebook</v>
      </c>
      <c r="G3228" s="41" t="s">
        <v>5509</v>
      </c>
      <c r="H3228" s="52" t="s">
        <v>4181</v>
      </c>
      <c r="I3228" s="41" t="s">
        <v>535</v>
      </c>
      <c r="J3228" s="41" t="s">
        <v>188</v>
      </c>
      <c r="K3228" s="41" t="s">
        <v>1611</v>
      </c>
      <c r="L3228" s="42"/>
    </row>
    <row r="3229">
      <c r="A3229" s="18">
        <v>3228.0</v>
      </c>
      <c r="B3229" s="76" t="s">
        <v>5492</v>
      </c>
      <c r="C3229" s="40" t="s">
        <v>5510</v>
      </c>
      <c r="D3229" s="41"/>
      <c r="E3229" s="41" t="s">
        <v>197</v>
      </c>
      <c r="F3229" s="18" t="str">
        <f>IFERROR(__xludf.DUMMYFUNCTION("if(REGEXMATCH(C3229,""x.com"")=TRUE,""Twitter"",if(REGEXMATCH(C3229,""facebook"")=TRUE,""Facebook"",if(REGEXMATCH(C3229,""instagram"")=TRUE,""Instagram"",if(REGEXMATCH(C3229,""youtube"")=TRUE,""Youtube"",if(REGEXMATCH(C3229,""tiktok"")=TRUE,""Tiktok"",if("&amp;"REGEXMATCH(C3229,""threads"")=TRUE,""Threads""))))))"),"Facebook")</f>
        <v>Facebook</v>
      </c>
      <c r="G3229" s="41" t="s">
        <v>5511</v>
      </c>
      <c r="H3229" s="52" t="s">
        <v>4181</v>
      </c>
      <c r="I3229" s="41" t="s">
        <v>535</v>
      </c>
      <c r="J3229" s="41" t="s">
        <v>188</v>
      </c>
      <c r="K3229" s="41"/>
      <c r="L3229" s="42"/>
    </row>
    <row r="3230">
      <c r="A3230" s="18">
        <v>3229.0</v>
      </c>
      <c r="B3230" s="76" t="s">
        <v>5492</v>
      </c>
      <c r="C3230" s="40" t="s">
        <v>5512</v>
      </c>
      <c r="D3230" s="41"/>
      <c r="E3230" s="41" t="s">
        <v>197</v>
      </c>
      <c r="F3230" s="18" t="str">
        <f>IFERROR(__xludf.DUMMYFUNCTION("if(REGEXMATCH(C3230,""x.com"")=TRUE,""Twitter"",if(REGEXMATCH(C3230,""facebook"")=TRUE,""Facebook"",if(REGEXMATCH(C3230,""instagram"")=TRUE,""Instagram"",if(REGEXMATCH(C3230,""youtube"")=TRUE,""Youtube"",if(REGEXMATCH(C3230,""tiktok"")=TRUE,""Tiktok"",if("&amp;"REGEXMATCH(C3230,""threads"")=TRUE,""Threads""))))))"),"Facebook")</f>
        <v>Facebook</v>
      </c>
      <c r="G3230" s="41" t="s">
        <v>5513</v>
      </c>
      <c r="H3230" s="52" t="s">
        <v>4181</v>
      </c>
      <c r="I3230" s="41" t="s">
        <v>535</v>
      </c>
      <c r="J3230" s="41" t="s">
        <v>188</v>
      </c>
      <c r="K3230" s="41"/>
      <c r="L3230" s="42"/>
    </row>
    <row r="3231">
      <c r="A3231" s="18">
        <v>3230.0</v>
      </c>
      <c r="B3231" s="76" t="s">
        <v>5492</v>
      </c>
      <c r="C3231" s="40" t="s">
        <v>5514</v>
      </c>
      <c r="D3231" s="41"/>
      <c r="E3231" s="41" t="s">
        <v>197</v>
      </c>
      <c r="F3231" s="18" t="str">
        <f>IFERROR(__xludf.DUMMYFUNCTION("if(REGEXMATCH(C3231,""x.com"")=TRUE,""Twitter"",if(REGEXMATCH(C3231,""facebook"")=TRUE,""Facebook"",if(REGEXMATCH(C3231,""instagram"")=TRUE,""Instagram"",if(REGEXMATCH(C3231,""youtube"")=TRUE,""Youtube"",if(REGEXMATCH(C3231,""tiktok"")=TRUE,""Tiktok"",if("&amp;"REGEXMATCH(C3231,""threads"")=TRUE,""Threads""))))))"),"Facebook")</f>
        <v>Facebook</v>
      </c>
      <c r="G3231" s="41" t="s">
        <v>5515</v>
      </c>
      <c r="H3231" s="52" t="s">
        <v>4181</v>
      </c>
      <c r="I3231" s="41" t="s">
        <v>535</v>
      </c>
      <c r="J3231" s="41" t="s">
        <v>188</v>
      </c>
      <c r="K3231" s="41"/>
      <c r="L3231" s="42"/>
    </row>
    <row r="3232">
      <c r="A3232" s="18">
        <v>3231.0</v>
      </c>
      <c r="B3232" s="76" t="s">
        <v>5492</v>
      </c>
      <c r="C3232" s="40" t="s">
        <v>5516</v>
      </c>
      <c r="D3232" s="41"/>
      <c r="E3232" s="41" t="s">
        <v>5517</v>
      </c>
      <c r="F3232" s="18" t="str">
        <f>IFERROR(__xludf.DUMMYFUNCTION("if(REGEXMATCH(C3232,""x.com"")=TRUE,""Twitter"",if(REGEXMATCH(C3232,""facebook"")=TRUE,""Facebook"",if(REGEXMATCH(C3232,""instagram"")=TRUE,""Instagram"",if(REGEXMATCH(C3232,""youtube"")=TRUE,""Youtube"",if(REGEXMATCH(C3232,""tiktok"")=TRUE,""Tiktok"",if("&amp;"REGEXMATCH(C3232,""threads"")=TRUE,""Threads""))))))"),"Facebook")</f>
        <v>Facebook</v>
      </c>
      <c r="G3232" s="41" t="s">
        <v>5518</v>
      </c>
      <c r="H3232" s="52" t="s">
        <v>2057</v>
      </c>
      <c r="I3232" s="41" t="s">
        <v>535</v>
      </c>
      <c r="J3232" s="41" t="s">
        <v>188</v>
      </c>
      <c r="K3232" s="41"/>
      <c r="L3232" s="42"/>
    </row>
    <row r="3233">
      <c r="A3233" s="18">
        <v>3232.0</v>
      </c>
      <c r="B3233" s="76" t="s">
        <v>5492</v>
      </c>
      <c r="C3233" s="40" t="s">
        <v>5519</v>
      </c>
      <c r="D3233" s="41"/>
      <c r="E3233" s="41" t="s">
        <v>197</v>
      </c>
      <c r="F3233" s="18" t="str">
        <f>IFERROR(__xludf.DUMMYFUNCTION("if(REGEXMATCH(C3233,""x.com"")=TRUE,""Twitter"",if(REGEXMATCH(C3233,""facebook"")=TRUE,""Facebook"",if(REGEXMATCH(C3233,""instagram"")=TRUE,""Instagram"",if(REGEXMATCH(C3233,""youtube"")=TRUE,""Youtube"",if(REGEXMATCH(C3233,""tiktok"")=TRUE,""Tiktok"",if("&amp;"REGEXMATCH(C3233,""threads"")=TRUE,""Threads""))))))"),"Facebook")</f>
        <v>Facebook</v>
      </c>
      <c r="G3233" s="41" t="s">
        <v>5520</v>
      </c>
      <c r="H3233" s="52" t="s">
        <v>2057</v>
      </c>
      <c r="I3233" s="41" t="s">
        <v>535</v>
      </c>
      <c r="J3233" s="41" t="s">
        <v>188</v>
      </c>
      <c r="K3233" s="41"/>
      <c r="L3233" s="42"/>
    </row>
    <row r="3234">
      <c r="A3234" s="18">
        <v>3233.0</v>
      </c>
      <c r="B3234" s="76" t="s">
        <v>5492</v>
      </c>
      <c r="C3234" s="40" t="s">
        <v>5521</v>
      </c>
      <c r="D3234" s="41"/>
      <c r="E3234" s="41" t="s">
        <v>557</v>
      </c>
      <c r="F3234" s="18" t="str">
        <f>IFERROR(__xludf.DUMMYFUNCTION("if(REGEXMATCH(C3234,""x.com"")=TRUE,""Twitter"",if(REGEXMATCH(C3234,""facebook"")=TRUE,""Facebook"",if(REGEXMATCH(C3234,""instagram"")=TRUE,""Instagram"",if(REGEXMATCH(C3234,""youtube"")=TRUE,""Youtube"",if(REGEXMATCH(C3234,""tiktok"")=TRUE,""Tiktok"",if("&amp;"REGEXMATCH(C3234,""threads"")=TRUE,""Threads""))))))"),"Facebook")</f>
        <v>Facebook</v>
      </c>
      <c r="G3234" s="41" t="s">
        <v>5522</v>
      </c>
      <c r="H3234" s="52" t="s">
        <v>4181</v>
      </c>
      <c r="I3234" s="41" t="s">
        <v>535</v>
      </c>
      <c r="J3234" s="41" t="s">
        <v>188</v>
      </c>
      <c r="K3234" s="41"/>
      <c r="L3234" s="42"/>
    </row>
    <row r="3235">
      <c r="A3235" s="18">
        <v>3234.0</v>
      </c>
      <c r="B3235" s="76" t="s">
        <v>5492</v>
      </c>
      <c r="C3235" s="40" t="s">
        <v>5523</v>
      </c>
      <c r="D3235" s="41"/>
      <c r="E3235" s="41" t="s">
        <v>557</v>
      </c>
      <c r="F3235" s="18" t="str">
        <f>IFERROR(__xludf.DUMMYFUNCTION("if(REGEXMATCH(C3235,""x.com"")=TRUE,""Twitter"",if(REGEXMATCH(C3235,""facebook"")=TRUE,""Facebook"",if(REGEXMATCH(C3235,""instagram"")=TRUE,""Instagram"",if(REGEXMATCH(C3235,""youtube"")=TRUE,""Youtube"",if(REGEXMATCH(C3235,""tiktok"")=TRUE,""Tiktok"",if("&amp;"REGEXMATCH(C3235,""threads"")=TRUE,""Threads""))))))"),"Facebook")</f>
        <v>Facebook</v>
      </c>
      <c r="G3235" s="41" t="s">
        <v>5524</v>
      </c>
      <c r="H3235" s="52" t="s">
        <v>4181</v>
      </c>
      <c r="I3235" s="41" t="s">
        <v>535</v>
      </c>
      <c r="J3235" s="41" t="s">
        <v>188</v>
      </c>
      <c r="K3235" s="41"/>
      <c r="L3235" s="42"/>
    </row>
    <row r="3236">
      <c r="A3236" s="18">
        <v>3235.0</v>
      </c>
      <c r="B3236" s="76" t="s">
        <v>5492</v>
      </c>
      <c r="C3236" s="40" t="s">
        <v>5525</v>
      </c>
      <c r="D3236" s="41"/>
      <c r="E3236" s="41" t="s">
        <v>1178</v>
      </c>
      <c r="F3236" s="18" t="str">
        <f>IFERROR(__xludf.DUMMYFUNCTION("if(REGEXMATCH(C3236,""x.com"")=TRUE,""Twitter"",if(REGEXMATCH(C3236,""facebook"")=TRUE,""Facebook"",if(REGEXMATCH(C3236,""instagram"")=TRUE,""Instagram"",if(REGEXMATCH(C3236,""youtube"")=TRUE,""Youtube"",if(REGEXMATCH(C3236,""tiktok"")=TRUE,""Tiktok"",if("&amp;"REGEXMATCH(C3236,""threads"")=TRUE,""Threads""))))))"),"Twitter")</f>
        <v>Twitter</v>
      </c>
      <c r="G3236" s="41" t="s">
        <v>2135</v>
      </c>
      <c r="H3236" s="41" t="s">
        <v>2136</v>
      </c>
      <c r="I3236" s="41" t="s">
        <v>2137</v>
      </c>
      <c r="J3236" s="41" t="s">
        <v>188</v>
      </c>
      <c r="K3236" s="41"/>
      <c r="L3236" s="42"/>
    </row>
    <row r="3237">
      <c r="A3237" s="18">
        <v>3236.0</v>
      </c>
      <c r="B3237" s="76" t="s">
        <v>5492</v>
      </c>
      <c r="C3237" s="40" t="s">
        <v>5526</v>
      </c>
      <c r="D3237" s="41"/>
      <c r="E3237" s="41" t="s">
        <v>1178</v>
      </c>
      <c r="F3237" s="18" t="str">
        <f>IFERROR(__xludf.DUMMYFUNCTION("if(REGEXMATCH(C3237,""x.com"")=TRUE,""Twitter"",if(REGEXMATCH(C3237,""facebook"")=TRUE,""Facebook"",if(REGEXMATCH(C3237,""instagram"")=TRUE,""Instagram"",if(REGEXMATCH(C3237,""youtube"")=TRUE,""Youtube"",if(REGEXMATCH(C3237,""tiktok"")=TRUE,""Tiktok"",if("&amp;"REGEXMATCH(C3237,""threads"")=TRUE,""Threads""))))))"),"Twitter")</f>
        <v>Twitter</v>
      </c>
      <c r="G3237" s="41" t="s">
        <v>2135</v>
      </c>
      <c r="H3237" s="41" t="s">
        <v>2136</v>
      </c>
      <c r="I3237" s="41" t="s">
        <v>2137</v>
      </c>
      <c r="J3237" s="41" t="s">
        <v>188</v>
      </c>
      <c r="K3237" s="41"/>
      <c r="L3237" s="42"/>
    </row>
    <row r="3238">
      <c r="A3238" s="18">
        <v>3237.0</v>
      </c>
      <c r="B3238" s="76" t="s">
        <v>5492</v>
      </c>
      <c r="C3238" s="40" t="s">
        <v>5357</v>
      </c>
      <c r="D3238" s="41"/>
      <c r="E3238" s="41" t="s">
        <v>1178</v>
      </c>
      <c r="F3238" s="18" t="str">
        <f>IFERROR(__xludf.DUMMYFUNCTION("if(REGEXMATCH(C3238,""x.com"")=TRUE,""Twitter"",if(REGEXMATCH(C3238,""facebook"")=TRUE,""Facebook"",if(REGEXMATCH(C3238,""instagram"")=TRUE,""Instagram"",if(REGEXMATCH(C3238,""youtube"")=TRUE,""Youtube"",if(REGEXMATCH(C3238,""tiktok"")=TRUE,""Tiktok"",if("&amp;"REGEXMATCH(C3238,""threads"")=TRUE,""Threads""))))))"),"Twitter")</f>
        <v>Twitter</v>
      </c>
      <c r="G3238" s="41" t="s">
        <v>2135</v>
      </c>
      <c r="H3238" s="41" t="s">
        <v>2136</v>
      </c>
      <c r="I3238" s="41" t="s">
        <v>2137</v>
      </c>
      <c r="J3238" s="41" t="s">
        <v>188</v>
      </c>
      <c r="K3238" s="41"/>
      <c r="L3238" s="42"/>
    </row>
    <row r="3239">
      <c r="A3239" s="18">
        <v>3238.0</v>
      </c>
      <c r="B3239" s="76" t="s">
        <v>5492</v>
      </c>
      <c r="C3239" s="47" t="s">
        <v>5527</v>
      </c>
      <c r="D3239" s="41"/>
      <c r="E3239" s="41" t="s">
        <v>1178</v>
      </c>
      <c r="F3239" s="18" t="str">
        <f>IFERROR(__xludf.DUMMYFUNCTION("if(REGEXMATCH(C3239,""x.com"")=TRUE,""Twitter"",if(REGEXMATCH(C3239,""facebook"")=TRUE,""Facebook"",if(REGEXMATCH(C3239,""instagram"")=TRUE,""Instagram"",if(REGEXMATCH(C3239,""youtube"")=TRUE,""Youtube"",if(REGEXMATCH(C3239,""tiktok"")=TRUE,""Tiktok"",if("&amp;"REGEXMATCH(C3239,""threads"")=TRUE,""Threads""))))))"),"Twitter")</f>
        <v>Twitter</v>
      </c>
      <c r="G3239" s="41" t="s">
        <v>2135</v>
      </c>
      <c r="H3239" s="41" t="s">
        <v>2136</v>
      </c>
      <c r="I3239" s="41" t="s">
        <v>2137</v>
      </c>
      <c r="J3239" s="41" t="s">
        <v>188</v>
      </c>
      <c r="K3239" s="41"/>
      <c r="L3239" s="42"/>
    </row>
    <row r="3240">
      <c r="A3240" s="18">
        <v>3239.0</v>
      </c>
      <c r="B3240" s="76" t="s">
        <v>5492</v>
      </c>
      <c r="C3240" s="40" t="s">
        <v>5528</v>
      </c>
      <c r="D3240" s="41"/>
      <c r="E3240" s="18" t="s">
        <v>2018</v>
      </c>
      <c r="F3240" s="18" t="str">
        <f>IFERROR(__xludf.DUMMYFUNCTION("if(REGEXMATCH(C3240,""x.com"")=TRUE,""Twitter"",if(REGEXMATCH(C3240,""facebook"")=TRUE,""Facebook"",if(REGEXMATCH(C3240,""instagram"")=TRUE,""Instagram"",if(REGEXMATCH(C3240,""youtube"")=TRUE,""Youtube"",if(REGEXMATCH(C3240,""tiktok"")=TRUE,""Tiktok"",if("&amp;"REGEXMATCH(C3240,""threads"")=TRUE,""Threads""))))))"),"Facebook")</f>
        <v>Facebook</v>
      </c>
      <c r="G3240" s="44" t="s">
        <v>5529</v>
      </c>
      <c r="H3240" s="18" t="s">
        <v>2020</v>
      </c>
      <c r="I3240" s="41"/>
      <c r="J3240" s="41" t="s">
        <v>188</v>
      </c>
      <c r="K3240" s="42"/>
      <c r="L3240" s="42"/>
    </row>
    <row r="3241">
      <c r="A3241" s="18">
        <v>3240.0</v>
      </c>
      <c r="B3241" s="76" t="s">
        <v>5492</v>
      </c>
      <c r="C3241" s="40" t="s">
        <v>5530</v>
      </c>
      <c r="D3241" s="41"/>
      <c r="E3241" s="18" t="s">
        <v>2018</v>
      </c>
      <c r="F3241" s="18" t="str">
        <f>IFERROR(__xludf.DUMMYFUNCTION("if(REGEXMATCH(C3241,""x.com"")=TRUE,""Twitter"",if(REGEXMATCH(C3241,""facebook"")=TRUE,""Facebook"",if(REGEXMATCH(C3241,""instagram"")=TRUE,""Instagram"",if(REGEXMATCH(C3241,""youtube"")=TRUE,""Youtube"",if(REGEXMATCH(C3241,""tiktok"")=TRUE,""Tiktok"",if("&amp;"REGEXMATCH(C3241,""threads"")=TRUE,""Threads""))))))"),"Facebook")</f>
        <v>Facebook</v>
      </c>
      <c r="G3241" s="18" t="s">
        <v>5531</v>
      </c>
      <c r="H3241" s="18" t="s">
        <v>2020</v>
      </c>
      <c r="I3241" s="41"/>
      <c r="J3241" s="41" t="s">
        <v>188</v>
      </c>
      <c r="K3241" s="42"/>
      <c r="L3241" s="42"/>
    </row>
    <row r="3242">
      <c r="A3242" s="18">
        <v>3241.0</v>
      </c>
      <c r="B3242" s="76" t="s">
        <v>5492</v>
      </c>
      <c r="C3242" s="40" t="s">
        <v>5532</v>
      </c>
      <c r="D3242" s="41"/>
      <c r="E3242" s="18" t="s">
        <v>184</v>
      </c>
      <c r="F3242" s="18" t="str">
        <f>IFERROR(__xludf.DUMMYFUNCTION("if(REGEXMATCH(C3242,""x.com"")=TRUE,""Twitter"",if(REGEXMATCH(C3242,""facebook"")=TRUE,""Facebook"",if(REGEXMATCH(C3242,""instagram"")=TRUE,""Instagram"",if(REGEXMATCH(C3242,""youtube"")=TRUE,""Youtube"",if(REGEXMATCH(C3242,""tiktok"")=TRUE,""Tiktok"",if("&amp;"REGEXMATCH(C3242,""threads"")=TRUE,""Threads""))))))"),"Tiktok")</f>
        <v>Tiktok</v>
      </c>
      <c r="G3242" s="18" t="s">
        <v>4116</v>
      </c>
      <c r="H3242" s="18" t="s">
        <v>1974</v>
      </c>
      <c r="I3242" s="41"/>
      <c r="J3242" s="41" t="s">
        <v>188</v>
      </c>
      <c r="K3242" s="42"/>
      <c r="L3242" s="42"/>
    </row>
    <row r="3243">
      <c r="A3243" s="18">
        <v>3242.0</v>
      </c>
      <c r="B3243" s="76" t="s">
        <v>5533</v>
      </c>
      <c r="C3243" s="40" t="s">
        <v>5534</v>
      </c>
      <c r="D3243" s="41"/>
      <c r="E3243" s="41" t="s">
        <v>197</v>
      </c>
      <c r="F3243" s="18" t="str">
        <f>IFERROR(__xludf.DUMMYFUNCTION("if(REGEXMATCH(C3243,""x.com"")=TRUE,""Twitter"",if(REGEXMATCH(C3243,""facebook"")=TRUE,""Facebook"",if(REGEXMATCH(C3243,""instagram"")=TRUE,""Instagram"",if(REGEXMATCH(C3243,""youtube"")=TRUE,""Youtube"",if(REGEXMATCH(C3243,""tiktok"")=TRUE,""Tiktok"",if("&amp;"REGEXMATCH(C3243,""threads"")=TRUE,""Threads""))))))"),"Twitter")</f>
        <v>Twitter</v>
      </c>
      <c r="G3243" s="41" t="s">
        <v>5535</v>
      </c>
      <c r="H3243" s="41" t="s">
        <v>1945</v>
      </c>
      <c r="I3243" s="41" t="s">
        <v>535</v>
      </c>
      <c r="J3243" s="41" t="s">
        <v>188</v>
      </c>
      <c r="K3243" s="41" t="s">
        <v>1611</v>
      </c>
      <c r="L3243" s="42"/>
    </row>
    <row r="3244">
      <c r="A3244" s="18">
        <v>3243.0</v>
      </c>
      <c r="B3244" s="76" t="s">
        <v>5533</v>
      </c>
      <c r="C3244" s="40" t="s">
        <v>5536</v>
      </c>
      <c r="D3244" s="41"/>
      <c r="E3244" s="41" t="s">
        <v>197</v>
      </c>
      <c r="F3244" s="18" t="str">
        <f>IFERROR(__xludf.DUMMYFUNCTION("if(REGEXMATCH(C3244,""x.com"")=TRUE,""Twitter"",if(REGEXMATCH(C3244,""facebook"")=TRUE,""Facebook"",if(REGEXMATCH(C3244,""instagram"")=TRUE,""Instagram"",if(REGEXMATCH(C3244,""youtube"")=TRUE,""Youtube"",if(REGEXMATCH(C3244,""tiktok"")=TRUE,""Tiktok"",if("&amp;"REGEXMATCH(C3244,""threads"")=TRUE,""Threads""))))))"),"Twitter")</f>
        <v>Twitter</v>
      </c>
      <c r="G3244" s="41" t="s">
        <v>5537</v>
      </c>
      <c r="H3244" s="41" t="s">
        <v>1945</v>
      </c>
      <c r="I3244" s="41" t="s">
        <v>535</v>
      </c>
      <c r="J3244" s="41" t="s">
        <v>188</v>
      </c>
      <c r="K3244" s="41" t="s">
        <v>1611</v>
      </c>
      <c r="L3244" s="42"/>
    </row>
    <row r="3245">
      <c r="A3245" s="18">
        <v>3244.0</v>
      </c>
      <c r="B3245" s="76" t="s">
        <v>5533</v>
      </c>
      <c r="C3245" s="40" t="s">
        <v>5538</v>
      </c>
      <c r="D3245" s="41"/>
      <c r="E3245" s="41" t="s">
        <v>197</v>
      </c>
      <c r="F3245" s="18" t="str">
        <f>IFERROR(__xludf.DUMMYFUNCTION("if(REGEXMATCH(C3245,""x.com"")=TRUE,""Twitter"",if(REGEXMATCH(C3245,""facebook"")=TRUE,""Facebook"",if(REGEXMATCH(C3245,""instagram"")=TRUE,""Instagram"",if(REGEXMATCH(C3245,""youtube"")=TRUE,""Youtube"",if(REGEXMATCH(C3245,""tiktok"")=TRUE,""Tiktok"",if("&amp;"REGEXMATCH(C3245,""threads"")=TRUE,""Threads""))))))"),"Twitter")</f>
        <v>Twitter</v>
      </c>
      <c r="G3245" s="41" t="s">
        <v>5539</v>
      </c>
      <c r="H3245" s="41" t="s">
        <v>1945</v>
      </c>
      <c r="I3245" s="41" t="s">
        <v>535</v>
      </c>
      <c r="J3245" s="41" t="s">
        <v>188</v>
      </c>
      <c r="K3245" s="41" t="s">
        <v>1611</v>
      </c>
      <c r="L3245" s="42"/>
    </row>
    <row r="3246">
      <c r="A3246" s="18">
        <v>3245.0</v>
      </c>
      <c r="B3246" s="76" t="s">
        <v>5533</v>
      </c>
      <c r="C3246" s="40" t="s">
        <v>5540</v>
      </c>
      <c r="D3246" s="41"/>
      <c r="E3246" s="41" t="s">
        <v>197</v>
      </c>
      <c r="F3246" s="18" t="str">
        <f>IFERROR(__xludf.DUMMYFUNCTION("if(REGEXMATCH(C3246,""x.com"")=TRUE,""Twitter"",if(REGEXMATCH(C3246,""facebook"")=TRUE,""Facebook"",if(REGEXMATCH(C3246,""instagram"")=TRUE,""Instagram"",if(REGEXMATCH(C3246,""youtube"")=TRUE,""Youtube"",if(REGEXMATCH(C3246,""tiktok"")=TRUE,""Tiktok"",if("&amp;"REGEXMATCH(C3246,""threads"")=TRUE,""Threads""))))))"),"Twitter")</f>
        <v>Twitter</v>
      </c>
      <c r="G3246" s="41" t="s">
        <v>5541</v>
      </c>
      <c r="H3246" s="41" t="s">
        <v>1945</v>
      </c>
      <c r="I3246" s="41" t="s">
        <v>535</v>
      </c>
      <c r="J3246" s="41" t="s">
        <v>188</v>
      </c>
      <c r="K3246" s="41" t="s">
        <v>1611</v>
      </c>
      <c r="L3246" s="42"/>
    </row>
    <row r="3247">
      <c r="A3247" s="18">
        <v>3246.0</v>
      </c>
      <c r="B3247" s="76" t="s">
        <v>5533</v>
      </c>
      <c r="C3247" s="40" t="s">
        <v>5542</v>
      </c>
      <c r="D3247" s="41"/>
      <c r="E3247" s="41" t="s">
        <v>197</v>
      </c>
      <c r="F3247" s="18" t="str">
        <f>IFERROR(__xludf.DUMMYFUNCTION("if(REGEXMATCH(C3247,""x.com"")=TRUE,""Twitter"",if(REGEXMATCH(C3247,""facebook"")=TRUE,""Facebook"",if(REGEXMATCH(C3247,""instagram"")=TRUE,""Instagram"",if(REGEXMATCH(C3247,""youtube"")=TRUE,""Youtube"",if(REGEXMATCH(C3247,""tiktok"")=TRUE,""Tiktok"",if("&amp;"REGEXMATCH(C3247,""threads"")=TRUE,""Threads""))))))"),"Twitter")</f>
        <v>Twitter</v>
      </c>
      <c r="G3247" s="41" t="s">
        <v>5543</v>
      </c>
      <c r="H3247" s="41" t="s">
        <v>1945</v>
      </c>
      <c r="I3247" s="41" t="s">
        <v>535</v>
      </c>
      <c r="J3247" s="41" t="s">
        <v>188</v>
      </c>
      <c r="K3247" s="41" t="s">
        <v>1611</v>
      </c>
      <c r="L3247" s="42"/>
    </row>
    <row r="3248">
      <c r="A3248" s="18">
        <v>3247.0</v>
      </c>
      <c r="B3248" s="76" t="s">
        <v>5533</v>
      </c>
      <c r="C3248" s="40" t="s">
        <v>5544</v>
      </c>
      <c r="D3248" s="41"/>
      <c r="E3248" s="41" t="s">
        <v>557</v>
      </c>
      <c r="F3248" s="18" t="str">
        <f>IFERROR(__xludf.DUMMYFUNCTION("if(REGEXMATCH(C3248,""x.com"")=TRUE,""Twitter"",if(REGEXMATCH(C3248,""facebook"")=TRUE,""Facebook"",if(REGEXMATCH(C3248,""instagram"")=TRUE,""Instagram"",if(REGEXMATCH(C3248,""youtube"")=TRUE,""Youtube"",if(REGEXMATCH(C3248,""tiktok"")=TRUE,""Tiktok"",if("&amp;"REGEXMATCH(C3248,""threads"")=TRUE,""Threads""))))))"),"Twitter")</f>
        <v>Twitter</v>
      </c>
      <c r="G3248" s="41" t="s">
        <v>5545</v>
      </c>
      <c r="H3248" s="41" t="s">
        <v>1945</v>
      </c>
      <c r="I3248" s="41" t="s">
        <v>535</v>
      </c>
      <c r="J3248" s="41" t="s">
        <v>188</v>
      </c>
      <c r="K3248" s="41" t="s">
        <v>1611</v>
      </c>
      <c r="L3248" s="42"/>
    </row>
    <row r="3249">
      <c r="A3249" s="18">
        <v>3248.0</v>
      </c>
      <c r="B3249" s="76" t="s">
        <v>5533</v>
      </c>
      <c r="C3249" s="40" t="s">
        <v>5546</v>
      </c>
      <c r="D3249" s="41"/>
      <c r="E3249" s="41" t="s">
        <v>197</v>
      </c>
      <c r="F3249" s="18" t="str">
        <f>IFERROR(__xludf.DUMMYFUNCTION("if(REGEXMATCH(C3249,""x.com"")=TRUE,""Twitter"",if(REGEXMATCH(C3249,""facebook"")=TRUE,""Facebook"",if(REGEXMATCH(C3249,""instagram"")=TRUE,""Instagram"",if(REGEXMATCH(C3249,""youtube"")=TRUE,""Youtube"",if(REGEXMATCH(C3249,""tiktok"")=TRUE,""Tiktok"",if("&amp;"REGEXMATCH(C3249,""threads"")=TRUE,""Threads""))))))"),"Twitter")</f>
        <v>Twitter</v>
      </c>
      <c r="G3249" s="41" t="s">
        <v>4458</v>
      </c>
      <c r="H3249" s="41" t="s">
        <v>1945</v>
      </c>
      <c r="I3249" s="41" t="s">
        <v>535</v>
      </c>
      <c r="J3249" s="41" t="s">
        <v>188</v>
      </c>
      <c r="K3249" s="41" t="s">
        <v>1611</v>
      </c>
      <c r="L3249" s="42"/>
    </row>
    <row r="3250">
      <c r="A3250" s="18">
        <v>3249.0</v>
      </c>
      <c r="B3250" s="76" t="s">
        <v>5533</v>
      </c>
      <c r="C3250" s="40" t="s">
        <v>5547</v>
      </c>
      <c r="D3250" s="41"/>
      <c r="E3250" s="41" t="s">
        <v>197</v>
      </c>
      <c r="F3250" s="18" t="str">
        <f>IFERROR(__xludf.DUMMYFUNCTION("if(REGEXMATCH(C3250,""x.com"")=TRUE,""Twitter"",if(REGEXMATCH(C3250,""facebook"")=TRUE,""Facebook"",if(REGEXMATCH(C3250,""instagram"")=TRUE,""Instagram"",if(REGEXMATCH(C3250,""youtube"")=TRUE,""Youtube"",if(REGEXMATCH(C3250,""tiktok"")=TRUE,""Tiktok"",if("&amp;"REGEXMATCH(C3250,""threads"")=TRUE,""Threads""))))))"),"Twitter")</f>
        <v>Twitter</v>
      </c>
      <c r="G3250" s="41" t="s">
        <v>5548</v>
      </c>
      <c r="H3250" s="41" t="s">
        <v>1945</v>
      </c>
      <c r="I3250" s="41" t="s">
        <v>535</v>
      </c>
      <c r="J3250" s="41" t="s">
        <v>188</v>
      </c>
      <c r="K3250" s="41" t="s">
        <v>1611</v>
      </c>
      <c r="L3250" s="42"/>
    </row>
    <row r="3251">
      <c r="A3251" s="18">
        <v>3250.0</v>
      </c>
      <c r="B3251" s="76" t="s">
        <v>5533</v>
      </c>
      <c r="C3251" s="40" t="s">
        <v>5549</v>
      </c>
      <c r="D3251" s="41"/>
      <c r="E3251" s="41" t="s">
        <v>197</v>
      </c>
      <c r="F3251" s="18" t="str">
        <f>IFERROR(__xludf.DUMMYFUNCTION("if(REGEXMATCH(C3251,""x.com"")=TRUE,""Twitter"",if(REGEXMATCH(C3251,""facebook"")=TRUE,""Facebook"",if(REGEXMATCH(C3251,""instagram"")=TRUE,""Instagram"",if(REGEXMATCH(C3251,""youtube"")=TRUE,""Youtube"",if(REGEXMATCH(C3251,""tiktok"")=TRUE,""Tiktok"",if("&amp;"REGEXMATCH(C3251,""threads"")=TRUE,""Threads""))))))"),"Twitter")</f>
        <v>Twitter</v>
      </c>
      <c r="G3251" s="41" t="s">
        <v>5550</v>
      </c>
      <c r="H3251" s="41" t="s">
        <v>1945</v>
      </c>
      <c r="I3251" s="41" t="s">
        <v>535</v>
      </c>
      <c r="J3251" s="41" t="s">
        <v>188</v>
      </c>
      <c r="K3251" s="41"/>
      <c r="L3251" s="42"/>
    </row>
    <row r="3252">
      <c r="A3252" s="18">
        <v>3251.0</v>
      </c>
      <c r="B3252" s="76" t="s">
        <v>5533</v>
      </c>
      <c r="C3252" s="40" t="s">
        <v>5551</v>
      </c>
      <c r="D3252" s="41"/>
      <c r="E3252" s="41" t="s">
        <v>197</v>
      </c>
      <c r="F3252" s="18" t="str">
        <f>IFERROR(__xludf.DUMMYFUNCTION("if(REGEXMATCH(C3252,""x.com"")=TRUE,""Twitter"",if(REGEXMATCH(C3252,""facebook"")=TRUE,""Facebook"",if(REGEXMATCH(C3252,""instagram"")=TRUE,""Instagram"",if(REGEXMATCH(C3252,""youtube"")=TRUE,""Youtube"",if(REGEXMATCH(C3252,""tiktok"")=TRUE,""Tiktok"",if("&amp;"REGEXMATCH(C3252,""threads"")=TRUE,""Threads""))))))"),"Facebook")</f>
        <v>Facebook</v>
      </c>
      <c r="G3252" s="41" t="s">
        <v>5552</v>
      </c>
      <c r="H3252" s="41" t="s">
        <v>1945</v>
      </c>
      <c r="I3252" s="41" t="s">
        <v>535</v>
      </c>
      <c r="J3252" s="41" t="s">
        <v>188</v>
      </c>
      <c r="K3252" s="41"/>
      <c r="L3252" s="42"/>
    </row>
    <row r="3253">
      <c r="A3253" s="18">
        <v>3252.0</v>
      </c>
      <c r="B3253" s="76" t="s">
        <v>5533</v>
      </c>
      <c r="C3253" s="40" t="s">
        <v>5553</v>
      </c>
      <c r="D3253" s="41"/>
      <c r="E3253" s="41" t="s">
        <v>1645</v>
      </c>
      <c r="F3253" s="18" t="str">
        <f>IFERROR(__xludf.DUMMYFUNCTION("if(REGEXMATCH(C3253,""x.com"")=TRUE,""Twitter"",if(REGEXMATCH(C3253,""facebook"")=TRUE,""Facebook"",if(REGEXMATCH(C3253,""instagram"")=TRUE,""Instagram"",if(REGEXMATCH(C3253,""youtube"")=TRUE,""Youtube"",if(REGEXMATCH(C3253,""tiktok"")=TRUE,""Tiktok"",if("&amp;"REGEXMATCH(C3253,""threads"")=TRUE,""Threads""))))))"),"Facebook")</f>
        <v>Facebook</v>
      </c>
      <c r="G3253" s="41" t="s">
        <v>5554</v>
      </c>
      <c r="H3253" s="41" t="s">
        <v>1945</v>
      </c>
      <c r="I3253" s="41" t="s">
        <v>535</v>
      </c>
      <c r="J3253" s="41" t="s">
        <v>188</v>
      </c>
      <c r="K3253" s="41"/>
      <c r="L3253" s="42"/>
    </row>
    <row r="3254">
      <c r="A3254" s="18">
        <v>3253.0</v>
      </c>
      <c r="B3254" s="76" t="s">
        <v>5533</v>
      </c>
      <c r="C3254" s="40" t="s">
        <v>5555</v>
      </c>
      <c r="D3254" s="41"/>
      <c r="E3254" s="41" t="s">
        <v>447</v>
      </c>
      <c r="F3254" s="18" t="str">
        <f>IFERROR(__xludf.DUMMYFUNCTION("if(REGEXMATCH(C3254,""x.com"")=TRUE,""Twitter"",if(REGEXMATCH(C3254,""facebook"")=TRUE,""Facebook"",if(REGEXMATCH(C3254,""instagram"")=TRUE,""Instagram"",if(REGEXMATCH(C3254,""youtube"")=TRUE,""Youtube"",if(REGEXMATCH(C3254,""tiktok"")=TRUE,""Tiktok"",if("&amp;"REGEXMATCH(C3254,""threads"")=TRUE,""Threads""))))))"),"Twitter")</f>
        <v>Twitter</v>
      </c>
      <c r="G3254" s="41" t="s">
        <v>5556</v>
      </c>
      <c r="H3254" s="41" t="s">
        <v>1945</v>
      </c>
      <c r="I3254" s="41" t="s">
        <v>535</v>
      </c>
      <c r="J3254" s="41" t="s">
        <v>188</v>
      </c>
      <c r="K3254" s="41"/>
      <c r="L3254" s="42"/>
    </row>
    <row r="3255">
      <c r="A3255" s="18">
        <v>3254.0</v>
      </c>
      <c r="B3255" s="76" t="s">
        <v>5533</v>
      </c>
      <c r="C3255" s="40" t="s">
        <v>5557</v>
      </c>
      <c r="D3255" s="41"/>
      <c r="E3255" s="41" t="s">
        <v>1645</v>
      </c>
      <c r="F3255" s="18" t="str">
        <f>IFERROR(__xludf.DUMMYFUNCTION("if(REGEXMATCH(C3255,""x.com"")=TRUE,""Twitter"",if(REGEXMATCH(C3255,""facebook"")=TRUE,""Facebook"",if(REGEXMATCH(C3255,""instagram"")=TRUE,""Instagram"",if(REGEXMATCH(C3255,""youtube"")=TRUE,""Youtube"",if(REGEXMATCH(C3255,""tiktok"")=TRUE,""Tiktok"",if("&amp;"REGEXMATCH(C3255,""threads"")=TRUE,""Threads""))))))"),"Facebook")</f>
        <v>Facebook</v>
      </c>
      <c r="G3255" s="41" t="s">
        <v>5558</v>
      </c>
      <c r="H3255" s="41" t="s">
        <v>1945</v>
      </c>
      <c r="I3255" s="41" t="s">
        <v>535</v>
      </c>
      <c r="J3255" s="41" t="s">
        <v>188</v>
      </c>
      <c r="K3255" s="41"/>
      <c r="L3255" s="42"/>
    </row>
    <row r="3256">
      <c r="A3256" s="18">
        <v>3255.0</v>
      </c>
      <c r="B3256" s="76" t="s">
        <v>5533</v>
      </c>
      <c r="C3256" s="82" t="s">
        <v>5559</v>
      </c>
      <c r="D3256" s="42"/>
      <c r="E3256" s="18" t="s">
        <v>5560</v>
      </c>
      <c r="F3256" s="18" t="str">
        <f>IFERROR(__xludf.DUMMYFUNCTION("if(REGEXMATCH(C3256,""x.com"")=TRUE,""Twitter"",if(REGEXMATCH(C3256,""facebook"")=TRUE,""Facebook"",if(REGEXMATCH(C3256,""instagram"")=TRUE,""Instagram"",if(REGEXMATCH(C3256,""youtube"")=TRUE,""Youtube"",if(REGEXMATCH(C3256,""tiktok"")=TRUE,""Tiktok"",if("&amp;"REGEXMATCH(C3256,""threads"")=TRUE,""Threads""))))))"),"Twitter")</f>
        <v>Twitter</v>
      </c>
      <c r="G3256" s="41" t="s">
        <v>5561</v>
      </c>
      <c r="H3256" s="18" t="s">
        <v>5562</v>
      </c>
      <c r="I3256" s="41" t="s">
        <v>5563</v>
      </c>
      <c r="J3256" s="41" t="s">
        <v>188</v>
      </c>
      <c r="K3256" s="42"/>
      <c r="L3256" s="42"/>
    </row>
    <row r="3257">
      <c r="A3257" s="18">
        <v>3256.0</v>
      </c>
      <c r="B3257" s="76" t="s">
        <v>5533</v>
      </c>
      <c r="C3257" s="40" t="s">
        <v>5564</v>
      </c>
      <c r="D3257" s="41"/>
      <c r="E3257" s="18" t="s">
        <v>5560</v>
      </c>
      <c r="F3257" s="18" t="str">
        <f>IFERROR(__xludf.DUMMYFUNCTION("if(REGEXMATCH(C3257,""x.com"")=TRUE,""Twitter"",if(REGEXMATCH(C3257,""facebook"")=TRUE,""Facebook"",if(REGEXMATCH(C3257,""instagram"")=TRUE,""Instagram"",if(REGEXMATCH(C3257,""youtube"")=TRUE,""Youtube"",if(REGEXMATCH(C3257,""tiktok"")=TRUE,""Tiktok"",if("&amp;"REGEXMATCH(C3257,""threads"")=TRUE,""Threads""))))))"),"Twitter")</f>
        <v>Twitter</v>
      </c>
      <c r="G3257" s="41" t="s">
        <v>5561</v>
      </c>
      <c r="H3257" s="18" t="s">
        <v>5562</v>
      </c>
      <c r="I3257" s="41" t="s">
        <v>5563</v>
      </c>
      <c r="J3257" s="41" t="s">
        <v>188</v>
      </c>
      <c r="K3257" s="42"/>
      <c r="L3257" s="42"/>
    </row>
    <row r="3258">
      <c r="A3258" s="18">
        <v>3257.0</v>
      </c>
      <c r="B3258" s="76" t="s">
        <v>5533</v>
      </c>
      <c r="C3258" s="40" t="s">
        <v>5565</v>
      </c>
      <c r="D3258" s="41"/>
      <c r="E3258" s="18" t="s">
        <v>5560</v>
      </c>
      <c r="F3258" s="18" t="str">
        <f>IFERROR(__xludf.DUMMYFUNCTION("if(REGEXMATCH(C3258,""x.com"")=TRUE,""Twitter"",if(REGEXMATCH(C3258,""facebook"")=TRUE,""Facebook"",if(REGEXMATCH(C3258,""instagram"")=TRUE,""Instagram"",if(REGEXMATCH(C3258,""youtube"")=TRUE,""Youtube"",if(REGEXMATCH(C3258,""tiktok"")=TRUE,""Tiktok"",if("&amp;"REGEXMATCH(C3258,""threads"")=TRUE,""Threads""))))))"),"Twitter")</f>
        <v>Twitter</v>
      </c>
      <c r="G3258" s="41" t="s">
        <v>5561</v>
      </c>
      <c r="H3258" s="18" t="s">
        <v>5562</v>
      </c>
      <c r="I3258" s="41" t="s">
        <v>5563</v>
      </c>
      <c r="J3258" s="41" t="s">
        <v>188</v>
      </c>
      <c r="K3258" s="42"/>
      <c r="L3258" s="42"/>
    </row>
    <row r="3259">
      <c r="A3259" s="18">
        <v>3258.0</v>
      </c>
      <c r="B3259" s="76" t="s">
        <v>5566</v>
      </c>
      <c r="C3259" s="40" t="s">
        <v>5567</v>
      </c>
      <c r="D3259" s="41"/>
      <c r="E3259" s="41" t="s">
        <v>197</v>
      </c>
      <c r="F3259" s="18" t="str">
        <f>IFERROR(__xludf.DUMMYFUNCTION("if(REGEXMATCH(C3259,""x.com"")=TRUE,""Twitter"",if(REGEXMATCH(C3259,""facebook"")=TRUE,""Facebook"",if(REGEXMATCH(C3259,""instagram"")=TRUE,""Instagram"",if(REGEXMATCH(C3259,""youtube"")=TRUE,""Youtube"",if(REGEXMATCH(C3259,""tiktok"")=TRUE,""Tiktok"",if("&amp;"REGEXMATCH(C3259,""threads"")=TRUE,""Threads""))))))"),"Tiktok")</f>
        <v>Tiktok</v>
      </c>
      <c r="G3259" s="41" t="s">
        <v>5568</v>
      </c>
      <c r="H3259" s="43" t="s">
        <v>1945</v>
      </c>
      <c r="I3259" s="43" t="s">
        <v>5569</v>
      </c>
      <c r="J3259" s="41" t="s">
        <v>188</v>
      </c>
      <c r="K3259" s="41" t="s">
        <v>1611</v>
      </c>
      <c r="L3259" s="42"/>
    </row>
    <row r="3260">
      <c r="A3260" s="18">
        <v>3259.0</v>
      </c>
      <c r="B3260" s="76" t="s">
        <v>5566</v>
      </c>
      <c r="C3260" s="40" t="s">
        <v>5570</v>
      </c>
      <c r="D3260" s="41"/>
      <c r="E3260" s="41" t="s">
        <v>197</v>
      </c>
      <c r="F3260" s="18" t="str">
        <f>IFERROR(__xludf.DUMMYFUNCTION("if(REGEXMATCH(C3260,""x.com"")=TRUE,""Twitter"",if(REGEXMATCH(C3260,""facebook"")=TRUE,""Facebook"",if(REGEXMATCH(C3260,""instagram"")=TRUE,""Instagram"",if(REGEXMATCH(C3260,""youtube"")=TRUE,""Youtube"",if(REGEXMATCH(C3260,""tiktok"")=TRUE,""Tiktok"",if("&amp;"REGEXMATCH(C3260,""threads"")=TRUE,""Threads""))))))"),"Tiktok")</f>
        <v>Tiktok</v>
      </c>
      <c r="G3260" s="41" t="s">
        <v>5571</v>
      </c>
      <c r="H3260" s="36"/>
      <c r="I3260" s="36"/>
      <c r="J3260" s="41" t="s">
        <v>188</v>
      </c>
      <c r="K3260" s="41" t="s">
        <v>1611</v>
      </c>
      <c r="L3260" s="42"/>
    </row>
    <row r="3261">
      <c r="A3261" s="18">
        <v>3260.0</v>
      </c>
      <c r="B3261" s="76" t="s">
        <v>5566</v>
      </c>
      <c r="C3261" s="40" t="s">
        <v>5572</v>
      </c>
      <c r="D3261" s="41"/>
      <c r="E3261" s="41" t="s">
        <v>197</v>
      </c>
      <c r="F3261" s="18" t="str">
        <f>IFERROR(__xludf.DUMMYFUNCTION("if(REGEXMATCH(C3261,""x.com"")=TRUE,""Twitter"",if(REGEXMATCH(C3261,""facebook"")=TRUE,""Facebook"",if(REGEXMATCH(C3261,""instagram"")=TRUE,""Instagram"",if(REGEXMATCH(C3261,""youtube"")=TRUE,""Youtube"",if(REGEXMATCH(C3261,""tiktok"")=TRUE,""Tiktok"",if("&amp;"REGEXMATCH(C3261,""threads"")=TRUE,""Threads""))))))"),"Tiktok")</f>
        <v>Tiktok</v>
      </c>
      <c r="G3261" s="41" t="s">
        <v>5568</v>
      </c>
      <c r="H3261" s="36"/>
      <c r="I3261" s="36"/>
      <c r="J3261" s="41" t="s">
        <v>188</v>
      </c>
      <c r="K3261" s="41" t="s">
        <v>1611</v>
      </c>
      <c r="L3261" s="42"/>
    </row>
    <row r="3262">
      <c r="A3262" s="18">
        <v>3261.0</v>
      </c>
      <c r="B3262" s="76" t="s">
        <v>5566</v>
      </c>
      <c r="C3262" s="40" t="s">
        <v>5573</v>
      </c>
      <c r="D3262" s="41"/>
      <c r="E3262" s="41" t="s">
        <v>197</v>
      </c>
      <c r="F3262" s="18" t="str">
        <f>IFERROR(__xludf.DUMMYFUNCTION("if(REGEXMATCH(C3262,""x.com"")=TRUE,""Twitter"",if(REGEXMATCH(C3262,""facebook"")=TRUE,""Facebook"",if(REGEXMATCH(C3262,""instagram"")=TRUE,""Instagram"",if(REGEXMATCH(C3262,""youtube"")=TRUE,""Youtube"",if(REGEXMATCH(C3262,""tiktok"")=TRUE,""Tiktok"",if("&amp;"REGEXMATCH(C3262,""threads"")=TRUE,""Threads""))))))"),"Twitter")</f>
        <v>Twitter</v>
      </c>
      <c r="G3262" s="41" t="s">
        <v>5574</v>
      </c>
      <c r="H3262" s="36"/>
      <c r="I3262" s="36"/>
      <c r="J3262" s="41" t="s">
        <v>188</v>
      </c>
      <c r="K3262" s="41" t="s">
        <v>1611</v>
      </c>
      <c r="L3262" s="42"/>
    </row>
    <row r="3263">
      <c r="A3263" s="18">
        <v>3262.0</v>
      </c>
      <c r="B3263" s="76" t="s">
        <v>5566</v>
      </c>
      <c r="C3263" s="40" t="s">
        <v>5575</v>
      </c>
      <c r="D3263" s="41"/>
      <c r="E3263" s="41" t="s">
        <v>197</v>
      </c>
      <c r="F3263" s="18" t="str">
        <f>IFERROR(__xludf.DUMMYFUNCTION("if(REGEXMATCH(C3263,""x.com"")=TRUE,""Twitter"",if(REGEXMATCH(C3263,""facebook"")=TRUE,""Facebook"",if(REGEXMATCH(C3263,""instagram"")=TRUE,""Instagram"",if(REGEXMATCH(C3263,""youtube"")=TRUE,""Youtube"",if(REGEXMATCH(C3263,""tiktok"")=TRUE,""Tiktok"",if("&amp;"REGEXMATCH(C3263,""threads"")=TRUE,""Threads""))))))"),"Twitter")</f>
        <v>Twitter</v>
      </c>
      <c r="G3263" s="41" t="s">
        <v>5576</v>
      </c>
      <c r="H3263" s="36"/>
      <c r="I3263" s="36"/>
      <c r="J3263" s="41" t="s">
        <v>188</v>
      </c>
      <c r="K3263" s="41" t="s">
        <v>1611</v>
      </c>
      <c r="L3263" s="42"/>
    </row>
    <row r="3264">
      <c r="A3264" s="18">
        <v>3263.0</v>
      </c>
      <c r="B3264" s="76" t="s">
        <v>5566</v>
      </c>
      <c r="C3264" s="40" t="s">
        <v>5577</v>
      </c>
      <c r="D3264" s="41"/>
      <c r="E3264" s="41" t="s">
        <v>557</v>
      </c>
      <c r="F3264" s="18" t="str">
        <f>IFERROR(__xludf.DUMMYFUNCTION("if(REGEXMATCH(C3264,""x.com"")=TRUE,""Twitter"",if(REGEXMATCH(C3264,""facebook"")=TRUE,""Facebook"",if(REGEXMATCH(C3264,""instagram"")=TRUE,""Instagram"",if(REGEXMATCH(C3264,""youtube"")=TRUE,""Youtube"",if(REGEXMATCH(C3264,""tiktok"")=TRUE,""Tiktok"",if("&amp;"REGEXMATCH(C3264,""threads"")=TRUE,""Threads""))))))"),"Tiktok")</f>
        <v>Tiktok</v>
      </c>
      <c r="G3264" s="41" t="s">
        <v>5578</v>
      </c>
      <c r="H3264" s="36"/>
      <c r="I3264" s="36"/>
      <c r="J3264" s="41" t="s">
        <v>188</v>
      </c>
      <c r="K3264" s="41" t="s">
        <v>1611</v>
      </c>
      <c r="L3264" s="42"/>
    </row>
    <row r="3265">
      <c r="A3265" s="18">
        <v>3264.0</v>
      </c>
      <c r="B3265" s="76" t="s">
        <v>5566</v>
      </c>
      <c r="C3265" s="40" t="s">
        <v>5579</v>
      </c>
      <c r="D3265" s="41"/>
      <c r="E3265" s="41" t="s">
        <v>3329</v>
      </c>
      <c r="F3265" s="18" t="str">
        <f>IFERROR(__xludf.DUMMYFUNCTION("if(REGEXMATCH(C3265,""x.com"")=TRUE,""Twitter"",if(REGEXMATCH(C3265,""facebook"")=TRUE,""Facebook"",if(REGEXMATCH(C3265,""instagram"")=TRUE,""Instagram"",if(REGEXMATCH(C3265,""youtube"")=TRUE,""Youtube"",if(REGEXMATCH(C3265,""tiktok"")=TRUE,""Tiktok"",if("&amp;"REGEXMATCH(C3265,""threads"")=TRUE,""Threads""))))))"),"Tiktok")</f>
        <v>Tiktok</v>
      </c>
      <c r="G3265" s="41" t="s">
        <v>5580</v>
      </c>
      <c r="H3265" s="36"/>
      <c r="I3265" s="36"/>
      <c r="J3265" s="41" t="s">
        <v>188</v>
      </c>
      <c r="K3265" s="41" t="s">
        <v>1611</v>
      </c>
      <c r="L3265" s="42"/>
    </row>
    <row r="3266">
      <c r="A3266" s="18">
        <v>3265.0</v>
      </c>
      <c r="B3266" s="76" t="s">
        <v>5566</v>
      </c>
      <c r="C3266" s="40" t="s">
        <v>5581</v>
      </c>
      <c r="D3266" s="41"/>
      <c r="E3266" s="41" t="s">
        <v>557</v>
      </c>
      <c r="F3266" s="18" t="str">
        <f>IFERROR(__xludf.DUMMYFUNCTION("if(REGEXMATCH(C3266,""x.com"")=TRUE,""Twitter"",if(REGEXMATCH(C3266,""facebook"")=TRUE,""Facebook"",if(REGEXMATCH(C3266,""instagram"")=TRUE,""Instagram"",if(REGEXMATCH(C3266,""youtube"")=TRUE,""Youtube"",if(REGEXMATCH(C3266,""tiktok"")=TRUE,""Tiktok"",if("&amp;"REGEXMATCH(C3266,""threads"")=TRUE,""Threads""))))))"),"Twitter")</f>
        <v>Twitter</v>
      </c>
      <c r="G3266" s="41" t="s">
        <v>5582</v>
      </c>
      <c r="H3266" s="36"/>
      <c r="I3266" s="36"/>
      <c r="J3266" s="41" t="s">
        <v>188</v>
      </c>
      <c r="K3266" s="41" t="s">
        <v>1611</v>
      </c>
      <c r="L3266" s="42"/>
    </row>
    <row r="3267">
      <c r="A3267" s="18">
        <v>3266.0</v>
      </c>
      <c r="B3267" s="76" t="s">
        <v>5566</v>
      </c>
      <c r="C3267" s="40" t="s">
        <v>5583</v>
      </c>
      <c r="D3267" s="41"/>
      <c r="E3267" s="41" t="s">
        <v>197</v>
      </c>
      <c r="F3267" s="18" t="str">
        <f>IFERROR(__xludf.DUMMYFUNCTION("if(REGEXMATCH(C3267,""x.com"")=TRUE,""Twitter"",if(REGEXMATCH(C3267,""facebook"")=TRUE,""Facebook"",if(REGEXMATCH(C3267,""instagram"")=TRUE,""Instagram"",if(REGEXMATCH(C3267,""youtube"")=TRUE,""Youtube"",if(REGEXMATCH(C3267,""tiktok"")=TRUE,""Tiktok"",if("&amp;"REGEXMATCH(C3267,""threads"")=TRUE,""Threads""))))))"),"Twitter")</f>
        <v>Twitter</v>
      </c>
      <c r="G3267" s="41" t="s">
        <v>5584</v>
      </c>
      <c r="H3267" s="36"/>
      <c r="I3267" s="36"/>
      <c r="J3267" s="41" t="s">
        <v>188</v>
      </c>
      <c r="K3267" s="41"/>
      <c r="L3267" s="42"/>
    </row>
    <row r="3268">
      <c r="A3268" s="18">
        <v>3267.0</v>
      </c>
      <c r="B3268" s="76" t="s">
        <v>5566</v>
      </c>
      <c r="C3268" s="40" t="s">
        <v>5585</v>
      </c>
      <c r="D3268" s="41"/>
      <c r="E3268" s="41" t="s">
        <v>197</v>
      </c>
      <c r="F3268" s="18" t="str">
        <f>IFERROR(__xludf.DUMMYFUNCTION("if(REGEXMATCH(C3268,""x.com"")=TRUE,""Twitter"",if(REGEXMATCH(C3268,""facebook"")=TRUE,""Facebook"",if(REGEXMATCH(C3268,""instagram"")=TRUE,""Instagram"",if(REGEXMATCH(C3268,""youtube"")=TRUE,""Youtube"",if(REGEXMATCH(C3268,""tiktok"")=TRUE,""Tiktok"",if("&amp;"REGEXMATCH(C3268,""threads"")=TRUE,""Threads""))))))"),"Twitter")</f>
        <v>Twitter</v>
      </c>
      <c r="G3268" s="41" t="s">
        <v>5586</v>
      </c>
      <c r="H3268" s="36"/>
      <c r="I3268" s="36"/>
      <c r="J3268" s="41" t="s">
        <v>188</v>
      </c>
      <c r="K3268" s="41"/>
      <c r="L3268" s="42"/>
    </row>
    <row r="3269">
      <c r="A3269" s="18">
        <v>3268.0</v>
      </c>
      <c r="B3269" s="76" t="s">
        <v>5566</v>
      </c>
      <c r="C3269" s="40" t="s">
        <v>5526</v>
      </c>
      <c r="D3269" s="41"/>
      <c r="E3269" s="41" t="s">
        <v>372</v>
      </c>
      <c r="F3269" s="18" t="str">
        <f>IFERROR(__xludf.DUMMYFUNCTION("if(REGEXMATCH(C3269,""x.com"")=TRUE,""Twitter"",if(REGEXMATCH(C3269,""facebook"")=TRUE,""Facebook"",if(REGEXMATCH(C3269,""instagram"")=TRUE,""Instagram"",if(REGEXMATCH(C3269,""youtube"")=TRUE,""Youtube"",if(REGEXMATCH(C3269,""tiktok"")=TRUE,""Tiktok"",if("&amp;"REGEXMATCH(C3269,""threads"")=TRUE,""Threads""))))))"),"Twitter")</f>
        <v>Twitter</v>
      </c>
      <c r="G3269" s="41" t="s">
        <v>5587</v>
      </c>
      <c r="H3269" s="36"/>
      <c r="I3269" s="36"/>
      <c r="J3269" s="41" t="s">
        <v>188</v>
      </c>
      <c r="K3269" s="41"/>
      <c r="L3269" s="42"/>
    </row>
    <row r="3270">
      <c r="A3270" s="18">
        <v>3269.0</v>
      </c>
      <c r="B3270" s="76" t="s">
        <v>5566</v>
      </c>
      <c r="C3270" s="40" t="s">
        <v>5588</v>
      </c>
      <c r="D3270" s="41"/>
      <c r="E3270" s="41" t="s">
        <v>197</v>
      </c>
      <c r="F3270" s="18" t="str">
        <f>IFERROR(__xludf.DUMMYFUNCTION("if(REGEXMATCH(C3270,""x.com"")=TRUE,""Twitter"",if(REGEXMATCH(C3270,""facebook"")=TRUE,""Facebook"",if(REGEXMATCH(C3270,""instagram"")=TRUE,""Instagram"",if(REGEXMATCH(C3270,""youtube"")=TRUE,""Youtube"",if(REGEXMATCH(C3270,""tiktok"")=TRUE,""Tiktok"",if("&amp;"REGEXMATCH(C3270,""threads"")=TRUE,""Threads""))))))"),"Twitter")</f>
        <v>Twitter</v>
      </c>
      <c r="G3270" s="41" t="s">
        <v>5586</v>
      </c>
      <c r="H3270" s="35"/>
      <c r="I3270" s="35"/>
      <c r="J3270" s="41" t="s">
        <v>188</v>
      </c>
      <c r="K3270" s="41"/>
      <c r="L3270" s="42"/>
    </row>
    <row r="3271">
      <c r="A3271" s="18">
        <v>3270.0</v>
      </c>
      <c r="B3271" s="76" t="s">
        <v>5566</v>
      </c>
      <c r="C3271" s="40" t="s">
        <v>5589</v>
      </c>
      <c r="D3271" s="41"/>
      <c r="E3271" s="18" t="s">
        <v>184</v>
      </c>
      <c r="F3271" s="18" t="str">
        <f>IFERROR(__xludf.DUMMYFUNCTION("if(REGEXMATCH(C3271,""x.com"")=TRUE,""Twitter"",if(REGEXMATCH(C3271,""facebook"")=TRUE,""Facebook"",if(REGEXMATCH(C3271,""instagram"")=TRUE,""Instagram"",if(REGEXMATCH(C3271,""youtube"")=TRUE,""Youtube"",if(REGEXMATCH(C3271,""tiktok"")=TRUE,""Tiktok"",if("&amp;"REGEXMATCH(C3271,""threads"")=TRUE,""Threads""))))))"),"Facebook")</f>
        <v>Facebook</v>
      </c>
      <c r="G3271" s="41" t="s">
        <v>4116</v>
      </c>
      <c r="H3271" s="18" t="s">
        <v>5590</v>
      </c>
      <c r="I3271" s="41"/>
      <c r="J3271" s="41" t="s">
        <v>188</v>
      </c>
      <c r="K3271" s="42"/>
      <c r="L3271" s="42"/>
    </row>
    <row r="3272">
      <c r="A3272" s="18">
        <v>3271.0</v>
      </c>
      <c r="B3272" s="76" t="s">
        <v>5566</v>
      </c>
      <c r="C3272" s="40" t="s">
        <v>5591</v>
      </c>
      <c r="D3272" s="41"/>
      <c r="E3272" s="18" t="s">
        <v>184</v>
      </c>
      <c r="F3272" s="18" t="str">
        <f>IFERROR(__xludf.DUMMYFUNCTION("if(REGEXMATCH(C3272,""x.com"")=TRUE,""Twitter"",if(REGEXMATCH(C3272,""facebook"")=TRUE,""Facebook"",if(REGEXMATCH(C3272,""instagram"")=TRUE,""Instagram"",if(REGEXMATCH(C3272,""youtube"")=TRUE,""Youtube"",if(REGEXMATCH(C3272,""tiktok"")=TRUE,""Tiktok"",if("&amp;"REGEXMATCH(C3272,""threads"")=TRUE,""Threads""))))))"),"Facebook")</f>
        <v>Facebook</v>
      </c>
      <c r="G3272" s="41" t="s">
        <v>4116</v>
      </c>
      <c r="H3272" s="18" t="s">
        <v>5590</v>
      </c>
      <c r="I3272" s="41"/>
      <c r="J3272" s="41" t="s">
        <v>188</v>
      </c>
      <c r="K3272" s="42"/>
      <c r="L3272" s="42"/>
    </row>
    <row r="3273">
      <c r="A3273" s="18">
        <v>3272.0</v>
      </c>
      <c r="B3273" s="76" t="s">
        <v>5592</v>
      </c>
      <c r="C3273" s="40" t="s">
        <v>5593</v>
      </c>
      <c r="D3273" s="41"/>
      <c r="E3273" s="41" t="s">
        <v>197</v>
      </c>
      <c r="F3273" s="18" t="str">
        <f>IFERROR(__xludf.DUMMYFUNCTION("if(REGEXMATCH(C3273,""x.com"")=TRUE,""Twitter"",if(REGEXMATCH(C3273,""facebook"")=TRUE,""Facebook"",if(REGEXMATCH(C3273,""instagram"")=TRUE,""Instagram"",if(REGEXMATCH(C3273,""youtube"")=TRUE,""Youtube"",if(REGEXMATCH(C3273,""tiktok"")=TRUE,""Tiktok"",if("&amp;"REGEXMATCH(C3273,""threads"")=TRUE,""Threads""))))))"),"Twitter")</f>
        <v>Twitter</v>
      </c>
      <c r="G3273" s="41" t="s">
        <v>5594</v>
      </c>
      <c r="H3273" s="43" t="s">
        <v>5595</v>
      </c>
      <c r="I3273" s="43" t="s">
        <v>535</v>
      </c>
      <c r="J3273" s="41" t="s">
        <v>188</v>
      </c>
      <c r="K3273" s="41" t="s">
        <v>1611</v>
      </c>
      <c r="L3273" s="42"/>
    </row>
    <row r="3274">
      <c r="A3274" s="18">
        <v>3273.0</v>
      </c>
      <c r="B3274" s="76" t="s">
        <v>5592</v>
      </c>
      <c r="C3274" s="40" t="s">
        <v>5596</v>
      </c>
      <c r="D3274" s="41"/>
      <c r="E3274" s="41" t="s">
        <v>197</v>
      </c>
      <c r="F3274" s="18" t="str">
        <f>IFERROR(__xludf.DUMMYFUNCTION("if(REGEXMATCH(C3274,""x.com"")=TRUE,""Twitter"",if(REGEXMATCH(C3274,""facebook"")=TRUE,""Facebook"",if(REGEXMATCH(C3274,""instagram"")=TRUE,""Instagram"",if(REGEXMATCH(C3274,""youtube"")=TRUE,""Youtube"",if(REGEXMATCH(C3274,""tiktok"")=TRUE,""Tiktok"",if("&amp;"REGEXMATCH(C3274,""threads"")=TRUE,""Threads""))))))"),"Twitter")</f>
        <v>Twitter</v>
      </c>
      <c r="G3274" s="41" t="s">
        <v>5597</v>
      </c>
      <c r="H3274" s="36"/>
      <c r="I3274" s="36"/>
      <c r="J3274" s="41" t="s">
        <v>188</v>
      </c>
      <c r="K3274" s="41" t="s">
        <v>1611</v>
      </c>
      <c r="L3274" s="42"/>
    </row>
    <row r="3275">
      <c r="A3275" s="18">
        <v>3274.0</v>
      </c>
      <c r="B3275" s="76" t="s">
        <v>5592</v>
      </c>
      <c r="C3275" s="40" t="s">
        <v>5598</v>
      </c>
      <c r="D3275" s="41"/>
      <c r="E3275" s="41" t="s">
        <v>197</v>
      </c>
      <c r="F3275" s="18" t="str">
        <f>IFERROR(__xludf.DUMMYFUNCTION("if(REGEXMATCH(C3275,""x.com"")=TRUE,""Twitter"",if(REGEXMATCH(C3275,""facebook"")=TRUE,""Facebook"",if(REGEXMATCH(C3275,""instagram"")=TRUE,""Instagram"",if(REGEXMATCH(C3275,""youtube"")=TRUE,""Youtube"",if(REGEXMATCH(C3275,""tiktok"")=TRUE,""Tiktok"",if("&amp;"REGEXMATCH(C3275,""threads"")=TRUE,""Threads""))))))"),"Twitter")</f>
        <v>Twitter</v>
      </c>
      <c r="G3275" s="41" t="s">
        <v>5599</v>
      </c>
      <c r="H3275" s="36"/>
      <c r="I3275" s="36"/>
      <c r="J3275" s="41" t="s">
        <v>188</v>
      </c>
      <c r="K3275" s="41" t="s">
        <v>1611</v>
      </c>
      <c r="L3275" s="42"/>
    </row>
    <row r="3276">
      <c r="A3276" s="18">
        <v>3275.0</v>
      </c>
      <c r="B3276" s="76" t="s">
        <v>5592</v>
      </c>
      <c r="C3276" s="40" t="s">
        <v>5600</v>
      </c>
      <c r="D3276" s="41"/>
      <c r="E3276" s="41" t="s">
        <v>197</v>
      </c>
      <c r="F3276" s="18" t="str">
        <f>IFERROR(__xludf.DUMMYFUNCTION("if(REGEXMATCH(C3276,""x.com"")=TRUE,""Twitter"",if(REGEXMATCH(C3276,""facebook"")=TRUE,""Facebook"",if(REGEXMATCH(C3276,""instagram"")=TRUE,""Instagram"",if(REGEXMATCH(C3276,""youtube"")=TRUE,""Youtube"",if(REGEXMATCH(C3276,""tiktok"")=TRUE,""Tiktok"",if("&amp;"REGEXMATCH(C3276,""threads"")=TRUE,""Threads""))))))"),"Twitter")</f>
        <v>Twitter</v>
      </c>
      <c r="G3276" s="41" t="s">
        <v>5601</v>
      </c>
      <c r="H3276" s="36"/>
      <c r="I3276" s="36"/>
      <c r="J3276" s="41" t="s">
        <v>188</v>
      </c>
      <c r="K3276" s="41" t="s">
        <v>1611</v>
      </c>
      <c r="L3276" s="42"/>
    </row>
    <row r="3277">
      <c r="A3277" s="18">
        <v>3276.0</v>
      </c>
      <c r="B3277" s="76" t="s">
        <v>5592</v>
      </c>
      <c r="C3277" s="40" t="s">
        <v>5602</v>
      </c>
      <c r="D3277" s="41"/>
      <c r="E3277" s="41" t="s">
        <v>557</v>
      </c>
      <c r="F3277" s="18" t="str">
        <f>IFERROR(__xludf.DUMMYFUNCTION("if(REGEXMATCH(C3277,""x.com"")=TRUE,""Twitter"",if(REGEXMATCH(C3277,""facebook"")=TRUE,""Facebook"",if(REGEXMATCH(C3277,""instagram"")=TRUE,""Instagram"",if(REGEXMATCH(C3277,""youtube"")=TRUE,""Youtube"",if(REGEXMATCH(C3277,""tiktok"")=TRUE,""Tiktok"",if("&amp;"REGEXMATCH(C3277,""threads"")=TRUE,""Threads""))))))"),"Tiktok")</f>
        <v>Tiktok</v>
      </c>
      <c r="G3277" s="41" t="s">
        <v>5603</v>
      </c>
      <c r="H3277" s="36"/>
      <c r="I3277" s="36"/>
      <c r="J3277" s="41" t="s">
        <v>188</v>
      </c>
      <c r="K3277" s="41" t="s">
        <v>1611</v>
      </c>
      <c r="L3277" s="42"/>
    </row>
    <row r="3278">
      <c r="A3278" s="18">
        <v>3277.0</v>
      </c>
      <c r="B3278" s="76" t="s">
        <v>5592</v>
      </c>
      <c r="C3278" s="40" t="s">
        <v>5604</v>
      </c>
      <c r="D3278" s="41"/>
      <c r="E3278" s="41" t="s">
        <v>230</v>
      </c>
      <c r="F3278" s="18" t="str">
        <f>IFERROR(__xludf.DUMMYFUNCTION("if(REGEXMATCH(C3278,""x.com"")=TRUE,""Twitter"",if(REGEXMATCH(C3278,""facebook"")=TRUE,""Facebook"",if(REGEXMATCH(C3278,""instagram"")=TRUE,""Instagram"",if(REGEXMATCH(C3278,""youtube"")=TRUE,""Youtube"",if(REGEXMATCH(C3278,""tiktok"")=TRUE,""Tiktok"",if("&amp;"REGEXMATCH(C3278,""threads"")=TRUE,""Threads""))))))"),"Tiktok")</f>
        <v>Tiktok</v>
      </c>
      <c r="G3278" s="41" t="s">
        <v>5605</v>
      </c>
      <c r="H3278" s="36"/>
      <c r="I3278" s="36"/>
      <c r="J3278" s="41" t="s">
        <v>188</v>
      </c>
      <c r="K3278" s="41" t="s">
        <v>1611</v>
      </c>
      <c r="L3278" s="42"/>
    </row>
    <row r="3279">
      <c r="A3279" s="18">
        <v>3278.0</v>
      </c>
      <c r="B3279" s="76" t="s">
        <v>5592</v>
      </c>
      <c r="C3279" s="40" t="s">
        <v>5606</v>
      </c>
      <c r="D3279" s="41"/>
      <c r="E3279" s="41" t="s">
        <v>557</v>
      </c>
      <c r="F3279" s="18" t="str">
        <f>IFERROR(__xludf.DUMMYFUNCTION("if(REGEXMATCH(C3279,""x.com"")=TRUE,""Twitter"",if(REGEXMATCH(C3279,""facebook"")=TRUE,""Facebook"",if(REGEXMATCH(C3279,""instagram"")=TRUE,""Instagram"",if(REGEXMATCH(C3279,""youtube"")=TRUE,""Youtube"",if(REGEXMATCH(C3279,""tiktok"")=TRUE,""Tiktok"",if("&amp;"REGEXMATCH(C3279,""threads"")=TRUE,""Threads""))))))"),"Facebook")</f>
        <v>Facebook</v>
      </c>
      <c r="G3279" s="41" t="s">
        <v>5607</v>
      </c>
      <c r="H3279" s="36"/>
      <c r="I3279" s="36"/>
      <c r="J3279" s="41" t="s">
        <v>188</v>
      </c>
      <c r="K3279" s="41" t="s">
        <v>1611</v>
      </c>
      <c r="L3279" s="42"/>
    </row>
    <row r="3280">
      <c r="A3280" s="18">
        <v>3279.0</v>
      </c>
      <c r="B3280" s="76" t="s">
        <v>5592</v>
      </c>
      <c r="C3280" s="40" t="s">
        <v>5608</v>
      </c>
      <c r="D3280" s="41"/>
      <c r="E3280" s="41" t="s">
        <v>197</v>
      </c>
      <c r="F3280" s="18" t="str">
        <f>IFERROR(__xludf.DUMMYFUNCTION("if(REGEXMATCH(C3280,""x.com"")=TRUE,""Twitter"",if(REGEXMATCH(C3280,""facebook"")=TRUE,""Facebook"",if(REGEXMATCH(C3280,""instagram"")=TRUE,""Instagram"",if(REGEXMATCH(C3280,""youtube"")=TRUE,""Youtube"",if(REGEXMATCH(C3280,""tiktok"")=TRUE,""Tiktok"",if("&amp;"REGEXMATCH(C3280,""threads"")=TRUE,""Threads""))))))"),"Facebook")</f>
        <v>Facebook</v>
      </c>
      <c r="G3280" s="41" t="s">
        <v>5609</v>
      </c>
      <c r="H3280" s="36"/>
      <c r="I3280" s="36"/>
      <c r="J3280" s="41" t="s">
        <v>188</v>
      </c>
      <c r="K3280" s="41" t="s">
        <v>1611</v>
      </c>
      <c r="L3280" s="42"/>
    </row>
    <row r="3281">
      <c r="A3281" s="18">
        <v>3280.0</v>
      </c>
      <c r="B3281" s="76" t="s">
        <v>5592</v>
      </c>
      <c r="C3281" s="40" t="s">
        <v>5610</v>
      </c>
      <c r="D3281" s="41"/>
      <c r="E3281" s="41" t="s">
        <v>197</v>
      </c>
      <c r="F3281" s="18" t="str">
        <f>IFERROR(__xludf.DUMMYFUNCTION("if(REGEXMATCH(C3281,""x.com"")=TRUE,""Twitter"",if(REGEXMATCH(C3281,""facebook"")=TRUE,""Facebook"",if(REGEXMATCH(C3281,""instagram"")=TRUE,""Instagram"",if(REGEXMATCH(C3281,""youtube"")=TRUE,""Youtube"",if(REGEXMATCH(C3281,""tiktok"")=TRUE,""Tiktok"",if("&amp;"REGEXMATCH(C3281,""threads"")=TRUE,""Threads""))))))"),"Facebook")</f>
        <v>Facebook</v>
      </c>
      <c r="G3281" s="41" t="s">
        <v>5611</v>
      </c>
      <c r="H3281" s="36"/>
      <c r="I3281" s="36"/>
      <c r="J3281" s="41" t="s">
        <v>188</v>
      </c>
      <c r="K3281" s="41"/>
      <c r="L3281" s="42"/>
    </row>
    <row r="3282">
      <c r="A3282" s="18">
        <v>3281.0</v>
      </c>
      <c r="B3282" s="76" t="s">
        <v>5592</v>
      </c>
      <c r="C3282" s="40" t="s">
        <v>5612</v>
      </c>
      <c r="D3282" s="41"/>
      <c r="E3282" s="41" t="s">
        <v>372</v>
      </c>
      <c r="F3282" s="18" t="str">
        <f>IFERROR(__xludf.DUMMYFUNCTION("if(REGEXMATCH(C3282,""x.com"")=TRUE,""Twitter"",if(REGEXMATCH(C3282,""facebook"")=TRUE,""Facebook"",if(REGEXMATCH(C3282,""instagram"")=TRUE,""Instagram"",if(REGEXMATCH(C3282,""youtube"")=TRUE,""Youtube"",if(REGEXMATCH(C3282,""tiktok"")=TRUE,""Tiktok"",if("&amp;"REGEXMATCH(C3282,""threads"")=TRUE,""Threads""))))))"),"Tiktok")</f>
        <v>Tiktok</v>
      </c>
      <c r="G3282" s="41" t="s">
        <v>5613</v>
      </c>
      <c r="H3282" s="36"/>
      <c r="I3282" s="36"/>
      <c r="J3282" s="41" t="s">
        <v>188</v>
      </c>
      <c r="K3282" s="41"/>
      <c r="L3282" s="42"/>
    </row>
    <row r="3283">
      <c r="A3283" s="18">
        <v>3282.0</v>
      </c>
      <c r="B3283" s="76" t="s">
        <v>5592</v>
      </c>
      <c r="C3283" s="40" t="s">
        <v>5614</v>
      </c>
      <c r="D3283" s="41"/>
      <c r="E3283" s="41" t="s">
        <v>372</v>
      </c>
      <c r="F3283" s="18" t="str">
        <f>IFERROR(__xludf.DUMMYFUNCTION("if(REGEXMATCH(C3283,""x.com"")=TRUE,""Twitter"",if(REGEXMATCH(C3283,""facebook"")=TRUE,""Facebook"",if(REGEXMATCH(C3283,""instagram"")=TRUE,""Instagram"",if(REGEXMATCH(C3283,""youtube"")=TRUE,""Youtube"",if(REGEXMATCH(C3283,""tiktok"")=TRUE,""Tiktok"",if("&amp;"REGEXMATCH(C3283,""threads"")=TRUE,""Threads""))))))"),"Facebook")</f>
        <v>Facebook</v>
      </c>
      <c r="G3283" s="41" t="s">
        <v>5615</v>
      </c>
      <c r="H3283" s="36"/>
      <c r="I3283" s="36"/>
      <c r="J3283" s="41" t="s">
        <v>188</v>
      </c>
      <c r="K3283" s="41"/>
      <c r="L3283" s="42"/>
    </row>
    <row r="3284">
      <c r="A3284" s="18">
        <v>3283.0</v>
      </c>
      <c r="B3284" s="76" t="s">
        <v>5592</v>
      </c>
      <c r="C3284" s="40" t="s">
        <v>5616</v>
      </c>
      <c r="D3284" s="41"/>
      <c r="E3284" s="41" t="s">
        <v>1178</v>
      </c>
      <c r="F3284" s="18" t="str">
        <f>IFERROR(__xludf.DUMMYFUNCTION("if(REGEXMATCH(C3284,""x.com"")=TRUE,""Twitter"",if(REGEXMATCH(C3284,""facebook"")=TRUE,""Facebook"",if(REGEXMATCH(C3284,""instagram"")=TRUE,""Instagram"",if(REGEXMATCH(C3284,""youtube"")=TRUE,""Youtube"",if(REGEXMATCH(C3284,""tiktok"")=TRUE,""Tiktok"",if("&amp;"REGEXMATCH(C3284,""threads"")=TRUE,""Threads""))))))"),"Tiktok")</f>
        <v>Tiktok</v>
      </c>
      <c r="G3284" s="41" t="s">
        <v>5617</v>
      </c>
      <c r="H3284" s="35"/>
      <c r="I3284" s="35"/>
      <c r="J3284" s="41" t="s">
        <v>188</v>
      </c>
      <c r="K3284" s="41"/>
      <c r="L3284" s="42"/>
    </row>
    <row r="3285">
      <c r="A3285" s="18">
        <v>3284.0</v>
      </c>
      <c r="B3285" s="76" t="s">
        <v>5592</v>
      </c>
      <c r="C3285" s="40" t="s">
        <v>5618</v>
      </c>
      <c r="D3285" s="41"/>
      <c r="E3285" s="18" t="s">
        <v>2018</v>
      </c>
      <c r="F3285" s="18" t="str">
        <f>IFERROR(__xludf.DUMMYFUNCTION("if(REGEXMATCH(C3285,""x.com"")=TRUE,""Twitter"",if(REGEXMATCH(C3285,""facebook"")=TRUE,""Facebook"",if(REGEXMATCH(C3285,""instagram"")=TRUE,""Instagram"",if(REGEXMATCH(C3285,""youtube"")=TRUE,""Youtube"",if(REGEXMATCH(C3285,""tiktok"")=TRUE,""Tiktok"",if("&amp;"REGEXMATCH(C3285,""threads"")=TRUE,""Threads""))))))"),"Facebook")</f>
        <v>Facebook</v>
      </c>
      <c r="G3285" s="41" t="s">
        <v>5619</v>
      </c>
      <c r="H3285" s="18" t="s">
        <v>2020</v>
      </c>
      <c r="I3285" s="41"/>
      <c r="J3285" s="41" t="s">
        <v>188</v>
      </c>
      <c r="K3285" s="42"/>
      <c r="L3285" s="42"/>
    </row>
    <row r="3286">
      <c r="A3286" s="18">
        <v>3285.0</v>
      </c>
      <c r="B3286" s="76" t="s">
        <v>5592</v>
      </c>
      <c r="C3286" s="40" t="s">
        <v>5620</v>
      </c>
      <c r="D3286" s="41"/>
      <c r="E3286" s="18" t="s">
        <v>2018</v>
      </c>
      <c r="F3286" s="18" t="str">
        <f>IFERROR(__xludf.DUMMYFUNCTION("if(REGEXMATCH(C3286,""x.com"")=TRUE,""Twitter"",if(REGEXMATCH(C3286,""facebook"")=TRUE,""Facebook"",if(REGEXMATCH(C3286,""instagram"")=TRUE,""Instagram"",if(REGEXMATCH(C3286,""youtube"")=TRUE,""Youtube"",if(REGEXMATCH(C3286,""tiktok"")=TRUE,""Tiktok"",if("&amp;"REGEXMATCH(C3286,""threads"")=TRUE,""Threads""))))))"),"Facebook")</f>
        <v>Facebook</v>
      </c>
      <c r="G3286" s="41" t="s">
        <v>5619</v>
      </c>
      <c r="H3286" s="18" t="s">
        <v>2020</v>
      </c>
      <c r="I3286" s="18"/>
      <c r="J3286" s="41" t="s">
        <v>188</v>
      </c>
      <c r="K3286" s="42"/>
      <c r="L3286" s="42"/>
    </row>
    <row r="3287">
      <c r="A3287" s="18">
        <v>3286.0</v>
      </c>
      <c r="B3287" s="76" t="s">
        <v>5621</v>
      </c>
      <c r="C3287" s="40" t="s">
        <v>5622</v>
      </c>
      <c r="D3287" s="41"/>
      <c r="E3287" s="41" t="s">
        <v>197</v>
      </c>
      <c r="F3287" s="18" t="str">
        <f>IFERROR(__xludf.DUMMYFUNCTION("if(REGEXMATCH(C3287,""x.com"")=TRUE,""Twitter"",if(REGEXMATCH(C3287,""facebook"")=TRUE,""Facebook"",if(REGEXMATCH(C3287,""instagram"")=TRUE,""Instagram"",if(REGEXMATCH(C3287,""youtube"")=TRUE,""Youtube"",if(REGEXMATCH(C3287,""tiktok"")=TRUE,""Tiktok"",if("&amp;"REGEXMATCH(C3287,""threads"")=TRUE,""Threads""))))))"),"Facebook")</f>
        <v>Facebook</v>
      </c>
      <c r="G3287" s="41" t="s">
        <v>5623</v>
      </c>
      <c r="H3287" s="43" t="s">
        <v>1945</v>
      </c>
      <c r="I3287" s="43" t="s">
        <v>535</v>
      </c>
      <c r="J3287" s="41" t="s">
        <v>188</v>
      </c>
      <c r="K3287" s="41" t="s">
        <v>1611</v>
      </c>
      <c r="L3287" s="42"/>
    </row>
    <row r="3288">
      <c r="A3288" s="18">
        <v>3287.0</v>
      </c>
      <c r="B3288" s="76" t="s">
        <v>5621</v>
      </c>
      <c r="C3288" s="40" t="s">
        <v>5624</v>
      </c>
      <c r="D3288" s="41"/>
      <c r="E3288" s="41" t="s">
        <v>197</v>
      </c>
      <c r="F3288" s="18" t="str">
        <f>IFERROR(__xludf.DUMMYFUNCTION("if(REGEXMATCH(C3288,""x.com"")=TRUE,""Twitter"",if(REGEXMATCH(C3288,""facebook"")=TRUE,""Facebook"",if(REGEXMATCH(C3288,""instagram"")=TRUE,""Instagram"",if(REGEXMATCH(C3288,""youtube"")=TRUE,""Youtube"",if(REGEXMATCH(C3288,""tiktok"")=TRUE,""Tiktok"",if("&amp;"REGEXMATCH(C3288,""threads"")=TRUE,""Threads""))))))"),"Facebook")</f>
        <v>Facebook</v>
      </c>
      <c r="G3288" s="41" t="s">
        <v>5625</v>
      </c>
      <c r="H3288" s="36"/>
      <c r="I3288" s="36"/>
      <c r="J3288" s="41" t="s">
        <v>188</v>
      </c>
      <c r="K3288" s="41" t="s">
        <v>1611</v>
      </c>
      <c r="L3288" s="42"/>
    </row>
    <row r="3289">
      <c r="A3289" s="18">
        <v>3288.0</v>
      </c>
      <c r="B3289" s="76" t="s">
        <v>5621</v>
      </c>
      <c r="C3289" s="40" t="s">
        <v>5626</v>
      </c>
      <c r="D3289" s="41"/>
      <c r="E3289" s="41" t="s">
        <v>197</v>
      </c>
      <c r="F3289" s="18" t="str">
        <f>IFERROR(__xludf.DUMMYFUNCTION("if(REGEXMATCH(C3289,""x.com"")=TRUE,""Twitter"",if(REGEXMATCH(C3289,""facebook"")=TRUE,""Facebook"",if(REGEXMATCH(C3289,""instagram"")=TRUE,""Instagram"",if(REGEXMATCH(C3289,""youtube"")=TRUE,""Youtube"",if(REGEXMATCH(C3289,""tiktok"")=TRUE,""Tiktok"",if("&amp;"REGEXMATCH(C3289,""threads"")=TRUE,""Threads""))))))"),"Facebook")</f>
        <v>Facebook</v>
      </c>
      <c r="G3289" s="41" t="s">
        <v>5627</v>
      </c>
      <c r="H3289" s="36"/>
      <c r="I3289" s="36"/>
      <c r="J3289" s="41" t="s">
        <v>188</v>
      </c>
      <c r="K3289" s="41" t="s">
        <v>1611</v>
      </c>
      <c r="L3289" s="42"/>
    </row>
    <row r="3290">
      <c r="A3290" s="18">
        <v>3289.0</v>
      </c>
      <c r="B3290" s="76" t="s">
        <v>5621</v>
      </c>
      <c r="C3290" s="40" t="s">
        <v>5628</v>
      </c>
      <c r="D3290" s="41"/>
      <c r="E3290" s="41" t="s">
        <v>372</v>
      </c>
      <c r="F3290" s="18" t="str">
        <f>IFERROR(__xludf.DUMMYFUNCTION("if(REGEXMATCH(C3290,""x.com"")=TRUE,""Twitter"",if(REGEXMATCH(C3290,""facebook"")=TRUE,""Facebook"",if(REGEXMATCH(C3290,""instagram"")=TRUE,""Instagram"",if(REGEXMATCH(C3290,""youtube"")=TRUE,""Youtube"",if(REGEXMATCH(C3290,""tiktok"")=TRUE,""Tiktok"",if("&amp;"REGEXMATCH(C3290,""threads"")=TRUE,""Threads""))))))"),"Facebook")</f>
        <v>Facebook</v>
      </c>
      <c r="G3290" s="41" t="s">
        <v>5629</v>
      </c>
      <c r="H3290" s="36"/>
      <c r="I3290" s="36"/>
      <c r="J3290" s="41" t="s">
        <v>188</v>
      </c>
      <c r="K3290" s="41" t="s">
        <v>1611</v>
      </c>
      <c r="L3290" s="42"/>
    </row>
    <row r="3291">
      <c r="A3291" s="18">
        <v>3290.0</v>
      </c>
      <c r="B3291" s="76" t="s">
        <v>5621</v>
      </c>
      <c r="C3291" s="40" t="s">
        <v>5630</v>
      </c>
      <c r="D3291" s="41"/>
      <c r="E3291" s="41" t="s">
        <v>197</v>
      </c>
      <c r="F3291" s="18" t="str">
        <f>IFERROR(__xludf.DUMMYFUNCTION("if(REGEXMATCH(C3291,""x.com"")=TRUE,""Twitter"",if(REGEXMATCH(C3291,""facebook"")=TRUE,""Facebook"",if(REGEXMATCH(C3291,""instagram"")=TRUE,""Instagram"",if(REGEXMATCH(C3291,""youtube"")=TRUE,""Youtube"",if(REGEXMATCH(C3291,""tiktok"")=TRUE,""Tiktok"",if("&amp;"REGEXMATCH(C3291,""threads"")=TRUE,""Threads""))))))"),"Facebook")</f>
        <v>Facebook</v>
      </c>
      <c r="G3291" s="41" t="s">
        <v>5631</v>
      </c>
      <c r="H3291" s="36"/>
      <c r="I3291" s="36"/>
      <c r="J3291" s="41" t="s">
        <v>188</v>
      </c>
      <c r="K3291" s="41" t="s">
        <v>1611</v>
      </c>
      <c r="L3291" s="42"/>
    </row>
    <row r="3292">
      <c r="A3292" s="18">
        <v>3291.0</v>
      </c>
      <c r="B3292" s="76" t="s">
        <v>5621</v>
      </c>
      <c r="C3292" s="40" t="s">
        <v>5632</v>
      </c>
      <c r="D3292" s="41"/>
      <c r="E3292" s="41" t="s">
        <v>197</v>
      </c>
      <c r="F3292" s="18" t="str">
        <f>IFERROR(__xludf.DUMMYFUNCTION("if(REGEXMATCH(C3292,""x.com"")=TRUE,""Twitter"",if(REGEXMATCH(C3292,""facebook"")=TRUE,""Facebook"",if(REGEXMATCH(C3292,""instagram"")=TRUE,""Instagram"",if(REGEXMATCH(C3292,""youtube"")=TRUE,""Youtube"",if(REGEXMATCH(C3292,""tiktok"")=TRUE,""Tiktok"",if("&amp;"REGEXMATCH(C3292,""threads"")=TRUE,""Threads""))))))"),"Facebook")</f>
        <v>Facebook</v>
      </c>
      <c r="G3292" s="41" t="s">
        <v>5633</v>
      </c>
      <c r="H3292" s="36"/>
      <c r="I3292" s="36"/>
      <c r="J3292" s="41" t="s">
        <v>188</v>
      </c>
      <c r="K3292" s="41" t="s">
        <v>1611</v>
      </c>
      <c r="L3292" s="42"/>
    </row>
    <row r="3293">
      <c r="A3293" s="18">
        <v>3292.0</v>
      </c>
      <c r="B3293" s="76" t="s">
        <v>5621</v>
      </c>
      <c r="C3293" s="40" t="s">
        <v>5634</v>
      </c>
      <c r="D3293" s="41"/>
      <c r="E3293" s="41" t="s">
        <v>197</v>
      </c>
      <c r="F3293" s="18" t="str">
        <f>IFERROR(__xludf.DUMMYFUNCTION("if(REGEXMATCH(C3293,""x.com"")=TRUE,""Twitter"",if(REGEXMATCH(C3293,""facebook"")=TRUE,""Facebook"",if(REGEXMATCH(C3293,""instagram"")=TRUE,""Instagram"",if(REGEXMATCH(C3293,""youtube"")=TRUE,""Youtube"",if(REGEXMATCH(C3293,""tiktok"")=TRUE,""Tiktok"",if("&amp;"REGEXMATCH(C3293,""threads"")=TRUE,""Threads""))))))"),"Facebook")</f>
        <v>Facebook</v>
      </c>
      <c r="G3293" s="41" t="s">
        <v>5635</v>
      </c>
      <c r="H3293" s="36"/>
      <c r="I3293" s="36"/>
      <c r="J3293" s="41" t="s">
        <v>188</v>
      </c>
      <c r="K3293" s="41" t="s">
        <v>1611</v>
      </c>
      <c r="L3293" s="42"/>
    </row>
    <row r="3294">
      <c r="A3294" s="18">
        <v>3293.0</v>
      </c>
      <c r="B3294" s="76" t="s">
        <v>5621</v>
      </c>
      <c r="C3294" s="44" t="s">
        <v>5636</v>
      </c>
      <c r="D3294" s="41"/>
      <c r="E3294" s="41" t="s">
        <v>447</v>
      </c>
      <c r="F3294" s="18" t="str">
        <f>IFERROR(__xludf.DUMMYFUNCTION("if(REGEXMATCH(C3294,""x.com"")=TRUE,""Twitter"",if(REGEXMATCH(C3294,""facebook"")=TRUE,""Facebook"",if(REGEXMATCH(C3294,""instagram"")=TRUE,""Instagram"",if(REGEXMATCH(C3294,""youtube"")=TRUE,""Youtube"",if(REGEXMATCH(C3294,""tiktok"")=TRUE,""Tiktok"",if("&amp;"REGEXMATCH(C3294,""threads"")=TRUE,""Threads""))))))"),"Tiktok")</f>
        <v>Tiktok</v>
      </c>
      <c r="G3294" s="41" t="s">
        <v>5637</v>
      </c>
      <c r="H3294" s="36"/>
      <c r="I3294" s="36"/>
      <c r="J3294" s="41" t="s">
        <v>188</v>
      </c>
      <c r="K3294" s="41" t="s">
        <v>1611</v>
      </c>
      <c r="L3294" s="42"/>
    </row>
    <row r="3295">
      <c r="A3295" s="18">
        <v>3294.0</v>
      </c>
      <c r="B3295" s="76" t="s">
        <v>5621</v>
      </c>
      <c r="C3295" s="44" t="s">
        <v>5638</v>
      </c>
      <c r="D3295" s="41"/>
      <c r="E3295" s="41" t="s">
        <v>372</v>
      </c>
      <c r="F3295" s="18" t="str">
        <f>IFERROR(__xludf.DUMMYFUNCTION("if(REGEXMATCH(C3295,""x.com"")=TRUE,""Twitter"",if(REGEXMATCH(C3295,""facebook"")=TRUE,""Facebook"",if(REGEXMATCH(C3295,""instagram"")=TRUE,""Instagram"",if(REGEXMATCH(C3295,""youtube"")=TRUE,""Youtube"",if(REGEXMATCH(C3295,""tiktok"")=TRUE,""Tiktok"",if("&amp;"REGEXMATCH(C3295,""threads"")=TRUE,""Threads""))))))"),"Tiktok")</f>
        <v>Tiktok</v>
      </c>
      <c r="G3295" s="41" t="s">
        <v>5639</v>
      </c>
      <c r="H3295" s="36"/>
      <c r="I3295" s="36"/>
      <c r="J3295" s="41" t="s">
        <v>188</v>
      </c>
      <c r="K3295" s="41"/>
      <c r="L3295" s="42"/>
    </row>
    <row r="3296">
      <c r="A3296" s="18">
        <v>3295.0</v>
      </c>
      <c r="B3296" s="76" t="s">
        <v>5621</v>
      </c>
      <c r="C3296" s="40" t="s">
        <v>5640</v>
      </c>
      <c r="D3296" s="41"/>
      <c r="E3296" s="41" t="s">
        <v>747</v>
      </c>
      <c r="F3296" s="18" t="str">
        <f>IFERROR(__xludf.DUMMYFUNCTION("if(REGEXMATCH(C3296,""x.com"")=TRUE,""Twitter"",if(REGEXMATCH(C3296,""facebook"")=TRUE,""Facebook"",if(REGEXMATCH(C3296,""instagram"")=TRUE,""Instagram"",if(REGEXMATCH(C3296,""youtube"")=TRUE,""Youtube"",if(REGEXMATCH(C3296,""tiktok"")=TRUE,""Tiktok"",if("&amp;"REGEXMATCH(C3296,""threads"")=TRUE,""Threads""))))))"),"Facebook")</f>
        <v>Facebook</v>
      </c>
      <c r="G3296" s="41" t="s">
        <v>5641</v>
      </c>
      <c r="H3296" s="36"/>
      <c r="I3296" s="36"/>
      <c r="J3296" s="41" t="s">
        <v>188</v>
      </c>
      <c r="K3296" s="41"/>
      <c r="L3296" s="42"/>
    </row>
    <row r="3297">
      <c r="A3297" s="18">
        <v>3296.0</v>
      </c>
      <c r="B3297" s="76" t="s">
        <v>5621</v>
      </c>
      <c r="C3297" s="40" t="s">
        <v>5642</v>
      </c>
      <c r="D3297" s="41"/>
      <c r="E3297" s="41" t="s">
        <v>197</v>
      </c>
      <c r="F3297" s="18" t="str">
        <f>IFERROR(__xludf.DUMMYFUNCTION("if(REGEXMATCH(C3297,""x.com"")=TRUE,""Twitter"",if(REGEXMATCH(C3297,""facebook"")=TRUE,""Facebook"",if(REGEXMATCH(C3297,""instagram"")=TRUE,""Instagram"",if(REGEXMATCH(C3297,""youtube"")=TRUE,""Youtube"",if(REGEXMATCH(C3297,""tiktok"")=TRUE,""Tiktok"",if("&amp;"REGEXMATCH(C3297,""threads"")=TRUE,""Threads""))))))"),"Facebook")</f>
        <v>Facebook</v>
      </c>
      <c r="G3297" s="41" t="s">
        <v>5643</v>
      </c>
      <c r="H3297" s="36"/>
      <c r="I3297" s="36"/>
      <c r="J3297" s="41" t="s">
        <v>188</v>
      </c>
      <c r="K3297" s="41"/>
      <c r="L3297" s="42"/>
    </row>
    <row r="3298">
      <c r="A3298" s="18">
        <v>3297.0</v>
      </c>
      <c r="B3298" s="76" t="s">
        <v>5621</v>
      </c>
      <c r="C3298" s="40" t="s">
        <v>5644</v>
      </c>
      <c r="D3298" s="41"/>
      <c r="E3298" s="41" t="s">
        <v>3814</v>
      </c>
      <c r="F3298" s="18" t="str">
        <f>IFERROR(__xludf.DUMMYFUNCTION("if(REGEXMATCH(C3298,""x.com"")=TRUE,""Twitter"",if(REGEXMATCH(C3298,""facebook"")=TRUE,""Facebook"",if(REGEXMATCH(C3298,""instagram"")=TRUE,""Instagram"",if(REGEXMATCH(C3298,""youtube"")=TRUE,""Youtube"",if(REGEXMATCH(C3298,""tiktok"")=TRUE,""Tiktok"",if("&amp;"REGEXMATCH(C3298,""threads"")=TRUE,""Threads""))))))"),"Tiktok")</f>
        <v>Tiktok</v>
      </c>
      <c r="G3298" s="41" t="s">
        <v>5645</v>
      </c>
      <c r="H3298" s="36"/>
      <c r="I3298" s="36"/>
      <c r="J3298" s="41" t="s">
        <v>188</v>
      </c>
      <c r="K3298" s="41"/>
      <c r="L3298" s="42"/>
    </row>
    <row r="3299">
      <c r="A3299" s="18">
        <v>3298.0</v>
      </c>
      <c r="B3299" s="76" t="s">
        <v>5621</v>
      </c>
      <c r="C3299" s="40" t="s">
        <v>5646</v>
      </c>
      <c r="D3299" s="41"/>
      <c r="E3299" s="41" t="s">
        <v>747</v>
      </c>
      <c r="F3299" s="18" t="str">
        <f>IFERROR(__xludf.DUMMYFUNCTION("if(REGEXMATCH(C3299,""x.com"")=TRUE,""Twitter"",if(REGEXMATCH(C3299,""facebook"")=TRUE,""Facebook"",if(REGEXMATCH(C3299,""instagram"")=TRUE,""Instagram"",if(REGEXMATCH(C3299,""youtube"")=TRUE,""Youtube"",if(REGEXMATCH(C3299,""tiktok"")=TRUE,""Tiktok"",if("&amp;"REGEXMATCH(C3299,""threads"")=TRUE,""Threads""))))))"),"Tiktok")</f>
        <v>Tiktok</v>
      </c>
      <c r="G3299" s="41" t="s">
        <v>5647</v>
      </c>
      <c r="H3299" s="35"/>
      <c r="I3299" s="35"/>
      <c r="J3299" s="41" t="s">
        <v>188</v>
      </c>
      <c r="K3299" s="41"/>
      <c r="L3299" s="42"/>
    </row>
    <row r="3300">
      <c r="A3300" s="18">
        <v>3299.0</v>
      </c>
      <c r="B3300" s="76" t="s">
        <v>5621</v>
      </c>
      <c r="C3300" s="40" t="s">
        <v>5648</v>
      </c>
      <c r="D3300" s="41"/>
      <c r="E3300" s="41" t="s">
        <v>401</v>
      </c>
      <c r="F3300" s="18" t="str">
        <f>IFERROR(__xludf.DUMMYFUNCTION("if(REGEXMATCH(C3300,""x.com"")=TRUE,""Twitter"",if(REGEXMATCH(C3300,""facebook"")=TRUE,""Facebook"",if(REGEXMATCH(C3300,""instagram"")=TRUE,""Instagram"",if(REGEXMATCH(C3300,""youtube"")=TRUE,""Youtube"",if(REGEXMATCH(C3300,""tiktok"")=TRUE,""Tiktok"",if("&amp;"REGEXMATCH(C3300,""threads"")=TRUE,""Threads""))))))"),"Facebook")</f>
        <v>Facebook</v>
      </c>
      <c r="G3300" s="41" t="s">
        <v>937</v>
      </c>
      <c r="H3300" s="41" t="s">
        <v>1542</v>
      </c>
      <c r="I3300" s="41" t="s">
        <v>939</v>
      </c>
      <c r="J3300" s="41" t="s">
        <v>188</v>
      </c>
      <c r="K3300" s="42"/>
      <c r="L3300" s="42"/>
    </row>
    <row r="3301">
      <c r="A3301" s="18">
        <v>3300.0</v>
      </c>
      <c r="B3301" s="76" t="s">
        <v>5621</v>
      </c>
      <c r="C3301" s="46" t="s">
        <v>5649</v>
      </c>
      <c r="D3301" s="41"/>
      <c r="E3301" s="41" t="s">
        <v>401</v>
      </c>
      <c r="F3301" s="18" t="str">
        <f>IFERROR(__xludf.DUMMYFUNCTION("if(REGEXMATCH(C3301,""x.com"")=TRUE,""Twitter"",if(REGEXMATCH(C3301,""facebook"")=TRUE,""Facebook"",if(REGEXMATCH(C3301,""instagram"")=TRUE,""Instagram"",if(REGEXMATCH(C3301,""youtube"")=TRUE,""Youtube"",if(REGEXMATCH(C3301,""tiktok"")=TRUE,""Tiktok"",if("&amp;"REGEXMATCH(C3301,""threads"")=TRUE,""Threads""))))))"),"Facebook")</f>
        <v>Facebook</v>
      </c>
      <c r="G3301" s="41" t="s">
        <v>937</v>
      </c>
      <c r="H3301" s="41" t="s">
        <v>1542</v>
      </c>
      <c r="I3301" s="41" t="s">
        <v>939</v>
      </c>
      <c r="J3301" s="41" t="s">
        <v>188</v>
      </c>
      <c r="K3301" s="42"/>
      <c r="L3301" s="42"/>
    </row>
    <row r="3302">
      <c r="A3302" s="18">
        <v>3301.0</v>
      </c>
      <c r="B3302" s="76" t="s">
        <v>5621</v>
      </c>
      <c r="C3302" s="40" t="s">
        <v>5650</v>
      </c>
      <c r="D3302" s="41"/>
      <c r="E3302" s="41" t="s">
        <v>401</v>
      </c>
      <c r="F3302" s="18" t="str">
        <f>IFERROR(__xludf.DUMMYFUNCTION("if(REGEXMATCH(C3302,""x.com"")=TRUE,""Twitter"",if(REGEXMATCH(C3302,""facebook"")=TRUE,""Facebook"",if(REGEXMATCH(C3302,""instagram"")=TRUE,""Instagram"",if(REGEXMATCH(C3302,""youtube"")=TRUE,""Youtube"",if(REGEXMATCH(C3302,""tiktok"")=TRUE,""Tiktok"",if("&amp;"REGEXMATCH(C3302,""threads"")=TRUE,""Threads""))))))"),"Facebook")</f>
        <v>Facebook</v>
      </c>
      <c r="G3302" s="41" t="s">
        <v>937</v>
      </c>
      <c r="H3302" s="41" t="s">
        <v>1542</v>
      </c>
      <c r="I3302" s="41" t="s">
        <v>939</v>
      </c>
      <c r="J3302" s="41" t="s">
        <v>188</v>
      </c>
      <c r="K3302" s="42"/>
      <c r="L3302" s="42"/>
    </row>
    <row r="3303">
      <c r="A3303" s="18">
        <v>3302.0</v>
      </c>
      <c r="B3303" s="76" t="s">
        <v>5621</v>
      </c>
      <c r="C3303" s="46" t="s">
        <v>5651</v>
      </c>
      <c r="D3303" s="41"/>
      <c r="E3303" s="41" t="s">
        <v>401</v>
      </c>
      <c r="F3303" s="18" t="str">
        <f>IFERROR(__xludf.DUMMYFUNCTION("if(REGEXMATCH(C3303,""x.com"")=TRUE,""Twitter"",if(REGEXMATCH(C3303,""facebook"")=TRUE,""Facebook"",if(REGEXMATCH(C3303,""instagram"")=TRUE,""Instagram"",if(REGEXMATCH(C3303,""youtube"")=TRUE,""Youtube"",if(REGEXMATCH(C3303,""tiktok"")=TRUE,""Tiktok"",if("&amp;"REGEXMATCH(C3303,""threads"")=TRUE,""Threads""))))))"),"Facebook")</f>
        <v>Facebook</v>
      </c>
      <c r="G3303" s="41" t="s">
        <v>937</v>
      </c>
      <c r="H3303" s="41" t="s">
        <v>1542</v>
      </c>
      <c r="I3303" s="41" t="s">
        <v>939</v>
      </c>
      <c r="J3303" s="41" t="s">
        <v>188</v>
      </c>
      <c r="K3303" s="42"/>
      <c r="L3303" s="42"/>
    </row>
    <row r="3304">
      <c r="A3304" s="18">
        <v>3303.0</v>
      </c>
      <c r="B3304" s="76" t="s">
        <v>5621</v>
      </c>
      <c r="C3304" s="46" t="s">
        <v>5652</v>
      </c>
      <c r="D3304" s="41"/>
      <c r="E3304" s="41" t="s">
        <v>401</v>
      </c>
      <c r="F3304" s="18" t="str">
        <f>IFERROR(__xludf.DUMMYFUNCTION("if(REGEXMATCH(C3304,""x.com"")=TRUE,""Twitter"",if(REGEXMATCH(C3304,""facebook"")=TRUE,""Facebook"",if(REGEXMATCH(C3304,""instagram"")=TRUE,""Instagram"",if(REGEXMATCH(C3304,""youtube"")=TRUE,""Youtube"",if(REGEXMATCH(C3304,""tiktok"")=TRUE,""Tiktok"",if("&amp;"REGEXMATCH(C3304,""threads"")=TRUE,""Threads""))))))"),"Facebook")</f>
        <v>Facebook</v>
      </c>
      <c r="G3304" s="41" t="s">
        <v>937</v>
      </c>
      <c r="H3304" s="41" t="s">
        <v>1542</v>
      </c>
      <c r="I3304" s="41" t="s">
        <v>939</v>
      </c>
      <c r="J3304" s="41" t="s">
        <v>188</v>
      </c>
      <c r="K3304" s="42"/>
      <c r="L3304" s="42"/>
    </row>
    <row r="3305">
      <c r="A3305" s="18">
        <v>3304.0</v>
      </c>
      <c r="B3305" s="76" t="s">
        <v>5621</v>
      </c>
      <c r="C3305" s="46" t="s">
        <v>5653</v>
      </c>
      <c r="D3305" s="41"/>
      <c r="E3305" s="41" t="s">
        <v>401</v>
      </c>
      <c r="F3305" s="18" t="str">
        <f>IFERROR(__xludf.DUMMYFUNCTION("if(REGEXMATCH(C3305,""x.com"")=TRUE,""Twitter"",if(REGEXMATCH(C3305,""facebook"")=TRUE,""Facebook"",if(REGEXMATCH(C3305,""instagram"")=TRUE,""Instagram"",if(REGEXMATCH(C3305,""youtube"")=TRUE,""Youtube"",if(REGEXMATCH(C3305,""tiktok"")=TRUE,""Tiktok"",if("&amp;"REGEXMATCH(C3305,""threads"")=TRUE,""Threads""))))))"),"Facebook")</f>
        <v>Facebook</v>
      </c>
      <c r="G3305" s="41" t="s">
        <v>937</v>
      </c>
      <c r="H3305" s="41" t="s">
        <v>1542</v>
      </c>
      <c r="I3305" s="41" t="s">
        <v>939</v>
      </c>
      <c r="J3305" s="41" t="s">
        <v>188</v>
      </c>
      <c r="K3305" s="42"/>
      <c r="L3305" s="42"/>
    </row>
    <row r="3306">
      <c r="A3306" s="18">
        <v>3305.0</v>
      </c>
      <c r="B3306" s="76" t="s">
        <v>5621</v>
      </c>
      <c r="C3306" s="46" t="s">
        <v>5654</v>
      </c>
      <c r="D3306" s="41"/>
      <c r="E3306" s="41" t="s">
        <v>401</v>
      </c>
      <c r="F3306" s="18" t="str">
        <f>IFERROR(__xludf.DUMMYFUNCTION("if(REGEXMATCH(C3306,""x.com"")=TRUE,""Twitter"",if(REGEXMATCH(C3306,""facebook"")=TRUE,""Facebook"",if(REGEXMATCH(C3306,""instagram"")=TRUE,""Instagram"",if(REGEXMATCH(C3306,""youtube"")=TRUE,""Youtube"",if(REGEXMATCH(C3306,""tiktok"")=TRUE,""Tiktok"",if("&amp;"REGEXMATCH(C3306,""threads"")=TRUE,""Threads""))))))"),"Facebook")</f>
        <v>Facebook</v>
      </c>
      <c r="G3306" s="41" t="s">
        <v>937</v>
      </c>
      <c r="H3306" s="41" t="s">
        <v>1542</v>
      </c>
      <c r="I3306" s="41" t="s">
        <v>939</v>
      </c>
      <c r="J3306" s="41" t="s">
        <v>188</v>
      </c>
      <c r="K3306" s="42"/>
      <c r="L3306" s="42"/>
    </row>
    <row r="3307">
      <c r="A3307" s="18">
        <v>3306.0</v>
      </c>
      <c r="B3307" s="76" t="s">
        <v>5621</v>
      </c>
      <c r="C3307" s="46" t="s">
        <v>5655</v>
      </c>
      <c r="D3307" s="41"/>
      <c r="E3307" s="41" t="s">
        <v>401</v>
      </c>
      <c r="F3307" s="18" t="str">
        <f>IFERROR(__xludf.DUMMYFUNCTION("if(REGEXMATCH(C3307,""x.com"")=TRUE,""Twitter"",if(REGEXMATCH(C3307,""facebook"")=TRUE,""Facebook"",if(REGEXMATCH(C3307,""instagram"")=TRUE,""Instagram"",if(REGEXMATCH(C3307,""youtube"")=TRUE,""Youtube"",if(REGEXMATCH(C3307,""tiktok"")=TRUE,""Tiktok"",if("&amp;"REGEXMATCH(C3307,""threads"")=TRUE,""Threads""))))))"),"Facebook")</f>
        <v>Facebook</v>
      </c>
      <c r="G3307" s="41" t="s">
        <v>937</v>
      </c>
      <c r="H3307" s="41" t="s">
        <v>1542</v>
      </c>
      <c r="I3307" s="41" t="s">
        <v>939</v>
      </c>
      <c r="J3307" s="41" t="s">
        <v>188</v>
      </c>
      <c r="K3307" s="42"/>
      <c r="L3307" s="42"/>
    </row>
    <row r="3308">
      <c r="A3308" s="18">
        <v>3307.0</v>
      </c>
      <c r="B3308" s="76" t="s">
        <v>5621</v>
      </c>
      <c r="C3308" s="46" t="s">
        <v>5656</v>
      </c>
      <c r="D3308" s="41"/>
      <c r="E3308" s="41" t="s">
        <v>401</v>
      </c>
      <c r="F3308" s="18" t="str">
        <f>IFERROR(__xludf.DUMMYFUNCTION("if(REGEXMATCH(C3308,""x.com"")=TRUE,""Twitter"",if(REGEXMATCH(C3308,""facebook"")=TRUE,""Facebook"",if(REGEXMATCH(C3308,""instagram"")=TRUE,""Instagram"",if(REGEXMATCH(C3308,""youtube"")=TRUE,""Youtube"",if(REGEXMATCH(C3308,""tiktok"")=TRUE,""Tiktok"",if("&amp;"REGEXMATCH(C3308,""threads"")=TRUE,""Threads""))))))"),"Facebook")</f>
        <v>Facebook</v>
      </c>
      <c r="G3308" s="41" t="s">
        <v>937</v>
      </c>
      <c r="H3308" s="41" t="s">
        <v>1542</v>
      </c>
      <c r="I3308" s="41" t="s">
        <v>939</v>
      </c>
      <c r="J3308" s="41" t="s">
        <v>188</v>
      </c>
      <c r="K3308" s="42"/>
      <c r="L3308" s="42"/>
    </row>
    <row r="3309">
      <c r="A3309" s="18">
        <v>3308.0</v>
      </c>
      <c r="B3309" s="76" t="s">
        <v>5621</v>
      </c>
      <c r="C3309" s="46" t="s">
        <v>5657</v>
      </c>
      <c r="D3309" s="41"/>
      <c r="E3309" s="41" t="s">
        <v>401</v>
      </c>
      <c r="F3309" s="18" t="str">
        <f>IFERROR(__xludf.DUMMYFUNCTION("if(REGEXMATCH(C3309,""x.com"")=TRUE,""Twitter"",if(REGEXMATCH(C3309,""facebook"")=TRUE,""Facebook"",if(REGEXMATCH(C3309,""instagram"")=TRUE,""Instagram"",if(REGEXMATCH(C3309,""youtube"")=TRUE,""Youtube"",if(REGEXMATCH(C3309,""tiktok"")=TRUE,""Tiktok"",if("&amp;"REGEXMATCH(C3309,""threads"")=TRUE,""Threads""))))))"),"Facebook")</f>
        <v>Facebook</v>
      </c>
      <c r="G3309" s="41" t="s">
        <v>937</v>
      </c>
      <c r="H3309" s="41" t="s">
        <v>1542</v>
      </c>
      <c r="I3309" s="41" t="s">
        <v>939</v>
      </c>
      <c r="J3309" s="41" t="s">
        <v>188</v>
      </c>
      <c r="K3309" s="42"/>
      <c r="L3309" s="42"/>
    </row>
    <row r="3310">
      <c r="A3310" s="18">
        <v>3309.0</v>
      </c>
      <c r="B3310" s="76" t="s">
        <v>5621</v>
      </c>
      <c r="C3310" s="40" t="s">
        <v>5658</v>
      </c>
      <c r="D3310" s="41"/>
      <c r="E3310" s="41" t="s">
        <v>1178</v>
      </c>
      <c r="F3310" s="18" t="str">
        <f>IFERROR(__xludf.DUMMYFUNCTION("if(REGEXMATCH(C3310,""x.com"")=TRUE,""Twitter"",if(REGEXMATCH(C3310,""facebook"")=TRUE,""Facebook"",if(REGEXMATCH(C3310,""instagram"")=TRUE,""Instagram"",if(REGEXMATCH(C3310,""youtube"")=TRUE,""Youtube"",if(REGEXMATCH(C3310,""tiktok"")=TRUE,""Tiktok"",if("&amp;"REGEXMATCH(C3310,""threads"")=TRUE,""Threads""))))))"),"Facebook")</f>
        <v>Facebook</v>
      </c>
      <c r="G3310" s="41" t="s">
        <v>2135</v>
      </c>
      <c r="H3310" s="41" t="s">
        <v>2136</v>
      </c>
      <c r="I3310" s="41" t="s">
        <v>2137</v>
      </c>
      <c r="J3310" s="41" t="s">
        <v>188</v>
      </c>
      <c r="K3310" s="42"/>
      <c r="L3310" s="42"/>
    </row>
    <row r="3311">
      <c r="A3311" s="18">
        <v>3310.0</v>
      </c>
      <c r="B3311" s="76" t="s">
        <v>5621</v>
      </c>
      <c r="C3311" s="63" t="s">
        <v>5659</v>
      </c>
      <c r="D3311" s="41"/>
      <c r="E3311" s="41" t="s">
        <v>557</v>
      </c>
      <c r="F3311" s="18" t="str">
        <f>IFERROR(__xludf.DUMMYFUNCTION("if(REGEXMATCH(C3311,""x.com"")=TRUE,""Twitter"",if(REGEXMATCH(C3311,""facebook"")=TRUE,""Facebook"",if(REGEXMATCH(C3311,""instagram"")=TRUE,""Instagram"",if(REGEXMATCH(C3311,""youtube"")=TRUE,""Youtube"",if(REGEXMATCH(C3311,""tiktok"")=TRUE,""Tiktok"",if("&amp;"REGEXMATCH(C3311,""threads"")=TRUE,""Threads""))))))"),"Facebook")</f>
        <v>Facebook</v>
      </c>
      <c r="G3311" s="41" t="s">
        <v>5660</v>
      </c>
      <c r="H3311" s="41" t="s">
        <v>5661</v>
      </c>
      <c r="I3311" s="41" t="s">
        <v>5662</v>
      </c>
      <c r="J3311" s="41" t="s">
        <v>188</v>
      </c>
      <c r="K3311" s="42"/>
      <c r="L3311" s="42"/>
    </row>
    <row r="3312">
      <c r="A3312" s="18">
        <v>3311.0</v>
      </c>
      <c r="B3312" s="76" t="s">
        <v>5621</v>
      </c>
      <c r="C3312" s="63" t="s">
        <v>5663</v>
      </c>
      <c r="D3312" s="41"/>
      <c r="E3312" s="41" t="s">
        <v>1178</v>
      </c>
      <c r="F3312" s="18" t="str">
        <f>IFERROR(__xludf.DUMMYFUNCTION("if(REGEXMATCH(C3312,""x.com"")=TRUE,""Twitter"",if(REGEXMATCH(C3312,""facebook"")=TRUE,""Facebook"",if(REGEXMATCH(C3312,""instagram"")=TRUE,""Instagram"",if(REGEXMATCH(C3312,""youtube"")=TRUE,""Youtube"",if(REGEXMATCH(C3312,""tiktok"")=TRUE,""Tiktok"",if("&amp;"REGEXMATCH(C3312,""threads"")=TRUE,""Threads""))))))"),"Twitter")</f>
        <v>Twitter</v>
      </c>
      <c r="G3312" s="41" t="s">
        <v>2135</v>
      </c>
      <c r="H3312" s="41" t="s">
        <v>2136</v>
      </c>
      <c r="I3312" s="41" t="s">
        <v>2137</v>
      </c>
      <c r="J3312" s="41" t="s">
        <v>188</v>
      </c>
      <c r="K3312" s="42"/>
      <c r="L3312" s="42"/>
    </row>
    <row r="3313">
      <c r="A3313" s="18">
        <v>3312.0</v>
      </c>
      <c r="B3313" s="76" t="s">
        <v>5621</v>
      </c>
      <c r="C3313" s="63" t="s">
        <v>5664</v>
      </c>
      <c r="D3313" s="41"/>
      <c r="E3313" s="41" t="s">
        <v>401</v>
      </c>
      <c r="F3313" s="18" t="str">
        <f>IFERROR(__xludf.DUMMYFUNCTION("if(REGEXMATCH(C3313,""x.com"")=TRUE,""Twitter"",if(REGEXMATCH(C3313,""facebook"")=TRUE,""Facebook"",if(REGEXMATCH(C3313,""instagram"")=TRUE,""Instagram"",if(REGEXMATCH(C3313,""youtube"")=TRUE,""Youtube"",if(REGEXMATCH(C3313,""tiktok"")=TRUE,""Tiktok"",if("&amp;"REGEXMATCH(C3313,""threads"")=TRUE,""Threads""))))))"),"Facebook")</f>
        <v>Facebook</v>
      </c>
      <c r="G3313" s="41" t="s">
        <v>937</v>
      </c>
      <c r="H3313" s="41" t="s">
        <v>1542</v>
      </c>
      <c r="I3313" s="41" t="s">
        <v>939</v>
      </c>
      <c r="J3313" s="41" t="s">
        <v>188</v>
      </c>
      <c r="K3313" s="42"/>
      <c r="L3313" s="42"/>
    </row>
    <row r="3314">
      <c r="A3314" s="18">
        <v>3313.0</v>
      </c>
      <c r="B3314" s="76" t="s">
        <v>5621</v>
      </c>
      <c r="C3314" s="40" t="s">
        <v>5665</v>
      </c>
      <c r="D3314" s="41"/>
      <c r="E3314" s="41" t="s">
        <v>401</v>
      </c>
      <c r="F3314" s="18" t="str">
        <f>IFERROR(__xludf.DUMMYFUNCTION("if(REGEXMATCH(C3314,""x.com"")=TRUE,""Twitter"",if(REGEXMATCH(C3314,""facebook"")=TRUE,""Facebook"",if(REGEXMATCH(C3314,""instagram"")=TRUE,""Instagram"",if(REGEXMATCH(C3314,""youtube"")=TRUE,""Youtube"",if(REGEXMATCH(C3314,""tiktok"")=TRUE,""Tiktok"",if("&amp;"REGEXMATCH(C3314,""threads"")=TRUE,""Threads""))))))"),"Facebook")</f>
        <v>Facebook</v>
      </c>
      <c r="G3314" s="41" t="s">
        <v>937</v>
      </c>
      <c r="H3314" s="41" t="s">
        <v>1542</v>
      </c>
      <c r="I3314" s="41" t="s">
        <v>939</v>
      </c>
      <c r="J3314" s="41" t="s">
        <v>188</v>
      </c>
      <c r="K3314" s="42"/>
      <c r="L3314" s="42"/>
    </row>
    <row r="3315">
      <c r="A3315" s="18">
        <v>3314.0</v>
      </c>
      <c r="B3315" s="76" t="s">
        <v>5621</v>
      </c>
      <c r="C3315" s="40" t="s">
        <v>5666</v>
      </c>
      <c r="D3315" s="41"/>
      <c r="E3315" s="18" t="s">
        <v>2018</v>
      </c>
      <c r="F3315" s="18" t="str">
        <f>IFERROR(__xludf.DUMMYFUNCTION("if(REGEXMATCH(C3315,""x.com"")=TRUE,""Twitter"",if(REGEXMATCH(C3315,""facebook"")=TRUE,""Facebook"",if(REGEXMATCH(C3315,""instagram"")=TRUE,""Instagram"",if(REGEXMATCH(C3315,""youtube"")=TRUE,""Youtube"",if(REGEXMATCH(C3315,""tiktok"")=TRUE,""Tiktok"",if("&amp;"REGEXMATCH(C3315,""threads"")=TRUE,""Threads""))))))"),"Facebook")</f>
        <v>Facebook</v>
      </c>
      <c r="G3315" s="41" t="s">
        <v>5667</v>
      </c>
      <c r="H3315" s="18" t="s">
        <v>2020</v>
      </c>
      <c r="I3315" s="41"/>
      <c r="J3315" s="41" t="s">
        <v>188</v>
      </c>
      <c r="K3315" s="42"/>
      <c r="L3315" s="42"/>
    </row>
    <row r="3316">
      <c r="A3316" s="18">
        <v>3315.0</v>
      </c>
      <c r="B3316" s="76" t="s">
        <v>5621</v>
      </c>
      <c r="C3316" s="40" t="s">
        <v>5668</v>
      </c>
      <c r="D3316" s="41"/>
      <c r="E3316" s="18" t="s">
        <v>2018</v>
      </c>
      <c r="F3316" s="18" t="str">
        <f>IFERROR(__xludf.DUMMYFUNCTION("if(REGEXMATCH(C3316,""x.com"")=TRUE,""Twitter"",if(REGEXMATCH(C3316,""facebook"")=TRUE,""Facebook"",if(REGEXMATCH(C3316,""instagram"")=TRUE,""Instagram"",if(REGEXMATCH(C3316,""youtube"")=TRUE,""Youtube"",if(REGEXMATCH(C3316,""tiktok"")=TRUE,""Tiktok"",if("&amp;"REGEXMATCH(C3316,""threads"")=TRUE,""Threads""))))))"),"Facebook")</f>
        <v>Facebook</v>
      </c>
      <c r="G3316" s="27" t="s">
        <v>5669</v>
      </c>
      <c r="H3316" s="18" t="s">
        <v>2020</v>
      </c>
      <c r="I3316" s="41"/>
      <c r="J3316" s="41" t="s">
        <v>188</v>
      </c>
      <c r="K3316" s="42"/>
      <c r="L3316" s="42"/>
    </row>
    <row r="3317">
      <c r="A3317" s="18">
        <v>3316.0</v>
      </c>
      <c r="B3317" s="76" t="s">
        <v>5670</v>
      </c>
      <c r="C3317" s="40" t="s">
        <v>5671</v>
      </c>
      <c r="D3317" s="41"/>
      <c r="E3317" s="41" t="s">
        <v>557</v>
      </c>
      <c r="F3317" s="18" t="str">
        <f>IFERROR(__xludf.DUMMYFUNCTION("if(REGEXMATCH(C3317,""x.com"")=TRUE,""Twitter"",if(REGEXMATCH(C3317,""facebook"")=TRUE,""Facebook"",if(REGEXMATCH(C3317,""instagram"")=TRUE,""Instagram"",if(REGEXMATCH(C3317,""youtube"")=TRUE,""Youtube"",if(REGEXMATCH(C3317,""tiktok"")=TRUE,""Tiktok"",if("&amp;"REGEXMATCH(C3317,""threads"")=TRUE,""Threads""))))))"),"Tiktok")</f>
        <v>Tiktok</v>
      </c>
      <c r="G3317" s="41" t="s">
        <v>5672</v>
      </c>
      <c r="H3317" s="43" t="s">
        <v>779</v>
      </c>
      <c r="I3317" s="43" t="s">
        <v>535</v>
      </c>
      <c r="J3317" s="41" t="s">
        <v>188</v>
      </c>
      <c r="K3317" s="42"/>
      <c r="L3317" s="42"/>
    </row>
    <row r="3318">
      <c r="A3318" s="18">
        <v>3317.0</v>
      </c>
      <c r="B3318" s="76" t="s">
        <v>5670</v>
      </c>
      <c r="C3318" s="40" t="s">
        <v>5673</v>
      </c>
      <c r="D3318" s="41"/>
      <c r="E3318" s="41" t="s">
        <v>197</v>
      </c>
      <c r="F3318" s="18" t="str">
        <f>IFERROR(__xludf.DUMMYFUNCTION("if(REGEXMATCH(C3318,""x.com"")=TRUE,""Twitter"",if(REGEXMATCH(C3318,""facebook"")=TRUE,""Facebook"",if(REGEXMATCH(C3318,""instagram"")=TRUE,""Instagram"",if(REGEXMATCH(C3318,""youtube"")=TRUE,""Youtube"",if(REGEXMATCH(C3318,""tiktok"")=TRUE,""Tiktok"",if("&amp;"REGEXMATCH(C3318,""threads"")=TRUE,""Threads""))))))"),"Twitter")</f>
        <v>Twitter</v>
      </c>
      <c r="G3318" s="41" t="s">
        <v>5674</v>
      </c>
      <c r="H3318" s="36"/>
      <c r="I3318" s="36"/>
      <c r="J3318" s="41" t="s">
        <v>188</v>
      </c>
      <c r="K3318" s="42"/>
      <c r="L3318" s="42"/>
    </row>
    <row r="3319">
      <c r="A3319" s="18">
        <v>3318.0</v>
      </c>
      <c r="B3319" s="76" t="s">
        <v>5670</v>
      </c>
      <c r="C3319" s="40" t="s">
        <v>5675</v>
      </c>
      <c r="D3319" s="41"/>
      <c r="E3319" s="41" t="s">
        <v>197</v>
      </c>
      <c r="F3319" s="18" t="str">
        <f>IFERROR(__xludf.DUMMYFUNCTION("if(REGEXMATCH(C3319,""x.com"")=TRUE,""Twitter"",if(REGEXMATCH(C3319,""facebook"")=TRUE,""Facebook"",if(REGEXMATCH(C3319,""instagram"")=TRUE,""Instagram"",if(REGEXMATCH(C3319,""youtube"")=TRUE,""Youtube"",if(REGEXMATCH(C3319,""tiktok"")=TRUE,""Tiktok"",if("&amp;"REGEXMATCH(C3319,""threads"")=TRUE,""Threads""))))))"),"Twitter")</f>
        <v>Twitter</v>
      </c>
      <c r="G3319" s="41" t="s">
        <v>5676</v>
      </c>
      <c r="H3319" s="36"/>
      <c r="I3319" s="36"/>
      <c r="J3319" s="41" t="s">
        <v>188</v>
      </c>
      <c r="K3319" s="42"/>
      <c r="L3319" s="42"/>
    </row>
    <row r="3320">
      <c r="A3320" s="18">
        <v>3319.0</v>
      </c>
      <c r="B3320" s="76" t="s">
        <v>5670</v>
      </c>
      <c r="C3320" s="40" t="s">
        <v>5677</v>
      </c>
      <c r="D3320" s="41"/>
      <c r="E3320" s="41" t="s">
        <v>197</v>
      </c>
      <c r="F3320" s="18" t="str">
        <f>IFERROR(__xludf.DUMMYFUNCTION("if(REGEXMATCH(C3320,""x.com"")=TRUE,""Twitter"",if(REGEXMATCH(C3320,""facebook"")=TRUE,""Facebook"",if(REGEXMATCH(C3320,""instagram"")=TRUE,""Instagram"",if(REGEXMATCH(C3320,""youtube"")=TRUE,""Youtube"",if(REGEXMATCH(C3320,""tiktok"")=TRUE,""Tiktok"",if("&amp;"REGEXMATCH(C3320,""threads"")=TRUE,""Threads""))))))"),"Twitter")</f>
        <v>Twitter</v>
      </c>
      <c r="G3320" s="41" t="s">
        <v>5676</v>
      </c>
      <c r="H3320" s="36"/>
      <c r="I3320" s="36"/>
      <c r="J3320" s="41" t="s">
        <v>188</v>
      </c>
      <c r="K3320" s="42"/>
      <c r="L3320" s="42"/>
    </row>
    <row r="3321">
      <c r="A3321" s="18">
        <v>3320.0</v>
      </c>
      <c r="B3321" s="76" t="s">
        <v>5670</v>
      </c>
      <c r="C3321" s="40" t="s">
        <v>5678</v>
      </c>
      <c r="D3321" s="41"/>
      <c r="E3321" s="41" t="s">
        <v>1178</v>
      </c>
      <c r="F3321" s="18" t="str">
        <f>IFERROR(__xludf.DUMMYFUNCTION("if(REGEXMATCH(C3321,""x.com"")=TRUE,""Twitter"",if(REGEXMATCH(C3321,""facebook"")=TRUE,""Facebook"",if(REGEXMATCH(C3321,""instagram"")=TRUE,""Instagram"",if(REGEXMATCH(C3321,""youtube"")=TRUE,""Youtube"",if(REGEXMATCH(C3321,""tiktok"")=TRUE,""Tiktok"",if("&amp;"REGEXMATCH(C3321,""threads"")=TRUE,""Threads""))))))"),"Twitter")</f>
        <v>Twitter</v>
      </c>
      <c r="G3321" s="41" t="s">
        <v>5679</v>
      </c>
      <c r="H3321" s="36"/>
      <c r="I3321" s="36"/>
      <c r="J3321" s="41" t="s">
        <v>188</v>
      </c>
      <c r="K3321" s="42"/>
      <c r="L3321" s="42"/>
    </row>
    <row r="3322">
      <c r="A3322" s="18">
        <v>3321.0</v>
      </c>
      <c r="B3322" s="76" t="s">
        <v>5670</v>
      </c>
      <c r="C3322" s="40" t="s">
        <v>5680</v>
      </c>
      <c r="D3322" s="41"/>
      <c r="E3322" s="41" t="s">
        <v>372</v>
      </c>
      <c r="F3322" s="18" t="str">
        <f>IFERROR(__xludf.DUMMYFUNCTION("if(REGEXMATCH(C3322,""x.com"")=TRUE,""Twitter"",if(REGEXMATCH(C3322,""facebook"")=TRUE,""Facebook"",if(REGEXMATCH(C3322,""instagram"")=TRUE,""Instagram"",if(REGEXMATCH(C3322,""youtube"")=TRUE,""Youtube"",if(REGEXMATCH(C3322,""tiktok"")=TRUE,""Tiktok"",if("&amp;"REGEXMATCH(C3322,""threads"")=TRUE,""Threads""))))))"),"Twitter")</f>
        <v>Twitter</v>
      </c>
      <c r="G3322" s="41" t="s">
        <v>5681</v>
      </c>
      <c r="H3322" s="36"/>
      <c r="I3322" s="36"/>
      <c r="J3322" s="41" t="s">
        <v>188</v>
      </c>
      <c r="K3322" s="42"/>
      <c r="L3322" s="42"/>
    </row>
    <row r="3323">
      <c r="A3323" s="18">
        <v>3322.0</v>
      </c>
      <c r="B3323" s="76" t="s">
        <v>5670</v>
      </c>
      <c r="C3323" s="40" t="s">
        <v>5682</v>
      </c>
      <c r="D3323" s="41"/>
      <c r="E3323" s="41"/>
      <c r="F3323" s="18" t="str">
        <f>IFERROR(__xludf.DUMMYFUNCTION("if(REGEXMATCH(C3323,""x.com"")=TRUE,""Twitter"",if(REGEXMATCH(C3323,""facebook"")=TRUE,""Facebook"",if(REGEXMATCH(C3323,""instagram"")=TRUE,""Instagram"",if(REGEXMATCH(C3323,""youtube"")=TRUE,""Youtube"",if(REGEXMATCH(C3323,""tiktok"")=TRUE,""Tiktok"",if("&amp;"REGEXMATCH(C3323,""threads"")=TRUE,""Threads""))))))"),"Twitter")</f>
        <v>Twitter</v>
      </c>
      <c r="G3323" s="41" t="s">
        <v>5586</v>
      </c>
      <c r="H3323" s="36"/>
      <c r="I3323" s="36"/>
      <c r="J3323" s="41" t="s">
        <v>188</v>
      </c>
      <c r="K3323" s="42"/>
      <c r="L3323" s="42"/>
    </row>
    <row r="3324">
      <c r="A3324" s="18">
        <v>3323.0</v>
      </c>
      <c r="B3324" s="76" t="s">
        <v>5670</v>
      </c>
      <c r="C3324" s="40" t="s">
        <v>5683</v>
      </c>
      <c r="D3324" s="41"/>
      <c r="E3324" s="41" t="s">
        <v>2875</v>
      </c>
      <c r="F3324" s="18" t="str">
        <f>IFERROR(__xludf.DUMMYFUNCTION("if(REGEXMATCH(C3324,""x.com"")=TRUE,""Twitter"",if(REGEXMATCH(C3324,""facebook"")=TRUE,""Facebook"",if(REGEXMATCH(C3324,""instagram"")=TRUE,""Instagram"",if(REGEXMATCH(C3324,""youtube"")=TRUE,""Youtube"",if(REGEXMATCH(C3324,""tiktok"")=TRUE,""Tiktok"",if("&amp;"REGEXMATCH(C3324,""threads"")=TRUE,""Threads""))))))"),"Facebook")</f>
        <v>Facebook</v>
      </c>
      <c r="G3324" s="41" t="s">
        <v>5684</v>
      </c>
      <c r="H3324" s="36"/>
      <c r="I3324" s="36"/>
      <c r="J3324" s="41" t="s">
        <v>188</v>
      </c>
      <c r="K3324" s="42"/>
      <c r="L3324" s="42"/>
    </row>
    <row r="3325">
      <c r="A3325" s="18">
        <v>3324.0</v>
      </c>
      <c r="B3325" s="76" t="s">
        <v>5670</v>
      </c>
      <c r="C3325" s="40" t="s">
        <v>5685</v>
      </c>
      <c r="D3325" s="41"/>
      <c r="E3325" s="41" t="s">
        <v>1146</v>
      </c>
      <c r="F3325" s="18" t="str">
        <f>IFERROR(__xludf.DUMMYFUNCTION("if(REGEXMATCH(C3325,""x.com"")=TRUE,""Twitter"",if(REGEXMATCH(C3325,""facebook"")=TRUE,""Facebook"",if(REGEXMATCH(C3325,""instagram"")=TRUE,""Instagram"",if(REGEXMATCH(C3325,""youtube"")=TRUE,""Youtube"",if(REGEXMATCH(C3325,""tiktok"")=TRUE,""Tiktok"",if("&amp;"REGEXMATCH(C3325,""threads"")=TRUE,""Threads""))))))"),"Facebook")</f>
        <v>Facebook</v>
      </c>
      <c r="G3325" s="41" t="s">
        <v>5686</v>
      </c>
      <c r="H3325" s="36"/>
      <c r="I3325" s="36"/>
      <c r="J3325" s="41" t="s">
        <v>188</v>
      </c>
      <c r="K3325" s="42"/>
      <c r="L3325" s="42"/>
    </row>
    <row r="3326">
      <c r="A3326" s="18">
        <v>3325.0</v>
      </c>
      <c r="B3326" s="76" t="s">
        <v>5670</v>
      </c>
      <c r="C3326" s="40" t="s">
        <v>5687</v>
      </c>
      <c r="D3326" s="41"/>
      <c r="E3326" s="41" t="s">
        <v>447</v>
      </c>
      <c r="F3326" s="18" t="str">
        <f>IFERROR(__xludf.DUMMYFUNCTION("if(REGEXMATCH(C3326,""x.com"")=TRUE,""Twitter"",if(REGEXMATCH(C3326,""facebook"")=TRUE,""Facebook"",if(REGEXMATCH(C3326,""instagram"")=TRUE,""Instagram"",if(REGEXMATCH(C3326,""youtube"")=TRUE,""Youtube"",if(REGEXMATCH(C3326,""tiktok"")=TRUE,""Tiktok"",if("&amp;"REGEXMATCH(C3326,""threads"")=TRUE,""Threads""))))))"),"Tiktok")</f>
        <v>Tiktok</v>
      </c>
      <c r="G3326" s="41" t="s">
        <v>5688</v>
      </c>
      <c r="H3326" s="36"/>
      <c r="I3326" s="36"/>
      <c r="J3326" s="41" t="s">
        <v>188</v>
      </c>
      <c r="K3326" s="42"/>
      <c r="L3326" s="42"/>
    </row>
    <row r="3327">
      <c r="A3327" s="18">
        <v>3326.0</v>
      </c>
      <c r="B3327" s="76" t="s">
        <v>5670</v>
      </c>
      <c r="C3327" s="40" t="s">
        <v>5689</v>
      </c>
      <c r="D3327" s="41"/>
      <c r="E3327" s="41" t="s">
        <v>447</v>
      </c>
      <c r="F3327" s="18" t="str">
        <f>IFERROR(__xludf.DUMMYFUNCTION("if(REGEXMATCH(C3327,""x.com"")=TRUE,""Twitter"",if(REGEXMATCH(C3327,""facebook"")=TRUE,""Facebook"",if(REGEXMATCH(C3327,""instagram"")=TRUE,""Instagram"",if(REGEXMATCH(C3327,""youtube"")=TRUE,""Youtube"",if(REGEXMATCH(C3327,""tiktok"")=TRUE,""Tiktok"",if("&amp;"REGEXMATCH(C3327,""threads"")=TRUE,""Threads""))))))"),"Tiktok")</f>
        <v>Tiktok</v>
      </c>
      <c r="G3327" s="41" t="s">
        <v>5690</v>
      </c>
      <c r="H3327" s="36"/>
      <c r="I3327" s="36"/>
      <c r="J3327" s="41" t="s">
        <v>188</v>
      </c>
      <c r="K3327" s="42"/>
      <c r="L3327" s="42"/>
    </row>
    <row r="3328">
      <c r="A3328" s="18">
        <v>3327.0</v>
      </c>
      <c r="B3328" s="76" t="s">
        <v>5670</v>
      </c>
      <c r="C3328" s="40" t="s">
        <v>5691</v>
      </c>
      <c r="D3328" s="41"/>
      <c r="E3328" s="41" t="s">
        <v>447</v>
      </c>
      <c r="F3328" s="18" t="str">
        <f>IFERROR(__xludf.DUMMYFUNCTION("if(REGEXMATCH(C3328,""x.com"")=TRUE,""Twitter"",if(REGEXMATCH(C3328,""facebook"")=TRUE,""Facebook"",if(REGEXMATCH(C3328,""instagram"")=TRUE,""Instagram"",if(REGEXMATCH(C3328,""youtube"")=TRUE,""Youtube"",if(REGEXMATCH(C3328,""tiktok"")=TRUE,""Tiktok"",if("&amp;"REGEXMATCH(C3328,""threads"")=TRUE,""Threads""))))))"),"Tiktok")</f>
        <v>Tiktok</v>
      </c>
      <c r="G3328" s="41" t="s">
        <v>5692</v>
      </c>
      <c r="H3328" s="35"/>
      <c r="I3328" s="35"/>
      <c r="J3328" s="41" t="s">
        <v>188</v>
      </c>
      <c r="K3328" s="42"/>
      <c r="L3328" s="42"/>
    </row>
    <row r="3329">
      <c r="A3329" s="18">
        <v>3328.0</v>
      </c>
      <c r="B3329" s="76" t="s">
        <v>5670</v>
      </c>
      <c r="C3329" s="40" t="s">
        <v>5693</v>
      </c>
      <c r="D3329" s="41"/>
      <c r="E3329" s="41" t="s">
        <v>197</v>
      </c>
      <c r="F3329" s="18" t="str">
        <f>IFERROR(__xludf.DUMMYFUNCTION("if(REGEXMATCH(C3329,""x.com"")=TRUE,""Twitter"",if(REGEXMATCH(C3329,""facebook"")=TRUE,""Facebook"",if(REGEXMATCH(C3329,""instagram"")=TRUE,""Instagram"",if(REGEXMATCH(C3329,""youtube"")=TRUE,""Youtube"",if(REGEXMATCH(C3329,""tiktok"")=TRUE,""Tiktok"",if("&amp;"REGEXMATCH(C3329,""threads"")=TRUE,""Threads""))))))"),"Tiktok")</f>
        <v>Tiktok</v>
      </c>
      <c r="G3329" s="41" t="s">
        <v>5694</v>
      </c>
      <c r="H3329" s="41"/>
      <c r="I3329" s="41"/>
      <c r="J3329" s="41" t="s">
        <v>188</v>
      </c>
      <c r="K3329" s="42"/>
      <c r="L3329" s="42"/>
    </row>
    <row r="3330">
      <c r="A3330" s="18">
        <v>3329.0</v>
      </c>
      <c r="B3330" s="76" t="s">
        <v>5670</v>
      </c>
      <c r="C3330" s="40" t="s">
        <v>5695</v>
      </c>
      <c r="D3330" s="41"/>
      <c r="E3330" s="41" t="s">
        <v>197</v>
      </c>
      <c r="F3330" s="18" t="str">
        <f>IFERROR(__xludf.DUMMYFUNCTION("if(REGEXMATCH(C3330,""x.com"")=TRUE,""Twitter"",if(REGEXMATCH(C3330,""facebook"")=TRUE,""Facebook"",if(REGEXMATCH(C3330,""instagram"")=TRUE,""Instagram"",if(REGEXMATCH(C3330,""youtube"")=TRUE,""Youtube"",if(REGEXMATCH(C3330,""tiktok"")=TRUE,""Tiktok"",if("&amp;"REGEXMATCH(C3330,""threads"")=TRUE,""Threads""))))))"),"Tiktok")</f>
        <v>Tiktok</v>
      </c>
      <c r="G3330" s="41" t="s">
        <v>5696</v>
      </c>
      <c r="H3330" s="41"/>
      <c r="I3330" s="41"/>
      <c r="J3330" s="41" t="s">
        <v>188</v>
      </c>
      <c r="K3330" s="42"/>
      <c r="L3330" s="42"/>
    </row>
    <row r="3331">
      <c r="A3331" s="18">
        <v>3330.0</v>
      </c>
      <c r="B3331" s="76" t="s">
        <v>5670</v>
      </c>
      <c r="C3331" s="40" t="s">
        <v>5697</v>
      </c>
      <c r="D3331" s="41"/>
      <c r="E3331" s="41" t="s">
        <v>1178</v>
      </c>
      <c r="F3331" s="18" t="str">
        <f>IFERROR(__xludf.DUMMYFUNCTION("if(REGEXMATCH(C3331,""x.com"")=TRUE,""Twitter"",if(REGEXMATCH(C3331,""facebook"")=TRUE,""Facebook"",if(REGEXMATCH(C3331,""instagram"")=TRUE,""Instagram"",if(REGEXMATCH(C3331,""youtube"")=TRUE,""Youtube"",if(REGEXMATCH(C3331,""tiktok"")=TRUE,""Tiktok"",if("&amp;"REGEXMATCH(C3331,""threads"")=TRUE,""Threads""))))))"),"Tiktok")</f>
        <v>Tiktok</v>
      </c>
      <c r="G3331" s="41" t="s">
        <v>2135</v>
      </c>
      <c r="H3331" s="41" t="s">
        <v>2136</v>
      </c>
      <c r="I3331" s="41" t="s">
        <v>2137</v>
      </c>
      <c r="J3331" s="41" t="s">
        <v>188</v>
      </c>
      <c r="K3331" s="41"/>
      <c r="L3331" s="42"/>
    </row>
    <row r="3332">
      <c r="A3332" s="18">
        <v>3331.0</v>
      </c>
      <c r="B3332" s="76" t="s">
        <v>5670</v>
      </c>
      <c r="C3332" s="44" t="s">
        <v>5698</v>
      </c>
      <c r="D3332" s="41"/>
      <c r="E3332" s="41" t="s">
        <v>1178</v>
      </c>
      <c r="F3332" s="18" t="str">
        <f>IFERROR(__xludf.DUMMYFUNCTION("if(REGEXMATCH(C3332,""x.com"")=TRUE,""Twitter"",if(REGEXMATCH(C3332,""facebook"")=TRUE,""Facebook"",if(REGEXMATCH(C3332,""instagram"")=TRUE,""Instagram"",if(REGEXMATCH(C3332,""youtube"")=TRUE,""Youtube"",if(REGEXMATCH(C3332,""tiktok"")=TRUE,""Tiktok"",if("&amp;"REGEXMATCH(C3332,""threads"")=TRUE,""Threads""))))))"),"Tiktok")</f>
        <v>Tiktok</v>
      </c>
      <c r="G3332" s="41" t="s">
        <v>2135</v>
      </c>
      <c r="H3332" s="41" t="s">
        <v>2136</v>
      </c>
      <c r="I3332" s="41"/>
      <c r="J3332" s="41" t="s">
        <v>188</v>
      </c>
      <c r="K3332" s="41"/>
      <c r="L3332" s="42"/>
    </row>
    <row r="3333">
      <c r="A3333" s="18">
        <v>3332.0</v>
      </c>
      <c r="B3333" s="76" t="s">
        <v>5670</v>
      </c>
      <c r="C3333" s="40" t="s">
        <v>5699</v>
      </c>
      <c r="D3333" s="41"/>
      <c r="E3333" s="41" t="s">
        <v>1178</v>
      </c>
      <c r="F3333" s="18" t="str">
        <f>IFERROR(__xludf.DUMMYFUNCTION("if(REGEXMATCH(C3333,""x.com"")=TRUE,""Twitter"",if(REGEXMATCH(C3333,""facebook"")=TRUE,""Facebook"",if(REGEXMATCH(C3333,""instagram"")=TRUE,""Instagram"",if(REGEXMATCH(C3333,""youtube"")=TRUE,""Youtube"",if(REGEXMATCH(C3333,""tiktok"")=TRUE,""Tiktok"",if("&amp;"REGEXMATCH(C3333,""threads"")=TRUE,""Threads""))))))"),"Tiktok")</f>
        <v>Tiktok</v>
      </c>
      <c r="G3333" s="41" t="s">
        <v>2135</v>
      </c>
      <c r="H3333" s="41" t="s">
        <v>2136</v>
      </c>
      <c r="I3333" s="41"/>
      <c r="J3333" s="41" t="s">
        <v>188</v>
      </c>
      <c r="K3333" s="41"/>
      <c r="L3333" s="42"/>
    </row>
    <row r="3334">
      <c r="A3334" s="18">
        <v>3333.0</v>
      </c>
      <c r="B3334" s="76" t="s">
        <v>5670</v>
      </c>
      <c r="C3334" s="40" t="s">
        <v>5700</v>
      </c>
      <c r="D3334" s="41"/>
      <c r="E3334" s="41" t="s">
        <v>1178</v>
      </c>
      <c r="F3334" s="18" t="str">
        <f>IFERROR(__xludf.DUMMYFUNCTION("if(REGEXMATCH(C3334,""x.com"")=TRUE,""Twitter"",if(REGEXMATCH(C3334,""facebook"")=TRUE,""Facebook"",if(REGEXMATCH(C3334,""instagram"")=TRUE,""Instagram"",if(REGEXMATCH(C3334,""youtube"")=TRUE,""Youtube"",if(REGEXMATCH(C3334,""tiktok"")=TRUE,""Tiktok"",if("&amp;"REGEXMATCH(C3334,""threads"")=TRUE,""Threads""))))))"),"Facebook")</f>
        <v>Facebook</v>
      </c>
      <c r="G3334" s="41" t="s">
        <v>2135</v>
      </c>
      <c r="H3334" s="41" t="s">
        <v>2136</v>
      </c>
      <c r="I3334" s="41"/>
      <c r="J3334" s="41" t="s">
        <v>188</v>
      </c>
      <c r="K3334" s="41"/>
      <c r="L3334" s="42"/>
    </row>
    <row r="3335">
      <c r="A3335" s="18">
        <v>3334.0</v>
      </c>
      <c r="B3335" s="76" t="s">
        <v>5670</v>
      </c>
      <c r="C3335" s="44" t="s">
        <v>5701</v>
      </c>
      <c r="D3335" s="41"/>
      <c r="E3335" s="41" t="s">
        <v>1178</v>
      </c>
      <c r="F3335" s="18" t="str">
        <f>IFERROR(__xludf.DUMMYFUNCTION("if(REGEXMATCH(C3335,""x.com"")=TRUE,""Twitter"",if(REGEXMATCH(C3335,""facebook"")=TRUE,""Facebook"",if(REGEXMATCH(C3335,""instagram"")=TRUE,""Instagram"",if(REGEXMATCH(C3335,""youtube"")=TRUE,""Youtube"",if(REGEXMATCH(C3335,""tiktok"")=TRUE,""Tiktok"",if("&amp;"REGEXMATCH(C3335,""threads"")=TRUE,""Threads""))))))"),"Twitter")</f>
        <v>Twitter</v>
      </c>
      <c r="G3335" s="41" t="s">
        <v>2135</v>
      </c>
      <c r="H3335" s="41" t="s">
        <v>2136</v>
      </c>
      <c r="I3335" s="41"/>
      <c r="J3335" s="41" t="s">
        <v>188</v>
      </c>
      <c r="K3335" s="41"/>
      <c r="L3335" s="42"/>
    </row>
    <row r="3336">
      <c r="A3336" s="18">
        <v>3335.0</v>
      </c>
      <c r="B3336" s="76" t="s">
        <v>5670</v>
      </c>
      <c r="C3336" s="47" t="s">
        <v>5702</v>
      </c>
      <c r="D3336" s="41"/>
      <c r="E3336" s="41" t="s">
        <v>1178</v>
      </c>
      <c r="F3336" s="18" t="str">
        <f>IFERROR(__xludf.DUMMYFUNCTION("if(REGEXMATCH(C3336,""x.com"")=TRUE,""Twitter"",if(REGEXMATCH(C3336,""facebook"")=TRUE,""Facebook"",if(REGEXMATCH(C3336,""instagram"")=TRUE,""Instagram"",if(REGEXMATCH(C3336,""youtube"")=TRUE,""Youtube"",if(REGEXMATCH(C3336,""tiktok"")=TRUE,""Tiktok"",if("&amp;"REGEXMATCH(C3336,""threads"")=TRUE,""Threads""))))))"),"Twitter")</f>
        <v>Twitter</v>
      </c>
      <c r="G3336" s="41" t="s">
        <v>2135</v>
      </c>
      <c r="H3336" s="41" t="s">
        <v>2136</v>
      </c>
      <c r="I3336" s="41"/>
      <c r="J3336" s="41" t="s">
        <v>188</v>
      </c>
      <c r="K3336" s="41"/>
      <c r="L3336" s="42"/>
    </row>
    <row r="3337">
      <c r="A3337" s="18">
        <v>3336.0</v>
      </c>
      <c r="B3337" s="76" t="s">
        <v>5670</v>
      </c>
      <c r="C3337" s="40" t="s">
        <v>5703</v>
      </c>
      <c r="D3337" s="41"/>
      <c r="E3337" s="41" t="s">
        <v>1178</v>
      </c>
      <c r="F3337" s="18" t="str">
        <f>IFERROR(__xludf.DUMMYFUNCTION("if(REGEXMATCH(C3337,""x.com"")=TRUE,""Twitter"",if(REGEXMATCH(C3337,""facebook"")=TRUE,""Facebook"",if(REGEXMATCH(C3337,""instagram"")=TRUE,""Instagram"",if(REGEXMATCH(C3337,""youtube"")=TRUE,""Youtube"",if(REGEXMATCH(C3337,""tiktok"")=TRUE,""Tiktok"",if("&amp;"REGEXMATCH(C3337,""threads"")=TRUE,""Threads""))))))"),"Twitter")</f>
        <v>Twitter</v>
      </c>
      <c r="G3337" s="41" t="s">
        <v>2135</v>
      </c>
      <c r="H3337" s="41" t="s">
        <v>2136</v>
      </c>
      <c r="I3337" s="41"/>
      <c r="J3337" s="41" t="s">
        <v>188</v>
      </c>
      <c r="K3337" s="18"/>
      <c r="L3337" s="42"/>
    </row>
    <row r="3338">
      <c r="A3338" s="18">
        <v>3337.0</v>
      </c>
      <c r="B3338" s="76" t="s">
        <v>5670</v>
      </c>
      <c r="C3338" s="44" t="s">
        <v>5704</v>
      </c>
      <c r="D3338" s="41"/>
      <c r="E3338" s="41"/>
      <c r="F3338" s="41" t="str">
        <f>IFERROR(__xludf.DUMMYFUNCTION("if(REGEXMATCH(C3338,""x.com"")=TRUE,""Twitter"",if(REGEXMATCH(C3338,""facebook"")=TRUE,""Facebook"",if(REGEXMATCH(C3338,""instagram"")=TRUE,""Instagram"",if(REGEXMATCH(C3338,""youtube"")=TRUE,""Youtube"",if(REGEXMATCH(C3338,""tiktok"")=TRUE,""Tiktok"",if("&amp;"REGEXMATCH(C3338,""threads"")=TRUE,""Threads""))))))"),"Tiktok")</f>
        <v>Tiktok</v>
      </c>
      <c r="G3338" s="44" t="s">
        <v>5705</v>
      </c>
      <c r="H3338" s="18" t="s">
        <v>2023</v>
      </c>
      <c r="I3338" s="41"/>
      <c r="J3338" s="41" t="s">
        <v>188</v>
      </c>
      <c r="K3338" s="42"/>
      <c r="L3338" s="42"/>
    </row>
    <row r="3339">
      <c r="A3339" s="18">
        <v>3338.0</v>
      </c>
      <c r="B3339" s="76" t="s">
        <v>5670</v>
      </c>
      <c r="C3339" s="40" t="s">
        <v>5706</v>
      </c>
      <c r="D3339" s="18"/>
      <c r="E3339" s="18" t="s">
        <v>2018</v>
      </c>
      <c r="F3339" s="41" t="str">
        <f>IFERROR(__xludf.DUMMYFUNCTION("if(REGEXMATCH(C3339,""x.com"")=TRUE,""Twitter"",if(REGEXMATCH(C3339,""facebook"")=TRUE,""Facebook"",if(REGEXMATCH(C3339,""instagram"")=TRUE,""Instagram"",if(REGEXMATCH(C3339,""youtube"")=TRUE,""Youtube"",if(REGEXMATCH(C3339,""tiktok"")=TRUE,""Tiktok"",if("&amp;"REGEXMATCH(C3339,""threads"")=TRUE,""Threads""))))))"),"Tiktok")</f>
        <v>Tiktok</v>
      </c>
      <c r="G3339" s="18" t="s">
        <v>5707</v>
      </c>
      <c r="H3339" s="18" t="s">
        <v>2023</v>
      </c>
      <c r="I3339" s="18"/>
      <c r="J3339" s="41" t="s">
        <v>188</v>
      </c>
      <c r="K3339" s="42"/>
      <c r="L3339" s="42"/>
    </row>
    <row r="3340">
      <c r="A3340" s="18">
        <v>3339.0</v>
      </c>
      <c r="B3340" s="76" t="s">
        <v>5708</v>
      </c>
      <c r="C3340" s="40" t="s">
        <v>5709</v>
      </c>
      <c r="D3340" s="41"/>
      <c r="E3340" s="41" t="s">
        <v>3329</v>
      </c>
      <c r="F3340" s="41" t="str">
        <f>IFERROR(__xludf.DUMMYFUNCTION("if(REGEXMATCH(C3340,""x.com"")=TRUE,""Twitter"",if(REGEXMATCH(C3340,""facebook"")=TRUE,""Facebook"",if(REGEXMATCH(C3340,""instagram"")=TRUE,""Instagram"",if(REGEXMATCH(C3341,""youtube"")=TRUE,""Youtube"",if(REGEXMATCH(C3340,""tiktok"")=TRUE,""Tiktok"",if("&amp;"REGEXMATCH(C3340,""threads"")=TRUE,""Threads""))))))"),"Tiktok")</f>
        <v>Tiktok</v>
      </c>
      <c r="G3340" s="41" t="s">
        <v>5710</v>
      </c>
      <c r="H3340" s="43" t="s">
        <v>779</v>
      </c>
      <c r="I3340" s="43" t="s">
        <v>535</v>
      </c>
      <c r="J3340" s="41" t="s">
        <v>188</v>
      </c>
      <c r="K3340" s="41"/>
      <c r="L3340" s="42"/>
    </row>
    <row r="3341">
      <c r="A3341" s="18">
        <v>3340.0</v>
      </c>
      <c r="B3341" s="76" t="s">
        <v>5708</v>
      </c>
      <c r="C3341" s="40" t="s">
        <v>5711</v>
      </c>
      <c r="D3341" s="41"/>
      <c r="E3341" s="41" t="s">
        <v>3329</v>
      </c>
      <c r="F3341" s="41" t="str">
        <f>IFERROR(__xludf.DUMMYFUNCTION("if(REGEXMATCH(C3341,""x.com"")=TRUE,""Twitter"",if(REGEXMATCH(C3341,""facebook"")=TRUE,""Facebook"",if(REGEXMATCH(C3341,""instagram"")=TRUE,""Instagram"",if(REGEXMATCH(C3342,""youtube"")=TRUE,""Youtube"",if(REGEXMATCH(C3341,""tiktok"")=TRUE,""Tiktok"",if("&amp;"REGEXMATCH(C3341,""threads"")=TRUE,""Threads""))))))"),"Tiktok")</f>
        <v>Tiktok</v>
      </c>
      <c r="G3341" s="41" t="s">
        <v>5712</v>
      </c>
      <c r="H3341" s="36"/>
      <c r="I3341" s="36"/>
      <c r="J3341" s="41" t="s">
        <v>188</v>
      </c>
      <c r="K3341" s="41"/>
      <c r="L3341" s="42"/>
    </row>
    <row r="3342">
      <c r="A3342" s="18">
        <v>3341.0</v>
      </c>
      <c r="B3342" s="76" t="s">
        <v>5708</v>
      </c>
      <c r="C3342" s="40" t="s">
        <v>5713</v>
      </c>
      <c r="D3342" s="41"/>
      <c r="E3342" s="41" t="s">
        <v>557</v>
      </c>
      <c r="F3342" s="41" t="str">
        <f>IFERROR(__xludf.DUMMYFUNCTION("if(REGEXMATCH(C3342,""x.com"")=TRUE,""Twitter"",if(REGEXMATCH(C3342,""facebook"")=TRUE,""Facebook"",if(REGEXMATCH(C3342,""instagram"")=TRUE,""Instagram"",if(REGEXMATCH(C3343,""youtube"")=TRUE,""Youtube"",if(REGEXMATCH(C3342,""tiktok"")=TRUE,""Tiktok"",if("&amp;"REGEXMATCH(C3342,""threads"")=TRUE,""Threads""))))))"),"Twitter")</f>
        <v>Twitter</v>
      </c>
      <c r="G3342" s="41" t="s">
        <v>5714</v>
      </c>
      <c r="H3342" s="36"/>
      <c r="I3342" s="36"/>
      <c r="J3342" s="41" t="s">
        <v>188</v>
      </c>
      <c r="K3342" s="41"/>
      <c r="L3342" s="42"/>
    </row>
    <row r="3343">
      <c r="A3343" s="18">
        <v>3342.0</v>
      </c>
      <c r="B3343" s="76" t="s">
        <v>5708</v>
      </c>
      <c r="C3343" s="40" t="s">
        <v>5715</v>
      </c>
      <c r="D3343" s="41"/>
      <c r="E3343" s="41" t="s">
        <v>557</v>
      </c>
      <c r="F3343" s="41" t="str">
        <f>IFERROR(__xludf.DUMMYFUNCTION("if(REGEXMATCH(C3343,""x.com"")=TRUE,""Twitter"",if(REGEXMATCH(C3343,""facebook"")=TRUE,""Facebook"",if(REGEXMATCH(C3343,""instagram"")=TRUE,""Instagram"",if(REGEXMATCH(C3344,""youtube"")=TRUE,""Youtube"",if(REGEXMATCH(C3343,""tiktok"")=TRUE,""Tiktok"",if("&amp;"REGEXMATCH(C3343,""threads"")=TRUE,""Threads""))))))"),"Twitter")</f>
        <v>Twitter</v>
      </c>
      <c r="G3343" s="41" t="s">
        <v>5716</v>
      </c>
      <c r="H3343" s="36"/>
      <c r="I3343" s="36"/>
      <c r="J3343" s="41" t="s">
        <v>188</v>
      </c>
      <c r="K3343" s="41"/>
      <c r="L3343" s="42"/>
    </row>
    <row r="3344">
      <c r="A3344" s="18">
        <v>3343.0</v>
      </c>
      <c r="B3344" s="76" t="s">
        <v>5708</v>
      </c>
      <c r="C3344" s="40" t="s">
        <v>5717</v>
      </c>
      <c r="D3344" s="41"/>
      <c r="E3344" s="41" t="s">
        <v>2875</v>
      </c>
      <c r="F3344" s="41" t="str">
        <f>IFERROR(__xludf.DUMMYFUNCTION("if(REGEXMATCH(C3344,""x.com"")=TRUE,""Twitter"",if(REGEXMATCH(C3344,""facebook"")=TRUE,""Facebook"",if(REGEXMATCH(C3344,""instagram"")=TRUE,""Instagram"",if(REGEXMATCH(C3345,""youtube"")=TRUE,""Youtube"",if(REGEXMATCH(C3344,""tiktok"")=TRUE,""Tiktok"",if("&amp;"REGEXMATCH(C3344,""threads"")=TRUE,""Threads""))))))"),"Twitter")</f>
        <v>Twitter</v>
      </c>
      <c r="G3344" s="41" t="s">
        <v>5718</v>
      </c>
      <c r="H3344" s="36"/>
      <c r="I3344" s="36"/>
      <c r="J3344" s="41" t="s">
        <v>188</v>
      </c>
      <c r="K3344" s="41"/>
      <c r="L3344" s="42"/>
    </row>
    <row r="3345">
      <c r="A3345" s="18">
        <v>3344.0</v>
      </c>
      <c r="B3345" s="76" t="s">
        <v>5708</v>
      </c>
      <c r="C3345" s="40" t="s">
        <v>5719</v>
      </c>
      <c r="D3345" s="41"/>
      <c r="E3345" s="41" t="s">
        <v>197</v>
      </c>
      <c r="F3345" s="41" t="str">
        <f>IFERROR(__xludf.DUMMYFUNCTION("if(REGEXMATCH(C3345,""x.com"")=TRUE,""Twitter"",if(REGEXMATCH(C3345,""facebook"")=TRUE,""Facebook"",if(REGEXMATCH(C3345,""instagram"")=TRUE,""Instagram"",if(REGEXMATCH(C3346,""youtube"")=TRUE,""Youtube"",if(REGEXMATCH(C3345,""tiktok"")=TRUE,""Tiktok"",if("&amp;"REGEXMATCH(C3345,""threads"")=TRUE,""Threads""))))))"),"Facebook")</f>
        <v>Facebook</v>
      </c>
      <c r="G3345" s="41" t="s">
        <v>5720</v>
      </c>
      <c r="H3345" s="36"/>
      <c r="I3345" s="36"/>
      <c r="J3345" s="41" t="s">
        <v>188</v>
      </c>
      <c r="K3345" s="41"/>
      <c r="L3345" s="42"/>
    </row>
    <row r="3346">
      <c r="A3346" s="18">
        <v>3345.0</v>
      </c>
      <c r="B3346" s="76" t="s">
        <v>5708</v>
      </c>
      <c r="C3346" s="40" t="s">
        <v>5721</v>
      </c>
      <c r="D3346" s="41"/>
      <c r="E3346" s="41" t="s">
        <v>197</v>
      </c>
      <c r="F3346" s="41" t="str">
        <f>IFERROR(__xludf.DUMMYFUNCTION("if(REGEXMATCH(C3346,""x.com"")=TRUE,""Twitter"",if(REGEXMATCH(C3346,""facebook"")=TRUE,""Facebook"",if(REGEXMATCH(C3346,""instagram"")=TRUE,""Instagram"",if(REGEXMATCH(C3347,""youtube"")=TRUE,""Youtube"",if(REGEXMATCH(C3346,""tiktok"")=TRUE,""Tiktok"",if("&amp;"REGEXMATCH(C3346,""threads"")=TRUE,""Threads""))))))"),"Facebook")</f>
        <v>Facebook</v>
      </c>
      <c r="G3346" s="41" t="s">
        <v>5722</v>
      </c>
      <c r="H3346" s="36"/>
      <c r="I3346" s="36"/>
      <c r="J3346" s="41" t="s">
        <v>188</v>
      </c>
      <c r="K3346" s="41"/>
      <c r="L3346" s="42"/>
    </row>
    <row r="3347">
      <c r="A3347" s="18">
        <v>3346.0</v>
      </c>
      <c r="B3347" s="76" t="s">
        <v>5708</v>
      </c>
      <c r="C3347" s="40" t="s">
        <v>5723</v>
      </c>
      <c r="D3347" s="41"/>
      <c r="E3347" s="41" t="s">
        <v>197</v>
      </c>
      <c r="F3347" s="41" t="str">
        <f>IFERROR(__xludf.DUMMYFUNCTION("if(REGEXMATCH(C3347,""x.com"")=TRUE,""Twitter"",if(REGEXMATCH(C3347,""facebook"")=TRUE,""Facebook"",if(REGEXMATCH(C3347,""instagram"")=TRUE,""Instagram"",if(REGEXMATCH(C3348,""youtube"")=TRUE,""Youtube"",if(REGEXMATCH(C3347,""tiktok"")=TRUE,""Tiktok"",if("&amp;"REGEXMATCH(C3347,""threads"")=TRUE,""Threads""))))))"),"Twitter")</f>
        <v>Twitter</v>
      </c>
      <c r="G3347" s="41" t="s">
        <v>5724</v>
      </c>
      <c r="H3347" s="36"/>
      <c r="I3347" s="36"/>
      <c r="J3347" s="52" t="s">
        <v>188</v>
      </c>
      <c r="K3347" s="41"/>
      <c r="L3347" s="42"/>
    </row>
    <row r="3348">
      <c r="A3348" s="18">
        <v>3347.0</v>
      </c>
      <c r="B3348" s="76" t="s">
        <v>5708</v>
      </c>
      <c r="C3348" s="40" t="s">
        <v>5725</v>
      </c>
      <c r="D3348" s="41"/>
      <c r="E3348" s="41" t="s">
        <v>197</v>
      </c>
      <c r="F3348" s="41" t="str">
        <f>IFERROR(__xludf.DUMMYFUNCTION("if(REGEXMATCH(C3348,""x.com"")=TRUE,""Twitter"",if(REGEXMATCH(C3348,""facebook"")=TRUE,""Facebook"",if(REGEXMATCH(C3348,""instagram"")=TRUE,""Instagram"",if(REGEXMATCH(C3349,""youtube"")=TRUE,""Youtube"",if(REGEXMATCH(C3348,""tiktok"")=TRUE,""Tiktok"",if("&amp;"REGEXMATCH(C3348,""threads"")=TRUE,""Threads""))))))"),"Twitter")</f>
        <v>Twitter</v>
      </c>
      <c r="G3348" s="41" t="s">
        <v>5726</v>
      </c>
      <c r="H3348" s="36"/>
      <c r="I3348" s="36"/>
      <c r="J3348" s="41" t="s">
        <v>188</v>
      </c>
      <c r="K3348" s="41"/>
      <c r="L3348" s="42"/>
    </row>
    <row r="3349">
      <c r="A3349" s="18">
        <v>3348.0</v>
      </c>
      <c r="B3349" s="76" t="s">
        <v>5708</v>
      </c>
      <c r="C3349" s="40" t="s">
        <v>5727</v>
      </c>
      <c r="D3349" s="41"/>
      <c r="E3349" s="41" t="s">
        <v>197</v>
      </c>
      <c r="F3349" s="41" t="str">
        <f>IFERROR(__xludf.DUMMYFUNCTION("if(REGEXMATCH(C3349,""x.com"")=TRUE,""Twitter"",if(REGEXMATCH(C3349,""facebook"")=TRUE,""Facebook"",if(REGEXMATCH(C3349,""instagram"")=TRUE,""Instagram"",if(REGEXMATCH(C3350,""youtube"")=TRUE,""Youtube"",if(REGEXMATCH(C3349,""tiktok"")=TRUE,""Tiktok"",if("&amp;"REGEXMATCH(C3349,""threads"")=TRUE,""Threads""))))))"),"Twitter")</f>
        <v>Twitter</v>
      </c>
      <c r="G3349" s="41" t="s">
        <v>5728</v>
      </c>
      <c r="H3349" s="36"/>
      <c r="I3349" s="36"/>
      <c r="J3349" s="41" t="s">
        <v>188</v>
      </c>
      <c r="K3349" s="41"/>
      <c r="L3349" s="42"/>
    </row>
    <row r="3350">
      <c r="A3350" s="18">
        <v>3349.0</v>
      </c>
      <c r="B3350" s="76" t="s">
        <v>5708</v>
      </c>
      <c r="C3350" s="40" t="s">
        <v>5729</v>
      </c>
      <c r="D3350" s="41"/>
      <c r="E3350" s="41" t="s">
        <v>197</v>
      </c>
      <c r="F3350" s="41" t="str">
        <f>IFERROR(__xludf.DUMMYFUNCTION("if(REGEXMATCH(C3350,""x.com"")=TRUE,""Twitter"",if(REGEXMATCH(C3350,""facebook"")=TRUE,""Facebook"",if(REGEXMATCH(C3350,""instagram"")=TRUE,""Instagram"",if(REGEXMATCH(C3351,""youtube"")=TRUE,""Youtube"",if(REGEXMATCH(C3350,""tiktok"")=TRUE,""Tiktok"",if("&amp;"REGEXMATCH(C3350,""threads"")=TRUE,""Threads""))))))"),"Twitter")</f>
        <v>Twitter</v>
      </c>
      <c r="G3350" s="41" t="s">
        <v>5730</v>
      </c>
      <c r="H3350" s="36"/>
      <c r="I3350" s="36"/>
      <c r="J3350" s="41" t="s">
        <v>188</v>
      </c>
      <c r="K3350" s="41"/>
      <c r="L3350" s="42"/>
    </row>
    <row r="3351">
      <c r="A3351" s="18">
        <v>3350.0</v>
      </c>
      <c r="B3351" s="76" t="s">
        <v>5708</v>
      </c>
      <c r="C3351" s="40" t="s">
        <v>5731</v>
      </c>
      <c r="D3351" s="41"/>
      <c r="E3351" s="41" t="s">
        <v>197</v>
      </c>
      <c r="F3351" s="41" t="str">
        <f>IFERROR(__xludf.DUMMYFUNCTION("if(REGEXMATCH(C3351,""x.com"")=TRUE,""Twitter"",if(REGEXMATCH(C3351,""facebook"")=TRUE,""Facebook"",if(REGEXMATCH(C3351,""instagram"")=TRUE,""Instagram"",if(REGEXMATCH(#REF!,""youtube"")=TRUE,""Youtube"",if(REGEXMATCH(C3351,""tiktok"")=TRUE,""Tiktok"",if("&amp;"REGEXMATCH(C3351,""threads"")=TRUE,""Threads""))))))"),"Twitter")</f>
        <v>Twitter</v>
      </c>
      <c r="G3351" s="41" t="s">
        <v>5732</v>
      </c>
      <c r="H3351" s="35"/>
      <c r="I3351" s="35"/>
      <c r="J3351" s="41" t="s">
        <v>188</v>
      </c>
      <c r="K3351" s="41"/>
      <c r="L3351" s="42"/>
    </row>
    <row r="3352">
      <c r="A3352" s="18">
        <v>3351.0</v>
      </c>
      <c r="B3352" s="76" t="s">
        <v>5708</v>
      </c>
      <c r="C3352" s="40" t="s">
        <v>5733</v>
      </c>
      <c r="D3352" s="41"/>
      <c r="E3352" s="41" t="s">
        <v>2018</v>
      </c>
      <c r="F3352" s="41" t="str">
        <f>IFERROR(__xludf.DUMMYFUNCTION("if(REGEXMATCH(C3352,""x.com"")=TRUE,""Twitter"",if(REGEXMATCH(C3352,""facebook"")=TRUE,""Facebook"",if(REGEXMATCH(C3352,""instagram"")=TRUE,""Instagram"",if(REGEXMATCH(#REF!,""youtube"")=TRUE,""Youtube"",if(REGEXMATCH(C3352,""tiktok"")=TRUE,""Tiktok"",if("&amp;"REGEXMATCH(C3352,""threads"")=TRUE,""Threads""))))))"),"Facebook")</f>
        <v>Facebook</v>
      </c>
      <c r="G3352" s="44" t="s">
        <v>5734</v>
      </c>
      <c r="H3352" s="18" t="s">
        <v>2023</v>
      </c>
      <c r="I3352" s="41"/>
      <c r="J3352" s="41" t="s">
        <v>188</v>
      </c>
      <c r="K3352" s="42"/>
      <c r="L3352" s="42"/>
    </row>
    <row r="3353">
      <c r="A3353" s="18">
        <v>3352.0</v>
      </c>
      <c r="B3353" s="76" t="s">
        <v>5708</v>
      </c>
      <c r="C3353" s="40" t="s">
        <v>5735</v>
      </c>
      <c r="D3353" s="41"/>
      <c r="E3353" s="41" t="s">
        <v>2018</v>
      </c>
      <c r="F3353" s="41" t="str">
        <f>IFERROR(__xludf.DUMMYFUNCTION("if(REGEXMATCH(C3353,""x.com"")=TRUE,""Twitter"",if(REGEXMATCH(C3353,""facebook"")=TRUE,""Facebook"",if(REGEXMATCH(C3353,""instagram"")=TRUE,""Instagram"",if(REGEXMATCH(#REF!,""youtube"")=TRUE,""Youtube"",if(REGEXMATCH(C3353,""tiktok"")=TRUE,""Tiktok"",if("&amp;"REGEXMATCH(C3353,""threads"")=TRUE,""Threads""))))))"),"Facebook")</f>
        <v>Facebook</v>
      </c>
      <c r="G3353" s="27" t="s">
        <v>5736</v>
      </c>
      <c r="H3353" s="18" t="s">
        <v>2023</v>
      </c>
      <c r="I3353" s="18"/>
      <c r="J3353" s="41" t="s">
        <v>188</v>
      </c>
      <c r="K3353" s="42"/>
      <c r="L3353" s="42"/>
    </row>
    <row r="3354">
      <c r="A3354" s="18">
        <v>3353.0</v>
      </c>
      <c r="B3354" s="76" t="s">
        <v>5737</v>
      </c>
      <c r="C3354" s="40" t="s">
        <v>5738</v>
      </c>
      <c r="D3354" s="41"/>
      <c r="E3354" s="41" t="s">
        <v>1178</v>
      </c>
      <c r="F3354" s="41" t="str">
        <f>IFERROR(__xludf.DUMMYFUNCTION("if(REGEXMATCH(C3354,""x.com"")=TRUE,""Twitter"",if(REGEXMATCH(C3354,""facebook"")=TRUE,""Facebook"",if(REGEXMATCH(C3354,""instagram"")=TRUE,""Instagram"",if(REGEXMATCH(C3354,""youtube"")=TRUE,""Youtube"",if(REGEXMATCH(C3354,""tiktok"")=TRUE,""Tiktok"",if("&amp;"REGEXMATCH(C3354,""threads"")=TRUE,""Threads""))))))"),"Facebook")</f>
        <v>Facebook</v>
      </c>
      <c r="G3354" s="41" t="s">
        <v>5739</v>
      </c>
      <c r="H3354" s="43" t="s">
        <v>5740</v>
      </c>
      <c r="I3354" s="43" t="s">
        <v>535</v>
      </c>
      <c r="J3354" s="41" t="s">
        <v>188</v>
      </c>
      <c r="K3354" s="42"/>
      <c r="L3354" s="42"/>
    </row>
    <row r="3355">
      <c r="A3355" s="18">
        <v>3354.0</v>
      </c>
      <c r="B3355" s="76" t="s">
        <v>5737</v>
      </c>
      <c r="C3355" s="40" t="s">
        <v>5741</v>
      </c>
      <c r="D3355" s="41"/>
      <c r="E3355" s="41" t="s">
        <v>230</v>
      </c>
      <c r="F3355" s="41" t="str">
        <f>IFERROR(__xludf.DUMMYFUNCTION("if(REGEXMATCH(C3355,""x.com"")=TRUE,""Twitter"",if(REGEXMATCH(C3355,""facebook"")=TRUE,""Facebook"",if(REGEXMATCH(C3355,""instagram"")=TRUE,""Instagram"",if(REGEXMATCH(C3355,""youtube"")=TRUE,""Youtube"",if(REGEXMATCH(C3355,""tiktok"")=TRUE,""Tiktok"",if("&amp;"REGEXMATCH(C3355,""threads"")=TRUE,""Threads""))))))"),"Facebook")</f>
        <v>Facebook</v>
      </c>
      <c r="G3355" s="41" t="s">
        <v>5742</v>
      </c>
      <c r="H3355" s="36"/>
      <c r="I3355" s="36"/>
      <c r="J3355" s="41" t="s">
        <v>188</v>
      </c>
      <c r="K3355" s="42"/>
      <c r="L3355" s="42"/>
    </row>
    <row r="3356">
      <c r="A3356" s="18">
        <v>3355.0</v>
      </c>
      <c r="B3356" s="76" t="s">
        <v>5737</v>
      </c>
      <c r="C3356" s="40" t="s">
        <v>5743</v>
      </c>
      <c r="D3356" s="41"/>
      <c r="E3356" s="41" t="s">
        <v>197</v>
      </c>
      <c r="F3356" s="41" t="str">
        <f>IFERROR(__xludf.DUMMYFUNCTION("if(REGEXMATCH(C3356,""x.com"")=TRUE,""Twitter"",if(REGEXMATCH(C3356,""facebook"")=TRUE,""Facebook"",if(REGEXMATCH(C3356,""instagram"")=TRUE,""Instagram"",if(REGEXMATCH(C3356,""youtube"")=TRUE,""Youtube"",if(REGEXMATCH(C3356,""tiktok"")=TRUE,""Tiktok"",if("&amp;"REGEXMATCH(C3356,""threads"")=TRUE,""Threads""))))))"),"Tiktok")</f>
        <v>Tiktok</v>
      </c>
      <c r="G3356" s="41" t="s">
        <v>5744</v>
      </c>
      <c r="H3356" s="36"/>
      <c r="I3356" s="36"/>
      <c r="J3356" s="41" t="s">
        <v>188</v>
      </c>
      <c r="K3356" s="42"/>
      <c r="L3356" s="42"/>
    </row>
    <row r="3357">
      <c r="A3357" s="18">
        <v>3356.0</v>
      </c>
      <c r="B3357" s="76" t="s">
        <v>5737</v>
      </c>
      <c r="C3357" s="40" t="s">
        <v>5745</v>
      </c>
      <c r="D3357" s="41"/>
      <c r="E3357" s="41" t="s">
        <v>447</v>
      </c>
      <c r="F3357" s="41" t="str">
        <f>IFERROR(__xludf.DUMMYFUNCTION("if(REGEXMATCH(C3357,""x.com"")=TRUE,""Twitter"",if(REGEXMATCH(C3357,""facebook"")=TRUE,""Facebook"",if(REGEXMATCH(C3357,""instagram"")=TRUE,""Instagram"",if(REGEXMATCH(C3357,""youtube"")=TRUE,""Youtube"",if(REGEXMATCH(C3357,""tiktok"")=TRUE,""Tiktok"",if("&amp;"REGEXMATCH(C3357,""threads"")=TRUE,""Threads""))))))"),"Tiktok")</f>
        <v>Tiktok</v>
      </c>
      <c r="G3357" s="41" t="s">
        <v>5746</v>
      </c>
      <c r="H3357" s="36"/>
      <c r="I3357" s="36"/>
      <c r="J3357" s="41" t="s">
        <v>188</v>
      </c>
      <c r="K3357" s="42"/>
      <c r="L3357" s="42"/>
    </row>
    <row r="3358">
      <c r="A3358" s="18">
        <v>3357.0</v>
      </c>
      <c r="B3358" s="76" t="s">
        <v>5737</v>
      </c>
      <c r="C3358" s="40" t="s">
        <v>5747</v>
      </c>
      <c r="D3358" s="41"/>
      <c r="E3358" s="41" t="s">
        <v>447</v>
      </c>
      <c r="F3358" s="41" t="str">
        <f>IFERROR(__xludf.DUMMYFUNCTION("if(REGEXMATCH(C3358,""x.com"")=TRUE,""Twitter"",if(REGEXMATCH(C3358,""facebook"")=TRUE,""Facebook"",if(REGEXMATCH(C3358,""instagram"")=TRUE,""Instagram"",if(REGEXMATCH(C3358,""youtube"")=TRUE,""Youtube"",if(REGEXMATCH(C3358,""tiktok"")=TRUE,""Tiktok"",if("&amp;"REGEXMATCH(C3358,""threads"")=TRUE,""Threads""))))))"),"Facebook")</f>
        <v>Facebook</v>
      </c>
      <c r="G3358" s="41" t="s">
        <v>5748</v>
      </c>
      <c r="H3358" s="36"/>
      <c r="I3358" s="36"/>
      <c r="J3358" s="41" t="s">
        <v>188</v>
      </c>
      <c r="K3358" s="42"/>
      <c r="L3358" s="42"/>
    </row>
    <row r="3359">
      <c r="A3359" s="18">
        <v>3358.0</v>
      </c>
      <c r="B3359" s="76" t="s">
        <v>5737</v>
      </c>
      <c r="C3359" s="40" t="s">
        <v>5749</v>
      </c>
      <c r="D3359" s="41"/>
      <c r="E3359" s="41" t="s">
        <v>447</v>
      </c>
      <c r="F3359" s="41" t="str">
        <f>IFERROR(__xludf.DUMMYFUNCTION("if(REGEXMATCH(C3359,""x.com"")=TRUE,""Twitter"",if(REGEXMATCH(C3359,""facebook"")=TRUE,""Facebook"",if(REGEXMATCH(C3359,""instagram"")=TRUE,""Instagram"",if(REGEXMATCH(C3359,""youtube"")=TRUE,""Youtube"",if(REGEXMATCH(C3359,""tiktok"")=TRUE,""Tiktok"",if("&amp;"REGEXMATCH(C3359,""threads"")=TRUE,""Threads""))))))"),"Facebook")</f>
        <v>Facebook</v>
      </c>
      <c r="G3359" s="41" t="s">
        <v>5750</v>
      </c>
      <c r="H3359" s="36"/>
      <c r="I3359" s="36"/>
      <c r="J3359" s="41" t="s">
        <v>188</v>
      </c>
      <c r="K3359" s="42"/>
      <c r="L3359" s="42"/>
    </row>
    <row r="3360">
      <c r="A3360" s="18">
        <v>3359.0</v>
      </c>
      <c r="B3360" s="76" t="s">
        <v>5737</v>
      </c>
      <c r="C3360" s="40" t="s">
        <v>5751</v>
      </c>
      <c r="D3360" s="41"/>
      <c r="E3360" s="41" t="s">
        <v>447</v>
      </c>
      <c r="F3360" s="41" t="str">
        <f>IFERROR(__xludf.DUMMYFUNCTION("if(REGEXMATCH(C3360,""x.com"")=TRUE,""Twitter"",if(REGEXMATCH(C3360,""facebook"")=TRUE,""Facebook"",if(REGEXMATCH(C3360,""instagram"")=TRUE,""Instagram"",if(REGEXMATCH(C3360,""youtube"")=TRUE,""Youtube"",if(REGEXMATCH(C3360,""tiktok"")=TRUE,""Tiktok"",if("&amp;"REGEXMATCH(C3360,""threads"")=TRUE,""Threads""))))))"),"Facebook")</f>
        <v>Facebook</v>
      </c>
      <c r="G3360" s="41" t="s">
        <v>5752</v>
      </c>
      <c r="H3360" s="36"/>
      <c r="I3360" s="36"/>
      <c r="J3360" s="41" t="s">
        <v>188</v>
      </c>
      <c r="K3360" s="42"/>
      <c r="L3360" s="42"/>
    </row>
    <row r="3361">
      <c r="A3361" s="18">
        <v>3360.0</v>
      </c>
      <c r="B3361" s="76" t="s">
        <v>5737</v>
      </c>
      <c r="C3361" s="40" t="s">
        <v>5753</v>
      </c>
      <c r="D3361" s="41"/>
      <c r="E3361" s="41" t="s">
        <v>222</v>
      </c>
      <c r="F3361" s="41" t="str">
        <f>IFERROR(__xludf.DUMMYFUNCTION("if(REGEXMATCH(C3361,""x.com"")=TRUE,""Twitter"",if(REGEXMATCH(C3361,""facebook"")=TRUE,""Facebook"",if(REGEXMATCH(C3361,""instagram"")=TRUE,""Instagram"",if(REGEXMATCH(C3361,""youtube"")=TRUE,""Youtube"",if(REGEXMATCH(C3361,""tiktok"")=TRUE,""Tiktok"",if("&amp;"REGEXMATCH(C3361,""threads"")=TRUE,""Threads""))))))"),"Tiktok")</f>
        <v>Tiktok</v>
      </c>
      <c r="G3361" s="41" t="s">
        <v>5754</v>
      </c>
      <c r="H3361" s="36"/>
      <c r="I3361" s="36"/>
      <c r="J3361" s="41" t="s">
        <v>188</v>
      </c>
      <c r="K3361" s="42"/>
      <c r="L3361" s="42"/>
    </row>
    <row r="3362">
      <c r="A3362" s="18">
        <v>3361.0</v>
      </c>
      <c r="B3362" s="76" t="s">
        <v>5737</v>
      </c>
      <c r="C3362" s="40" t="s">
        <v>5755</v>
      </c>
      <c r="D3362" s="41"/>
      <c r="E3362" s="41" t="s">
        <v>222</v>
      </c>
      <c r="F3362" s="41" t="str">
        <f>IFERROR(__xludf.DUMMYFUNCTION("if(REGEXMATCH(C3362,""x.com"")=TRUE,""Twitter"",if(REGEXMATCH(C3362,""facebook"")=TRUE,""Facebook"",if(REGEXMATCH(C3362,""instagram"")=TRUE,""Instagram"",if(REGEXMATCH(C3362,""youtube"")=TRUE,""Youtube"",if(REGEXMATCH(C3362,""tiktok"")=TRUE,""Tiktok"",if("&amp;"REGEXMATCH(C3362,""threads"")=TRUE,""Threads""))))))"),"Tiktok")</f>
        <v>Tiktok</v>
      </c>
      <c r="G3362" s="41" t="s">
        <v>5756</v>
      </c>
      <c r="H3362" s="36"/>
      <c r="I3362" s="36"/>
      <c r="J3362" s="41" t="s">
        <v>188</v>
      </c>
      <c r="K3362" s="42"/>
      <c r="L3362" s="42"/>
    </row>
    <row r="3363">
      <c r="A3363" s="18">
        <v>3362.0</v>
      </c>
      <c r="B3363" s="76" t="s">
        <v>5737</v>
      </c>
      <c r="C3363" s="40" t="s">
        <v>5757</v>
      </c>
      <c r="D3363" s="41"/>
      <c r="E3363" s="41" t="s">
        <v>1178</v>
      </c>
      <c r="F3363" s="41" t="str">
        <f>IFERROR(__xludf.DUMMYFUNCTION("if(REGEXMATCH(C3363,""x.com"")=TRUE,""Twitter"",if(REGEXMATCH(C3363,""facebook"")=TRUE,""Facebook"",if(REGEXMATCH(C3363,""instagram"")=TRUE,""Instagram"",if(REGEXMATCH(C3363,""youtube"")=TRUE,""Youtube"",if(REGEXMATCH(C3363,""tiktok"")=TRUE,""Tiktok"",if("&amp;"REGEXMATCH(C3363,""threads"")=TRUE,""Threads""))))))"),"Facebook")</f>
        <v>Facebook</v>
      </c>
      <c r="G3363" s="41" t="s">
        <v>5758</v>
      </c>
      <c r="H3363" s="36"/>
      <c r="I3363" s="36"/>
      <c r="J3363" s="41" t="s">
        <v>188</v>
      </c>
      <c r="K3363" s="42"/>
      <c r="L3363" s="42"/>
    </row>
    <row r="3364">
      <c r="A3364" s="18">
        <v>3363.0</v>
      </c>
      <c r="B3364" s="76" t="s">
        <v>5737</v>
      </c>
      <c r="C3364" s="40" t="s">
        <v>5759</v>
      </c>
      <c r="D3364" s="41"/>
      <c r="E3364" s="41" t="s">
        <v>197</v>
      </c>
      <c r="F3364" s="41" t="str">
        <f>IFERROR(__xludf.DUMMYFUNCTION("if(REGEXMATCH(C3364,""x.com"")=TRUE,""Twitter"",if(REGEXMATCH(C3364,""facebook"")=TRUE,""Facebook"",if(REGEXMATCH(C3364,""instagram"")=TRUE,""Instagram"",if(REGEXMATCH(C3364,""youtube"")=TRUE,""Youtube"",if(REGEXMATCH(C3364,""tiktok"")=TRUE,""Tiktok"",if("&amp;"REGEXMATCH(C3364,""threads"")=TRUE,""Threads""))))))"),"Facebook")</f>
        <v>Facebook</v>
      </c>
      <c r="G3364" s="41" t="s">
        <v>5760</v>
      </c>
      <c r="H3364" s="36"/>
      <c r="I3364" s="36"/>
      <c r="J3364" s="41" t="s">
        <v>188</v>
      </c>
      <c r="K3364" s="42"/>
      <c r="L3364" s="42"/>
    </row>
    <row r="3365">
      <c r="A3365" s="18">
        <v>3364.0</v>
      </c>
      <c r="B3365" s="76" t="s">
        <v>5737</v>
      </c>
      <c r="C3365" s="40" t="s">
        <v>5761</v>
      </c>
      <c r="D3365" s="41"/>
      <c r="E3365" s="41" t="s">
        <v>197</v>
      </c>
      <c r="F3365" s="41" t="str">
        <f>IFERROR(__xludf.DUMMYFUNCTION("if(REGEXMATCH(C3365,""x.com"")=TRUE,""Twitter"",if(REGEXMATCH(C3365,""facebook"")=TRUE,""Facebook"",if(REGEXMATCH(C3365,""instagram"")=TRUE,""Instagram"",if(REGEXMATCH(C3365,""youtube"")=TRUE,""Youtube"",if(REGEXMATCH(C3365,""tiktok"")=TRUE,""Tiktok"",if("&amp;"REGEXMATCH(C3365,""threads"")=TRUE,""Threads""))))))"),"Facebook")</f>
        <v>Facebook</v>
      </c>
      <c r="G3365" s="41" t="s">
        <v>5762</v>
      </c>
      <c r="H3365" s="36"/>
      <c r="I3365" s="36"/>
      <c r="J3365" s="41" t="s">
        <v>188</v>
      </c>
      <c r="K3365" s="42"/>
      <c r="L3365" s="42"/>
    </row>
    <row r="3366">
      <c r="A3366" s="18">
        <v>3365.0</v>
      </c>
      <c r="B3366" s="76" t="s">
        <v>5737</v>
      </c>
      <c r="C3366" s="40" t="s">
        <v>5763</v>
      </c>
      <c r="D3366" s="41"/>
      <c r="E3366" s="41" t="s">
        <v>197</v>
      </c>
      <c r="F3366" s="41" t="str">
        <f>IFERROR(__xludf.DUMMYFUNCTION("if(REGEXMATCH(C3366,""x.com"")=TRUE,""Twitter"",if(REGEXMATCH(C3366,""facebook"")=TRUE,""Facebook"",if(REGEXMATCH(C3366,""instagram"")=TRUE,""Instagram"",if(REGEXMATCH(C3366,""youtube"")=TRUE,""Youtube"",if(REGEXMATCH(C3366,""tiktok"")=TRUE,""Tiktok"",if("&amp;"REGEXMATCH(C3366,""threads"")=TRUE,""Threads""))))))"),"Facebook")</f>
        <v>Facebook</v>
      </c>
      <c r="G3366" s="41" t="s">
        <v>5764</v>
      </c>
      <c r="H3366" s="36"/>
      <c r="I3366" s="36"/>
      <c r="J3366" s="41" t="s">
        <v>188</v>
      </c>
      <c r="K3366" s="42"/>
      <c r="L3366" s="42"/>
    </row>
    <row r="3367">
      <c r="A3367" s="18">
        <v>3366.0</v>
      </c>
      <c r="B3367" s="76" t="s">
        <v>5737</v>
      </c>
      <c r="C3367" s="40" t="s">
        <v>5765</v>
      </c>
      <c r="D3367" s="41"/>
      <c r="E3367" s="41" t="s">
        <v>557</v>
      </c>
      <c r="F3367" s="41" t="str">
        <f>IFERROR(__xludf.DUMMYFUNCTION("if(REGEXMATCH(C3367,""x.com"")=TRUE,""Twitter"",if(REGEXMATCH(C3367,""facebook"")=TRUE,""Facebook"",if(REGEXMATCH(C3367,""instagram"")=TRUE,""Instagram"",if(REGEXMATCH(C3367,""youtube"")=TRUE,""Youtube"",if(REGEXMATCH(C3367,""tiktok"")=TRUE,""Tiktok"",if("&amp;"REGEXMATCH(C3367,""threads"")=TRUE,""Threads""))))))"),"Facebook")</f>
        <v>Facebook</v>
      </c>
      <c r="G3367" s="41" t="s">
        <v>5766</v>
      </c>
      <c r="H3367" s="36"/>
      <c r="I3367" s="36"/>
      <c r="J3367" s="41" t="s">
        <v>188</v>
      </c>
      <c r="K3367" s="42"/>
      <c r="L3367" s="42"/>
    </row>
    <row r="3368">
      <c r="A3368" s="18">
        <v>3367.0</v>
      </c>
      <c r="B3368" s="76" t="s">
        <v>5737</v>
      </c>
      <c r="C3368" s="40" t="s">
        <v>5767</v>
      </c>
      <c r="D3368" s="41"/>
      <c r="E3368" s="41" t="s">
        <v>557</v>
      </c>
      <c r="F3368" s="41" t="str">
        <f>IFERROR(__xludf.DUMMYFUNCTION("if(REGEXMATCH(C3368,""x.com"")=TRUE,""Twitter"",if(REGEXMATCH(C3368,""facebook"")=TRUE,""Facebook"",if(REGEXMATCH(C3368,""instagram"")=TRUE,""Instagram"",if(REGEXMATCH(C3368,""youtube"")=TRUE,""Youtube"",if(REGEXMATCH(C3368,""tiktok"")=TRUE,""Tiktok"",if("&amp;"REGEXMATCH(C3368,""threads"")=TRUE,""Threads""))))))"),"Twitter")</f>
        <v>Twitter</v>
      </c>
      <c r="G3368" s="41" t="s">
        <v>5768</v>
      </c>
      <c r="H3368" s="36"/>
      <c r="I3368" s="36"/>
      <c r="J3368" s="41" t="s">
        <v>188</v>
      </c>
      <c r="K3368" s="42"/>
      <c r="L3368" s="42"/>
    </row>
    <row r="3369">
      <c r="A3369" s="18">
        <v>3368.0</v>
      </c>
      <c r="B3369" s="76" t="s">
        <v>5737</v>
      </c>
      <c r="C3369" s="40" t="s">
        <v>5769</v>
      </c>
      <c r="D3369" s="41"/>
      <c r="E3369" s="41" t="s">
        <v>557</v>
      </c>
      <c r="F3369" s="41" t="str">
        <f>IFERROR(__xludf.DUMMYFUNCTION("if(REGEXMATCH(C3369,""x.com"")=TRUE,""Twitter"",if(REGEXMATCH(C3369,""facebook"")=TRUE,""Facebook"",if(REGEXMATCH(C3369,""instagram"")=TRUE,""Instagram"",if(REGEXMATCH(C3369,""youtube"")=TRUE,""Youtube"",if(REGEXMATCH(C3369,""tiktok"")=TRUE,""Tiktok"",if("&amp;"REGEXMATCH(C3369,""threads"")=TRUE,""Threads""))))))"),"Twitter")</f>
        <v>Twitter</v>
      </c>
      <c r="G3369" s="41" t="s">
        <v>5770</v>
      </c>
      <c r="H3369" s="35"/>
      <c r="I3369" s="35"/>
      <c r="J3369" s="41" t="s">
        <v>188</v>
      </c>
      <c r="K3369" s="42"/>
      <c r="L3369" s="42"/>
    </row>
    <row r="3370">
      <c r="A3370" s="18">
        <v>3369.0</v>
      </c>
      <c r="B3370" s="76" t="s">
        <v>5737</v>
      </c>
      <c r="C3370" s="40" t="s">
        <v>5771</v>
      </c>
      <c r="D3370" s="41"/>
      <c r="E3370" s="41" t="s">
        <v>1178</v>
      </c>
      <c r="F3370" s="41" t="str">
        <f>IFERROR(__xludf.DUMMYFUNCTION("if(REGEXMATCH(C3370,""x.com"")=TRUE,""Twitter"",if(REGEXMATCH(C3370,""facebook"")=TRUE,""Facebook"",if(REGEXMATCH(C3370,""instagram"")=TRUE,""Instagram"",if(REGEXMATCH(C3370,""youtube"")=TRUE,""Youtube"",if(REGEXMATCH(C3370,""tiktok"")=TRUE,""Tiktok"",if("&amp;"REGEXMATCH(C3370,""threads"")=TRUE,""Threads""))))))"),"Facebook")</f>
        <v>Facebook</v>
      </c>
      <c r="G3370" s="41" t="s">
        <v>2135</v>
      </c>
      <c r="H3370" s="41" t="s">
        <v>2136</v>
      </c>
      <c r="I3370" s="41" t="s">
        <v>2137</v>
      </c>
      <c r="J3370" s="41" t="s">
        <v>188</v>
      </c>
      <c r="K3370" s="41"/>
      <c r="L3370" s="42"/>
    </row>
    <row r="3371">
      <c r="A3371" s="18">
        <v>3370.0</v>
      </c>
      <c r="B3371" s="76" t="s">
        <v>5737</v>
      </c>
      <c r="C3371" s="44" t="s">
        <v>5772</v>
      </c>
      <c r="D3371" s="41"/>
      <c r="E3371" s="41" t="s">
        <v>1178</v>
      </c>
      <c r="F3371" s="41" t="str">
        <f>IFERROR(__xludf.DUMMYFUNCTION("if(REGEXMATCH(C3371,""x.com"")=TRUE,""Twitter"",if(REGEXMATCH(C3371,""facebook"")=TRUE,""Facebook"",if(REGEXMATCH(C3371,""instagram"")=TRUE,""Instagram"",if(REGEXMATCH(C3371,""youtube"")=TRUE,""Youtube"",if(REGEXMATCH(C3371,""tiktok"")=TRUE,""Tiktok"",if("&amp;"REGEXMATCH(C3371,""threads"")=TRUE,""Threads""))))))"),"Facebook")</f>
        <v>Facebook</v>
      </c>
      <c r="G3371" s="41" t="s">
        <v>2135</v>
      </c>
      <c r="H3371" s="41" t="s">
        <v>2136</v>
      </c>
      <c r="I3371" s="41" t="s">
        <v>2137</v>
      </c>
      <c r="J3371" s="41" t="s">
        <v>188</v>
      </c>
      <c r="K3371" s="41"/>
      <c r="L3371" s="42"/>
    </row>
    <row r="3372">
      <c r="A3372" s="18">
        <v>3371.0</v>
      </c>
      <c r="B3372" s="76" t="s">
        <v>5737</v>
      </c>
      <c r="C3372" s="40" t="s">
        <v>5773</v>
      </c>
      <c r="D3372" s="41"/>
      <c r="E3372" s="41" t="s">
        <v>1178</v>
      </c>
      <c r="F3372" s="41" t="str">
        <f>IFERROR(__xludf.DUMMYFUNCTION("if(REGEXMATCH(C3372,""x.com"")=TRUE,""Twitter"",if(REGEXMATCH(C3372,""facebook"")=TRUE,""Facebook"",if(REGEXMATCH(C3372,""instagram"")=TRUE,""Instagram"",if(REGEXMATCH(C3372,""youtube"")=TRUE,""Youtube"",if(REGEXMATCH(C3372,""tiktok"")=TRUE,""Tiktok"",if("&amp;"REGEXMATCH(C3372,""threads"")=TRUE,""Threads""))))))"),"Facebook")</f>
        <v>Facebook</v>
      </c>
      <c r="G3372" s="41" t="s">
        <v>2135</v>
      </c>
      <c r="H3372" s="41" t="s">
        <v>2136</v>
      </c>
      <c r="I3372" s="41" t="s">
        <v>2137</v>
      </c>
      <c r="J3372" s="41" t="s">
        <v>188</v>
      </c>
      <c r="K3372" s="41"/>
      <c r="L3372" s="42"/>
    </row>
    <row r="3373">
      <c r="A3373" s="18">
        <v>3372.0</v>
      </c>
      <c r="B3373" s="76" t="s">
        <v>5737</v>
      </c>
      <c r="C3373" s="40" t="s">
        <v>5774</v>
      </c>
      <c r="D3373" s="41"/>
      <c r="E3373" s="41" t="s">
        <v>1178</v>
      </c>
      <c r="F3373" s="41" t="str">
        <f>IFERROR(__xludf.DUMMYFUNCTION("if(REGEXMATCH(C3373,""x.com"")=TRUE,""Twitter"",if(REGEXMATCH(C3373,""facebook"")=TRUE,""Facebook"",if(REGEXMATCH(C3373,""instagram"")=TRUE,""Instagram"",if(REGEXMATCH(C3373,""youtube"")=TRUE,""Youtube"",if(REGEXMATCH(C3373,""tiktok"")=TRUE,""Tiktok"",if("&amp;"REGEXMATCH(C3373,""threads"")=TRUE,""Threads""))))))"),"Facebook")</f>
        <v>Facebook</v>
      </c>
      <c r="G3373" s="41" t="s">
        <v>2135</v>
      </c>
      <c r="H3373" s="41" t="s">
        <v>2136</v>
      </c>
      <c r="I3373" s="41" t="s">
        <v>2137</v>
      </c>
      <c r="J3373" s="41" t="s">
        <v>188</v>
      </c>
      <c r="K3373" s="41"/>
      <c r="L3373" s="42"/>
    </row>
    <row r="3374">
      <c r="A3374" s="18">
        <v>3373.0</v>
      </c>
      <c r="B3374" s="76" t="s">
        <v>5737</v>
      </c>
      <c r="C3374" s="44" t="s">
        <v>5775</v>
      </c>
      <c r="D3374" s="41"/>
      <c r="E3374" s="41" t="s">
        <v>1178</v>
      </c>
      <c r="F3374" s="41" t="str">
        <f>IFERROR(__xludf.DUMMYFUNCTION("if(REGEXMATCH(C3374,""x.com"")=TRUE,""Twitter"",if(REGEXMATCH(C3374,""facebook"")=TRUE,""Facebook"",if(REGEXMATCH(C3374,""instagram"")=TRUE,""Instagram"",if(REGEXMATCH(C3374,""youtube"")=TRUE,""Youtube"",if(REGEXMATCH(C3374,""tiktok"")=TRUE,""Tiktok"",if("&amp;"REGEXMATCH(C3374,""threads"")=TRUE,""Threads""))))))"),"Facebook")</f>
        <v>Facebook</v>
      </c>
      <c r="G3374" s="41" t="s">
        <v>2135</v>
      </c>
      <c r="H3374" s="41" t="s">
        <v>2136</v>
      </c>
      <c r="I3374" s="41" t="s">
        <v>2137</v>
      </c>
      <c r="J3374" s="41" t="s">
        <v>188</v>
      </c>
      <c r="K3374" s="41"/>
      <c r="L3374" s="42"/>
    </row>
    <row r="3375">
      <c r="A3375" s="18">
        <v>3374.0</v>
      </c>
      <c r="B3375" s="76" t="s">
        <v>5737</v>
      </c>
      <c r="C3375" s="47" t="s">
        <v>5776</v>
      </c>
      <c r="D3375" s="41"/>
      <c r="E3375" s="41" t="s">
        <v>1178</v>
      </c>
      <c r="F3375" s="41" t="str">
        <f>IFERROR(__xludf.DUMMYFUNCTION("if(REGEXMATCH(C3375,""x.com"")=TRUE,""Twitter"",if(REGEXMATCH(C3375,""facebook"")=TRUE,""Facebook"",if(REGEXMATCH(C3375,""instagram"")=TRUE,""Instagram"",if(REGEXMATCH(C3375,""youtube"")=TRUE,""Youtube"",if(REGEXMATCH(C3375,""tiktok"")=TRUE,""Tiktok"",if("&amp;"REGEXMATCH(C3375,""threads"")=TRUE,""Threads""))))))"),"Facebook")</f>
        <v>Facebook</v>
      </c>
      <c r="G3375" s="41" t="s">
        <v>2135</v>
      </c>
      <c r="H3375" s="41" t="s">
        <v>2136</v>
      </c>
      <c r="I3375" s="41" t="s">
        <v>2137</v>
      </c>
      <c r="J3375" s="41" t="s">
        <v>188</v>
      </c>
      <c r="K3375" s="41"/>
      <c r="L3375" s="42"/>
    </row>
    <row r="3376">
      <c r="A3376" s="18">
        <v>3375.0</v>
      </c>
      <c r="B3376" s="76" t="s">
        <v>5737</v>
      </c>
      <c r="C3376" s="40" t="s">
        <v>5777</v>
      </c>
      <c r="D3376" s="41"/>
      <c r="E3376" s="41" t="s">
        <v>1178</v>
      </c>
      <c r="F3376" s="41" t="str">
        <f>IFERROR(__xludf.DUMMYFUNCTION("if(REGEXMATCH(C3376,""x.com"")=TRUE,""Twitter"",if(REGEXMATCH(C3376,""facebook"")=TRUE,""Facebook"",if(REGEXMATCH(C3376,""instagram"")=TRUE,""Instagram"",if(REGEXMATCH(C3376,""youtube"")=TRUE,""Youtube"",if(REGEXMATCH(C3376,""tiktok"")=TRUE,""Tiktok"",if("&amp;"REGEXMATCH(C3376,""threads"")=TRUE,""Threads""))))))"),"Facebook")</f>
        <v>Facebook</v>
      </c>
      <c r="G3376" s="41" t="s">
        <v>2135</v>
      </c>
      <c r="H3376" s="41" t="s">
        <v>2136</v>
      </c>
      <c r="I3376" s="41" t="s">
        <v>2137</v>
      </c>
      <c r="J3376" s="41" t="s">
        <v>188</v>
      </c>
      <c r="K3376" s="18"/>
      <c r="L3376" s="42"/>
    </row>
    <row r="3377">
      <c r="A3377" s="18">
        <v>3376.0</v>
      </c>
      <c r="B3377" s="76" t="s">
        <v>5737</v>
      </c>
      <c r="C3377" s="40" t="s">
        <v>5778</v>
      </c>
      <c r="D3377" s="41"/>
      <c r="E3377" s="41" t="s">
        <v>1178</v>
      </c>
      <c r="F3377" s="41" t="str">
        <f>IFERROR(__xludf.DUMMYFUNCTION("if(REGEXMATCH(C3377,""x.com"")=TRUE,""Twitter"",if(REGEXMATCH(C3377,""facebook"")=TRUE,""Facebook"",if(REGEXMATCH(C3377,""instagram"")=TRUE,""Instagram"",if(REGEXMATCH(C3377,""youtube"")=TRUE,""Youtube"",if(REGEXMATCH(C3377,""tiktok"")=TRUE,""Tiktok"",if("&amp;"REGEXMATCH(C3377,""threads"")=TRUE,""Threads""))))))"),"Facebook")</f>
        <v>Facebook</v>
      </c>
      <c r="G3377" s="41" t="s">
        <v>2135</v>
      </c>
      <c r="H3377" s="41" t="s">
        <v>2136</v>
      </c>
      <c r="I3377" s="41" t="s">
        <v>2137</v>
      </c>
      <c r="J3377" s="41" t="s">
        <v>188</v>
      </c>
      <c r="K3377" s="41"/>
      <c r="L3377" s="42"/>
    </row>
    <row r="3378">
      <c r="A3378" s="18">
        <v>3377.0</v>
      </c>
      <c r="B3378" s="76" t="s">
        <v>5737</v>
      </c>
      <c r="C3378" s="40" t="s">
        <v>5779</v>
      </c>
      <c r="D3378" s="41"/>
      <c r="E3378" s="41" t="s">
        <v>1178</v>
      </c>
      <c r="F3378" s="41" t="str">
        <f>IFERROR(__xludf.DUMMYFUNCTION("if(REGEXMATCH(C3378,""x.com"")=TRUE,""Twitter"",if(REGEXMATCH(C3378,""facebook"")=TRUE,""Facebook"",if(REGEXMATCH(C3378,""instagram"")=TRUE,""Instagram"",if(REGEXMATCH(C3378,""youtube"")=TRUE,""Youtube"",if(REGEXMATCH(C3378,""tiktok"")=TRUE,""Tiktok"",if("&amp;"REGEXMATCH(C3378,""threads"")=TRUE,""Threads""))))))"),"Facebook")</f>
        <v>Facebook</v>
      </c>
      <c r="G3378" s="41" t="s">
        <v>2135</v>
      </c>
      <c r="H3378" s="41" t="s">
        <v>2136</v>
      </c>
      <c r="I3378" s="41" t="s">
        <v>2137</v>
      </c>
      <c r="J3378" s="41" t="s">
        <v>188</v>
      </c>
      <c r="K3378" s="41"/>
      <c r="L3378" s="42"/>
    </row>
    <row r="3379">
      <c r="A3379" s="18">
        <v>3378.0</v>
      </c>
      <c r="B3379" s="76" t="s">
        <v>5737</v>
      </c>
      <c r="C3379" s="40" t="s">
        <v>5780</v>
      </c>
      <c r="D3379" s="41"/>
      <c r="E3379" s="41" t="s">
        <v>1178</v>
      </c>
      <c r="F3379" s="41" t="str">
        <f>IFERROR(__xludf.DUMMYFUNCTION("if(REGEXMATCH(C3379,""x.com"")=TRUE,""Twitter"",if(REGEXMATCH(C3379,""facebook"")=TRUE,""Facebook"",if(REGEXMATCH(C3379,""instagram"")=TRUE,""Instagram"",if(REGEXMATCH(C3379,""youtube"")=TRUE,""Youtube"",if(REGEXMATCH(C3379,""tiktok"")=TRUE,""Tiktok"",if("&amp;"REGEXMATCH(C3379,""threads"")=TRUE,""Threads""))))))"),"Facebook")</f>
        <v>Facebook</v>
      </c>
      <c r="G3379" s="41" t="s">
        <v>2135</v>
      </c>
      <c r="H3379" s="41" t="s">
        <v>2136</v>
      </c>
      <c r="I3379" s="41" t="s">
        <v>2137</v>
      </c>
      <c r="J3379" s="41" t="s">
        <v>188</v>
      </c>
      <c r="K3379" s="41"/>
      <c r="L3379" s="42"/>
    </row>
    <row r="3380">
      <c r="A3380" s="18">
        <v>3379.0</v>
      </c>
      <c r="B3380" s="76" t="s">
        <v>5737</v>
      </c>
      <c r="C3380" s="40" t="s">
        <v>5781</v>
      </c>
      <c r="D3380" s="41"/>
      <c r="E3380" s="41" t="s">
        <v>1178</v>
      </c>
      <c r="F3380" s="41" t="str">
        <f>IFERROR(__xludf.DUMMYFUNCTION("if(REGEXMATCH(C3380,""x.com"")=TRUE,""Twitter"",if(REGEXMATCH(C3380,""facebook"")=TRUE,""Facebook"",if(REGEXMATCH(C3380,""instagram"")=TRUE,""Instagram"",if(REGEXMATCH(C3380,""youtube"")=TRUE,""Youtube"",if(REGEXMATCH(C3380,""tiktok"")=TRUE,""Tiktok"",if("&amp;"REGEXMATCH(C3380,""threads"")=TRUE,""Threads""))))))"),"Twitter")</f>
        <v>Twitter</v>
      </c>
      <c r="G3380" s="41" t="s">
        <v>2135</v>
      </c>
      <c r="H3380" s="41" t="s">
        <v>2136</v>
      </c>
      <c r="I3380" s="41" t="s">
        <v>2137</v>
      </c>
      <c r="J3380" s="41" t="s">
        <v>188</v>
      </c>
      <c r="K3380" s="41"/>
      <c r="L3380" s="42"/>
    </row>
    <row r="3381">
      <c r="A3381" s="18">
        <v>3380.0</v>
      </c>
      <c r="B3381" s="76" t="s">
        <v>5737</v>
      </c>
      <c r="C3381" s="40" t="s">
        <v>5782</v>
      </c>
      <c r="D3381" s="41"/>
      <c r="E3381" s="41" t="s">
        <v>1178</v>
      </c>
      <c r="F3381" s="41" t="str">
        <f>IFERROR(__xludf.DUMMYFUNCTION("if(REGEXMATCH(C3381,""x.com"")=TRUE,""Twitter"",if(REGEXMATCH(C3381,""facebook"")=TRUE,""Facebook"",if(REGEXMATCH(C3381,""instagram"")=TRUE,""Instagram"",if(REGEXMATCH(C3381,""youtube"")=TRUE,""Youtube"",if(REGEXMATCH(C3381,""tiktok"")=TRUE,""Tiktok"",if("&amp;"REGEXMATCH(C3381,""threads"")=TRUE,""Threads""))))))"),"Twitter")</f>
        <v>Twitter</v>
      </c>
      <c r="G3381" s="41" t="s">
        <v>2135</v>
      </c>
      <c r="H3381" s="41" t="s">
        <v>2136</v>
      </c>
      <c r="I3381" s="41" t="s">
        <v>2137</v>
      </c>
      <c r="J3381" s="41" t="s">
        <v>188</v>
      </c>
      <c r="K3381" s="41"/>
      <c r="L3381" s="42"/>
    </row>
    <row r="3382">
      <c r="A3382" s="18">
        <v>3381.0</v>
      </c>
      <c r="B3382" s="76" t="s">
        <v>5737</v>
      </c>
      <c r="C3382" s="40" t="s">
        <v>5783</v>
      </c>
      <c r="D3382" s="41"/>
      <c r="E3382" s="41" t="s">
        <v>1178</v>
      </c>
      <c r="F3382" s="41" t="str">
        <f>IFERROR(__xludf.DUMMYFUNCTION("if(REGEXMATCH(C3382,""x.com"")=TRUE,""Twitter"",if(REGEXMATCH(C3382,""facebook"")=TRUE,""Facebook"",if(REGEXMATCH(C3382,""instagram"")=TRUE,""Instagram"",if(REGEXMATCH(C3382,""youtube"")=TRUE,""Youtube"",if(REGEXMATCH(C3382,""tiktok"")=TRUE,""Tiktok"",if("&amp;"REGEXMATCH(C3382,""threads"")=TRUE,""Threads""))))))"),"Facebook")</f>
        <v>Facebook</v>
      </c>
      <c r="G3382" s="41" t="s">
        <v>2135</v>
      </c>
      <c r="H3382" s="41" t="s">
        <v>2136</v>
      </c>
      <c r="I3382" s="41" t="s">
        <v>2137</v>
      </c>
      <c r="J3382" s="41" t="s">
        <v>188</v>
      </c>
      <c r="K3382" s="41"/>
      <c r="L3382" s="42"/>
    </row>
    <row r="3383">
      <c r="A3383" s="18">
        <v>3382.0</v>
      </c>
      <c r="B3383" s="76" t="s">
        <v>5737</v>
      </c>
      <c r="C3383" s="40" t="s">
        <v>5784</v>
      </c>
      <c r="D3383" s="41"/>
      <c r="E3383" s="41" t="s">
        <v>1178</v>
      </c>
      <c r="F3383" s="41" t="s">
        <v>5785</v>
      </c>
      <c r="G3383" s="41" t="s">
        <v>2135</v>
      </c>
      <c r="H3383" s="41" t="s">
        <v>2136</v>
      </c>
      <c r="I3383" s="41" t="s">
        <v>2137</v>
      </c>
      <c r="J3383" s="41" t="s">
        <v>422</v>
      </c>
      <c r="K3383" s="41" t="s">
        <v>1040</v>
      </c>
      <c r="L3383" s="42"/>
    </row>
    <row r="3384">
      <c r="A3384" s="18">
        <v>3383.0</v>
      </c>
      <c r="B3384" s="76" t="s">
        <v>5737</v>
      </c>
      <c r="C3384" s="40" t="s">
        <v>5786</v>
      </c>
      <c r="D3384" s="41"/>
      <c r="E3384" s="41" t="s">
        <v>1178</v>
      </c>
      <c r="F3384" s="41" t="str">
        <f>IFERROR(__xludf.DUMMYFUNCTION("if(REGEXMATCH(C3384,""x.com"")=TRUE,""Twitter"",if(REGEXMATCH(C3384,""facebook"")=TRUE,""Facebook"",if(REGEXMATCH(C3384,""instagram"")=TRUE,""Instagram"",if(REGEXMATCH(C3384,""youtube"")=TRUE,""Youtube"",if(REGEXMATCH(C3384,""tiktok"")=TRUE,""Tiktok"",if("&amp;"REGEXMATCH(C3384,""threads"")=TRUE,""Threads""))))))"),"Twitter")</f>
        <v>Twitter</v>
      </c>
      <c r="G3384" s="41" t="s">
        <v>2135</v>
      </c>
      <c r="H3384" s="41" t="s">
        <v>2136</v>
      </c>
      <c r="I3384" s="41" t="s">
        <v>2137</v>
      </c>
      <c r="J3384" s="41" t="s">
        <v>188</v>
      </c>
      <c r="K3384" s="18"/>
      <c r="L3384" s="42"/>
    </row>
    <row r="3385">
      <c r="A3385" s="18">
        <v>3384.0</v>
      </c>
      <c r="B3385" s="76" t="s">
        <v>5737</v>
      </c>
      <c r="C3385" s="40" t="s">
        <v>5787</v>
      </c>
      <c r="D3385" s="41"/>
      <c r="E3385" s="41" t="s">
        <v>1178</v>
      </c>
      <c r="F3385" s="41" t="str">
        <f>IFERROR(__xludf.DUMMYFUNCTION("if(REGEXMATCH(C3385,""x.com"")=TRUE,""Twitter"",if(REGEXMATCH(C3385,""facebook"")=TRUE,""Facebook"",if(REGEXMATCH(C3385,""instagram"")=TRUE,""Instagram"",if(REGEXMATCH(C3385,""youtube"")=TRUE,""Youtube"",if(REGEXMATCH(C3385,""tiktok"")=TRUE,""Tiktok"",if("&amp;"REGEXMATCH(C3385,""threads"")=TRUE,""Threads""))))))"),"Twitter")</f>
        <v>Twitter</v>
      </c>
      <c r="G3385" s="41" t="s">
        <v>2135</v>
      </c>
      <c r="H3385" s="41" t="s">
        <v>2136</v>
      </c>
      <c r="I3385" s="41" t="s">
        <v>2137</v>
      </c>
      <c r="J3385" s="41" t="s">
        <v>188</v>
      </c>
      <c r="K3385" s="41"/>
      <c r="L3385" s="42"/>
    </row>
    <row r="3386">
      <c r="A3386" s="18">
        <v>3385.0</v>
      </c>
      <c r="B3386" s="76" t="s">
        <v>5737</v>
      </c>
      <c r="C3386" s="40" t="s">
        <v>5788</v>
      </c>
      <c r="D3386" s="41"/>
      <c r="E3386" s="41" t="s">
        <v>1178</v>
      </c>
      <c r="F3386" s="41" t="s">
        <v>5785</v>
      </c>
      <c r="G3386" s="41" t="s">
        <v>2135</v>
      </c>
      <c r="H3386" s="41" t="s">
        <v>2136</v>
      </c>
      <c r="I3386" s="41" t="s">
        <v>2137</v>
      </c>
      <c r="J3386" s="41" t="s">
        <v>422</v>
      </c>
      <c r="K3386" s="41" t="s">
        <v>1040</v>
      </c>
      <c r="L3386" s="42"/>
    </row>
    <row r="3387">
      <c r="A3387" s="18">
        <v>3386.0</v>
      </c>
      <c r="B3387" s="76" t="s">
        <v>5737</v>
      </c>
      <c r="C3387" s="40" t="s">
        <v>5789</v>
      </c>
      <c r="D3387" s="41"/>
      <c r="E3387" s="41" t="s">
        <v>1178</v>
      </c>
      <c r="F3387" s="41" t="s">
        <v>5785</v>
      </c>
      <c r="G3387" s="41" t="s">
        <v>2135</v>
      </c>
      <c r="H3387" s="41" t="s">
        <v>2136</v>
      </c>
      <c r="I3387" s="41" t="s">
        <v>2137</v>
      </c>
      <c r="J3387" s="41" t="s">
        <v>422</v>
      </c>
      <c r="K3387" s="41" t="s">
        <v>1040</v>
      </c>
      <c r="L3387" s="42"/>
    </row>
    <row r="3388">
      <c r="A3388" s="18">
        <v>3387.0</v>
      </c>
      <c r="B3388" s="76" t="s">
        <v>5737</v>
      </c>
      <c r="C3388" s="40" t="s">
        <v>5790</v>
      </c>
      <c r="D3388" s="41"/>
      <c r="E3388" s="41" t="s">
        <v>1178</v>
      </c>
      <c r="F3388" s="41" t="s">
        <v>5785</v>
      </c>
      <c r="G3388" s="41" t="s">
        <v>2135</v>
      </c>
      <c r="H3388" s="41" t="s">
        <v>2136</v>
      </c>
      <c r="I3388" s="41" t="s">
        <v>2137</v>
      </c>
      <c r="J3388" s="41" t="s">
        <v>422</v>
      </c>
      <c r="K3388" s="41" t="s">
        <v>1040</v>
      </c>
      <c r="L3388" s="42"/>
    </row>
    <row r="3389">
      <c r="A3389" s="18">
        <v>3388.0</v>
      </c>
      <c r="B3389" s="76" t="s">
        <v>5737</v>
      </c>
      <c r="C3389" s="40" t="s">
        <v>5791</v>
      </c>
      <c r="D3389" s="41"/>
      <c r="E3389" s="41" t="s">
        <v>1178</v>
      </c>
      <c r="F3389" s="41" t="str">
        <f>IFERROR(__xludf.DUMMYFUNCTION("if(REGEXMATCH(C3389,""x.com"")=TRUE,""Twitter"",if(REGEXMATCH(C3389,""facebook"")=TRUE,""Facebook"",if(REGEXMATCH(C3389,""instagram"")=TRUE,""Instagram"",if(REGEXMATCH(C3389,""youtube"")=TRUE,""Youtube"",if(REGEXMATCH(C3389,""tiktok"")=TRUE,""Tiktok"",if("&amp;"REGEXMATCH(C3389,""threads"")=TRUE,""Threads""))))))"),"Twitter")</f>
        <v>Twitter</v>
      </c>
      <c r="G3389" s="41" t="s">
        <v>2135</v>
      </c>
      <c r="H3389" s="41" t="s">
        <v>2136</v>
      </c>
      <c r="I3389" s="41" t="s">
        <v>2137</v>
      </c>
      <c r="J3389" s="41" t="s">
        <v>188</v>
      </c>
      <c r="K3389" s="18"/>
      <c r="L3389" s="42"/>
    </row>
    <row r="3390">
      <c r="A3390" s="18">
        <v>3389.0</v>
      </c>
      <c r="B3390" s="76" t="s">
        <v>5737</v>
      </c>
      <c r="C3390" s="40" t="s">
        <v>5792</v>
      </c>
      <c r="D3390" s="41"/>
      <c r="E3390" s="41" t="s">
        <v>1178</v>
      </c>
      <c r="F3390" s="41" t="str">
        <f>IFERROR(__xludf.DUMMYFUNCTION("if(REGEXMATCH(C3390,""x.com"")=TRUE,""Twitter"",if(REGEXMATCH(C3390,""facebook"")=TRUE,""Facebook"",if(REGEXMATCH(C3390,""instagram"")=TRUE,""Instagram"",if(REGEXMATCH(C3390,""youtube"")=TRUE,""Youtube"",if(REGEXMATCH(C3390,""tiktok"")=TRUE,""Tiktok"",if("&amp;"REGEXMATCH(C3390,""threads"")=TRUE,""Threads""))))))"),"Twitter")</f>
        <v>Twitter</v>
      </c>
      <c r="G3390" s="41" t="s">
        <v>2135</v>
      </c>
      <c r="H3390" s="41" t="s">
        <v>2136</v>
      </c>
      <c r="I3390" s="41" t="s">
        <v>2137</v>
      </c>
      <c r="J3390" s="41" t="s">
        <v>188</v>
      </c>
      <c r="K3390" s="18"/>
      <c r="L3390" s="42"/>
    </row>
    <row r="3391">
      <c r="A3391" s="18">
        <v>3390.0</v>
      </c>
      <c r="B3391" s="76" t="s">
        <v>5737</v>
      </c>
      <c r="C3391" s="40" t="s">
        <v>5793</v>
      </c>
      <c r="D3391" s="41"/>
      <c r="E3391" s="41" t="s">
        <v>1178</v>
      </c>
      <c r="F3391" s="41" t="str">
        <f>IFERROR(__xludf.DUMMYFUNCTION("if(REGEXMATCH(C3391,""x.com"")=TRUE,""Twitter"",if(REGEXMATCH(C3391,""facebook"")=TRUE,""Facebook"",if(REGEXMATCH(C3391,""instagram"")=TRUE,""Instagram"",if(REGEXMATCH(C3391,""youtube"")=TRUE,""Youtube"",if(REGEXMATCH(C3391,""tiktok"")=TRUE,""Tiktok"",if("&amp;"REGEXMATCH(C3391,""threads"")=TRUE,""Threads""))))))"),"Twitter")</f>
        <v>Twitter</v>
      </c>
      <c r="G3391" s="41" t="s">
        <v>2135</v>
      </c>
      <c r="H3391" s="41" t="s">
        <v>2136</v>
      </c>
      <c r="I3391" s="41" t="s">
        <v>2137</v>
      </c>
      <c r="J3391" s="41" t="s">
        <v>188</v>
      </c>
      <c r="K3391" s="18"/>
      <c r="L3391" s="42"/>
    </row>
    <row r="3392">
      <c r="A3392" s="18">
        <v>3391.0</v>
      </c>
      <c r="B3392" s="76" t="s">
        <v>5737</v>
      </c>
      <c r="C3392" s="40" t="s">
        <v>5794</v>
      </c>
      <c r="D3392" s="41"/>
      <c r="E3392" s="41" t="s">
        <v>2018</v>
      </c>
      <c r="F3392" s="41" t="str">
        <f>IFERROR(__xludf.DUMMYFUNCTION("if(REGEXMATCH(C3392,""x.com"")=TRUE,""Twitter"",if(REGEXMATCH(C3392,""facebook"")=TRUE,""Facebook"",if(REGEXMATCH(C3392,""instagram"")=TRUE,""Instagram"",if(REGEXMATCH(C3392,""youtube"")=TRUE,""Youtube"",if(REGEXMATCH(C3392,""tiktok"")=TRUE,""Tiktok"",if("&amp;"REGEXMATCH(C3392,""threads"")=TRUE,""Threads""))))))"),"Facebook")</f>
        <v>Facebook</v>
      </c>
      <c r="G3392" s="41" t="s">
        <v>5795</v>
      </c>
      <c r="H3392" s="18" t="s">
        <v>2023</v>
      </c>
      <c r="I3392" s="41"/>
      <c r="J3392" s="41" t="s">
        <v>188</v>
      </c>
      <c r="K3392" s="41"/>
      <c r="L3392" s="42"/>
    </row>
    <row r="3393">
      <c r="A3393" s="18">
        <v>3392.0</v>
      </c>
      <c r="B3393" s="76" t="s">
        <v>5737</v>
      </c>
      <c r="C3393" s="40" t="s">
        <v>5796</v>
      </c>
      <c r="D3393" s="41"/>
      <c r="E3393" s="41" t="s">
        <v>2018</v>
      </c>
      <c r="F3393" s="41" t="str">
        <f>IFERROR(__xludf.DUMMYFUNCTION("if(REGEXMATCH(C3393,""x.com"")=TRUE,""Twitter"",if(REGEXMATCH(C3393,""facebook"")=TRUE,""Facebook"",if(REGEXMATCH(C3393,""instagram"")=TRUE,""Instagram"",if(REGEXMATCH(C3393,""youtube"")=TRUE,""Youtube"",if(REGEXMATCH(C3393,""tiktok"")=TRUE,""Tiktok"",if("&amp;"REGEXMATCH(C3393,""threads"")=TRUE,""Threads""))))))"),"Facebook")</f>
        <v>Facebook</v>
      </c>
      <c r="G3393" s="41" t="s">
        <v>5795</v>
      </c>
      <c r="H3393" s="18" t="s">
        <v>2023</v>
      </c>
      <c r="I3393" s="18"/>
      <c r="J3393" s="41" t="s">
        <v>188</v>
      </c>
      <c r="K3393" s="41"/>
      <c r="L3393" s="42"/>
    </row>
    <row r="3394">
      <c r="A3394" s="18">
        <v>3393.0</v>
      </c>
      <c r="B3394" s="76" t="s">
        <v>5737</v>
      </c>
      <c r="C3394" s="44" t="s">
        <v>5797</v>
      </c>
      <c r="D3394" s="41"/>
      <c r="E3394" s="41" t="s">
        <v>2018</v>
      </c>
      <c r="F3394" s="41" t="str">
        <f>IFERROR(__xludf.DUMMYFUNCTION("if(REGEXMATCH(C3394,""x.com"")=TRUE,""Twitter"",if(REGEXMATCH(C3394,""facebook"")=TRUE,""Facebook"",if(REGEXMATCH(C3394,""instagram"")=TRUE,""Instagram"",if(REGEXMATCH(C3394,""youtube"")=TRUE,""Youtube"",if(REGEXMATCH(C3394,""tiktok"")=TRUE,""Tiktok"",if("&amp;"REGEXMATCH(C3394,""threads"")=TRUE,""Threads""))))))"),"Facebook")</f>
        <v>Facebook</v>
      </c>
      <c r="G3394" s="41" t="s">
        <v>5795</v>
      </c>
      <c r="H3394" s="18" t="s">
        <v>2023</v>
      </c>
      <c r="I3394" s="18"/>
      <c r="J3394" s="41" t="s">
        <v>188</v>
      </c>
      <c r="K3394" s="41"/>
      <c r="L3394" s="42"/>
    </row>
    <row r="3395">
      <c r="A3395" s="18">
        <v>3394.0</v>
      </c>
      <c r="B3395" s="76" t="s">
        <v>5798</v>
      </c>
      <c r="C3395" s="47" t="s">
        <v>5799</v>
      </c>
      <c r="D3395" s="41"/>
      <c r="E3395" s="41" t="s">
        <v>230</v>
      </c>
      <c r="F3395" s="41" t="str">
        <f>IFERROR(__xludf.DUMMYFUNCTION("if(REGEXMATCH(C3395,""x.com"")=TRUE,""Twitter"",if(REGEXMATCH(C3395,""facebook"")=TRUE,""Facebook"",if(REGEXMATCH(C3395,""instagram"")=TRUE,""Instagram"",if(REGEXMATCH(C3395,""youtube"")=TRUE,""Youtube"",if(REGEXMATCH(C3395,""tiktok"")=TRUE,""Tiktok"",if("&amp;"REGEXMATCH(C3395,""threads"")=TRUE,""Threads""))))))"),"Tiktok")</f>
        <v>Tiktok</v>
      </c>
      <c r="G3395" s="41" t="s">
        <v>5800</v>
      </c>
      <c r="H3395" s="43" t="s">
        <v>5801</v>
      </c>
      <c r="I3395" s="43" t="s">
        <v>535</v>
      </c>
      <c r="J3395" s="41" t="s">
        <v>188</v>
      </c>
      <c r="K3395" s="41"/>
      <c r="L3395" s="42"/>
    </row>
    <row r="3396">
      <c r="A3396" s="18">
        <v>3395.0</v>
      </c>
      <c r="B3396" s="76" t="s">
        <v>5798</v>
      </c>
      <c r="C3396" s="47" t="s">
        <v>5802</v>
      </c>
      <c r="D3396" s="41"/>
      <c r="E3396" s="41" t="s">
        <v>230</v>
      </c>
      <c r="F3396" s="41" t="str">
        <f>IFERROR(__xludf.DUMMYFUNCTION("if(REGEXMATCH(C3396,""x.com"")=TRUE,""Twitter"",if(REGEXMATCH(C3396,""facebook"")=TRUE,""Facebook"",if(REGEXMATCH(C3396,""instagram"")=TRUE,""Instagram"",if(REGEXMATCH(C3396,""youtube"")=TRUE,""Youtube"",if(REGEXMATCH(C3396,""tiktok"")=TRUE,""Tiktok"",if("&amp;"REGEXMATCH(C3396,""threads"")=TRUE,""Threads""))))))"),"Tiktok")</f>
        <v>Tiktok</v>
      </c>
      <c r="G3396" s="41" t="s">
        <v>5803</v>
      </c>
      <c r="H3396" s="36"/>
      <c r="I3396" s="36"/>
      <c r="J3396" s="41" t="s">
        <v>188</v>
      </c>
      <c r="K3396" s="41"/>
      <c r="L3396" s="42"/>
    </row>
    <row r="3397">
      <c r="A3397" s="18">
        <v>3396.0</v>
      </c>
      <c r="B3397" s="76" t="s">
        <v>5798</v>
      </c>
      <c r="C3397" s="47" t="s">
        <v>5804</v>
      </c>
      <c r="D3397" s="41"/>
      <c r="E3397" s="41" t="s">
        <v>197</v>
      </c>
      <c r="F3397" s="41" t="str">
        <f>IFERROR(__xludf.DUMMYFUNCTION("if(REGEXMATCH(C3397,""x.com"")=TRUE,""Twitter"",if(REGEXMATCH(C3397,""facebook"")=TRUE,""Facebook"",if(REGEXMATCH(C3397,""instagram"")=TRUE,""Instagram"",if(REGEXMATCH(C3397,""youtube"")=TRUE,""Youtube"",if(REGEXMATCH(C3397,""tiktok"")=TRUE,""Tiktok"",if("&amp;"REGEXMATCH(C3397,""threads"")=TRUE,""Threads""))))))"),"Tiktok")</f>
        <v>Tiktok</v>
      </c>
      <c r="G3397" s="41" t="s">
        <v>5805</v>
      </c>
      <c r="H3397" s="36"/>
      <c r="I3397" s="36"/>
      <c r="J3397" s="41" t="s">
        <v>188</v>
      </c>
      <c r="K3397" s="41"/>
      <c r="L3397" s="42"/>
    </row>
    <row r="3398">
      <c r="A3398" s="18">
        <v>3397.0</v>
      </c>
      <c r="B3398" s="76" t="s">
        <v>5798</v>
      </c>
      <c r="C3398" s="47" t="s">
        <v>5806</v>
      </c>
      <c r="D3398" s="41"/>
      <c r="E3398" s="41" t="s">
        <v>447</v>
      </c>
      <c r="F3398" s="41" t="str">
        <f>IFERROR(__xludf.DUMMYFUNCTION("if(REGEXMATCH(C3398,""x.com"")=TRUE,""Twitter"",if(REGEXMATCH(C3398,""facebook"")=TRUE,""Facebook"",if(REGEXMATCH(C3398,""instagram"")=TRUE,""Instagram"",if(REGEXMATCH(C3398,""youtube"")=TRUE,""Youtube"",if(REGEXMATCH(C3398,""tiktok"")=TRUE,""Tiktok"",if("&amp;"REGEXMATCH(C3398,""threads"")=TRUE,""Threads""))))))"),"Facebook")</f>
        <v>Facebook</v>
      </c>
      <c r="G3398" s="41" t="s">
        <v>5807</v>
      </c>
      <c r="H3398" s="36"/>
      <c r="I3398" s="36"/>
      <c r="J3398" s="41" t="s">
        <v>188</v>
      </c>
      <c r="K3398" s="41"/>
      <c r="L3398" s="42"/>
    </row>
    <row r="3399">
      <c r="A3399" s="18">
        <v>3398.0</v>
      </c>
      <c r="B3399" s="76" t="s">
        <v>5798</v>
      </c>
      <c r="C3399" s="47" t="s">
        <v>5808</v>
      </c>
      <c r="D3399" s="41"/>
      <c r="E3399" s="41" t="s">
        <v>447</v>
      </c>
      <c r="F3399" s="41" t="str">
        <f>IFERROR(__xludf.DUMMYFUNCTION("if(REGEXMATCH(C3399,""x.com"")=TRUE,""Twitter"",if(REGEXMATCH(C3399,""facebook"")=TRUE,""Facebook"",if(REGEXMATCH(C3399,""instagram"")=TRUE,""Instagram"",if(REGEXMATCH(C3399,""youtube"")=TRUE,""Youtube"",if(REGEXMATCH(C3399,""tiktok"")=TRUE,""Tiktok"",if("&amp;"REGEXMATCH(C3399,""threads"")=TRUE,""Threads""))))))"),"Facebook")</f>
        <v>Facebook</v>
      </c>
      <c r="G3399" s="41" t="s">
        <v>5809</v>
      </c>
      <c r="H3399" s="36"/>
      <c r="I3399" s="36"/>
      <c r="J3399" s="41" t="s">
        <v>188</v>
      </c>
      <c r="K3399" s="41"/>
      <c r="L3399" s="42"/>
    </row>
    <row r="3400">
      <c r="A3400" s="18">
        <v>3399.0</v>
      </c>
      <c r="B3400" s="76" t="s">
        <v>5798</v>
      </c>
      <c r="C3400" s="47" t="s">
        <v>5810</v>
      </c>
      <c r="D3400" s="41"/>
      <c r="E3400" s="41" t="s">
        <v>447</v>
      </c>
      <c r="F3400" s="41" t="str">
        <f>IFERROR(__xludf.DUMMYFUNCTION("if(REGEXMATCH(C3400,""x.com"")=TRUE,""Twitter"",if(REGEXMATCH(C3400,""facebook"")=TRUE,""Facebook"",if(REGEXMATCH(C3400,""instagram"")=TRUE,""Instagram"",if(REGEXMATCH(C3400,""youtube"")=TRUE,""Youtube"",if(REGEXMATCH(C3400,""tiktok"")=TRUE,""Tiktok"",if("&amp;"REGEXMATCH(C3400,""threads"")=TRUE,""Threads""))))))"),"Facebook")</f>
        <v>Facebook</v>
      </c>
      <c r="G3400" s="41" t="s">
        <v>5811</v>
      </c>
      <c r="H3400" s="36"/>
      <c r="I3400" s="36"/>
      <c r="J3400" s="41" t="s">
        <v>188</v>
      </c>
      <c r="K3400" s="41"/>
      <c r="L3400" s="42"/>
    </row>
    <row r="3401">
      <c r="A3401" s="18">
        <v>3400.0</v>
      </c>
      <c r="B3401" s="76" t="s">
        <v>5798</v>
      </c>
      <c r="C3401" s="47" t="s">
        <v>5812</v>
      </c>
      <c r="D3401" s="41"/>
      <c r="E3401" s="41" t="s">
        <v>230</v>
      </c>
      <c r="F3401" s="41" t="str">
        <f>IFERROR(__xludf.DUMMYFUNCTION("if(REGEXMATCH(C3401,""x.com"")=TRUE,""Twitter"",if(REGEXMATCH(C3401,""facebook"")=TRUE,""Facebook"",if(REGEXMATCH(C3401,""instagram"")=TRUE,""Instagram"",if(REGEXMATCH(C3401,""youtube"")=TRUE,""Youtube"",if(REGEXMATCH(C3401,""tiktok"")=TRUE,""Tiktok"",if("&amp;"REGEXMATCH(C3401,""threads"")=TRUE,""Threads""))))))"),"Twitter")</f>
        <v>Twitter</v>
      </c>
      <c r="G3401" s="41" t="s">
        <v>5813</v>
      </c>
      <c r="H3401" s="36"/>
      <c r="I3401" s="36"/>
      <c r="J3401" s="41" t="s">
        <v>188</v>
      </c>
      <c r="K3401" s="41"/>
      <c r="L3401" s="42"/>
    </row>
    <row r="3402">
      <c r="A3402" s="18">
        <v>3401.0</v>
      </c>
      <c r="B3402" s="76" t="s">
        <v>5798</v>
      </c>
      <c r="C3402" s="47" t="s">
        <v>5814</v>
      </c>
      <c r="D3402" s="41"/>
      <c r="E3402" s="41" t="s">
        <v>230</v>
      </c>
      <c r="F3402" s="41" t="str">
        <f>IFERROR(__xludf.DUMMYFUNCTION("if(REGEXMATCH(C3402,""x.com"")=TRUE,""Twitter"",if(REGEXMATCH(C3402,""facebook"")=TRUE,""Facebook"",if(REGEXMATCH(C3402,""instagram"")=TRUE,""Instagram"",if(REGEXMATCH(C3402,""youtube"")=TRUE,""Youtube"",if(REGEXMATCH(C3402,""tiktok"")=TRUE,""Tiktok"",if("&amp;"REGEXMATCH(C3402,""threads"")=TRUE,""Threads""))))))"),"Twitter")</f>
        <v>Twitter</v>
      </c>
      <c r="G3402" s="41" t="s">
        <v>5815</v>
      </c>
      <c r="H3402" s="36"/>
      <c r="I3402" s="36"/>
      <c r="J3402" s="41" t="s">
        <v>188</v>
      </c>
      <c r="K3402" s="41"/>
      <c r="L3402" s="42"/>
    </row>
    <row r="3403">
      <c r="A3403" s="18">
        <v>3402.0</v>
      </c>
      <c r="B3403" s="76" t="s">
        <v>5798</v>
      </c>
      <c r="C3403" s="47" t="s">
        <v>5816</v>
      </c>
      <c r="D3403" s="41"/>
      <c r="E3403" s="41" t="s">
        <v>197</v>
      </c>
      <c r="F3403" s="41" t="str">
        <f>IFERROR(__xludf.DUMMYFUNCTION("if(REGEXMATCH(C3403,""x.com"")=TRUE,""Twitter"",if(REGEXMATCH(C3403,""facebook"")=TRUE,""Facebook"",if(REGEXMATCH(C3403,""instagram"")=TRUE,""Instagram"",if(REGEXMATCH(C3403,""youtube"")=TRUE,""Youtube"",if(REGEXMATCH(C3403,""tiktok"")=TRUE,""Tiktok"",if("&amp;"REGEXMATCH(C3403,""threads"")=TRUE,""Threads""))))))"),"Facebook")</f>
        <v>Facebook</v>
      </c>
      <c r="G3403" s="41" t="s">
        <v>5817</v>
      </c>
      <c r="H3403" s="36"/>
      <c r="I3403" s="36"/>
      <c r="J3403" s="41" t="s">
        <v>188</v>
      </c>
      <c r="K3403" s="41"/>
      <c r="L3403" s="42"/>
    </row>
    <row r="3404">
      <c r="A3404" s="18">
        <v>3403.0</v>
      </c>
      <c r="B3404" s="76" t="s">
        <v>5798</v>
      </c>
      <c r="C3404" s="47" t="s">
        <v>5818</v>
      </c>
      <c r="D3404" s="41"/>
      <c r="E3404" s="41" t="s">
        <v>1178</v>
      </c>
      <c r="F3404" s="41" t="str">
        <f>IFERROR(__xludf.DUMMYFUNCTION("if(REGEXMATCH(C3404,""x.com"")=TRUE,""Twitter"",if(REGEXMATCH(C3404,""facebook"")=TRUE,""Facebook"",if(REGEXMATCH(C3404,""instagram"")=TRUE,""Instagram"",if(REGEXMATCH(C3404,""youtube"")=TRUE,""Youtube"",if(REGEXMATCH(C3404,""tiktok"")=TRUE,""Tiktok"",if("&amp;"REGEXMATCH(C3404,""threads"")=TRUE,""Threads""))))))"),"Tiktok")</f>
        <v>Tiktok</v>
      </c>
      <c r="G3404" s="41" t="s">
        <v>5819</v>
      </c>
      <c r="H3404" s="36"/>
      <c r="I3404" s="36"/>
      <c r="J3404" s="41" t="s">
        <v>188</v>
      </c>
      <c r="K3404" s="41"/>
      <c r="L3404" s="42"/>
    </row>
    <row r="3405">
      <c r="A3405" s="18">
        <v>3404.0</v>
      </c>
      <c r="B3405" s="76" t="s">
        <v>5798</v>
      </c>
      <c r="C3405" s="47" t="s">
        <v>5820</v>
      </c>
      <c r="D3405" s="41"/>
      <c r="E3405" s="41" t="s">
        <v>372</v>
      </c>
      <c r="F3405" s="41" t="str">
        <f>IFERROR(__xludf.DUMMYFUNCTION("if(REGEXMATCH(C3405,""x.com"")=TRUE,""Twitter"",if(REGEXMATCH(C3405,""facebook"")=TRUE,""Facebook"",if(REGEXMATCH(C3405,""instagram"")=TRUE,""Instagram"",if(REGEXMATCH(C3405,""youtube"")=TRUE,""Youtube"",if(REGEXMATCH(C3405,""tiktok"")=TRUE,""Tiktok"",if("&amp;"REGEXMATCH(C3405,""threads"")=TRUE,""Threads""))))))"),"Instagram")</f>
        <v>Instagram</v>
      </c>
      <c r="G3405" s="41" t="s">
        <v>5821</v>
      </c>
      <c r="H3405" s="36"/>
      <c r="I3405" s="36"/>
      <c r="J3405" s="41" t="s">
        <v>188</v>
      </c>
      <c r="K3405" s="41"/>
      <c r="L3405" s="42"/>
    </row>
    <row r="3406">
      <c r="A3406" s="18">
        <v>3405.0</v>
      </c>
      <c r="B3406" s="76" t="s">
        <v>5798</v>
      </c>
      <c r="C3406" s="47" t="s">
        <v>5822</v>
      </c>
      <c r="D3406" s="41"/>
      <c r="E3406" s="41" t="s">
        <v>447</v>
      </c>
      <c r="F3406" s="41" t="str">
        <f>IFERROR(__xludf.DUMMYFUNCTION("if(REGEXMATCH(C3406,""x.com"")=TRUE,""Twitter"",if(REGEXMATCH(C3406,""facebook"")=TRUE,""Facebook"",if(REGEXMATCH(C3406,""instagram"")=TRUE,""Instagram"",if(REGEXMATCH(C3406,""youtube"")=TRUE,""Youtube"",if(REGEXMATCH(C3406,""tiktok"")=TRUE,""Tiktok"",if("&amp;"REGEXMATCH(C3406,""threads"")=TRUE,""Threads""))))))"),"Instagram")</f>
        <v>Instagram</v>
      </c>
      <c r="G3406" s="41" t="s">
        <v>5823</v>
      </c>
      <c r="H3406" s="36"/>
      <c r="I3406" s="36"/>
      <c r="J3406" s="41" t="s">
        <v>188</v>
      </c>
      <c r="K3406" s="41"/>
      <c r="L3406" s="42"/>
    </row>
    <row r="3407">
      <c r="A3407" s="18">
        <v>3406.0</v>
      </c>
      <c r="B3407" s="76" t="s">
        <v>5798</v>
      </c>
      <c r="C3407" s="40" t="s">
        <v>5824</v>
      </c>
      <c r="D3407" s="41"/>
      <c r="E3407" s="41" t="s">
        <v>197</v>
      </c>
      <c r="F3407" s="41" t="str">
        <f>IFERROR(__xludf.DUMMYFUNCTION("if(REGEXMATCH(C3407,""x.com"")=TRUE,""Twitter"",if(REGEXMATCH(C3407,""facebook"")=TRUE,""Facebook"",if(REGEXMATCH(C3407,""instagram"")=TRUE,""Instagram"",if(REGEXMATCH(C3407,""youtube"")=TRUE,""Youtube"",if(REGEXMATCH(C3407,""tiktok"")=TRUE,""Tiktok"",if("&amp;"REGEXMATCH(C3407,""threads"")=TRUE,""Threads""))))))"),"Facebook")</f>
        <v>Facebook</v>
      </c>
      <c r="G3407" s="41" t="s">
        <v>5825</v>
      </c>
      <c r="H3407" s="36"/>
      <c r="I3407" s="36"/>
      <c r="J3407" s="41" t="s">
        <v>188</v>
      </c>
      <c r="K3407" s="41"/>
      <c r="L3407" s="42"/>
    </row>
    <row r="3408">
      <c r="A3408" s="18">
        <v>3407.0</v>
      </c>
      <c r="B3408" s="76" t="s">
        <v>5798</v>
      </c>
      <c r="C3408" s="40" t="s">
        <v>5826</v>
      </c>
      <c r="D3408" s="41"/>
      <c r="E3408" s="41" t="s">
        <v>197</v>
      </c>
      <c r="F3408" s="41" t="str">
        <f>IFERROR(__xludf.DUMMYFUNCTION("if(REGEXMATCH(C3408,""x.com"")=TRUE,""Twitter"",if(REGEXMATCH(C3408,""facebook"")=TRUE,""Facebook"",if(REGEXMATCH(C3408,""instagram"")=TRUE,""Instagram"",if(REGEXMATCH(C3408,""youtube"")=TRUE,""Youtube"",if(REGEXMATCH(C3408,""tiktok"")=TRUE,""Tiktok"",if("&amp;"REGEXMATCH(C3408,""threads"")=TRUE,""Threads""))))))"),"Facebook")</f>
        <v>Facebook</v>
      </c>
      <c r="G3408" s="41" t="s">
        <v>5827</v>
      </c>
      <c r="H3408" s="36"/>
      <c r="I3408" s="36"/>
      <c r="J3408" s="41" t="s">
        <v>188</v>
      </c>
      <c r="K3408" s="41"/>
      <c r="L3408" s="42"/>
    </row>
    <row r="3409">
      <c r="A3409" s="18">
        <v>3408.0</v>
      </c>
      <c r="B3409" s="76" t="s">
        <v>5798</v>
      </c>
      <c r="C3409" s="40" t="s">
        <v>5828</v>
      </c>
      <c r="D3409" s="41"/>
      <c r="E3409" s="41" t="s">
        <v>197</v>
      </c>
      <c r="F3409" s="41" t="str">
        <f>IFERROR(__xludf.DUMMYFUNCTION("if(REGEXMATCH(C3409,""x.com"")=TRUE,""Twitter"",if(REGEXMATCH(C3409,""facebook"")=TRUE,""Facebook"",if(REGEXMATCH(C3409,""instagram"")=TRUE,""Instagram"",if(REGEXMATCH(C3409,""youtube"")=TRUE,""Youtube"",if(REGEXMATCH(C3409,""tiktok"")=TRUE,""Tiktok"",if("&amp;"REGEXMATCH(C3409,""threads"")=TRUE,""Threads""))))))"),"Facebook")</f>
        <v>Facebook</v>
      </c>
      <c r="G3409" s="41" t="s">
        <v>5829</v>
      </c>
      <c r="H3409" s="35"/>
      <c r="I3409" s="35"/>
      <c r="J3409" s="41" t="s">
        <v>188</v>
      </c>
      <c r="K3409" s="41"/>
      <c r="L3409" s="42"/>
    </row>
    <row r="3410">
      <c r="A3410" s="18">
        <v>3409.0</v>
      </c>
      <c r="B3410" s="76" t="s">
        <v>5798</v>
      </c>
      <c r="C3410" s="40" t="s">
        <v>5830</v>
      </c>
      <c r="D3410" s="41"/>
      <c r="E3410" s="41" t="s">
        <v>197</v>
      </c>
      <c r="F3410" s="41" t="str">
        <f>IFERROR(__xludf.DUMMYFUNCTION("if(REGEXMATCH(C3410,""x.com"")=TRUE,""Twitter"",if(REGEXMATCH(C3410,""facebook"")=TRUE,""Facebook"",if(REGEXMATCH(C3410,""instagram"")=TRUE,""Instagram"",if(REGEXMATCH(C3410,""youtube"")=TRUE,""Youtube"",if(REGEXMATCH(C3410,""tiktok"")=TRUE,""Tiktok"",if("&amp;"REGEXMATCH(C3410,""threads"")=TRUE,""Threads""))))))"),"Facebook")</f>
        <v>Facebook</v>
      </c>
      <c r="G3410" s="41" t="s">
        <v>5831</v>
      </c>
      <c r="H3410" s="41"/>
      <c r="I3410" s="41"/>
      <c r="J3410" s="41" t="s">
        <v>188</v>
      </c>
      <c r="K3410" s="41"/>
      <c r="L3410" s="42"/>
    </row>
    <row r="3411">
      <c r="A3411" s="18">
        <v>3410.0</v>
      </c>
      <c r="B3411" s="76" t="s">
        <v>5798</v>
      </c>
      <c r="C3411" s="40" t="s">
        <v>5832</v>
      </c>
      <c r="D3411" s="41"/>
      <c r="E3411" s="41" t="s">
        <v>197</v>
      </c>
      <c r="F3411" s="41" t="str">
        <f>IFERROR(__xludf.DUMMYFUNCTION("if(REGEXMATCH(C3411,""x.com"")=TRUE,""Twitter"",if(REGEXMATCH(C3411,""facebook"")=TRUE,""Facebook"",if(REGEXMATCH(C3411,""instagram"")=TRUE,""Instagram"",if(REGEXMATCH(C3411,""youtube"")=TRUE,""Youtube"",if(REGEXMATCH(C3411,""tiktok"")=TRUE,""Tiktok"",if("&amp;"REGEXMATCH(C3411,""threads"")=TRUE,""Threads""))))))"),"Facebook")</f>
        <v>Facebook</v>
      </c>
      <c r="G3411" s="41" t="s">
        <v>5833</v>
      </c>
      <c r="H3411" s="41"/>
      <c r="I3411" s="41"/>
      <c r="J3411" s="41" t="s">
        <v>188</v>
      </c>
      <c r="K3411" s="41"/>
      <c r="L3411" s="42"/>
    </row>
    <row r="3412">
      <c r="A3412" s="18">
        <v>3411.0</v>
      </c>
      <c r="B3412" s="76" t="s">
        <v>5798</v>
      </c>
      <c r="C3412" s="40" t="s">
        <v>5834</v>
      </c>
      <c r="D3412" s="41"/>
      <c r="E3412" s="41" t="s">
        <v>197</v>
      </c>
      <c r="F3412" s="41" t="str">
        <f>IFERROR(__xludf.DUMMYFUNCTION("if(REGEXMATCH(C3412,""x.com"")=TRUE,""Twitter"",if(REGEXMATCH(C3412,""facebook"")=TRUE,""Facebook"",if(REGEXMATCH(C3412,""instagram"")=TRUE,""Instagram"",if(REGEXMATCH(C3412,""youtube"")=TRUE,""Youtube"",if(REGEXMATCH(C3412,""tiktok"")=TRUE,""Tiktok"",if("&amp;"REGEXMATCH(C3412,""threads"")=TRUE,""Threads""))))))"),"Facebook")</f>
        <v>Facebook</v>
      </c>
      <c r="G3412" s="41" t="s">
        <v>5835</v>
      </c>
      <c r="H3412" s="41"/>
      <c r="I3412" s="41"/>
      <c r="J3412" s="41" t="s">
        <v>188</v>
      </c>
      <c r="K3412" s="41"/>
      <c r="L3412" s="42"/>
    </row>
    <row r="3413">
      <c r="A3413" s="18">
        <v>3412.0</v>
      </c>
      <c r="B3413" s="76" t="s">
        <v>5798</v>
      </c>
      <c r="C3413" s="40" t="s">
        <v>5836</v>
      </c>
      <c r="D3413" s="41"/>
      <c r="E3413" s="41" t="s">
        <v>197</v>
      </c>
      <c r="F3413" s="41" t="str">
        <f>IFERROR(__xludf.DUMMYFUNCTION("if(REGEXMATCH(C3413,""x.com"")=TRUE,""Twitter"",if(REGEXMATCH(C3413,""facebook"")=TRUE,""Facebook"",if(REGEXMATCH(C3413,""instagram"")=TRUE,""Instagram"",if(REGEXMATCH(C3413,""youtube"")=TRUE,""Youtube"",if(REGEXMATCH(C3413,""tiktok"")=TRUE,""Tiktok"",if("&amp;"REGEXMATCH(C3413,""threads"")=TRUE,""Threads""))))))"),"Twitter")</f>
        <v>Twitter</v>
      </c>
      <c r="G3413" s="41" t="s">
        <v>5837</v>
      </c>
      <c r="H3413" s="41"/>
      <c r="I3413" s="41"/>
      <c r="J3413" s="41" t="s">
        <v>188</v>
      </c>
      <c r="K3413" s="41"/>
      <c r="L3413" s="42"/>
    </row>
    <row r="3414">
      <c r="A3414" s="18">
        <v>3413.0</v>
      </c>
      <c r="B3414" s="76" t="s">
        <v>5798</v>
      </c>
      <c r="C3414" s="40" t="s">
        <v>5838</v>
      </c>
      <c r="D3414" s="41"/>
      <c r="E3414" s="41" t="s">
        <v>197</v>
      </c>
      <c r="F3414" s="41" t="str">
        <f>IFERROR(__xludf.DUMMYFUNCTION("if(REGEXMATCH(C3414,""x.com"")=TRUE,""Twitter"",if(REGEXMATCH(C3414,""facebook"")=TRUE,""Facebook"",if(REGEXMATCH(C3414,""instagram"")=TRUE,""Instagram"",if(REGEXMATCH(C3414,""youtube"")=TRUE,""Youtube"",if(REGEXMATCH(C3414,""tiktok"")=TRUE,""Tiktok"",if("&amp;"REGEXMATCH(C3414,""threads"")=TRUE,""Threads""))))))"),"Twitter")</f>
        <v>Twitter</v>
      </c>
      <c r="G3414" s="41" t="s">
        <v>5839</v>
      </c>
      <c r="H3414" s="41"/>
      <c r="I3414" s="41"/>
      <c r="J3414" s="41" t="s">
        <v>188</v>
      </c>
      <c r="K3414" s="41"/>
      <c r="L3414" s="42"/>
    </row>
    <row r="3415">
      <c r="A3415" s="18">
        <v>3414.0</v>
      </c>
      <c r="B3415" s="76" t="s">
        <v>5798</v>
      </c>
      <c r="C3415" s="40" t="s">
        <v>5840</v>
      </c>
      <c r="D3415" s="41"/>
      <c r="E3415" s="41" t="s">
        <v>1178</v>
      </c>
      <c r="F3415" s="41" t="str">
        <f>IFERROR(__xludf.DUMMYFUNCTION("if(REGEXMATCH(C3415,""x.com"")=TRUE,""Twitter"",if(REGEXMATCH(C3415,""facebook"")=TRUE,""Facebook"",if(REGEXMATCH(C3415,""instagram"")=TRUE,""Instagram"",if(REGEXMATCH(C3415,""youtube"")=TRUE,""Youtube"",if(REGEXMATCH(C3415,""tiktok"")=TRUE,""Tiktok"",if("&amp;"REGEXMATCH(C3415,""threads"")=TRUE,""Threads""))))))"),"Twitter")</f>
        <v>Twitter</v>
      </c>
      <c r="G3415" s="41" t="s">
        <v>2135</v>
      </c>
      <c r="H3415" s="41" t="s">
        <v>2136</v>
      </c>
      <c r="I3415" s="41" t="s">
        <v>2137</v>
      </c>
      <c r="J3415" s="41" t="s">
        <v>188</v>
      </c>
      <c r="K3415" s="41"/>
      <c r="L3415" s="42"/>
    </row>
    <row r="3416">
      <c r="A3416" s="18">
        <v>3415.0</v>
      </c>
      <c r="B3416" s="76" t="s">
        <v>5798</v>
      </c>
      <c r="C3416" s="40" t="s">
        <v>5841</v>
      </c>
      <c r="D3416" s="41"/>
      <c r="E3416" s="41" t="s">
        <v>401</v>
      </c>
      <c r="F3416" s="41" t="str">
        <f>IFERROR(__xludf.DUMMYFUNCTION("if(REGEXMATCH(C3416,""x.com"")=TRUE,""Twitter"",if(REGEXMATCH(C3416,""facebook"")=TRUE,""Facebook"",if(REGEXMATCH(C3416,""instagram"")=TRUE,""Instagram"",if(REGEXMATCH(C3416,""youtube"")=TRUE,""Youtube"",if(REGEXMATCH(C3416,""tiktok"")=TRUE,""Tiktok"",if("&amp;"REGEXMATCH(C3416,""threads"")=TRUE,""Threads""))))))"),"Facebook")</f>
        <v>Facebook</v>
      </c>
      <c r="G3416" s="41" t="s">
        <v>937</v>
      </c>
      <c r="H3416" s="41" t="s">
        <v>1542</v>
      </c>
      <c r="I3416" s="41" t="s">
        <v>939</v>
      </c>
      <c r="J3416" s="41" t="s">
        <v>188</v>
      </c>
      <c r="K3416" s="41"/>
      <c r="L3416" s="42"/>
    </row>
    <row r="3417">
      <c r="A3417" s="18">
        <v>3416.0</v>
      </c>
      <c r="B3417" s="76" t="s">
        <v>5798</v>
      </c>
      <c r="C3417" s="73" t="s">
        <v>5842</v>
      </c>
      <c r="D3417" s="41"/>
      <c r="E3417" s="41" t="s">
        <v>401</v>
      </c>
      <c r="F3417" s="41" t="str">
        <f>IFERROR(__xludf.DUMMYFUNCTION("if(REGEXMATCH(C3417,""x.com"")=TRUE,""Twitter"",if(REGEXMATCH(C3417,""facebook"")=TRUE,""Facebook"",if(REGEXMATCH(C3417,""instagram"")=TRUE,""Instagram"",if(REGEXMATCH(C3417,""youtube"")=TRUE,""Youtube"",if(REGEXMATCH(C3417,""tiktok"")=TRUE,""Tiktok"",if("&amp;"REGEXMATCH(C3417,""threads"")=TRUE,""Threads""))))))"),"Facebook")</f>
        <v>Facebook</v>
      </c>
      <c r="G3417" s="41" t="s">
        <v>937</v>
      </c>
      <c r="H3417" s="41" t="s">
        <v>1542</v>
      </c>
      <c r="I3417" s="41" t="s">
        <v>939</v>
      </c>
      <c r="J3417" s="41" t="s">
        <v>188</v>
      </c>
      <c r="K3417" s="41"/>
      <c r="L3417" s="42"/>
    </row>
    <row r="3418">
      <c r="A3418" s="18">
        <v>3417.0</v>
      </c>
      <c r="B3418" s="76" t="s">
        <v>5798</v>
      </c>
      <c r="C3418" s="40" t="s">
        <v>5843</v>
      </c>
      <c r="D3418" s="41"/>
      <c r="E3418" s="41" t="s">
        <v>401</v>
      </c>
      <c r="F3418" s="41" t="str">
        <f>IFERROR(__xludf.DUMMYFUNCTION("if(REGEXMATCH(C3418,""x.com"")=TRUE,""Twitter"",if(REGEXMATCH(C3418,""facebook"")=TRUE,""Facebook"",if(REGEXMATCH(C3418,""instagram"")=TRUE,""Instagram"",if(REGEXMATCH(C3418,""youtube"")=TRUE,""Youtube"",if(REGEXMATCH(C3418,""tiktok"")=TRUE,""Tiktok"",if("&amp;"REGEXMATCH(C3418,""threads"")=TRUE,""Threads""))))))"),"Facebook")</f>
        <v>Facebook</v>
      </c>
      <c r="G3418" s="41" t="s">
        <v>937</v>
      </c>
      <c r="H3418" s="41" t="s">
        <v>1542</v>
      </c>
      <c r="I3418" s="41" t="s">
        <v>939</v>
      </c>
      <c r="J3418" s="41" t="s">
        <v>188</v>
      </c>
      <c r="K3418" s="18"/>
      <c r="L3418" s="42"/>
    </row>
    <row r="3419">
      <c r="A3419" s="18">
        <v>3418.0</v>
      </c>
      <c r="B3419" s="76" t="s">
        <v>5798</v>
      </c>
      <c r="C3419" s="40" t="s">
        <v>5844</v>
      </c>
      <c r="D3419" s="41"/>
      <c r="E3419" s="41" t="s">
        <v>401</v>
      </c>
      <c r="F3419" s="41" t="str">
        <f>IFERROR(__xludf.DUMMYFUNCTION("if(REGEXMATCH(C3419,""x.com"")=TRUE,""Twitter"",if(REGEXMATCH(C3419,""facebook"")=TRUE,""Facebook"",if(REGEXMATCH(C3419,""instagram"")=TRUE,""Instagram"",if(REGEXMATCH(C3419,""youtube"")=TRUE,""Youtube"",if(REGEXMATCH(C3419,""tiktok"")=TRUE,""Tiktok"",if("&amp;"REGEXMATCH(C3419,""threads"")=TRUE,""Threads""))))))"),"Facebook")</f>
        <v>Facebook</v>
      </c>
      <c r="G3419" s="41" t="s">
        <v>937</v>
      </c>
      <c r="H3419" s="41" t="s">
        <v>1542</v>
      </c>
      <c r="I3419" s="41" t="s">
        <v>939</v>
      </c>
      <c r="J3419" s="41" t="s">
        <v>188</v>
      </c>
      <c r="K3419" s="41"/>
      <c r="L3419" s="42"/>
    </row>
    <row r="3420">
      <c r="A3420" s="18">
        <v>3419.0</v>
      </c>
      <c r="B3420" s="76" t="s">
        <v>5798</v>
      </c>
      <c r="C3420" s="40" t="s">
        <v>5845</v>
      </c>
      <c r="D3420" s="41"/>
      <c r="E3420" s="41" t="s">
        <v>401</v>
      </c>
      <c r="F3420" s="41" t="str">
        <f>IFERROR(__xludf.DUMMYFUNCTION("if(REGEXMATCH(C3420,""x.com"")=TRUE,""Twitter"",if(REGEXMATCH(C3420,""facebook"")=TRUE,""Facebook"",if(REGEXMATCH(C3420,""instagram"")=TRUE,""Instagram"",if(REGEXMATCH(C3420,""youtube"")=TRUE,""Youtube"",if(REGEXMATCH(C3420,""tiktok"")=TRUE,""Tiktok"",if("&amp;"REGEXMATCH(C3420,""threads"")=TRUE,""Threads""))))))"),"Facebook")</f>
        <v>Facebook</v>
      </c>
      <c r="G3420" s="41" t="s">
        <v>937</v>
      </c>
      <c r="H3420" s="41" t="s">
        <v>1542</v>
      </c>
      <c r="I3420" s="41" t="s">
        <v>939</v>
      </c>
      <c r="J3420" s="41" t="s">
        <v>188</v>
      </c>
      <c r="K3420" s="41"/>
      <c r="L3420" s="42"/>
    </row>
    <row r="3421">
      <c r="A3421" s="18">
        <v>3420.0</v>
      </c>
      <c r="B3421" s="76" t="s">
        <v>5846</v>
      </c>
      <c r="C3421" s="40" t="s">
        <v>5847</v>
      </c>
      <c r="D3421" s="41"/>
      <c r="E3421" s="41" t="s">
        <v>197</v>
      </c>
      <c r="F3421" s="41" t="str">
        <f>IFERROR(__xludf.DUMMYFUNCTION("if(REGEXMATCH(C3421,""x.com"")=TRUE,""Twitter"",if(REGEXMATCH(C3421,""facebook"")=TRUE,""Facebook"",if(REGEXMATCH(C3421,""instagram"")=TRUE,""Instagram"",if(REGEXMATCH(C3421,""youtube"")=TRUE,""Youtube"",if(REGEXMATCH(C3421,""tiktok"")=TRUE,""Tiktok"",if("&amp;"REGEXMATCH(C3421,""threads"")=TRUE,""Threads""))))))"),"Twitter")</f>
        <v>Twitter</v>
      </c>
      <c r="G3421" s="41" t="s">
        <v>5848</v>
      </c>
      <c r="H3421" s="43"/>
      <c r="I3421" s="43"/>
      <c r="J3421" s="41" t="s">
        <v>188</v>
      </c>
      <c r="K3421" s="41"/>
      <c r="L3421" s="42"/>
    </row>
    <row r="3422">
      <c r="A3422" s="18">
        <v>3421.0</v>
      </c>
      <c r="B3422" s="76" t="s">
        <v>5846</v>
      </c>
      <c r="C3422" s="40" t="s">
        <v>5849</v>
      </c>
      <c r="D3422" s="41"/>
      <c r="E3422" s="41" t="s">
        <v>197</v>
      </c>
      <c r="F3422" s="41" t="str">
        <f>IFERROR(__xludf.DUMMYFUNCTION("if(REGEXMATCH(C3422,""x.com"")=TRUE,""Twitter"",if(REGEXMATCH(C3422,""facebook"")=TRUE,""Facebook"",if(REGEXMATCH(C3422,""instagram"")=TRUE,""Instagram"",if(REGEXMATCH(C3422,""youtube"")=TRUE,""Youtube"",if(REGEXMATCH(C3422,""tiktok"")=TRUE,""Tiktok"",if("&amp;"REGEXMATCH(C3422,""threads"")=TRUE,""Threads""))))))"),"Twitter")</f>
        <v>Twitter</v>
      </c>
      <c r="G3422" s="41" t="s">
        <v>5850</v>
      </c>
      <c r="H3422" s="36"/>
      <c r="I3422" s="36"/>
      <c r="J3422" s="41" t="s">
        <v>188</v>
      </c>
      <c r="K3422" s="41"/>
      <c r="L3422" s="42"/>
    </row>
    <row r="3423">
      <c r="A3423" s="18">
        <v>3422.0</v>
      </c>
      <c r="B3423" s="76" t="s">
        <v>5846</v>
      </c>
      <c r="C3423" s="40" t="s">
        <v>5851</v>
      </c>
      <c r="D3423" s="41"/>
      <c r="E3423" s="41" t="s">
        <v>197</v>
      </c>
      <c r="F3423" s="41" t="str">
        <f>IFERROR(__xludf.DUMMYFUNCTION("if(REGEXMATCH(C3423,""x.com"")=TRUE,""Twitter"",if(REGEXMATCH(C3423,""facebook"")=TRUE,""Facebook"",if(REGEXMATCH(C3423,""instagram"")=TRUE,""Instagram"",if(REGEXMATCH(C3423,""youtube"")=TRUE,""Youtube"",if(REGEXMATCH(C3423,""tiktok"")=TRUE,""Tiktok"",if("&amp;"REGEXMATCH(C3423,""threads"")=TRUE,""Threads""))))))"),"Twitter")</f>
        <v>Twitter</v>
      </c>
      <c r="G3423" s="41" t="s">
        <v>5852</v>
      </c>
      <c r="H3423" s="36"/>
      <c r="I3423" s="36"/>
      <c r="J3423" s="41" t="s">
        <v>188</v>
      </c>
      <c r="K3423" s="41"/>
      <c r="L3423" s="42"/>
    </row>
    <row r="3424">
      <c r="A3424" s="18">
        <v>3423.0</v>
      </c>
      <c r="B3424" s="76" t="s">
        <v>5846</v>
      </c>
      <c r="C3424" s="40" t="s">
        <v>5853</v>
      </c>
      <c r="D3424" s="41"/>
      <c r="E3424" s="41" t="s">
        <v>197</v>
      </c>
      <c r="F3424" s="41" t="str">
        <f>IFERROR(__xludf.DUMMYFUNCTION("if(REGEXMATCH(C3424,""x.com"")=TRUE,""Twitter"",if(REGEXMATCH(C3424,""facebook"")=TRUE,""Facebook"",if(REGEXMATCH(C3424,""instagram"")=TRUE,""Instagram"",if(REGEXMATCH(C3424,""youtube"")=TRUE,""Youtube"",if(REGEXMATCH(C3424,""tiktok"")=TRUE,""Tiktok"",if("&amp;"REGEXMATCH(C3424,""threads"")=TRUE,""Threads""))))))"),"Twitter")</f>
        <v>Twitter</v>
      </c>
      <c r="G3424" s="41" t="s">
        <v>5854</v>
      </c>
      <c r="H3424" s="36"/>
      <c r="I3424" s="36"/>
      <c r="J3424" s="41" t="s">
        <v>188</v>
      </c>
      <c r="K3424" s="41"/>
      <c r="L3424" s="42"/>
    </row>
    <row r="3425">
      <c r="A3425" s="18">
        <v>3424.0</v>
      </c>
      <c r="B3425" s="76" t="s">
        <v>5846</v>
      </c>
      <c r="C3425" s="40" t="s">
        <v>5855</v>
      </c>
      <c r="D3425" s="41"/>
      <c r="E3425" s="41" t="s">
        <v>197</v>
      </c>
      <c r="F3425" s="41" t="s">
        <v>405</v>
      </c>
      <c r="G3425" s="41" t="s">
        <v>5856</v>
      </c>
      <c r="H3425" s="36"/>
      <c r="I3425" s="36"/>
      <c r="J3425" s="41" t="s">
        <v>422</v>
      </c>
      <c r="K3425" s="41" t="s">
        <v>5857</v>
      </c>
      <c r="L3425" s="42"/>
    </row>
    <row r="3426">
      <c r="A3426" s="18">
        <v>3425.0</v>
      </c>
      <c r="B3426" s="76" t="s">
        <v>5846</v>
      </c>
      <c r="C3426" s="40" t="s">
        <v>5858</v>
      </c>
      <c r="D3426" s="41"/>
      <c r="E3426" s="41" t="s">
        <v>197</v>
      </c>
      <c r="F3426" s="41" t="str">
        <f>IFERROR(__xludf.DUMMYFUNCTION("if(REGEXMATCH(C3426,""x.com"")=TRUE,""Twitter"",if(REGEXMATCH(C3426,""facebook"")=TRUE,""Facebook"",if(REGEXMATCH(C3426,""instagram"")=TRUE,""Instagram"",if(REGEXMATCH(C3426,""youtube"")=TRUE,""Youtube"",if(REGEXMATCH(C3426,""tiktok"")=TRUE,""Tiktok"",if("&amp;"REGEXMATCH(C3426,""threads"")=TRUE,""Threads""))))))"),"Twitter")</f>
        <v>Twitter</v>
      </c>
      <c r="G3426" s="41" t="s">
        <v>5859</v>
      </c>
      <c r="H3426" s="36"/>
      <c r="I3426" s="36"/>
      <c r="J3426" s="41" t="s">
        <v>188</v>
      </c>
      <c r="K3426" s="41"/>
      <c r="L3426" s="42"/>
    </row>
    <row r="3427">
      <c r="A3427" s="18">
        <v>3426.0</v>
      </c>
      <c r="B3427" s="76" t="s">
        <v>5846</v>
      </c>
      <c r="C3427" s="40" t="s">
        <v>5860</v>
      </c>
      <c r="D3427" s="41"/>
      <c r="E3427" s="41" t="s">
        <v>557</v>
      </c>
      <c r="F3427" s="41" t="str">
        <f>IFERROR(__xludf.DUMMYFUNCTION("if(REGEXMATCH(C3427,""x.com"")=TRUE,""Twitter"",if(REGEXMATCH(C3427,""facebook"")=TRUE,""Facebook"",if(REGEXMATCH(C3427,""instagram"")=TRUE,""Instagram"",if(REGEXMATCH(C3427,""youtube"")=TRUE,""Youtube"",if(REGEXMATCH(C3427,""tiktok"")=TRUE,""Tiktok"",if("&amp;"REGEXMATCH(C3427,""threads"")=TRUE,""Threads""))))))"),"Tiktok")</f>
        <v>Tiktok</v>
      </c>
      <c r="G3427" s="41" t="s">
        <v>5861</v>
      </c>
      <c r="H3427" s="36"/>
      <c r="I3427" s="36"/>
      <c r="J3427" s="41" t="s">
        <v>188</v>
      </c>
      <c r="K3427" s="41"/>
      <c r="L3427" s="42"/>
    </row>
    <row r="3428">
      <c r="A3428" s="18">
        <v>3427.0</v>
      </c>
      <c r="B3428" s="76" t="s">
        <v>5846</v>
      </c>
      <c r="C3428" s="40" t="s">
        <v>5862</v>
      </c>
      <c r="D3428" s="41"/>
      <c r="E3428" s="41" t="s">
        <v>5863</v>
      </c>
      <c r="F3428" s="41" t="str">
        <f>IFERROR(__xludf.DUMMYFUNCTION("if(REGEXMATCH(C3428,""x.com"")=TRUE,""Twitter"",if(REGEXMATCH(C3428,""facebook"")=TRUE,""Facebook"",if(REGEXMATCH(C3428,""instagram"")=TRUE,""Instagram"",if(REGEXMATCH(C3428,""youtube"")=TRUE,""Youtube"",if(REGEXMATCH(C3428,""tiktok"")=TRUE,""Tiktok"",if("&amp;"REGEXMATCH(C3428,""threads"")=TRUE,""Threads""))))))"),"Tiktok")</f>
        <v>Tiktok</v>
      </c>
      <c r="G3428" s="41" t="s">
        <v>5864</v>
      </c>
      <c r="H3428" s="36"/>
      <c r="I3428" s="36"/>
      <c r="J3428" s="41" t="s">
        <v>188</v>
      </c>
      <c r="K3428" s="41"/>
      <c r="L3428" s="42"/>
    </row>
    <row r="3429">
      <c r="A3429" s="18">
        <v>3428.0</v>
      </c>
      <c r="B3429" s="76" t="s">
        <v>5846</v>
      </c>
      <c r="C3429" s="40" t="s">
        <v>5865</v>
      </c>
      <c r="D3429" s="41"/>
      <c r="E3429" s="41" t="s">
        <v>184</v>
      </c>
      <c r="F3429" s="41" t="str">
        <f>IFERROR(__xludf.DUMMYFUNCTION("if(REGEXMATCH(C3429,""x.com"")=TRUE,""Twitter"",if(REGEXMATCH(C3429,""facebook"")=TRUE,""Facebook"",if(REGEXMATCH(C3429,""instagram"")=TRUE,""Instagram"",if(REGEXMATCH(C3429,""youtube"")=TRUE,""Youtube"",if(REGEXMATCH(C3429,""tiktok"")=TRUE,""Tiktok"",if("&amp;"REGEXMATCH(C3429,""threads"")=TRUE,""Threads""))))))"),"Twitter")</f>
        <v>Twitter</v>
      </c>
      <c r="G3429" s="41" t="s">
        <v>5866</v>
      </c>
      <c r="H3429" s="36"/>
      <c r="I3429" s="36"/>
      <c r="J3429" s="41" t="s">
        <v>188</v>
      </c>
      <c r="K3429" s="41"/>
      <c r="L3429" s="42"/>
    </row>
    <row r="3430">
      <c r="A3430" s="18">
        <v>3429.0</v>
      </c>
      <c r="B3430" s="76" t="s">
        <v>5846</v>
      </c>
      <c r="C3430" s="40" t="s">
        <v>5867</v>
      </c>
      <c r="D3430" s="41"/>
      <c r="E3430" s="41" t="s">
        <v>557</v>
      </c>
      <c r="F3430" s="41" t="str">
        <f>IFERROR(__xludf.DUMMYFUNCTION("if(REGEXMATCH(C3430,""x.com"")=TRUE,""Twitter"",if(REGEXMATCH(C3430,""facebook"")=TRUE,""Facebook"",if(REGEXMATCH(C3430,""instagram"")=TRUE,""Instagram"",if(REGEXMATCH(C3430,""youtube"")=TRUE,""Youtube"",if(REGEXMATCH(C3430,""tiktok"")=TRUE,""Tiktok"",if("&amp;"REGEXMATCH(C3430,""threads"")=TRUE,""Threads""))))))"),"Twitter")</f>
        <v>Twitter</v>
      </c>
      <c r="G3430" s="41" t="s">
        <v>5868</v>
      </c>
      <c r="H3430" s="36"/>
      <c r="I3430" s="36"/>
      <c r="J3430" s="41" t="s">
        <v>188</v>
      </c>
      <c r="K3430" s="41"/>
      <c r="L3430" s="42"/>
    </row>
    <row r="3431">
      <c r="A3431" s="18">
        <v>3430.0</v>
      </c>
      <c r="B3431" s="76" t="s">
        <v>5846</v>
      </c>
      <c r="C3431" s="40" t="s">
        <v>5869</v>
      </c>
      <c r="D3431" s="41"/>
      <c r="E3431" s="41" t="s">
        <v>197</v>
      </c>
      <c r="F3431" s="41" t="str">
        <f>IFERROR(__xludf.DUMMYFUNCTION("if(REGEXMATCH(C3431,""x.com"")=TRUE,""Twitter"",if(REGEXMATCH(C3431,""facebook"")=TRUE,""Facebook"",if(REGEXMATCH(C3431,""instagram"")=TRUE,""Instagram"",if(REGEXMATCH(C3431,""youtube"")=TRUE,""Youtube"",if(REGEXMATCH(C3431,""tiktok"")=TRUE,""Tiktok"",if("&amp;"REGEXMATCH(C3431,""threads"")=TRUE,""Threads""))))))"),"Facebook")</f>
        <v>Facebook</v>
      </c>
      <c r="G3431" s="41" t="s">
        <v>5870</v>
      </c>
      <c r="H3431" s="36"/>
      <c r="I3431" s="36"/>
      <c r="J3431" s="41" t="s">
        <v>188</v>
      </c>
      <c r="K3431" s="41"/>
      <c r="L3431" s="42"/>
    </row>
    <row r="3432">
      <c r="A3432" s="18">
        <v>3431.0</v>
      </c>
      <c r="B3432" s="76" t="s">
        <v>5846</v>
      </c>
      <c r="C3432" s="40" t="s">
        <v>5871</v>
      </c>
      <c r="D3432" s="41"/>
      <c r="E3432" s="41" t="s">
        <v>197</v>
      </c>
      <c r="F3432" s="41" t="str">
        <f>IFERROR(__xludf.DUMMYFUNCTION("if(REGEXMATCH(C3432,""x.com"")=TRUE,""Twitter"",if(REGEXMATCH(C3432,""facebook"")=TRUE,""Facebook"",if(REGEXMATCH(C3432,""instagram"")=TRUE,""Instagram"",if(REGEXMATCH(C3432,""youtube"")=TRUE,""Youtube"",if(REGEXMATCH(C3432,""tiktok"")=TRUE,""Tiktok"",if("&amp;"REGEXMATCH(C3432,""threads"")=TRUE,""Threads""))))))"),"Facebook")</f>
        <v>Facebook</v>
      </c>
      <c r="G3432" s="41" t="s">
        <v>5872</v>
      </c>
      <c r="H3432" s="35"/>
      <c r="I3432" s="35"/>
      <c r="J3432" s="41" t="s">
        <v>188</v>
      </c>
      <c r="K3432" s="41"/>
      <c r="L3432" s="42"/>
    </row>
    <row r="3433">
      <c r="A3433" s="18">
        <v>3432.0</v>
      </c>
      <c r="B3433" s="76" t="s">
        <v>5873</v>
      </c>
      <c r="C3433" s="40" t="s">
        <v>5874</v>
      </c>
      <c r="D3433" s="41"/>
      <c r="E3433" s="41" t="s">
        <v>197</v>
      </c>
      <c r="F3433" s="41" t="str">
        <f>IFERROR(__xludf.DUMMYFUNCTION("if(REGEXMATCH(C3433,""x.com"")=TRUE,""Twitter"",if(REGEXMATCH(C3433,""facebook"")=TRUE,""Facebook"",if(REGEXMATCH(C3433,""instagram"")=TRUE,""Instagram"",if(REGEXMATCH(C3433,""youtube"")=TRUE,""Youtube"",if(REGEXMATCH(C3433,""tiktok"")=TRUE,""Tiktok"",if("&amp;"REGEXMATCH(C3433,""threads"")=TRUE,""Threads""))))))"),"Twitter")</f>
        <v>Twitter</v>
      </c>
      <c r="G3433" s="41" t="s">
        <v>5875</v>
      </c>
      <c r="H3433" s="43" t="s">
        <v>5876</v>
      </c>
      <c r="I3433" s="43" t="s">
        <v>535</v>
      </c>
      <c r="J3433" s="41" t="s">
        <v>188</v>
      </c>
      <c r="K3433" s="41"/>
      <c r="L3433" s="42"/>
    </row>
    <row r="3434">
      <c r="A3434" s="18">
        <v>3433.0</v>
      </c>
      <c r="B3434" s="76" t="s">
        <v>5873</v>
      </c>
      <c r="C3434" s="40" t="s">
        <v>5877</v>
      </c>
      <c r="D3434" s="41"/>
      <c r="E3434" s="41" t="s">
        <v>197</v>
      </c>
      <c r="F3434" s="41" t="str">
        <f>IFERROR(__xludf.DUMMYFUNCTION("if(REGEXMATCH(C3434,""x.com"")=TRUE,""Twitter"",if(REGEXMATCH(C3434,""facebook"")=TRUE,""Facebook"",if(REGEXMATCH(C3434,""instagram"")=TRUE,""Instagram"",if(REGEXMATCH(C3434,""youtube"")=TRUE,""Youtube"",if(REGEXMATCH(C3434,""tiktok"")=TRUE,""Tiktok"",if("&amp;"REGEXMATCH(C3434,""threads"")=TRUE,""Threads""))))))"),"Twitter")</f>
        <v>Twitter</v>
      </c>
      <c r="G3434" s="41" t="s">
        <v>5878</v>
      </c>
      <c r="H3434" s="36"/>
      <c r="I3434" s="36"/>
      <c r="J3434" s="41" t="s">
        <v>188</v>
      </c>
      <c r="K3434" s="41"/>
      <c r="L3434" s="42"/>
    </row>
    <row r="3435">
      <c r="A3435" s="18">
        <v>3434.0</v>
      </c>
      <c r="B3435" s="76" t="s">
        <v>5873</v>
      </c>
      <c r="C3435" s="40" t="s">
        <v>5879</v>
      </c>
      <c r="D3435" s="41"/>
      <c r="E3435" s="41" t="s">
        <v>197</v>
      </c>
      <c r="F3435" s="41" t="str">
        <f>IFERROR(__xludf.DUMMYFUNCTION("if(REGEXMATCH(C3435,""x.com"")=TRUE,""Twitter"",if(REGEXMATCH(C3435,""facebook"")=TRUE,""Facebook"",if(REGEXMATCH(C3435,""instagram"")=TRUE,""Instagram"",if(REGEXMATCH(C3435,""youtube"")=TRUE,""Youtube"",if(REGEXMATCH(C3435,""tiktok"")=TRUE,""Tiktok"",if("&amp;"REGEXMATCH(C3435,""threads"")=TRUE,""Threads""))))))"),"Twitter")</f>
        <v>Twitter</v>
      </c>
      <c r="G3435" s="41" t="s">
        <v>5880</v>
      </c>
      <c r="H3435" s="36"/>
      <c r="I3435" s="36"/>
      <c r="J3435" s="41" t="s">
        <v>188</v>
      </c>
      <c r="K3435" s="41"/>
      <c r="L3435" s="42"/>
    </row>
    <row r="3436">
      <c r="A3436" s="18">
        <v>3435.0</v>
      </c>
      <c r="B3436" s="76" t="s">
        <v>5873</v>
      </c>
      <c r="C3436" s="40" t="s">
        <v>5881</v>
      </c>
      <c r="D3436" s="41"/>
      <c r="E3436" s="41" t="s">
        <v>197</v>
      </c>
      <c r="F3436" s="41" t="str">
        <f>IFERROR(__xludf.DUMMYFUNCTION("if(REGEXMATCH(C3436,""x.com"")=TRUE,""Twitter"",if(REGEXMATCH(C3436,""facebook"")=TRUE,""Facebook"",if(REGEXMATCH(C3436,""instagram"")=TRUE,""Instagram"",if(REGEXMATCH(C3436,""youtube"")=TRUE,""Youtube"",if(REGEXMATCH(C3436,""tiktok"")=TRUE,""Tiktok"",if("&amp;"REGEXMATCH(C3436,""threads"")=TRUE,""Threads""))))))"),"Twitter")</f>
        <v>Twitter</v>
      </c>
      <c r="G3436" s="41" t="s">
        <v>5882</v>
      </c>
      <c r="H3436" s="36"/>
      <c r="I3436" s="36"/>
      <c r="J3436" s="41" t="s">
        <v>188</v>
      </c>
      <c r="K3436" s="41"/>
      <c r="L3436" s="42"/>
    </row>
    <row r="3437">
      <c r="A3437" s="18">
        <v>3436.0</v>
      </c>
      <c r="B3437" s="76" t="s">
        <v>5873</v>
      </c>
      <c r="C3437" s="40" t="s">
        <v>5883</v>
      </c>
      <c r="D3437" s="41"/>
      <c r="E3437" s="41" t="s">
        <v>447</v>
      </c>
      <c r="F3437" s="41" t="str">
        <f>IFERROR(__xludf.DUMMYFUNCTION("if(REGEXMATCH(C3437,""x.com"")=TRUE,""Twitter"",if(REGEXMATCH(C3437,""facebook"")=TRUE,""Facebook"",if(REGEXMATCH(C3437,""instagram"")=TRUE,""Instagram"",if(REGEXMATCH(C3437,""youtube"")=TRUE,""Youtube"",if(REGEXMATCH(C3437,""tiktok"")=TRUE,""Tiktok"",if("&amp;"REGEXMATCH(C3437,""threads"")=TRUE,""Threads""))))))"),"Tiktok")</f>
        <v>Tiktok</v>
      </c>
      <c r="G3437" s="41" t="s">
        <v>5884</v>
      </c>
      <c r="H3437" s="36"/>
      <c r="I3437" s="36"/>
      <c r="J3437" s="41" t="s">
        <v>188</v>
      </c>
      <c r="K3437" s="41"/>
      <c r="L3437" s="42"/>
    </row>
    <row r="3438">
      <c r="A3438" s="18">
        <v>3437.0</v>
      </c>
      <c r="B3438" s="76" t="s">
        <v>5873</v>
      </c>
      <c r="C3438" s="40" t="s">
        <v>5885</v>
      </c>
      <c r="D3438" s="41"/>
      <c r="E3438" s="41" t="s">
        <v>372</v>
      </c>
      <c r="F3438" s="41" t="str">
        <f>IFERROR(__xludf.DUMMYFUNCTION("if(REGEXMATCH(C3438,""x.com"")=TRUE,""Twitter"",if(REGEXMATCH(C3438,""facebook"")=TRUE,""Facebook"",if(REGEXMATCH(C3438,""instagram"")=TRUE,""Instagram"",if(REGEXMATCH(C3438,""youtube"")=TRUE,""Youtube"",if(REGEXMATCH(C3438,""tiktok"")=TRUE,""Tiktok"",if("&amp;"REGEXMATCH(C3438,""threads"")=TRUE,""Threads""))))))"),"Twitter")</f>
        <v>Twitter</v>
      </c>
      <c r="G3438" s="41" t="s">
        <v>5886</v>
      </c>
      <c r="H3438" s="36"/>
      <c r="I3438" s="36"/>
      <c r="J3438" s="41" t="s">
        <v>188</v>
      </c>
      <c r="K3438" s="41"/>
      <c r="L3438" s="42"/>
    </row>
    <row r="3439">
      <c r="A3439" s="18">
        <v>3438.0</v>
      </c>
      <c r="B3439" s="76" t="s">
        <v>5873</v>
      </c>
      <c r="C3439" s="40" t="s">
        <v>5887</v>
      </c>
      <c r="D3439" s="41"/>
      <c r="E3439" s="41" t="s">
        <v>557</v>
      </c>
      <c r="F3439" s="41" t="str">
        <f>IFERROR(__xludf.DUMMYFUNCTION("if(REGEXMATCH(C3439,""x.com"")=TRUE,""Twitter"",if(REGEXMATCH(C3439,""facebook"")=TRUE,""Facebook"",if(REGEXMATCH(C3439,""instagram"")=TRUE,""Instagram"",if(REGEXMATCH(C3439,""youtube"")=TRUE,""Youtube"",if(REGEXMATCH(C3439,""tiktok"")=TRUE,""Tiktok"",if("&amp;"REGEXMATCH(C3439,""threads"")=TRUE,""Threads""))))))"),"Tiktok")</f>
        <v>Tiktok</v>
      </c>
      <c r="G3439" s="41" t="s">
        <v>5888</v>
      </c>
      <c r="H3439" s="36"/>
      <c r="I3439" s="36"/>
      <c r="J3439" s="41" t="s">
        <v>188</v>
      </c>
      <c r="K3439" s="41"/>
      <c r="L3439" s="42"/>
    </row>
    <row r="3440">
      <c r="A3440" s="18">
        <v>3439.0</v>
      </c>
      <c r="B3440" s="76" t="s">
        <v>5873</v>
      </c>
      <c r="C3440" s="40" t="s">
        <v>5889</v>
      </c>
      <c r="D3440" s="41"/>
      <c r="E3440" s="41" t="s">
        <v>557</v>
      </c>
      <c r="F3440" s="41" t="str">
        <f>IFERROR(__xludf.DUMMYFUNCTION("if(REGEXMATCH(C3440,""x.com"")=TRUE,""Twitter"",if(REGEXMATCH(C3440,""facebook"")=TRUE,""Facebook"",if(REGEXMATCH(C3440,""instagram"")=TRUE,""Instagram"",if(REGEXMATCH(C3440,""youtube"")=TRUE,""Youtube"",if(REGEXMATCH(C3440,""tiktok"")=TRUE,""Tiktok"",if("&amp;"REGEXMATCH(C3440,""threads"")=TRUE,""Threads""))))))"),"Tiktok")</f>
        <v>Tiktok</v>
      </c>
      <c r="G3440" s="41" t="s">
        <v>5890</v>
      </c>
      <c r="H3440" s="36"/>
      <c r="I3440" s="36"/>
      <c r="J3440" s="41" t="s">
        <v>188</v>
      </c>
      <c r="K3440" s="41"/>
      <c r="L3440" s="42"/>
    </row>
    <row r="3441">
      <c r="A3441" s="18">
        <v>3440.0</v>
      </c>
      <c r="B3441" s="76" t="s">
        <v>5873</v>
      </c>
      <c r="C3441" s="40" t="s">
        <v>5891</v>
      </c>
      <c r="D3441" s="41"/>
      <c r="E3441" s="41" t="s">
        <v>557</v>
      </c>
      <c r="F3441" s="41" t="str">
        <f>IFERROR(__xludf.DUMMYFUNCTION("if(REGEXMATCH(C3441,""x.com"")=TRUE,""Twitter"",if(REGEXMATCH(C3441,""facebook"")=TRUE,""Facebook"",if(REGEXMATCH(C3441,""instagram"")=TRUE,""Instagram"",if(REGEXMATCH(C3441,""youtube"")=TRUE,""Youtube"",if(REGEXMATCH(C3441,""tiktok"")=TRUE,""Tiktok"",if("&amp;"REGEXMATCH(C3441,""threads"")=TRUE,""Threads""))))))"),"Tiktok")</f>
        <v>Tiktok</v>
      </c>
      <c r="G3441" s="41" t="s">
        <v>5892</v>
      </c>
      <c r="H3441" s="36"/>
      <c r="I3441" s="36"/>
      <c r="J3441" s="41" t="s">
        <v>188</v>
      </c>
      <c r="K3441" s="41"/>
      <c r="L3441" s="42"/>
    </row>
    <row r="3442">
      <c r="A3442" s="18">
        <v>3441.0</v>
      </c>
      <c r="B3442" s="76" t="s">
        <v>5873</v>
      </c>
      <c r="C3442" s="40" t="s">
        <v>5893</v>
      </c>
      <c r="D3442" s="41"/>
      <c r="E3442" s="41" t="s">
        <v>197</v>
      </c>
      <c r="F3442" s="41" t="str">
        <f>IFERROR(__xludf.DUMMYFUNCTION("if(REGEXMATCH(C3442,""x.com"")=TRUE,""Twitter"",if(REGEXMATCH(C3442,""facebook"")=TRUE,""Facebook"",if(REGEXMATCH(C3442,""instagram"")=TRUE,""Instagram"",if(REGEXMATCH(C3442,""youtube"")=TRUE,""Youtube"",if(REGEXMATCH(C3442,""tiktok"")=TRUE,""Tiktok"",if("&amp;"REGEXMATCH(C3442,""threads"")=TRUE,""Threads""))))))"),"Facebook")</f>
        <v>Facebook</v>
      </c>
      <c r="G3442" s="41" t="s">
        <v>5894</v>
      </c>
      <c r="H3442" s="36"/>
      <c r="I3442" s="36"/>
      <c r="J3442" s="41" t="s">
        <v>188</v>
      </c>
      <c r="K3442" s="41"/>
      <c r="L3442" s="42"/>
    </row>
    <row r="3443">
      <c r="A3443" s="18">
        <v>3442.0</v>
      </c>
      <c r="B3443" s="76" t="s">
        <v>5873</v>
      </c>
      <c r="C3443" s="40" t="s">
        <v>5895</v>
      </c>
      <c r="D3443" s="41"/>
      <c r="E3443" s="41" t="s">
        <v>557</v>
      </c>
      <c r="F3443" s="41" t="str">
        <f>IFERROR(__xludf.DUMMYFUNCTION("if(REGEXMATCH(C3443,""x.com"")=TRUE,""Twitter"",if(REGEXMATCH(C3443,""facebook"")=TRUE,""Facebook"",if(REGEXMATCH(C3443,""instagram"")=TRUE,""Instagram"",if(REGEXMATCH(C3443,""youtube"")=TRUE,""Youtube"",if(REGEXMATCH(C3443,""tiktok"")=TRUE,""Tiktok"",if("&amp;"REGEXMATCH(C3443,""threads"")=TRUE,""Threads""))))))"),"Tiktok")</f>
        <v>Tiktok</v>
      </c>
      <c r="G3443" s="41" t="s">
        <v>5896</v>
      </c>
      <c r="H3443" s="35"/>
      <c r="I3443" s="35"/>
      <c r="J3443" s="41" t="s">
        <v>188</v>
      </c>
      <c r="K3443" s="41"/>
      <c r="L3443" s="42"/>
    </row>
    <row r="3444">
      <c r="A3444" s="18">
        <v>3443.0</v>
      </c>
      <c r="B3444" s="76" t="s">
        <v>5873</v>
      </c>
      <c r="C3444" s="40" t="s">
        <v>5897</v>
      </c>
      <c r="D3444" s="41"/>
      <c r="E3444" s="41" t="s">
        <v>1178</v>
      </c>
      <c r="F3444" s="41" t="str">
        <f>IFERROR(__xludf.DUMMYFUNCTION("if(REGEXMATCH(C3444,""x.com"")=TRUE,""Twitter"",if(REGEXMATCH(C3444,""facebook"")=TRUE,""Facebook"",if(REGEXMATCH(C3444,""instagram"")=TRUE,""Instagram"",if(REGEXMATCH(C3444,""youtube"")=TRUE,""Youtube"",if(REGEXMATCH(C3444,""tiktok"")=TRUE,""Tiktok"",if("&amp;"REGEXMATCH(C3444,""threads"")=TRUE,""Threads""))))))"),"Facebook")</f>
        <v>Facebook</v>
      </c>
      <c r="G3444" s="41" t="s">
        <v>2135</v>
      </c>
      <c r="H3444" s="41" t="s">
        <v>2136</v>
      </c>
      <c r="I3444" s="41" t="s">
        <v>2137</v>
      </c>
      <c r="J3444" s="41" t="s">
        <v>188</v>
      </c>
      <c r="K3444" s="41"/>
      <c r="L3444" s="42"/>
    </row>
    <row r="3445">
      <c r="A3445" s="18">
        <v>3444.0</v>
      </c>
      <c r="B3445" s="76" t="s">
        <v>5873</v>
      </c>
      <c r="C3445" s="40" t="s">
        <v>5898</v>
      </c>
      <c r="D3445" s="41"/>
      <c r="E3445" s="41" t="s">
        <v>1178</v>
      </c>
      <c r="F3445" s="41" t="str">
        <f>IFERROR(__xludf.DUMMYFUNCTION("if(REGEXMATCH(C3445,""x.com"")=TRUE,""Twitter"",if(REGEXMATCH(C3445,""facebook"")=TRUE,""Facebook"",if(REGEXMATCH(C3445,""instagram"")=TRUE,""Instagram"",if(REGEXMATCH(C3445,""youtube"")=TRUE,""Youtube"",if(REGEXMATCH(C3445,""tiktok"")=TRUE,""Tiktok"",if("&amp;"REGEXMATCH(C3445,""threads"")=TRUE,""Threads""))))))"),"Facebook")</f>
        <v>Facebook</v>
      </c>
      <c r="G3445" s="41" t="s">
        <v>2135</v>
      </c>
      <c r="H3445" s="41" t="s">
        <v>2136</v>
      </c>
      <c r="I3445" s="41" t="s">
        <v>2137</v>
      </c>
      <c r="J3445" s="41" t="s">
        <v>188</v>
      </c>
      <c r="K3445" s="41"/>
      <c r="L3445" s="42"/>
    </row>
    <row r="3446">
      <c r="A3446" s="18">
        <v>3445.0</v>
      </c>
      <c r="B3446" s="76" t="s">
        <v>5873</v>
      </c>
      <c r="C3446" s="40" t="s">
        <v>5899</v>
      </c>
      <c r="D3446" s="41"/>
      <c r="E3446" s="41" t="s">
        <v>1178</v>
      </c>
      <c r="F3446" s="41" t="str">
        <f>IFERROR(__xludf.DUMMYFUNCTION("if(REGEXMATCH(C3446,""x.com"")=TRUE,""Twitter"",if(REGEXMATCH(C3446,""facebook"")=TRUE,""Facebook"",if(REGEXMATCH(C3446,""instagram"")=TRUE,""Instagram"",if(REGEXMATCH(C3446,""youtube"")=TRUE,""Youtube"",if(REGEXMATCH(C3446,""tiktok"")=TRUE,""Tiktok"",if("&amp;"REGEXMATCH(C3446,""threads"")=TRUE,""Threads""))))))"),"Facebook")</f>
        <v>Facebook</v>
      </c>
      <c r="G3446" s="41" t="s">
        <v>2135</v>
      </c>
      <c r="H3446" s="41" t="s">
        <v>2136</v>
      </c>
      <c r="I3446" s="41" t="s">
        <v>2137</v>
      </c>
      <c r="J3446" s="41" t="s">
        <v>188</v>
      </c>
      <c r="K3446" s="41"/>
      <c r="L3446" s="42"/>
    </row>
    <row r="3447">
      <c r="A3447" s="18">
        <v>3446.0</v>
      </c>
      <c r="B3447" s="76" t="s">
        <v>5873</v>
      </c>
      <c r="C3447" s="73" t="s">
        <v>5900</v>
      </c>
      <c r="D3447" s="41"/>
      <c r="E3447" s="41" t="s">
        <v>1178</v>
      </c>
      <c r="F3447" s="41" t="str">
        <f>IFERROR(__xludf.DUMMYFUNCTION("if(REGEXMATCH(C3447,""x.com"")=TRUE,""Twitter"",if(REGEXMATCH(C3447,""facebook"")=TRUE,""Facebook"",if(REGEXMATCH(C3447,""instagram"")=TRUE,""Instagram"",if(REGEXMATCH(C3447,""youtube"")=TRUE,""Youtube"",if(REGEXMATCH(C3447,""tiktok"")=TRUE,""Tiktok"",if("&amp;"REGEXMATCH(C3447,""threads"")=TRUE,""Threads""))))))"),"Tiktok")</f>
        <v>Tiktok</v>
      </c>
      <c r="G3447" s="41" t="s">
        <v>2135</v>
      </c>
      <c r="H3447" s="41" t="s">
        <v>2136</v>
      </c>
      <c r="I3447" s="41" t="s">
        <v>2137</v>
      </c>
      <c r="J3447" s="41" t="s">
        <v>188</v>
      </c>
      <c r="K3447" s="41"/>
      <c r="L3447" s="42"/>
    </row>
    <row r="3448">
      <c r="A3448" s="18">
        <v>3447.0</v>
      </c>
      <c r="B3448" s="76" t="s">
        <v>5873</v>
      </c>
      <c r="C3448" s="40" t="s">
        <v>5901</v>
      </c>
      <c r="D3448" s="41"/>
      <c r="E3448" s="41" t="s">
        <v>1178</v>
      </c>
      <c r="F3448" s="41" t="str">
        <f>IFERROR(__xludf.DUMMYFUNCTION("if(REGEXMATCH(C3448,""x.com"")=TRUE,""Twitter"",if(REGEXMATCH(C3448,""facebook"")=TRUE,""Facebook"",if(REGEXMATCH(C3448,""instagram"")=TRUE,""Instagram"",if(REGEXMATCH(C3448,""youtube"")=TRUE,""Youtube"",if(REGEXMATCH(C3448,""tiktok"")=TRUE,""Tiktok"",if("&amp;"REGEXMATCH(C3448,""threads"")=TRUE,""Threads""))))))"),"Tiktok")</f>
        <v>Tiktok</v>
      </c>
      <c r="G3448" s="41" t="s">
        <v>2135</v>
      </c>
      <c r="H3448" s="41" t="s">
        <v>2136</v>
      </c>
      <c r="I3448" s="41" t="s">
        <v>2137</v>
      </c>
      <c r="J3448" s="41" t="s">
        <v>188</v>
      </c>
      <c r="K3448" s="18"/>
      <c r="L3448" s="42"/>
    </row>
    <row r="3449">
      <c r="A3449" s="18">
        <v>3448.0</v>
      </c>
      <c r="B3449" s="76" t="s">
        <v>5873</v>
      </c>
      <c r="C3449" s="40" t="s">
        <v>5902</v>
      </c>
      <c r="D3449" s="41"/>
      <c r="E3449" s="41" t="s">
        <v>1178</v>
      </c>
      <c r="F3449" s="41" t="str">
        <f>IFERROR(__xludf.DUMMYFUNCTION("if(REGEXMATCH(C3449,""x.com"")=TRUE,""Twitter"",if(REGEXMATCH(C3449,""facebook"")=TRUE,""Facebook"",if(REGEXMATCH(C3449,""instagram"")=TRUE,""Instagram"",if(REGEXMATCH(C3449,""youtube"")=TRUE,""Youtube"",if(REGEXMATCH(C3449,""tiktok"")=TRUE,""Tiktok"",if("&amp;"REGEXMATCH(C3449,""threads"")=TRUE,""Threads""))))))"),"Twitter")</f>
        <v>Twitter</v>
      </c>
      <c r="G3449" s="41" t="s">
        <v>2135</v>
      </c>
      <c r="H3449" s="41" t="s">
        <v>2136</v>
      </c>
      <c r="I3449" s="41" t="s">
        <v>2137</v>
      </c>
      <c r="J3449" s="41" t="s">
        <v>188</v>
      </c>
      <c r="K3449" s="41"/>
      <c r="L3449" s="42"/>
    </row>
    <row r="3450">
      <c r="A3450" s="18">
        <v>3449.0</v>
      </c>
      <c r="B3450" s="76" t="s">
        <v>5873</v>
      </c>
      <c r="C3450" s="40" t="s">
        <v>5903</v>
      </c>
      <c r="D3450" s="41"/>
      <c r="E3450" s="41" t="s">
        <v>1178</v>
      </c>
      <c r="F3450" s="41" t="str">
        <f>IFERROR(__xludf.DUMMYFUNCTION("if(REGEXMATCH(C3450,""x.com"")=TRUE,""Twitter"",if(REGEXMATCH(C3450,""facebook"")=TRUE,""Facebook"",if(REGEXMATCH(C3450,""instagram"")=TRUE,""Instagram"",if(REGEXMATCH(C3450,""youtube"")=TRUE,""Youtube"",if(REGEXMATCH(C3450,""tiktok"")=TRUE,""Tiktok"",if("&amp;"REGEXMATCH(C3450,""threads"")=TRUE,""Threads""))))))"),"Facebook")</f>
        <v>Facebook</v>
      </c>
      <c r="G3450" s="41" t="s">
        <v>2135</v>
      </c>
      <c r="H3450" s="41" t="s">
        <v>2136</v>
      </c>
      <c r="I3450" s="41" t="s">
        <v>2137</v>
      </c>
      <c r="J3450" s="41" t="s">
        <v>188</v>
      </c>
      <c r="K3450" s="41"/>
      <c r="L3450" s="42"/>
    </row>
    <row r="3451">
      <c r="A3451" s="18">
        <v>3450.0</v>
      </c>
      <c r="B3451" s="76" t="s">
        <v>5873</v>
      </c>
      <c r="C3451" s="40" t="s">
        <v>5904</v>
      </c>
      <c r="D3451" s="41"/>
      <c r="E3451" s="41" t="s">
        <v>1178</v>
      </c>
      <c r="F3451" s="41" t="str">
        <f>IFERROR(__xludf.DUMMYFUNCTION("if(REGEXMATCH(C3451,""x.com"")=TRUE,""Twitter"",if(REGEXMATCH(C3451,""facebook"")=TRUE,""Facebook"",if(REGEXMATCH(C3451,""instagram"")=TRUE,""Instagram"",if(REGEXMATCH(C3451,""youtube"")=TRUE,""Youtube"",if(REGEXMATCH(C3451,""tiktok"")=TRUE,""Tiktok"",if("&amp;"REGEXMATCH(C3451,""threads"")=TRUE,""Threads""))))))"),"Tiktok")</f>
        <v>Tiktok</v>
      </c>
      <c r="G3451" s="41" t="s">
        <v>2135</v>
      </c>
      <c r="H3451" s="41" t="s">
        <v>2136</v>
      </c>
      <c r="I3451" s="41" t="s">
        <v>2137</v>
      </c>
      <c r="J3451" s="41" t="s">
        <v>188</v>
      </c>
      <c r="K3451" s="41"/>
      <c r="L3451" s="42"/>
    </row>
    <row r="3452">
      <c r="A3452" s="18">
        <v>3451.0</v>
      </c>
      <c r="B3452" s="76" t="s">
        <v>5873</v>
      </c>
      <c r="C3452" s="40" t="s">
        <v>5905</v>
      </c>
      <c r="D3452" s="41"/>
      <c r="E3452" s="41" t="s">
        <v>1178</v>
      </c>
      <c r="F3452" s="41" t="str">
        <f>IFERROR(__xludf.DUMMYFUNCTION("if(REGEXMATCH(C3452,""x.com"")=TRUE,""Twitter"",if(REGEXMATCH(C3452,""facebook"")=TRUE,""Facebook"",if(REGEXMATCH(C3452,""instagram"")=TRUE,""Instagram"",if(REGEXMATCH(C3452,""youtube"")=TRUE,""Youtube"",if(REGEXMATCH(C3452,""tiktok"")=TRUE,""Tiktok"",if("&amp;"REGEXMATCH(C3452,""threads"")=TRUE,""Threads""))))))"),"Tiktok")</f>
        <v>Tiktok</v>
      </c>
      <c r="G3452" s="41" t="s">
        <v>2135</v>
      </c>
      <c r="H3452" s="41" t="s">
        <v>2136</v>
      </c>
      <c r="I3452" s="41" t="s">
        <v>2137</v>
      </c>
      <c r="J3452" s="41" t="s">
        <v>188</v>
      </c>
      <c r="K3452" s="41"/>
      <c r="L3452" s="42"/>
    </row>
    <row r="3453">
      <c r="A3453" s="18">
        <v>3452.0</v>
      </c>
      <c r="B3453" s="76" t="s">
        <v>5873</v>
      </c>
      <c r="C3453" s="40" t="s">
        <v>5906</v>
      </c>
      <c r="D3453" s="41"/>
      <c r="E3453" s="41" t="s">
        <v>1178</v>
      </c>
      <c r="F3453" s="41" t="str">
        <f>IFERROR(__xludf.DUMMYFUNCTION("if(REGEXMATCH(C3453,""x.com"")=TRUE,""Twitter"",if(REGEXMATCH(C3453,""facebook"")=TRUE,""Facebook"",if(REGEXMATCH(C3453,""instagram"")=TRUE,""Instagram"",if(REGEXMATCH(C3453,""youtube"")=TRUE,""Youtube"",if(REGEXMATCH(C3453,""tiktok"")=TRUE,""Tiktok"",if("&amp;"REGEXMATCH(C3453,""threads"")=TRUE,""Threads""))))))"),"Tiktok")</f>
        <v>Tiktok</v>
      </c>
      <c r="G3453" s="41" t="s">
        <v>2135</v>
      </c>
      <c r="H3453" s="41" t="s">
        <v>2136</v>
      </c>
      <c r="I3453" s="41" t="s">
        <v>2137</v>
      </c>
      <c r="J3453" s="41" t="s">
        <v>188</v>
      </c>
      <c r="K3453" s="41"/>
      <c r="L3453" s="42"/>
    </row>
    <row r="3454">
      <c r="A3454" s="18">
        <v>3453.0</v>
      </c>
      <c r="B3454" s="76" t="s">
        <v>5873</v>
      </c>
      <c r="C3454" s="40" t="s">
        <v>5907</v>
      </c>
      <c r="D3454" s="41"/>
      <c r="E3454" s="41" t="s">
        <v>1178</v>
      </c>
      <c r="F3454" s="41" t="str">
        <f>IFERROR(__xludf.DUMMYFUNCTION("if(REGEXMATCH(C3454,""x.com"")=TRUE,""Twitter"",if(REGEXMATCH(C3454,""facebook"")=TRUE,""Facebook"",if(REGEXMATCH(C3454,""instagram"")=TRUE,""Instagram"",if(REGEXMATCH(C3454,""youtube"")=TRUE,""Youtube"",if(REGEXMATCH(C3454,""tiktok"")=TRUE,""Tiktok"",if("&amp;"REGEXMATCH(C3454,""threads"")=TRUE,""Threads""))))))"),"Facebook")</f>
        <v>Facebook</v>
      </c>
      <c r="G3454" s="41" t="s">
        <v>2135</v>
      </c>
      <c r="H3454" s="41" t="s">
        <v>2136</v>
      </c>
      <c r="I3454" s="41" t="s">
        <v>2137</v>
      </c>
      <c r="J3454" s="41" t="s">
        <v>188</v>
      </c>
      <c r="K3454" s="41"/>
      <c r="L3454" s="42"/>
    </row>
    <row r="3455">
      <c r="A3455" s="18">
        <v>3454.0</v>
      </c>
      <c r="B3455" s="76" t="s">
        <v>5873</v>
      </c>
      <c r="C3455" s="40" t="s">
        <v>5908</v>
      </c>
      <c r="D3455" s="41"/>
      <c r="E3455" s="41" t="s">
        <v>1178</v>
      </c>
      <c r="F3455" s="41" t="str">
        <f>IFERROR(__xludf.DUMMYFUNCTION("if(REGEXMATCH(C3455,""x.com"")=TRUE,""Twitter"",if(REGEXMATCH(C3455,""facebook"")=TRUE,""Facebook"",if(REGEXMATCH(C3455,""instagram"")=TRUE,""Instagram"",if(REGEXMATCH(C3455,""youtube"")=TRUE,""Youtube"",if(REGEXMATCH(C3455,""tiktok"")=TRUE,""Tiktok"",if("&amp;"REGEXMATCH(C3455,""threads"")=TRUE,""Threads""))))))"),"Twitter")</f>
        <v>Twitter</v>
      </c>
      <c r="G3455" s="41" t="s">
        <v>2135</v>
      </c>
      <c r="H3455" s="41" t="s">
        <v>2136</v>
      </c>
      <c r="I3455" s="41" t="s">
        <v>2137</v>
      </c>
      <c r="J3455" s="41" t="s">
        <v>188</v>
      </c>
      <c r="K3455" s="18"/>
      <c r="L3455" s="42"/>
    </row>
    <row r="3456">
      <c r="A3456" s="18">
        <v>3455.0</v>
      </c>
      <c r="B3456" s="76" t="s">
        <v>5873</v>
      </c>
      <c r="C3456" s="40" t="s">
        <v>5909</v>
      </c>
      <c r="D3456" s="41"/>
      <c r="E3456" s="41" t="s">
        <v>1178</v>
      </c>
      <c r="F3456" s="41" t="str">
        <f>IFERROR(__xludf.DUMMYFUNCTION("if(REGEXMATCH(C3456,""x.com"")=TRUE,""Twitter"",if(REGEXMATCH(C3456,""facebook"")=TRUE,""Facebook"",if(REGEXMATCH(C3456,""instagram"")=TRUE,""Instagram"",if(REGEXMATCH(C3456,""youtube"")=TRUE,""Youtube"",if(REGEXMATCH(C3456,""tiktok"")=TRUE,""Tiktok"",if("&amp;"REGEXMATCH(C3456,""threads"")=TRUE,""Threads""))))))"),"Twitter")</f>
        <v>Twitter</v>
      </c>
      <c r="G3456" s="41" t="s">
        <v>2135</v>
      </c>
      <c r="H3456" s="41" t="s">
        <v>2136</v>
      </c>
      <c r="I3456" s="41" t="s">
        <v>2137</v>
      </c>
      <c r="J3456" s="41" t="s">
        <v>188</v>
      </c>
      <c r="K3456" s="41"/>
      <c r="L3456" s="42"/>
    </row>
    <row r="3457">
      <c r="A3457" s="18">
        <v>3456.0</v>
      </c>
      <c r="B3457" s="76" t="s">
        <v>5873</v>
      </c>
      <c r="C3457" s="40" t="s">
        <v>5910</v>
      </c>
      <c r="D3457" s="41"/>
      <c r="E3457" s="41" t="s">
        <v>1178</v>
      </c>
      <c r="F3457" s="41" t="str">
        <f>IFERROR(__xludf.DUMMYFUNCTION("if(REGEXMATCH(C3457,""x.com"")=TRUE,""Twitter"",if(REGEXMATCH(C3457,""facebook"")=TRUE,""Facebook"",if(REGEXMATCH(C3457,""instagram"")=TRUE,""Instagram"",if(REGEXMATCH(C3457,""youtube"")=TRUE,""Youtube"",if(REGEXMATCH(C3457,""tiktok"")=TRUE,""Tiktok"",if("&amp;"REGEXMATCH(C3457,""threads"")=TRUE,""Threads""))))))"),"Twitter")</f>
        <v>Twitter</v>
      </c>
      <c r="G3457" s="41" t="s">
        <v>2135</v>
      </c>
      <c r="H3457" s="41" t="s">
        <v>2136</v>
      </c>
      <c r="I3457" s="41" t="s">
        <v>2137</v>
      </c>
      <c r="J3457" s="41" t="s">
        <v>188</v>
      </c>
      <c r="K3457" s="41"/>
      <c r="L3457" s="42"/>
    </row>
    <row r="3458">
      <c r="A3458" s="18">
        <v>3457.0</v>
      </c>
      <c r="B3458" s="76" t="s">
        <v>5873</v>
      </c>
      <c r="C3458" s="40" t="s">
        <v>5911</v>
      </c>
      <c r="D3458" s="41"/>
      <c r="E3458" s="41" t="s">
        <v>1178</v>
      </c>
      <c r="F3458" s="41" t="str">
        <f>IFERROR(__xludf.DUMMYFUNCTION("if(REGEXMATCH(C3458,""x.com"")=TRUE,""Twitter"",if(REGEXMATCH(C3458,""facebook"")=TRUE,""Facebook"",if(REGEXMATCH(C3458,""instagram"")=TRUE,""Instagram"",if(REGEXMATCH(C3458,""youtube"")=TRUE,""Youtube"",if(REGEXMATCH(C3458,""tiktok"")=TRUE,""Tiktok"",if("&amp;"REGEXMATCH(C3458,""threads"")=TRUE,""Threads""))))))"),"Tiktok")</f>
        <v>Tiktok</v>
      </c>
      <c r="G3458" s="41" t="s">
        <v>2135</v>
      </c>
      <c r="H3458" s="41" t="s">
        <v>2136</v>
      </c>
      <c r="I3458" s="41" t="s">
        <v>2137</v>
      </c>
      <c r="J3458" s="41" t="s">
        <v>188</v>
      </c>
      <c r="K3458" s="18"/>
      <c r="L3458" s="42"/>
    </row>
    <row r="3459">
      <c r="A3459" s="18">
        <v>3458.0</v>
      </c>
      <c r="B3459" s="76" t="s">
        <v>5873</v>
      </c>
      <c r="C3459" s="40" t="s">
        <v>5912</v>
      </c>
      <c r="D3459" s="41"/>
      <c r="E3459" s="41" t="s">
        <v>1178</v>
      </c>
      <c r="F3459" s="41" t="str">
        <f>IFERROR(__xludf.DUMMYFUNCTION("if(REGEXMATCH(C3459,""x.com"")=TRUE,""Twitter"",if(REGEXMATCH(C3459,""facebook"")=TRUE,""Facebook"",if(REGEXMATCH(C3459,""instagram"")=TRUE,""Instagram"",if(REGEXMATCH(C3459,""youtube"")=TRUE,""Youtube"",if(REGEXMATCH(C3459,""tiktok"")=TRUE,""Tiktok"",if("&amp;"REGEXMATCH(C3459,""threads"")=TRUE,""Threads""))))))"),"Twitter")</f>
        <v>Twitter</v>
      </c>
      <c r="G3459" s="41" t="s">
        <v>2135</v>
      </c>
      <c r="H3459" s="41" t="s">
        <v>2136</v>
      </c>
      <c r="I3459" s="41" t="s">
        <v>2137</v>
      </c>
      <c r="J3459" s="41" t="s">
        <v>188</v>
      </c>
      <c r="K3459" s="18"/>
      <c r="L3459" s="42"/>
    </row>
    <row r="3460">
      <c r="A3460" s="18">
        <v>3459.0</v>
      </c>
      <c r="B3460" s="76" t="s">
        <v>5873</v>
      </c>
      <c r="C3460" s="40" t="s">
        <v>5913</v>
      </c>
      <c r="D3460" s="41"/>
      <c r="E3460" s="41" t="s">
        <v>1178</v>
      </c>
      <c r="F3460" s="41" t="str">
        <f>IFERROR(__xludf.DUMMYFUNCTION("if(REGEXMATCH(C3460,""x.com"")=TRUE,""Twitter"",if(REGEXMATCH(C3460,""facebook"")=TRUE,""Facebook"",if(REGEXMATCH(C3460,""instagram"")=TRUE,""Instagram"",if(REGEXMATCH(C3460,""youtube"")=TRUE,""Youtube"",if(REGEXMATCH(C3460,""tiktok"")=TRUE,""Tiktok"",if("&amp;"REGEXMATCH(C3460,""threads"")=TRUE,""Threads""))))))"),"Twitter")</f>
        <v>Twitter</v>
      </c>
      <c r="G3460" s="41" t="s">
        <v>2135</v>
      </c>
      <c r="H3460" s="41" t="s">
        <v>2136</v>
      </c>
      <c r="I3460" s="41" t="s">
        <v>2137</v>
      </c>
      <c r="J3460" s="41" t="s">
        <v>188</v>
      </c>
      <c r="K3460" s="18"/>
      <c r="L3460" s="42"/>
    </row>
    <row r="3461">
      <c r="A3461" s="18">
        <v>3460.0</v>
      </c>
      <c r="B3461" s="76" t="s">
        <v>5914</v>
      </c>
      <c r="C3461" s="40" t="s">
        <v>5915</v>
      </c>
      <c r="D3461" s="41"/>
      <c r="E3461" s="41" t="s">
        <v>197</v>
      </c>
      <c r="F3461" s="41" t="str">
        <f>IFERROR(__xludf.DUMMYFUNCTION("if(REGEXMATCH(C3461,""x.com"")=TRUE,""Twitter"",if(REGEXMATCH(C3461,""facebook"")=TRUE,""Facebook"",if(REGEXMATCH(C3461,""instagram"")=TRUE,""Instagram"",if(REGEXMATCH(C3461,""youtube"")=TRUE,""Youtube"",if(REGEXMATCH(C3461,""tiktok"")=TRUE,""Tiktok"",if("&amp;"REGEXMATCH(C3461,""threads"")=TRUE,""Threads""))))))"),"Facebook")</f>
        <v>Facebook</v>
      </c>
      <c r="G3461" s="41" t="s">
        <v>5916</v>
      </c>
      <c r="H3461" s="43" t="s">
        <v>5917</v>
      </c>
      <c r="I3461" s="43" t="s">
        <v>535</v>
      </c>
      <c r="J3461" s="41" t="s">
        <v>188</v>
      </c>
      <c r="K3461" s="41" t="str">
        <f t="shared" ref="K3461:K3475" si="3">G3461&amp;". Analisis Dampak: "&amp;I3461</f>
        <v>Ditemukan konten pada media sosial Facebook yang diduga memuat unsur provokatif untuk melakukan tindakan anarkis dengan narasi "Nepalkan" DPR karena telah mengesahkan KUHP yang baru secara cepat, dimana terdapat pasal dari isi KUHP tersebut yang dianggap bermasalah.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Munculnya akun dan/atau konten provokatif, ujaran kebencian, SARA menyebabkan meningkatkan persebaran manipulasi dan disinformasi, menimbulkan kegaduhan di publik, ruang menciptakan polarisasi sosial, meningkatkan ketegangan sosial yang berdampak pada gangguan keamanan dan ketertiban masyarakat serta mengganggu stabilitas dan integrasi nasional.</v>
      </c>
      <c r="L3461" s="42"/>
    </row>
    <row r="3462">
      <c r="A3462" s="18">
        <v>3461.0</v>
      </c>
      <c r="B3462" s="76" t="s">
        <v>5914</v>
      </c>
      <c r="C3462" s="40" t="s">
        <v>5918</v>
      </c>
      <c r="D3462" s="41"/>
      <c r="E3462" s="41" t="s">
        <v>197</v>
      </c>
      <c r="F3462" s="41" t="str">
        <f>IFERROR(__xludf.DUMMYFUNCTION("if(REGEXMATCH(C3462,""x.com"")=TRUE,""Twitter"",if(REGEXMATCH(C3462,""facebook"")=TRUE,""Facebook"",if(REGEXMATCH(C3462,""instagram"")=TRUE,""Instagram"",if(REGEXMATCH(C3462,""youtube"")=TRUE,""Youtube"",if(REGEXMATCH(C3462,""tiktok"")=TRUE,""Tiktok"",if("&amp;"REGEXMATCH(C3462,""threads"")=TRUE,""Threads""))))))"),"Facebook")</f>
        <v>Facebook</v>
      </c>
      <c r="G3462" s="41" t="s">
        <v>5919</v>
      </c>
      <c r="H3462" s="36"/>
      <c r="I3462" s="36"/>
      <c r="J3462" s="41" t="s">
        <v>188</v>
      </c>
      <c r="K3462" s="41" t="str">
        <f t="shared" si="3"/>
        <v>Ditemukan konten pada media sosial Facebook yang diduga memuat unsur provokatif untuk melakukan tindakan anarkis dengan narasi "Nepalkan" DPR karena diduga mengusulkan pemilihan umum dilakukan 10 tahun sekali saja dengan alasan agar kembali modal yang digunakan pada pemilihan umum.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62" s="42"/>
    </row>
    <row r="3463">
      <c r="A3463" s="18">
        <v>3462.0</v>
      </c>
      <c r="B3463" s="76" t="s">
        <v>5914</v>
      </c>
      <c r="C3463" s="40" t="s">
        <v>5920</v>
      </c>
      <c r="D3463" s="41"/>
      <c r="E3463" s="41" t="s">
        <v>197</v>
      </c>
      <c r="F3463" s="41" t="str">
        <f>IFERROR(__xludf.DUMMYFUNCTION("if(REGEXMATCH(C3463,""x.com"")=TRUE,""Twitter"",if(REGEXMATCH(C3463,""facebook"")=TRUE,""Facebook"",if(REGEXMATCH(C3463,""instagram"")=TRUE,""Instagram"",if(REGEXMATCH(C3463,""youtube"")=TRUE,""Youtube"",if(REGEXMATCH(C3463,""tiktok"")=TRUE,""Tiktok"",if("&amp;"REGEXMATCH(C3463,""threads"")=TRUE,""Threads""))))))"),"Facebook")</f>
        <v>Facebook</v>
      </c>
      <c r="G3463" s="41" t="s">
        <v>5921</v>
      </c>
      <c r="H3463" s="36"/>
      <c r="I3463" s="36"/>
      <c r="J3463" s="41" t="s">
        <v>188</v>
      </c>
      <c r="K3463" s="41" t="str">
        <f t="shared" si="3"/>
        <v>Ditemukan konten pada media sosial Facebook yang diduga memuat unsur provokatif untuk melakukan tindakan anarkis dengan narasi "Nepalkan" dan “Rudalkan” DPR karena dianggap sebagian besar anggota DPR di Senayan mendukung agar pemilihan kepala daerah melalui DPRD saja.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63" s="42"/>
    </row>
    <row r="3464">
      <c r="A3464" s="18">
        <v>3463.0</v>
      </c>
      <c r="B3464" s="76" t="s">
        <v>5914</v>
      </c>
      <c r="C3464" s="40" t="s">
        <v>5922</v>
      </c>
      <c r="D3464" s="41"/>
      <c r="E3464" s="41" t="s">
        <v>197</v>
      </c>
      <c r="F3464" s="41" t="str">
        <f>IFERROR(__xludf.DUMMYFUNCTION("if(REGEXMATCH(C3464,""x.com"")=TRUE,""Twitter"",if(REGEXMATCH(C3464,""facebook"")=TRUE,""Facebook"",if(REGEXMATCH(C3464,""instagram"")=TRUE,""Instagram"",if(REGEXMATCH(C3464,""youtube"")=TRUE,""Youtube"",if(REGEXMATCH(C3464,""tiktok"")=TRUE,""Tiktok"",if("&amp;"REGEXMATCH(C3464,""threads"")=TRUE,""Threads""))))))"),"Facebook")</f>
        <v>Facebook</v>
      </c>
      <c r="G3464" s="41" t="s">
        <v>5923</v>
      </c>
      <c r="H3464" s="36"/>
      <c r="I3464" s="36"/>
      <c r="J3464" s="41" t="s">
        <v>188</v>
      </c>
      <c r="K3464" s="41" t="str">
        <f t="shared" si="3"/>
        <v>Ditemukan konten pada media sosial Facebook yang diduga memuat unsur provokatif untuk melakukan tindakan anarkis dengan narasi "Nepalkan" Joko Widodo karena tidak hadir dalam sidang terkait persoalan ijazah yang dimilikinya dan dianggap dilindungi oleh Undang-Undang.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64" s="42"/>
    </row>
    <row r="3465">
      <c r="A3465" s="18">
        <v>3464.0</v>
      </c>
      <c r="B3465" s="76" t="s">
        <v>5914</v>
      </c>
      <c r="C3465" s="40" t="s">
        <v>5924</v>
      </c>
      <c r="D3465" s="41"/>
      <c r="E3465" s="41" t="s">
        <v>197</v>
      </c>
      <c r="F3465" s="41" t="str">
        <f>IFERROR(__xludf.DUMMYFUNCTION("if(REGEXMATCH(C3465,""x.com"")=TRUE,""Twitter"",if(REGEXMATCH(C3465,""facebook"")=TRUE,""Facebook"",if(REGEXMATCH(C3465,""instagram"")=TRUE,""Instagram"",if(REGEXMATCH(C3465,""youtube"")=TRUE,""Youtube"",if(REGEXMATCH(C3465,""tiktok"")=TRUE,""Tiktok"",if("&amp;"REGEXMATCH(C3465,""threads"")=TRUE,""Threads""))))))"),"Facebook")</f>
        <v>Facebook</v>
      </c>
      <c r="G3465" s="41" t="s">
        <v>5925</v>
      </c>
      <c r="H3465" s="36"/>
      <c r="I3465" s="36"/>
      <c r="J3465" s="41" t="s">
        <v>188</v>
      </c>
      <c r="K3465" s="41" t="str">
        <f t="shared" si="3"/>
        <v>Ditemukan konten pada media sosial Facebook yang diduga memuat unsur provokatif untuk melakukan tindakan anarkis dengan narasi "Nepalkan" Joko Widodo karena tidak segera menunjukkan ijazah asli yang dimilikinya sehingga dianggap mempermainkan hukum dan membohongi masyarakat.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65" s="42"/>
    </row>
    <row r="3466">
      <c r="A3466" s="18">
        <v>3465.0</v>
      </c>
      <c r="B3466" s="76" t="s">
        <v>5914</v>
      </c>
      <c r="C3466" s="40" t="s">
        <v>5926</v>
      </c>
      <c r="D3466" s="41"/>
      <c r="E3466" s="41" t="s">
        <v>197</v>
      </c>
      <c r="F3466" s="41" t="str">
        <f>IFERROR(__xludf.DUMMYFUNCTION("if(REGEXMATCH(C3466,""x.com"")=TRUE,""Twitter"",if(REGEXMATCH(C3466,""facebook"")=TRUE,""Facebook"",if(REGEXMATCH(C3466,""instagram"")=TRUE,""Instagram"",if(REGEXMATCH(C3466,""youtube"")=TRUE,""Youtube"",if(REGEXMATCH(C3466,""tiktok"")=TRUE,""Tiktok"",if("&amp;"REGEXMATCH(C3466,""threads"")=TRUE,""Threads""))))))"),"Facebook")</f>
        <v>Facebook</v>
      </c>
      <c r="G3466" s="41" t="s">
        <v>5927</v>
      </c>
      <c r="H3466" s="36"/>
      <c r="I3466" s="36"/>
      <c r="J3466" s="41" t="s">
        <v>188</v>
      </c>
      <c r="K3466" s="41" t="str">
        <f t="shared" si="3"/>
        <v>Ditemukan konten pada media sosial Facebook yang diduga memuat unsur provokatif untuk melakukan tindakan anarkis dan dengan narasi "Nepalkan” DPR karena sebagian besar anggota DPR RI memilih setuju terkait pemilihan kepala daerah yang dilakukan melalui DPRD, bukan dipilih melalui rakyat lagi sehingga DPR dianggap telah berkhianat kepada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66" s="42"/>
    </row>
    <row r="3467">
      <c r="A3467" s="18">
        <v>3466.0</v>
      </c>
      <c r="B3467" s="76" t="s">
        <v>5914</v>
      </c>
      <c r="C3467" s="40" t="s">
        <v>5928</v>
      </c>
      <c r="D3467" s="41"/>
      <c r="E3467" s="41" t="s">
        <v>197</v>
      </c>
      <c r="F3467" s="41" t="str">
        <f>IFERROR(__xludf.DUMMYFUNCTION("if(REGEXMATCH(C3467,""x.com"")=TRUE,""Twitter"",if(REGEXMATCH(C3467,""facebook"")=TRUE,""Facebook"",if(REGEXMATCH(C3467,""instagram"")=TRUE,""Instagram"",if(REGEXMATCH(C3467,""youtube"")=TRUE,""Youtube"",if(REGEXMATCH(C3467,""tiktok"")=TRUE,""Tiktok"",if("&amp;"REGEXMATCH(C3467,""threads"")=TRUE,""Threads""))))))"),"Facebook")</f>
        <v>Facebook</v>
      </c>
      <c r="G3467" s="41" t="s">
        <v>5929</v>
      </c>
      <c r="H3467" s="36"/>
      <c r="I3467" s="36"/>
      <c r="J3467" s="41" t="s">
        <v>188</v>
      </c>
      <c r="K3467" s="41" t="str">
        <f t="shared" si="3"/>
        <v>Ditemukan konten pada media sosial Facebook yang diduga memuat unsur provokatif untuk melakukan tindakan anarkis dengan narasi "Nepalkan” dan “Bubarkan” DPR karena telah mengesahkan KUHP dan KUHAP yang baru yang diduga terdapat pasal kontroversial yaitu jika menghina pejabat maka dapat dipenjara sehingga hal tersebut dianggap arogansi terhadap kekuasaan yang dimilikinya.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67" s="42"/>
    </row>
    <row r="3468">
      <c r="A3468" s="18">
        <v>3467.0</v>
      </c>
      <c r="B3468" s="76" t="s">
        <v>5914</v>
      </c>
      <c r="C3468" s="40" t="s">
        <v>5930</v>
      </c>
      <c r="D3468" s="41"/>
      <c r="E3468" s="41" t="s">
        <v>197</v>
      </c>
      <c r="F3468" s="41" t="str">
        <f>IFERROR(__xludf.DUMMYFUNCTION("if(REGEXMATCH(C3468,""x.com"")=TRUE,""Twitter"",if(REGEXMATCH(C3468,""facebook"")=TRUE,""Facebook"",if(REGEXMATCH(C3468,""instagram"")=TRUE,""Instagram"",if(REGEXMATCH(C3468,""youtube"")=TRUE,""Youtube"",if(REGEXMATCH(C3468,""tiktok"")=TRUE,""Tiktok"",if("&amp;"REGEXMATCH(C3468,""threads"")=TRUE,""Threads""))))))"),"Facebook")</f>
        <v>Facebook</v>
      </c>
      <c r="G3468" s="41" t="s">
        <v>5931</v>
      </c>
      <c r="H3468" s="36"/>
      <c r="I3468" s="36"/>
      <c r="J3468" s="41" t="s">
        <v>188</v>
      </c>
      <c r="K3468" s="41" t="str">
        <f t="shared" si="3"/>
        <v>Ditemukan konten pada media sosial Facebook yang diduga memuat unsur provokatif untuk melakukan tindakan anarkis dengan narasi "Nepalkan" semua Menteri dan DPR karena telah mengesahkan KUHP dan KUHAP, dimana terdapat pasal jika menghina pejabat maupun presiden dapat dipidana dan dipenjara sehingga hal tersebut dianggap sebagai pembungkaman rakyat terhadap pemerintah.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68" s="42"/>
    </row>
    <row r="3469">
      <c r="A3469" s="18">
        <v>3468.0</v>
      </c>
      <c r="B3469" s="76" t="s">
        <v>5914</v>
      </c>
      <c r="C3469" s="40" t="s">
        <v>5932</v>
      </c>
      <c r="D3469" s="41"/>
      <c r="E3469" s="41" t="s">
        <v>197</v>
      </c>
      <c r="F3469" s="41" t="str">
        <f>IFERROR(__xludf.DUMMYFUNCTION("if(REGEXMATCH(C3469,""x.com"")=TRUE,""Twitter"",if(REGEXMATCH(C3469,""facebook"")=TRUE,""Facebook"",if(REGEXMATCH(C3469,""instagram"")=TRUE,""Instagram"",if(REGEXMATCH(C3469,""youtube"")=TRUE,""Youtube"",if(REGEXMATCH(C3469,""tiktok"")=TRUE,""Tiktok"",if("&amp;"REGEXMATCH(C3469,""threads"")=TRUE,""Threads""))))))"),"Facebook")</f>
        <v>Facebook</v>
      </c>
      <c r="G3469" s="41" t="s">
        <v>5933</v>
      </c>
      <c r="H3469" s="36"/>
      <c r="I3469" s="36"/>
      <c r="J3469" s="41" t="s">
        <v>188</v>
      </c>
      <c r="K3469" s="41" t="str">
        <f t="shared" si="3"/>
        <v>Ditemukan konten pada media sosial Facebook yang diduga memuat unsur provokatif untuk melakukan tindakan anarkis dengan narasi "Nepalkan" Joko Widodo karena dianggap masyarakat Indonesia sudah tahu terkait ijazah yang dimiliki Joko Widodo tersebut merupakan ijazah 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69" s="42"/>
    </row>
    <row r="3470">
      <c r="A3470" s="18">
        <v>3469.0</v>
      </c>
      <c r="B3470" s="76" t="s">
        <v>5914</v>
      </c>
      <c r="C3470" s="40" t="s">
        <v>5934</v>
      </c>
      <c r="D3470" s="41"/>
      <c r="E3470" s="41" t="s">
        <v>1178</v>
      </c>
      <c r="F3470" s="41" t="str">
        <f>IFERROR(__xludf.DUMMYFUNCTION("if(REGEXMATCH(C3470,""x.com"")=TRUE,""Twitter"",if(REGEXMATCH(C3470,""facebook"")=TRUE,""Facebook"",if(REGEXMATCH(C3470,""instagram"")=TRUE,""Instagram"",if(REGEXMATCH(C3470,""youtube"")=TRUE,""Youtube"",if(REGEXMATCH(C3470,""tiktok"")=TRUE,""Tiktok"",if("&amp;"REGEXMATCH(C3470,""threads"")=TRUE,""Threads""))))))"),"Facebook")</f>
        <v>Facebook</v>
      </c>
      <c r="G3470" s="41" t="s">
        <v>5935</v>
      </c>
      <c r="H3470" s="36"/>
      <c r="I3470" s="36"/>
      <c r="J3470" s="41" t="s">
        <v>188</v>
      </c>
      <c r="K3470" s="41" t="str">
        <f t="shared" si="3"/>
        <v>Ditemukan konten yang diduga memuat unsur ujaran kebencian melalui narasi provokatif bahwa program transmigrasi pada era orde baru merupakan senjata untuk menaklukan aceh. Transmigrasi merupakan program unggulan pemerintah pada masa orde baru untuk memecah masalah kependudukan. Hal tersebut bertentangan dengan narasi postingan bahwa transmigrasi merupakan tindakan penjajahan dengan menyudutkan suku jawa.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70" s="42"/>
    </row>
    <row r="3471">
      <c r="A3471" s="18">
        <v>3470.0</v>
      </c>
      <c r="B3471" s="76" t="s">
        <v>5914</v>
      </c>
      <c r="C3471" s="40" t="s">
        <v>5936</v>
      </c>
      <c r="D3471" s="41"/>
      <c r="E3471" s="41" t="s">
        <v>372</v>
      </c>
      <c r="F3471" s="41" t="str">
        <f>IFERROR(__xludf.DUMMYFUNCTION("if(REGEXMATCH(C3471,""x.com"")=TRUE,""Twitter"",if(REGEXMATCH(C3471,""facebook"")=TRUE,""Facebook"",if(REGEXMATCH(C3471,""instagram"")=TRUE,""Instagram"",if(REGEXMATCH(C3471,""youtube"")=TRUE,""Youtube"",if(REGEXMATCH(C3471,""tiktok"")=TRUE,""Tiktok"",if("&amp;"REGEXMATCH(C3471,""threads"")=TRUE,""Threads""))))))"),"Facebook")</f>
        <v>Facebook</v>
      </c>
      <c r="G3471" s="41" t="s">
        <v>5937</v>
      </c>
      <c r="H3471" s="36"/>
      <c r="I3471" s="36"/>
      <c r="J3471" s="41" t="s">
        <v>188</v>
      </c>
      <c r="K3471" s="41" t="str">
        <f t="shared" si="3"/>
        <v>Ditemukan konten pada media sosial Facebook yang diduga memuat unsur disinformasi berupa misleading content, dimana terdapat narasi provokatif terhadap pangeran diponergoro. Konten tersebut merendahkan pejuang kemerdekaan melalui asumsi tidak berdasar dan bertentangan dengan sejarah.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71" s="42"/>
    </row>
    <row r="3472">
      <c r="A3472" s="18">
        <v>3471.0</v>
      </c>
      <c r="B3472" s="76" t="s">
        <v>5914</v>
      </c>
      <c r="C3472" s="40" t="s">
        <v>5938</v>
      </c>
      <c r="D3472" s="41"/>
      <c r="E3472" s="41" t="s">
        <v>447</v>
      </c>
      <c r="F3472" s="41" t="str">
        <f>IFERROR(__xludf.DUMMYFUNCTION("if(REGEXMATCH(C3472,""x.com"")=TRUE,""Twitter"",if(REGEXMATCH(C3472,""facebook"")=TRUE,""Facebook"",if(REGEXMATCH(C3472,""instagram"")=TRUE,""Instagram"",if(REGEXMATCH(C3472,""youtube"")=TRUE,""Youtube"",if(REGEXMATCH(C3472,""tiktok"")=TRUE,""Tiktok"",if("&amp;"REGEXMATCH(C3472,""threads"")=TRUE,""Threads""))))))"),"Facebook")</f>
        <v>Facebook</v>
      </c>
      <c r="G3472" s="41" t="s">
        <v>5939</v>
      </c>
      <c r="H3472" s="36"/>
      <c r="I3472" s="36"/>
      <c r="J3472" s="41" t="s">
        <v>188</v>
      </c>
      <c r="K3472" s="41" t="str">
        <f t="shared" si="3"/>
        <v>Ditemukan unggahan Facebook dari akun ‘Dana bantuan bansos untuk masyarakat‘ yang mengklaim bantuan akhir tahun melalui fabricated content berupa video AI dengan suara dan wajah Menkeu Purbaya disertai ajakan melakukan transfer sebesar Rp100.000 sebagai pengganti tanda tangan.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72" s="42"/>
    </row>
    <row r="3473">
      <c r="A3473" s="18">
        <v>3472.0</v>
      </c>
      <c r="B3473" s="76" t="s">
        <v>5914</v>
      </c>
      <c r="C3473" s="40" t="s">
        <v>5940</v>
      </c>
      <c r="D3473" s="41"/>
      <c r="E3473" s="41" t="s">
        <v>447</v>
      </c>
      <c r="F3473" s="41" t="str">
        <f>IFERROR(__xludf.DUMMYFUNCTION("if(REGEXMATCH(C3473,""x.com"")=TRUE,""Twitter"",if(REGEXMATCH(C3473,""facebook"")=TRUE,""Facebook"",if(REGEXMATCH(C3473,""instagram"")=TRUE,""Instagram"",if(REGEXMATCH(C3473,""youtube"")=TRUE,""Youtube"",if(REGEXMATCH(C3473,""tiktok"")=TRUE,""Tiktok"",if("&amp;"REGEXMATCH(C3473,""threads"")=TRUE,""Threads""))))))"),"Facebook")</f>
        <v>Facebook</v>
      </c>
      <c r="G3473" s="41" t="s">
        <v>5941</v>
      </c>
      <c r="H3473" s="36"/>
      <c r="I3473" s="36"/>
      <c r="J3473" s="41" t="s">
        <v>188</v>
      </c>
      <c r="K3473" s="41" t="str">
        <f t="shared" si="3"/>
        <v>Ditemukan unggahan Facebook dari akun ‘Dana bantuan bansos untuk masyarakat‘ yang mengklaim bantuan akhir tahun melalui fabricated content berupa video AI dengan suara dan wajah prabowo subianto disertai ajakan mengirimkan data pribadi. 
Penyebaran informasi yang mengandung unsur disinformasi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73" s="42"/>
    </row>
    <row r="3474">
      <c r="A3474" s="18">
        <v>3473.0</v>
      </c>
      <c r="B3474" s="76" t="s">
        <v>5914</v>
      </c>
      <c r="C3474" s="40" t="s">
        <v>5942</v>
      </c>
      <c r="D3474" s="41"/>
      <c r="E3474" s="41" t="s">
        <v>372</v>
      </c>
      <c r="F3474" s="41" t="str">
        <f>IFERROR(__xludf.DUMMYFUNCTION("if(REGEXMATCH(C3474,""x.com"")=TRUE,""Twitter"",if(REGEXMATCH(C3474,""facebook"")=TRUE,""Facebook"",if(REGEXMATCH(C3474,""instagram"")=TRUE,""Instagram"",if(REGEXMATCH(C3474,""youtube"")=TRUE,""Youtube"",if(REGEXMATCH(C3474,""tiktok"")=TRUE,""Tiktok"",if("&amp;"REGEXMATCH(C3474,""threads"")=TRUE,""Threads""))))))"),"Tiktok")</f>
        <v>Tiktok</v>
      </c>
      <c r="G3474" s="41" t="s">
        <v>5943</v>
      </c>
      <c r="H3474" s="36"/>
      <c r="I3474" s="36"/>
      <c r="J3474" s="41" t="s">
        <v>188</v>
      </c>
      <c r="K3474" s="41" t="str">
        <f t="shared" si="3"/>
        <v>Ditemukan konten pada media sosial Facebook yang diduga memuat unsur disinformasi berupa false content, dimana terdapat narasi bahwa kondisi bencana aceh merupakan bentuk genosida dari pemerintah indonesia terhadap rakyat aceh. Narasi tersebut berpotensi untuk menyudutkan pemerintah dengan tuduhan tidak berdasar.
Penyebaran informasi yang mengandung unsur disinfromasi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74" s="42"/>
    </row>
    <row r="3475">
      <c r="A3475" s="18">
        <v>3474.0</v>
      </c>
      <c r="B3475" s="76" t="s">
        <v>5914</v>
      </c>
      <c r="C3475" s="44" t="s">
        <v>5944</v>
      </c>
      <c r="D3475" s="41"/>
      <c r="E3475" s="41" t="s">
        <v>5945</v>
      </c>
      <c r="F3475" s="41" t="str">
        <f>IFERROR(__xludf.DUMMYFUNCTION("if(REGEXMATCH(C3475,""x.com"")=TRUE,""Twitter"",if(REGEXMATCH(C3475,""facebook"")=TRUE,""Facebook"",if(REGEXMATCH(C3475,""instagram"")=TRUE,""Instagram"",if(REGEXMATCH(C3475,""youtube"")=TRUE,""Youtube"",if(REGEXMATCH(C3475,""tiktok"")=TRUE,""Tiktok"",if("&amp;"REGEXMATCH(C3475,""threads"")=TRUE,""Threads""))))))"),"Facebook")</f>
        <v>Facebook</v>
      </c>
      <c r="G3475" s="41" t="s">
        <v>5946</v>
      </c>
      <c r="H3475" s="35"/>
      <c r="I3475" s="35"/>
      <c r="J3475" s="41" t="s">
        <v>188</v>
      </c>
      <c r="K3475" s="41" t="str">
        <f t="shared" si="3"/>
        <v>Ditemukan konten pada media sosial Facebook yang diduga memuat unsur disinformasi berupa misleading content dengan konteks sparatisme berupa foto generated AI pengibaran bendera papua merdeka di area kodam XVIII/Kasuari. Setelah ditelusuri, tidak ada informasi mengenai adanya dukungan TNI terhadap papua merdeka.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c r="L3475" s="42"/>
    </row>
    <row r="3476">
      <c r="A3476" s="18">
        <v>3475.0</v>
      </c>
      <c r="B3476" s="76" t="s">
        <v>5914</v>
      </c>
      <c r="C3476" s="40" t="s">
        <v>5947</v>
      </c>
      <c r="D3476" s="41"/>
      <c r="E3476" s="78" t="s">
        <v>184</v>
      </c>
      <c r="F3476" s="41" t="str">
        <f>IFERROR(__xludf.DUMMYFUNCTION("if(REGEXMATCH(C3476,""x.com"")=TRUE,""Twitter"",if(REGEXMATCH(C3476,""facebook"")=TRUE,""Facebook"",if(REGEXMATCH(C3476,""instagram"")=TRUE,""Instagram"",if(REGEXMATCH(C3476,""youtube"")=TRUE,""Youtube"",if(REGEXMATCH(C3476,""tiktok"")=TRUE,""Tiktok"",if("&amp;"REGEXMATCH(C3476,""threads"")=TRUE,""Threads""))))))"),"Facebook")</f>
        <v>Facebook</v>
      </c>
      <c r="G3476" s="41" t="s">
        <v>4116</v>
      </c>
      <c r="H3476" s="18" t="s">
        <v>407</v>
      </c>
      <c r="I3476" s="41"/>
      <c r="J3476" s="41" t="s">
        <v>188</v>
      </c>
      <c r="K3476" s="41"/>
      <c r="L3476" s="42"/>
    </row>
    <row r="3477">
      <c r="A3477" s="18">
        <v>3476.0</v>
      </c>
      <c r="B3477" s="76" t="s">
        <v>5948</v>
      </c>
      <c r="C3477" s="47" t="s">
        <v>5949</v>
      </c>
      <c r="D3477" s="41"/>
      <c r="E3477" s="41" t="s">
        <v>197</v>
      </c>
      <c r="F3477" s="41" t="str">
        <f>IFERROR(__xludf.DUMMYFUNCTION("if(REGEXMATCH(C3477,""x.com"")=TRUE,""Twitter"",if(REGEXMATCH(C3477,""facebook"")=TRUE,""Facebook"",if(REGEXMATCH(C3477,""instagram"")=TRUE,""Instagram"",if(REGEXMATCH(C3477,""youtube"")=TRUE,""Youtube"",if(REGEXMATCH(C3477,""tiktok"")=TRUE,""Tiktok"",if("&amp;"REGEXMATCH(C3477,""threads"")=TRUE,""Threads""))))))"),"Facebook")</f>
        <v>Facebook</v>
      </c>
      <c r="G3477" s="41" t="s">
        <v>5950</v>
      </c>
      <c r="H3477" s="43" t="s">
        <v>1945</v>
      </c>
      <c r="I3477" s="43" t="s">
        <v>535</v>
      </c>
      <c r="J3477" s="41" t="s">
        <v>188</v>
      </c>
      <c r="K3477" s="41"/>
      <c r="L3477" s="42"/>
    </row>
    <row r="3478">
      <c r="A3478" s="18">
        <v>3477.0</v>
      </c>
      <c r="B3478" s="76" t="s">
        <v>5948</v>
      </c>
      <c r="C3478" s="47" t="s">
        <v>5951</v>
      </c>
      <c r="D3478" s="41"/>
      <c r="E3478" s="41" t="s">
        <v>197</v>
      </c>
      <c r="F3478" s="41" t="str">
        <f>IFERROR(__xludf.DUMMYFUNCTION("if(REGEXMATCH(C3478,""x.com"")=TRUE,""Twitter"",if(REGEXMATCH(C3478,""facebook"")=TRUE,""Facebook"",if(REGEXMATCH(C3478,""instagram"")=TRUE,""Instagram"",if(REGEXMATCH(C3478,""youtube"")=TRUE,""Youtube"",if(REGEXMATCH(C3478,""tiktok"")=TRUE,""Tiktok"",if("&amp;"REGEXMATCH(C3478,""threads"")=TRUE,""Threads""))))))"),"Facebook")</f>
        <v>Facebook</v>
      </c>
      <c r="G3478" s="41" t="s">
        <v>5952</v>
      </c>
      <c r="H3478" s="36"/>
      <c r="I3478" s="36"/>
      <c r="J3478" s="41" t="s">
        <v>188</v>
      </c>
      <c r="K3478" s="41"/>
      <c r="L3478" s="42"/>
    </row>
    <row r="3479">
      <c r="A3479" s="18">
        <v>3478.0</v>
      </c>
      <c r="B3479" s="76" t="s">
        <v>5948</v>
      </c>
      <c r="C3479" s="47" t="s">
        <v>5953</v>
      </c>
      <c r="D3479" s="41"/>
      <c r="E3479" s="41" t="s">
        <v>197</v>
      </c>
      <c r="F3479" s="41" t="str">
        <f>IFERROR(__xludf.DUMMYFUNCTION("if(REGEXMATCH(C3479,""x.com"")=TRUE,""Twitter"",if(REGEXMATCH(C3479,""facebook"")=TRUE,""Facebook"",if(REGEXMATCH(C3479,""instagram"")=TRUE,""Instagram"",if(REGEXMATCH(C3479,""youtube"")=TRUE,""Youtube"",if(REGEXMATCH(C3479,""tiktok"")=TRUE,""Tiktok"",if("&amp;"REGEXMATCH(C3479,""threads"")=TRUE,""Threads""))))))"),"Facebook")</f>
        <v>Facebook</v>
      </c>
      <c r="G3479" s="41" t="s">
        <v>5954</v>
      </c>
      <c r="H3479" s="36"/>
      <c r="I3479" s="36"/>
      <c r="J3479" s="41" t="s">
        <v>188</v>
      </c>
      <c r="K3479" s="41"/>
      <c r="L3479" s="42"/>
    </row>
    <row r="3480">
      <c r="A3480" s="18">
        <v>3479.0</v>
      </c>
      <c r="B3480" s="76" t="s">
        <v>5948</v>
      </c>
      <c r="C3480" s="47" t="s">
        <v>5955</v>
      </c>
      <c r="D3480" s="41"/>
      <c r="E3480" s="41" t="s">
        <v>197</v>
      </c>
      <c r="F3480" s="41" t="str">
        <f>IFERROR(__xludf.DUMMYFUNCTION("if(REGEXMATCH(C3480,""x.com"")=TRUE,""Twitter"",if(REGEXMATCH(C3480,""facebook"")=TRUE,""Facebook"",if(REGEXMATCH(C3480,""instagram"")=TRUE,""Instagram"",if(REGEXMATCH(C3480,""youtube"")=TRUE,""Youtube"",if(REGEXMATCH(C3480,""tiktok"")=TRUE,""Tiktok"",if("&amp;"REGEXMATCH(C3480,""threads"")=TRUE,""Threads""))))))"),"Facebook")</f>
        <v>Facebook</v>
      </c>
      <c r="G3480" s="41" t="s">
        <v>5956</v>
      </c>
      <c r="H3480" s="36"/>
      <c r="I3480" s="36"/>
      <c r="J3480" s="41" t="s">
        <v>188</v>
      </c>
      <c r="K3480" s="41"/>
      <c r="L3480" s="42"/>
    </row>
    <row r="3481">
      <c r="A3481" s="18">
        <v>3480.0</v>
      </c>
      <c r="B3481" s="76" t="s">
        <v>5948</v>
      </c>
      <c r="C3481" s="47" t="s">
        <v>5957</v>
      </c>
      <c r="D3481" s="41"/>
      <c r="E3481" s="41" t="s">
        <v>197</v>
      </c>
      <c r="F3481" s="41" t="str">
        <f>IFERROR(__xludf.DUMMYFUNCTION("if(REGEXMATCH(C3481,""x.com"")=TRUE,""Twitter"",if(REGEXMATCH(C3481,""facebook"")=TRUE,""Facebook"",if(REGEXMATCH(C3481,""instagram"")=TRUE,""Instagram"",if(REGEXMATCH(C3481,""youtube"")=TRUE,""Youtube"",if(REGEXMATCH(C3481,""tiktok"")=TRUE,""Tiktok"",if("&amp;"REGEXMATCH(C3481,""threads"")=TRUE,""Threads""))))))"),"Facebook")</f>
        <v>Facebook</v>
      </c>
      <c r="G3481" s="41" t="s">
        <v>5958</v>
      </c>
      <c r="H3481" s="36"/>
      <c r="I3481" s="36"/>
      <c r="J3481" s="41" t="s">
        <v>188</v>
      </c>
      <c r="K3481" s="41"/>
      <c r="L3481" s="42"/>
    </row>
    <row r="3482">
      <c r="A3482" s="18">
        <v>3481.0</v>
      </c>
      <c r="B3482" s="76" t="s">
        <v>5948</v>
      </c>
      <c r="C3482" s="47" t="s">
        <v>5959</v>
      </c>
      <c r="D3482" s="41"/>
      <c r="E3482" s="41" t="s">
        <v>1178</v>
      </c>
      <c r="F3482" s="41" t="str">
        <f>IFERROR(__xludf.DUMMYFUNCTION("if(REGEXMATCH(C3482,""x.com"")=TRUE,""Twitter"",if(REGEXMATCH(C3482,""facebook"")=TRUE,""Facebook"",if(REGEXMATCH(C3482,""instagram"")=TRUE,""Instagram"",if(REGEXMATCH(C3482,""youtube"")=TRUE,""Youtube"",if(REGEXMATCH(C3482,""tiktok"")=TRUE,""Tiktok"",if("&amp;"REGEXMATCH(C3482,""threads"")=TRUE,""Threads""))))))"),"Facebook")</f>
        <v>Facebook</v>
      </c>
      <c r="G3482" s="41" t="s">
        <v>5960</v>
      </c>
      <c r="H3482" s="36"/>
      <c r="I3482" s="36"/>
      <c r="J3482" s="41" t="s">
        <v>188</v>
      </c>
      <c r="K3482" s="41"/>
      <c r="L3482" s="42"/>
    </row>
    <row r="3483">
      <c r="A3483" s="18">
        <v>3482.0</v>
      </c>
      <c r="B3483" s="76" t="s">
        <v>5948</v>
      </c>
      <c r="C3483" s="47" t="s">
        <v>5961</v>
      </c>
      <c r="D3483" s="41"/>
      <c r="E3483" s="41" t="s">
        <v>557</v>
      </c>
      <c r="F3483" s="41" t="str">
        <f>IFERROR(__xludf.DUMMYFUNCTION("if(REGEXMATCH(C3483,""x.com"")=TRUE,""Twitter"",if(REGEXMATCH(C3483,""facebook"")=TRUE,""Facebook"",if(REGEXMATCH(C3483,""instagram"")=TRUE,""Instagram"",if(REGEXMATCH(C3483,""youtube"")=TRUE,""Youtube"",if(REGEXMATCH(C3483,""tiktok"")=TRUE,""Tiktok"",if("&amp;"REGEXMATCH(C3483,""threads"")=TRUE,""Threads""))))))"),"Facebook")</f>
        <v>Facebook</v>
      </c>
      <c r="G3483" s="41" t="s">
        <v>5962</v>
      </c>
      <c r="H3483" s="36"/>
      <c r="I3483" s="36"/>
      <c r="J3483" s="41" t="s">
        <v>188</v>
      </c>
      <c r="K3483" s="41"/>
      <c r="L3483" s="42"/>
    </row>
    <row r="3484">
      <c r="A3484" s="18">
        <v>3483.0</v>
      </c>
      <c r="B3484" s="76" t="s">
        <v>5948</v>
      </c>
      <c r="C3484" s="47" t="s">
        <v>5963</v>
      </c>
      <c r="D3484" s="41"/>
      <c r="E3484" s="41" t="s">
        <v>197</v>
      </c>
      <c r="F3484" s="41" t="str">
        <f>IFERROR(__xludf.DUMMYFUNCTION("if(REGEXMATCH(C3484,""x.com"")=TRUE,""Twitter"",if(REGEXMATCH(C3484,""facebook"")=TRUE,""Facebook"",if(REGEXMATCH(C3484,""instagram"")=TRUE,""Instagram"",if(REGEXMATCH(C3484,""youtube"")=TRUE,""Youtube"",if(REGEXMATCH(C3484,""tiktok"")=TRUE,""Tiktok"",if("&amp;"REGEXMATCH(C3484,""threads"")=TRUE,""Threads""))))))"),"Twitter")</f>
        <v>Twitter</v>
      </c>
      <c r="G3484" s="41" t="s">
        <v>5950</v>
      </c>
      <c r="H3484" s="36"/>
      <c r="I3484" s="36"/>
      <c r="J3484" s="41" t="s">
        <v>188</v>
      </c>
      <c r="K3484" s="41"/>
      <c r="L3484" s="42"/>
    </row>
    <row r="3485">
      <c r="A3485" s="18">
        <v>3484.0</v>
      </c>
      <c r="B3485" s="76" t="s">
        <v>5948</v>
      </c>
      <c r="C3485" s="44" t="s">
        <v>5964</v>
      </c>
      <c r="D3485" s="41"/>
      <c r="E3485" s="41" t="s">
        <v>197</v>
      </c>
      <c r="F3485" s="41" t="str">
        <f>IFERROR(__xludf.DUMMYFUNCTION("if(REGEXMATCH(C3485,""x.com"")=TRUE,""Twitter"",if(REGEXMATCH(C3485,""facebook"")=TRUE,""Facebook"",if(REGEXMATCH(C3485,""instagram"")=TRUE,""Instagram"",if(REGEXMATCH(C3485,""youtube"")=TRUE,""Youtube"",if(REGEXMATCH(C3485,""tiktok"")=TRUE,""Tiktok"",if("&amp;"REGEXMATCH(C3485,""threads"")=TRUE,""Threads""))))))"),"Tiktok")</f>
        <v>Tiktok</v>
      </c>
      <c r="G3485" s="41" t="s">
        <v>5965</v>
      </c>
      <c r="H3485" s="36"/>
      <c r="I3485" s="36"/>
      <c r="J3485" s="41" t="s">
        <v>188</v>
      </c>
      <c r="K3485" s="41"/>
      <c r="L3485" s="42"/>
    </row>
    <row r="3486">
      <c r="A3486" s="18">
        <v>3485.0</v>
      </c>
      <c r="B3486" s="76" t="s">
        <v>5948</v>
      </c>
      <c r="C3486" s="47" t="s">
        <v>5966</v>
      </c>
      <c r="D3486" s="41"/>
      <c r="E3486" s="41" t="s">
        <v>557</v>
      </c>
      <c r="F3486" s="41" t="str">
        <f>IFERROR(__xludf.DUMMYFUNCTION("if(REGEXMATCH(C3486,""x.com"")=TRUE,""Twitter"",if(REGEXMATCH(C3486,""facebook"")=TRUE,""Facebook"",if(REGEXMATCH(C3486,""instagram"")=TRUE,""Instagram"",if(REGEXMATCH(C3486,""youtube"")=TRUE,""Youtube"",if(REGEXMATCH(C3486,""tiktok"")=TRUE,""Tiktok"",if("&amp;"REGEXMATCH(C3486,""threads"")=TRUE,""Threads""))))))"),"Facebook")</f>
        <v>Facebook</v>
      </c>
      <c r="G3486" s="41" t="s">
        <v>5967</v>
      </c>
      <c r="H3486" s="36"/>
      <c r="I3486" s="36"/>
      <c r="J3486" s="41" t="s">
        <v>188</v>
      </c>
      <c r="K3486" s="41"/>
      <c r="L3486" s="42"/>
    </row>
    <row r="3487">
      <c r="A3487" s="18">
        <v>3486.0</v>
      </c>
      <c r="B3487" s="76" t="s">
        <v>5948</v>
      </c>
      <c r="C3487" s="47" t="s">
        <v>5968</v>
      </c>
      <c r="D3487" s="41"/>
      <c r="E3487" s="41" t="s">
        <v>447</v>
      </c>
      <c r="F3487" s="41" t="str">
        <f>IFERROR(__xludf.DUMMYFUNCTION("if(REGEXMATCH(C3487,""x.com"")=TRUE,""Twitter"",if(REGEXMATCH(C3487,""facebook"")=TRUE,""Facebook"",if(REGEXMATCH(C3487,""instagram"")=TRUE,""Instagram"",if(REGEXMATCH(C3487,""youtube"")=TRUE,""Youtube"",if(REGEXMATCH(C3487,""tiktok"")=TRUE,""Tiktok"",if("&amp;"REGEXMATCH(C3487,""threads"")=TRUE,""Threads""))))))"),"Facebook")</f>
        <v>Facebook</v>
      </c>
      <c r="G3487" s="41" t="s">
        <v>5969</v>
      </c>
      <c r="H3487" s="36"/>
      <c r="I3487" s="36"/>
      <c r="J3487" s="41" t="s">
        <v>188</v>
      </c>
      <c r="K3487" s="41"/>
      <c r="L3487" s="42"/>
    </row>
    <row r="3488">
      <c r="A3488" s="18">
        <v>3487.0</v>
      </c>
      <c r="B3488" s="76" t="s">
        <v>5948</v>
      </c>
      <c r="C3488" s="47" t="s">
        <v>5970</v>
      </c>
      <c r="D3488" s="41"/>
      <c r="E3488" s="41" t="s">
        <v>5285</v>
      </c>
      <c r="F3488" s="41" t="str">
        <f>IFERROR(__xludf.DUMMYFUNCTION("if(REGEXMATCH(C3488,""x.com"")=TRUE,""Twitter"",if(REGEXMATCH(C3488,""facebook"")=TRUE,""Facebook"",if(REGEXMATCH(C3488,""instagram"")=TRUE,""Instagram"",if(REGEXMATCH(C3488,""youtube"")=TRUE,""Youtube"",if(REGEXMATCH(C3488,""tiktok"")=TRUE,""Tiktok"",if("&amp;"REGEXMATCH(C3488,""threads"")=TRUE,""Threads""))))))"),"Facebook")</f>
        <v>Facebook</v>
      </c>
      <c r="G3488" s="41" t="s">
        <v>5971</v>
      </c>
      <c r="H3488" s="36"/>
      <c r="I3488" s="36"/>
      <c r="J3488" s="41" t="s">
        <v>188</v>
      </c>
      <c r="K3488" s="41"/>
      <c r="L3488" s="42"/>
    </row>
    <row r="3489">
      <c r="A3489" s="18">
        <v>3488.0</v>
      </c>
      <c r="B3489" s="76" t="s">
        <v>5948</v>
      </c>
      <c r="C3489" s="47" t="s">
        <v>5972</v>
      </c>
      <c r="D3489" s="41"/>
      <c r="E3489" s="41" t="s">
        <v>197</v>
      </c>
      <c r="F3489" s="41" t="str">
        <f>IFERROR(__xludf.DUMMYFUNCTION("if(REGEXMATCH(C3489,""x.com"")=TRUE,""Twitter"",if(REGEXMATCH(C3489,""facebook"")=TRUE,""Facebook"",if(REGEXMATCH(C3489,""instagram"")=TRUE,""Instagram"",if(REGEXMATCH(C3489,""youtube"")=TRUE,""Youtube"",if(REGEXMATCH(C3489,""tiktok"")=TRUE,""Tiktok"",if("&amp;"REGEXMATCH(C3489,""threads"")=TRUE,""Threads""))))))"),"Instagram")</f>
        <v>Instagram</v>
      </c>
      <c r="G3489" s="41" t="s">
        <v>5973</v>
      </c>
      <c r="H3489" s="36"/>
      <c r="I3489" s="36"/>
      <c r="J3489" s="41" t="s">
        <v>188</v>
      </c>
      <c r="K3489" s="41"/>
      <c r="L3489" s="42"/>
    </row>
    <row r="3490">
      <c r="A3490" s="18">
        <v>3489.0</v>
      </c>
      <c r="B3490" s="76" t="s">
        <v>5948</v>
      </c>
      <c r="C3490" s="47" t="s">
        <v>5974</v>
      </c>
      <c r="D3490" s="41"/>
      <c r="E3490" s="41" t="s">
        <v>447</v>
      </c>
      <c r="F3490" s="41" t="str">
        <f>IFERROR(__xludf.DUMMYFUNCTION("if(REGEXMATCH(C3490,""x.com"")=TRUE,""Twitter"",if(REGEXMATCH(C3490,""facebook"")=TRUE,""Facebook"",if(REGEXMATCH(C3490,""instagram"")=TRUE,""Instagram"",if(REGEXMATCH(C3490,""youtube"")=TRUE,""Youtube"",if(REGEXMATCH(C3490,""tiktok"")=TRUE,""Tiktok"",if("&amp;"REGEXMATCH(C3490,""threads"")=TRUE,""Threads""))))))"),"Facebook")</f>
        <v>Facebook</v>
      </c>
      <c r="G3490" s="41" t="s">
        <v>5975</v>
      </c>
      <c r="H3490" s="36"/>
      <c r="I3490" s="36"/>
      <c r="J3490" s="41" t="s">
        <v>188</v>
      </c>
      <c r="K3490" s="41"/>
      <c r="L3490" s="42"/>
    </row>
    <row r="3491">
      <c r="A3491" s="18">
        <v>3490.0</v>
      </c>
      <c r="B3491" s="76" t="s">
        <v>5948</v>
      </c>
      <c r="C3491" s="47" t="s">
        <v>5976</v>
      </c>
      <c r="D3491" s="41"/>
      <c r="E3491" s="41" t="s">
        <v>4703</v>
      </c>
      <c r="F3491" s="41" t="str">
        <f>IFERROR(__xludf.DUMMYFUNCTION("if(REGEXMATCH(C3491,""x.com"")=TRUE,""Twitter"",if(REGEXMATCH(C3491,""facebook"")=TRUE,""Facebook"",if(REGEXMATCH(C3491,""instagram"")=TRUE,""Instagram"",if(REGEXMATCH(C3491,""youtube"")=TRUE,""Youtube"",if(REGEXMATCH(C3491,""tiktok"")=TRUE,""Tiktok"",if("&amp;"REGEXMATCH(C3491,""threads"")=TRUE,""Threads""))))))"),"Facebook")</f>
        <v>Facebook</v>
      </c>
      <c r="G3491" s="41" t="s">
        <v>5977</v>
      </c>
      <c r="H3491" s="35"/>
      <c r="I3491" s="35"/>
      <c r="J3491" s="41" t="s">
        <v>188</v>
      </c>
      <c r="K3491" s="41"/>
      <c r="L3491" s="42"/>
    </row>
    <row r="3492">
      <c r="A3492" s="18">
        <v>3491.0</v>
      </c>
      <c r="B3492" s="76" t="s">
        <v>5978</v>
      </c>
      <c r="C3492" s="40" t="s">
        <v>5979</v>
      </c>
      <c r="D3492" s="41"/>
      <c r="E3492" s="41" t="s">
        <v>557</v>
      </c>
      <c r="F3492" s="41" t="str">
        <f>IFERROR(__xludf.DUMMYFUNCTION("if(REGEXMATCH(C3492,""x.com"")=TRUE,""Twitter"",if(REGEXMATCH(C3492,""facebook"")=TRUE,""Facebook"",if(REGEXMATCH(C3492,""instagram"")=TRUE,""Instagram"",if(REGEXMATCH(C3492,""youtube"")=TRUE,""Youtube"",if(REGEXMATCH(C3492,""tiktok"")=TRUE,""Tiktok"",if("&amp;"REGEXMATCH(C3492,""threads"")=TRUE,""Threads""))))))"),"Twitter")</f>
        <v>Twitter</v>
      </c>
      <c r="G3492" s="41" t="s">
        <v>5660</v>
      </c>
      <c r="H3492" s="43" t="s">
        <v>779</v>
      </c>
      <c r="I3492" s="43" t="s">
        <v>535</v>
      </c>
      <c r="J3492" s="41" t="s">
        <v>188</v>
      </c>
      <c r="K3492" s="41" t="s">
        <v>1611</v>
      </c>
      <c r="L3492" s="42"/>
    </row>
    <row r="3493">
      <c r="A3493" s="18">
        <v>3492.0</v>
      </c>
      <c r="B3493" s="76" t="s">
        <v>5978</v>
      </c>
      <c r="C3493" s="40" t="s">
        <v>5980</v>
      </c>
      <c r="D3493" s="41"/>
      <c r="E3493" s="41" t="s">
        <v>557</v>
      </c>
      <c r="F3493" s="41" t="str">
        <f>IFERROR(__xludf.DUMMYFUNCTION("if(REGEXMATCH(C3493,""x.com"")=TRUE,""Twitter"",if(REGEXMATCH(C3493,""facebook"")=TRUE,""Facebook"",if(REGEXMATCH(C3493,""instagram"")=TRUE,""Instagram"",if(REGEXMATCH(C3493,""youtube"")=TRUE,""Youtube"",if(REGEXMATCH(C3493,""tiktok"")=TRUE,""Tiktok"",if("&amp;"REGEXMATCH(C3493,""threads"")=TRUE,""Threads""))))))"),"Twitter")</f>
        <v>Twitter</v>
      </c>
      <c r="G3493" s="41" t="s">
        <v>5981</v>
      </c>
      <c r="H3493" s="36"/>
      <c r="I3493" s="36"/>
      <c r="J3493" s="41" t="s">
        <v>188</v>
      </c>
      <c r="K3493" s="41" t="s">
        <v>1611</v>
      </c>
      <c r="L3493" s="42"/>
    </row>
    <row r="3494">
      <c r="A3494" s="18">
        <v>3493.0</v>
      </c>
      <c r="B3494" s="76" t="s">
        <v>5978</v>
      </c>
      <c r="C3494" s="40" t="s">
        <v>5982</v>
      </c>
      <c r="D3494" s="41"/>
      <c r="E3494" s="41" t="s">
        <v>5983</v>
      </c>
      <c r="F3494" s="41" t="str">
        <f>IFERROR(__xludf.DUMMYFUNCTION("if(REGEXMATCH(C3494,""x.com"")=TRUE,""Twitter"",if(REGEXMATCH(C3494,""facebook"")=TRUE,""Facebook"",if(REGEXMATCH(C3494,""instagram"")=TRUE,""Instagram"",if(REGEXMATCH(C3494,""youtube"")=TRUE,""Youtube"",if(REGEXMATCH(C3494,""tiktok"")=TRUE,""Tiktok"",if("&amp;"REGEXMATCH(C3494,""threads"")=TRUE,""Threads""))))))"),"Facebook")</f>
        <v>Facebook</v>
      </c>
      <c r="G3494" s="41" t="s">
        <v>5984</v>
      </c>
      <c r="H3494" s="36"/>
      <c r="I3494" s="36"/>
      <c r="J3494" s="41" t="s">
        <v>188</v>
      </c>
      <c r="K3494" s="41" t="s">
        <v>1611</v>
      </c>
      <c r="L3494" s="42"/>
    </row>
    <row r="3495">
      <c r="A3495" s="18">
        <v>3494.0</v>
      </c>
      <c r="B3495" s="76" t="s">
        <v>5978</v>
      </c>
      <c r="C3495" s="40" t="s">
        <v>5985</v>
      </c>
      <c r="D3495" s="41"/>
      <c r="E3495" s="41" t="s">
        <v>557</v>
      </c>
      <c r="F3495" s="41" t="str">
        <f>IFERROR(__xludf.DUMMYFUNCTION("if(REGEXMATCH(C3495,""x.com"")=TRUE,""Twitter"",if(REGEXMATCH(C3495,""facebook"")=TRUE,""Facebook"",if(REGEXMATCH(C3495,""instagram"")=TRUE,""Instagram"",if(REGEXMATCH(C3495,""youtube"")=TRUE,""Youtube"",if(REGEXMATCH(C3495,""tiktok"")=TRUE,""Tiktok"",if("&amp;"REGEXMATCH(C3495,""threads"")=TRUE,""Threads""))))))"),"Facebook")</f>
        <v>Facebook</v>
      </c>
      <c r="G3495" s="41" t="s">
        <v>5986</v>
      </c>
      <c r="H3495" s="36"/>
      <c r="I3495" s="36"/>
      <c r="J3495" s="41" t="s">
        <v>188</v>
      </c>
      <c r="K3495" s="41" t="s">
        <v>1611</v>
      </c>
      <c r="L3495" s="42"/>
    </row>
    <row r="3496">
      <c r="A3496" s="18">
        <v>3495.0</v>
      </c>
      <c r="B3496" s="76" t="s">
        <v>5978</v>
      </c>
      <c r="C3496" s="40" t="s">
        <v>5987</v>
      </c>
      <c r="D3496" s="41"/>
      <c r="E3496" s="41" t="s">
        <v>197</v>
      </c>
      <c r="F3496" s="41" t="str">
        <f>IFERROR(__xludf.DUMMYFUNCTION("if(REGEXMATCH(C3496,""x.com"")=TRUE,""Twitter"",if(REGEXMATCH(C3496,""facebook"")=TRUE,""Facebook"",if(REGEXMATCH(C3496,""instagram"")=TRUE,""Instagram"",if(REGEXMATCH(C3496,""youtube"")=TRUE,""Youtube"",if(REGEXMATCH(C3496,""tiktok"")=TRUE,""Tiktok"",if("&amp;"REGEXMATCH(C3496,""threads"")=TRUE,""Threads""))))))"),"Twitter")</f>
        <v>Twitter</v>
      </c>
      <c r="G3496" s="41" t="s">
        <v>5988</v>
      </c>
      <c r="H3496" s="36"/>
      <c r="I3496" s="36"/>
      <c r="J3496" s="41" t="s">
        <v>188</v>
      </c>
      <c r="K3496" s="41" t="s">
        <v>1611</v>
      </c>
      <c r="L3496" s="42"/>
    </row>
    <row r="3497">
      <c r="A3497" s="18">
        <v>3496.0</v>
      </c>
      <c r="B3497" s="76" t="s">
        <v>5978</v>
      </c>
      <c r="C3497" s="40" t="s">
        <v>5989</v>
      </c>
      <c r="D3497" s="41"/>
      <c r="E3497" s="41" t="s">
        <v>197</v>
      </c>
      <c r="F3497" s="41" t="str">
        <f>IFERROR(__xludf.DUMMYFUNCTION("if(REGEXMATCH(C3497,""x.com"")=TRUE,""Twitter"",if(REGEXMATCH(C3497,""facebook"")=TRUE,""Facebook"",if(REGEXMATCH(C3497,""instagram"")=TRUE,""Instagram"",if(REGEXMATCH(C3497,""youtube"")=TRUE,""Youtube"",if(REGEXMATCH(C3497,""tiktok"")=TRUE,""Tiktok"",if("&amp;"REGEXMATCH(C3497,""threads"")=TRUE,""Threads""))))))"),"Twitter")</f>
        <v>Twitter</v>
      </c>
      <c r="G3497" s="41" t="s">
        <v>5990</v>
      </c>
      <c r="H3497" s="36"/>
      <c r="I3497" s="36"/>
      <c r="J3497" s="41" t="s">
        <v>188</v>
      </c>
      <c r="K3497" s="41" t="s">
        <v>1611</v>
      </c>
      <c r="L3497" s="42"/>
    </row>
    <row r="3498">
      <c r="A3498" s="18">
        <v>3497.0</v>
      </c>
      <c r="B3498" s="76" t="s">
        <v>5978</v>
      </c>
      <c r="C3498" s="40" t="s">
        <v>5991</v>
      </c>
      <c r="D3498" s="41"/>
      <c r="E3498" s="41" t="s">
        <v>197</v>
      </c>
      <c r="F3498" s="41" t="str">
        <f>IFERROR(__xludf.DUMMYFUNCTION("if(REGEXMATCH(C3498,""x.com"")=TRUE,""Twitter"",if(REGEXMATCH(C3498,""facebook"")=TRUE,""Facebook"",if(REGEXMATCH(C3498,""instagram"")=TRUE,""Instagram"",if(REGEXMATCH(C3498,""youtube"")=TRUE,""Youtube"",if(REGEXMATCH(C3498,""tiktok"")=TRUE,""Tiktok"",if("&amp;"REGEXMATCH(C3498,""threads"")=TRUE,""Threads""))))))"),"Facebook")</f>
        <v>Facebook</v>
      </c>
      <c r="G3498" s="41" t="s">
        <v>5992</v>
      </c>
      <c r="H3498" s="36"/>
      <c r="I3498" s="36"/>
      <c r="J3498" s="41" t="s">
        <v>188</v>
      </c>
      <c r="K3498" s="41" t="s">
        <v>1611</v>
      </c>
      <c r="L3498" s="42"/>
    </row>
    <row r="3499">
      <c r="A3499" s="18">
        <v>3498.0</v>
      </c>
      <c r="B3499" s="76" t="s">
        <v>5978</v>
      </c>
      <c r="C3499" s="40" t="s">
        <v>5993</v>
      </c>
      <c r="D3499" s="41"/>
      <c r="E3499" s="41" t="s">
        <v>197</v>
      </c>
      <c r="F3499" s="41" t="str">
        <f>IFERROR(__xludf.DUMMYFUNCTION("if(REGEXMATCH(C3499,""x.com"")=TRUE,""Twitter"",if(REGEXMATCH(C3499,""facebook"")=TRUE,""Facebook"",if(REGEXMATCH(C3499,""instagram"")=TRUE,""Instagram"",if(REGEXMATCH(C3499,""youtube"")=TRUE,""Youtube"",if(REGEXMATCH(C3499,""tiktok"")=TRUE,""Tiktok"",if("&amp;"REGEXMATCH(C3499,""threads"")=TRUE,""Threads""))))))"),"Facebook")</f>
        <v>Facebook</v>
      </c>
      <c r="G3499" s="41" t="s">
        <v>5994</v>
      </c>
      <c r="H3499" s="36"/>
      <c r="I3499" s="36"/>
      <c r="J3499" s="41" t="s">
        <v>188</v>
      </c>
      <c r="K3499" s="41" t="s">
        <v>1611</v>
      </c>
      <c r="L3499" s="42"/>
    </row>
    <row r="3500">
      <c r="A3500" s="18">
        <v>3499.0</v>
      </c>
      <c r="B3500" s="76" t="s">
        <v>5978</v>
      </c>
      <c r="C3500" s="40" t="s">
        <v>5995</v>
      </c>
      <c r="D3500" s="41"/>
      <c r="E3500" s="41" t="s">
        <v>197</v>
      </c>
      <c r="F3500" s="41" t="str">
        <f>IFERROR(__xludf.DUMMYFUNCTION("if(REGEXMATCH(C3500,""x.com"")=TRUE,""Twitter"",if(REGEXMATCH(C3500,""facebook"")=TRUE,""Facebook"",if(REGEXMATCH(C3500,""instagram"")=TRUE,""Instagram"",if(REGEXMATCH(C3500,""youtube"")=TRUE,""Youtube"",if(REGEXMATCH(C3500,""tiktok"")=TRUE,""Tiktok"",if("&amp;"REGEXMATCH(C3500,""threads"")=TRUE,""Threads""))))))"),"Facebook")</f>
        <v>Facebook</v>
      </c>
      <c r="G3500" s="41" t="s">
        <v>5996</v>
      </c>
      <c r="H3500" s="36"/>
      <c r="I3500" s="36"/>
      <c r="J3500" s="41" t="s">
        <v>188</v>
      </c>
      <c r="K3500" s="41"/>
      <c r="L3500" s="42"/>
    </row>
    <row r="3501">
      <c r="A3501" s="18">
        <v>3500.0</v>
      </c>
      <c r="B3501" s="76" t="s">
        <v>5978</v>
      </c>
      <c r="C3501" s="40" t="s">
        <v>5997</v>
      </c>
      <c r="D3501" s="41"/>
      <c r="E3501" s="41" t="s">
        <v>197</v>
      </c>
      <c r="F3501" s="41" t="str">
        <f>IFERROR(__xludf.DUMMYFUNCTION("if(REGEXMATCH(C3501,""x.com"")=TRUE,""Twitter"",if(REGEXMATCH(C3501,""facebook"")=TRUE,""Facebook"",if(REGEXMATCH(C3501,""instagram"")=TRUE,""Instagram"",if(REGEXMATCH(C3501,""youtube"")=TRUE,""Youtube"",if(REGEXMATCH(C3501,""tiktok"")=TRUE,""Tiktok"",if("&amp;"REGEXMATCH(C3501,""threads"")=TRUE,""Threads""))))))"),"Tiktok")</f>
        <v>Tiktok</v>
      </c>
      <c r="G3501" s="41" t="s">
        <v>5998</v>
      </c>
      <c r="H3501" s="35"/>
      <c r="I3501" s="35"/>
      <c r="J3501" s="41" t="s">
        <v>188</v>
      </c>
      <c r="K3501" s="41"/>
      <c r="L3501" s="42"/>
    </row>
    <row r="3502">
      <c r="A3502" s="18">
        <v>3501.0</v>
      </c>
      <c r="B3502" s="76" t="s">
        <v>5978</v>
      </c>
      <c r="C3502" s="40" t="s">
        <v>5999</v>
      </c>
      <c r="D3502" s="41"/>
      <c r="E3502" s="41" t="s">
        <v>401</v>
      </c>
      <c r="F3502" s="41" t="str">
        <f>IFERROR(__xludf.DUMMYFUNCTION("if(REGEXMATCH(C3502,""x.com"")=TRUE,""Twitter"",if(REGEXMATCH(C3502,""facebook"")=TRUE,""Facebook"",if(REGEXMATCH(C3502,""instagram"")=TRUE,""Instagram"",if(REGEXMATCH(C3502,""youtube"")=TRUE,""Youtube"",if(REGEXMATCH(C3502,""tiktok"")=TRUE,""Tiktok"",if("&amp;"REGEXMATCH(C3502,""threads"")=TRUE,""Threads""))))))"),"Facebook")</f>
        <v>Facebook</v>
      </c>
      <c r="G3502" s="41" t="s">
        <v>937</v>
      </c>
      <c r="H3502" s="41" t="s">
        <v>1542</v>
      </c>
      <c r="I3502" s="41" t="s">
        <v>939</v>
      </c>
      <c r="J3502" s="41" t="s">
        <v>188</v>
      </c>
      <c r="K3502" s="41"/>
      <c r="L3502" s="42"/>
    </row>
    <row r="3503">
      <c r="A3503" s="18">
        <v>3502.0</v>
      </c>
      <c r="B3503" s="76" t="s">
        <v>5978</v>
      </c>
      <c r="C3503" s="40" t="s">
        <v>6000</v>
      </c>
      <c r="D3503" s="41"/>
      <c r="E3503" s="41" t="s">
        <v>401</v>
      </c>
      <c r="F3503" s="41" t="str">
        <f>IFERROR(__xludf.DUMMYFUNCTION("if(REGEXMATCH(C3503,""x.com"")=TRUE,""Twitter"",if(REGEXMATCH(C3503,""facebook"")=TRUE,""Facebook"",if(REGEXMATCH(C3503,""instagram"")=TRUE,""Instagram"",if(REGEXMATCH(C3503,""youtube"")=TRUE,""Youtube"",if(REGEXMATCH(C3503,""tiktok"")=TRUE,""Tiktok"",if("&amp;"REGEXMATCH(C3503,""threads"")=TRUE,""Threads""))))))"),"Facebook")</f>
        <v>Facebook</v>
      </c>
      <c r="G3503" s="41" t="s">
        <v>937</v>
      </c>
      <c r="H3503" s="41" t="s">
        <v>1542</v>
      </c>
      <c r="I3503" s="41"/>
      <c r="J3503" s="41" t="s">
        <v>188</v>
      </c>
      <c r="K3503" s="41"/>
      <c r="L3503" s="42"/>
    </row>
    <row r="3504">
      <c r="A3504" s="18">
        <v>3503.0</v>
      </c>
      <c r="B3504" s="76" t="s">
        <v>5978</v>
      </c>
      <c r="C3504" s="40" t="s">
        <v>6001</v>
      </c>
      <c r="D3504" s="41"/>
      <c r="E3504" s="41" t="s">
        <v>401</v>
      </c>
      <c r="F3504" s="41" t="str">
        <f>IFERROR(__xludf.DUMMYFUNCTION("if(REGEXMATCH(C3504,""x.com"")=TRUE,""Twitter"",if(REGEXMATCH(C3504,""facebook"")=TRUE,""Facebook"",if(REGEXMATCH(C3504,""instagram"")=TRUE,""Instagram"",if(REGEXMATCH(C3504,""youtube"")=TRUE,""Youtube"",if(REGEXMATCH(C3504,""tiktok"")=TRUE,""Tiktok"",if("&amp;"REGEXMATCH(C3504,""threads"")=TRUE,""Threads""))))))"),"Facebook")</f>
        <v>Facebook</v>
      </c>
      <c r="G3504" s="41" t="s">
        <v>937</v>
      </c>
      <c r="H3504" s="41" t="s">
        <v>1542</v>
      </c>
      <c r="I3504" s="41"/>
      <c r="J3504" s="41" t="s">
        <v>188</v>
      </c>
      <c r="K3504" s="41"/>
      <c r="L3504" s="42"/>
    </row>
    <row r="3505">
      <c r="A3505" s="18">
        <v>3504.0</v>
      </c>
      <c r="B3505" s="76" t="s">
        <v>5978</v>
      </c>
      <c r="C3505" s="40" t="s">
        <v>6002</v>
      </c>
      <c r="D3505" s="41"/>
      <c r="E3505" s="41" t="s">
        <v>401</v>
      </c>
      <c r="F3505" s="41" t="str">
        <f>IFERROR(__xludf.DUMMYFUNCTION("if(REGEXMATCH(C3505,""x.com"")=TRUE,""Twitter"",if(REGEXMATCH(C3505,""facebook"")=TRUE,""Facebook"",if(REGEXMATCH(C3505,""instagram"")=TRUE,""Instagram"",if(REGEXMATCH(C3505,""youtube"")=TRUE,""Youtube"",if(REGEXMATCH(C3505,""tiktok"")=TRUE,""Tiktok"",if("&amp;"REGEXMATCH(C3505,""threads"")=TRUE,""Threads""))))))"),"Facebook")</f>
        <v>Facebook</v>
      </c>
      <c r="G3505" s="41" t="s">
        <v>937</v>
      </c>
      <c r="H3505" s="41" t="s">
        <v>1542</v>
      </c>
      <c r="I3505" s="41"/>
      <c r="J3505" s="41" t="s">
        <v>188</v>
      </c>
      <c r="K3505" s="41"/>
      <c r="L3505" s="42"/>
    </row>
    <row r="3506">
      <c r="A3506" s="18">
        <v>3505.0</v>
      </c>
      <c r="B3506" s="76" t="s">
        <v>5978</v>
      </c>
      <c r="C3506" s="40" t="s">
        <v>6003</v>
      </c>
      <c r="D3506" s="41"/>
      <c r="E3506" s="41" t="s">
        <v>401</v>
      </c>
      <c r="F3506" s="41" t="str">
        <f>IFERROR(__xludf.DUMMYFUNCTION("if(REGEXMATCH(C3506,""x.com"")=TRUE,""Twitter"",if(REGEXMATCH(C3506,""facebook"")=TRUE,""Facebook"",if(REGEXMATCH(C3506,""instagram"")=TRUE,""Instagram"",if(REGEXMATCH(C3506,""youtube"")=TRUE,""Youtube"",if(REGEXMATCH(C3506,""tiktok"")=TRUE,""Tiktok"",if("&amp;"REGEXMATCH(C3506,""threads"")=TRUE,""Threads""))))))"),"Facebook")</f>
        <v>Facebook</v>
      </c>
      <c r="G3506" s="41" t="s">
        <v>937</v>
      </c>
      <c r="H3506" s="41" t="s">
        <v>1542</v>
      </c>
      <c r="I3506" s="41"/>
      <c r="J3506" s="41" t="s">
        <v>188</v>
      </c>
      <c r="K3506" s="41"/>
      <c r="L3506" s="42"/>
    </row>
    <row r="3507">
      <c r="A3507" s="18">
        <v>3506.0</v>
      </c>
      <c r="B3507" s="76" t="s">
        <v>5978</v>
      </c>
      <c r="C3507" s="40" t="s">
        <v>6004</v>
      </c>
      <c r="D3507" s="41"/>
      <c r="E3507" s="41" t="s">
        <v>401</v>
      </c>
      <c r="F3507" s="41" t="str">
        <f>IFERROR(__xludf.DUMMYFUNCTION("if(REGEXMATCH(C3507,""x.com"")=TRUE,""Twitter"",if(REGEXMATCH(C3507,""facebook"")=TRUE,""Facebook"",if(REGEXMATCH(C3507,""instagram"")=TRUE,""Instagram"",if(REGEXMATCH(C3507,""youtube"")=TRUE,""Youtube"",if(REGEXMATCH(C3507,""tiktok"")=TRUE,""Tiktok"",if("&amp;"REGEXMATCH(C3507,""threads"")=TRUE,""Threads""))))))"),"Facebook")</f>
        <v>Facebook</v>
      </c>
      <c r="G3507" s="41" t="s">
        <v>937</v>
      </c>
      <c r="H3507" s="41" t="s">
        <v>1542</v>
      </c>
      <c r="I3507" s="41"/>
      <c r="J3507" s="41" t="s">
        <v>188</v>
      </c>
      <c r="K3507" s="41"/>
      <c r="L3507" s="42"/>
    </row>
    <row r="3508">
      <c r="A3508" s="18">
        <v>3507.0</v>
      </c>
      <c r="B3508" s="76" t="s">
        <v>5978</v>
      </c>
      <c r="C3508" s="40" t="s">
        <v>6005</v>
      </c>
      <c r="D3508" s="41"/>
      <c r="E3508" s="41" t="s">
        <v>401</v>
      </c>
      <c r="F3508" s="41" t="str">
        <f>IFERROR(__xludf.DUMMYFUNCTION("if(REGEXMATCH(C3508,""x.com"")=TRUE,""Twitter"",if(REGEXMATCH(C3508,""facebook"")=TRUE,""Facebook"",if(REGEXMATCH(C3508,""instagram"")=TRUE,""Instagram"",if(REGEXMATCH(C3508,""youtube"")=TRUE,""Youtube"",if(REGEXMATCH(C3508,""tiktok"")=TRUE,""Tiktok"",if("&amp;"REGEXMATCH(C3508,""threads"")=TRUE,""Threads""))))))"),"Facebook")</f>
        <v>Facebook</v>
      </c>
      <c r="G3508" s="41" t="s">
        <v>937</v>
      </c>
      <c r="H3508" s="41" t="s">
        <v>1542</v>
      </c>
      <c r="I3508" s="41"/>
      <c r="J3508" s="41" t="s">
        <v>188</v>
      </c>
      <c r="K3508" s="18"/>
      <c r="L3508" s="42"/>
    </row>
    <row r="3509">
      <c r="A3509" s="18">
        <v>3508.0</v>
      </c>
      <c r="B3509" s="76" t="s">
        <v>5978</v>
      </c>
      <c r="C3509" s="40" t="s">
        <v>6006</v>
      </c>
      <c r="D3509" s="41"/>
      <c r="E3509" s="41" t="s">
        <v>401</v>
      </c>
      <c r="F3509" s="41" t="str">
        <f>IFERROR(__xludf.DUMMYFUNCTION("if(REGEXMATCH(C3509,""x.com"")=TRUE,""Twitter"",if(REGEXMATCH(C3509,""facebook"")=TRUE,""Facebook"",if(REGEXMATCH(C3509,""instagram"")=TRUE,""Instagram"",if(REGEXMATCH(C3509,""youtube"")=TRUE,""Youtube"",if(REGEXMATCH(C3509,""tiktok"")=TRUE,""Tiktok"",if("&amp;"REGEXMATCH(C3509,""threads"")=TRUE,""Threads""))))))"),"Facebook")</f>
        <v>Facebook</v>
      </c>
      <c r="G3509" s="41" t="s">
        <v>937</v>
      </c>
      <c r="H3509" s="41" t="s">
        <v>1542</v>
      </c>
      <c r="I3509" s="41"/>
      <c r="J3509" s="41" t="s">
        <v>188</v>
      </c>
      <c r="K3509" s="41"/>
      <c r="L3509" s="42"/>
    </row>
    <row r="3510">
      <c r="A3510" s="18">
        <v>3509.0</v>
      </c>
      <c r="B3510" s="76" t="s">
        <v>5978</v>
      </c>
      <c r="C3510" s="40" t="s">
        <v>6007</v>
      </c>
      <c r="D3510" s="41"/>
      <c r="E3510" s="41" t="s">
        <v>184</v>
      </c>
      <c r="F3510" s="41" t="str">
        <f>IFERROR(__xludf.DUMMYFUNCTION("if(REGEXMATCH(C3510,""x.com"")=TRUE,""Twitter"",if(REGEXMATCH(C3510,""facebook"")=TRUE,""Facebook"",if(REGEXMATCH(C3510,""instagram"")=TRUE,""Instagram"",if(REGEXMATCH(C3510,""youtube"")=TRUE,""Youtube"",if(REGEXMATCH(C3510,""tiktok"")=TRUE,""Tiktok"",if("&amp;"REGEXMATCH(C3510,""threads"")=TRUE,""Threads""))))))"),"Facebook")</f>
        <v>Facebook</v>
      </c>
      <c r="G3510" s="41" t="s">
        <v>6008</v>
      </c>
      <c r="H3510" s="18" t="s">
        <v>1974</v>
      </c>
      <c r="I3510" s="41"/>
      <c r="J3510" s="41" t="s">
        <v>188</v>
      </c>
      <c r="K3510" s="41"/>
      <c r="L3510" s="42"/>
    </row>
    <row r="3511">
      <c r="A3511" s="18">
        <v>3510.0</v>
      </c>
      <c r="B3511" s="76" t="s">
        <v>5978</v>
      </c>
      <c r="C3511" s="40" t="s">
        <v>6009</v>
      </c>
      <c r="D3511" s="41"/>
      <c r="E3511" s="41" t="s">
        <v>184</v>
      </c>
      <c r="F3511" s="41" t="str">
        <f>IFERROR(__xludf.DUMMYFUNCTION("if(REGEXMATCH(C3511,""x.com"")=TRUE,""Twitter"",if(REGEXMATCH(C3511,""facebook"")=TRUE,""Facebook"",if(REGEXMATCH(C3511,""instagram"")=TRUE,""Instagram"",if(REGEXMATCH(C3511,""youtube"")=TRUE,""Youtube"",if(REGEXMATCH(C3511,""tiktok"")=TRUE,""Tiktok"",if("&amp;"REGEXMATCH(C3511,""threads"")=TRUE,""Threads""))))))"),"Facebook")</f>
        <v>Facebook</v>
      </c>
      <c r="G3511" s="18" t="s">
        <v>4116</v>
      </c>
      <c r="H3511" s="18" t="s">
        <v>1974</v>
      </c>
      <c r="I3511" s="18"/>
      <c r="J3511" s="41" t="s">
        <v>188</v>
      </c>
      <c r="K3511" s="41"/>
      <c r="L3511" s="42"/>
    </row>
    <row r="3512">
      <c r="A3512" s="18">
        <v>3511.0</v>
      </c>
      <c r="B3512" s="76" t="s">
        <v>6010</v>
      </c>
      <c r="C3512" s="40" t="s">
        <v>6011</v>
      </c>
      <c r="D3512" s="41"/>
      <c r="E3512" s="41" t="s">
        <v>557</v>
      </c>
      <c r="F3512" s="41" t="str">
        <f>IFERROR(__xludf.DUMMYFUNCTION("if(REGEXMATCH(C3512,""x.com"")=TRUE,""Twitter"",if(REGEXMATCH(C3512,""facebook"")=TRUE,""Facebook"",if(REGEXMATCH(C3512,""instagram"")=TRUE,""Instagram"",if(REGEXMATCH(C3512,""youtube"")=TRUE,""Youtube"",if(REGEXMATCH(C3512,""tiktok"")=TRUE,""Tiktok"",if("&amp;"REGEXMATCH(C3512,""threads"")=TRUE,""Threads""))))))"),"Twitter")</f>
        <v>Twitter</v>
      </c>
      <c r="G3512" s="41" t="s">
        <v>6012</v>
      </c>
      <c r="H3512" s="43" t="s">
        <v>779</v>
      </c>
      <c r="I3512" s="43" t="s">
        <v>535</v>
      </c>
      <c r="J3512" s="41" t="s">
        <v>188</v>
      </c>
      <c r="K3512" s="41"/>
      <c r="L3512" s="42"/>
    </row>
    <row r="3513">
      <c r="A3513" s="18">
        <v>3512.0</v>
      </c>
      <c r="B3513" s="76" t="s">
        <v>6010</v>
      </c>
      <c r="C3513" s="40" t="s">
        <v>6013</v>
      </c>
      <c r="D3513" s="41"/>
      <c r="E3513" s="41" t="s">
        <v>6014</v>
      </c>
      <c r="F3513" s="41" t="str">
        <f>IFERROR(__xludf.DUMMYFUNCTION("if(REGEXMATCH(C3513,""x.com"")=TRUE,""Twitter"",if(REGEXMATCH(C3513,""facebook"")=TRUE,""Facebook"",if(REGEXMATCH(C3513,""instagram"")=TRUE,""Instagram"",if(REGEXMATCH(C3513,""youtube"")=TRUE,""Youtube"",if(REGEXMATCH(C3513,""tiktok"")=TRUE,""Tiktok"",if("&amp;"REGEXMATCH(C3513,""threads"")=TRUE,""Threads""))))))"),"Twitter")</f>
        <v>Twitter</v>
      </c>
      <c r="G3513" s="41" t="s">
        <v>6015</v>
      </c>
      <c r="H3513" s="36"/>
      <c r="I3513" s="36"/>
      <c r="J3513" s="41" t="s">
        <v>188</v>
      </c>
      <c r="K3513" s="41"/>
      <c r="L3513" s="42"/>
    </row>
    <row r="3514">
      <c r="A3514" s="18">
        <v>3513.0</v>
      </c>
      <c r="B3514" s="76" t="s">
        <v>6010</v>
      </c>
      <c r="C3514" s="40" t="s">
        <v>6016</v>
      </c>
      <c r="D3514" s="41"/>
      <c r="E3514" s="41" t="s">
        <v>557</v>
      </c>
      <c r="F3514" s="41" t="str">
        <f>IFERROR(__xludf.DUMMYFUNCTION("if(REGEXMATCH(C3514,""x.com"")=TRUE,""Twitter"",if(REGEXMATCH(C3514,""facebook"")=TRUE,""Facebook"",if(REGEXMATCH(C3514,""instagram"")=TRUE,""Instagram"",if(REGEXMATCH(C3514,""youtube"")=TRUE,""Youtube"",if(REGEXMATCH(C3514,""tiktok"")=TRUE,""Tiktok"",if("&amp;"REGEXMATCH(C3514,""threads"")=TRUE,""Threads""))))))"),"Twitter")</f>
        <v>Twitter</v>
      </c>
      <c r="G3514" s="41" t="s">
        <v>6017</v>
      </c>
      <c r="H3514" s="36"/>
      <c r="I3514" s="36"/>
      <c r="J3514" s="41" t="s">
        <v>188</v>
      </c>
      <c r="K3514" s="41"/>
      <c r="L3514" s="42"/>
    </row>
    <row r="3515">
      <c r="A3515" s="18">
        <v>3514.0</v>
      </c>
      <c r="B3515" s="76" t="s">
        <v>6010</v>
      </c>
      <c r="C3515" s="40" t="s">
        <v>6018</v>
      </c>
      <c r="D3515" s="41"/>
      <c r="E3515" s="41" t="s">
        <v>557</v>
      </c>
      <c r="F3515" s="41" t="str">
        <f>IFERROR(__xludf.DUMMYFUNCTION("if(REGEXMATCH(C3515,""x.com"")=TRUE,""Twitter"",if(REGEXMATCH(C3515,""facebook"")=TRUE,""Facebook"",if(REGEXMATCH(C3515,""instagram"")=TRUE,""Instagram"",if(REGEXMATCH(C3515,""youtube"")=TRUE,""Youtube"",if(REGEXMATCH(C3515,""tiktok"")=TRUE,""Tiktok"",if("&amp;"REGEXMATCH(C3515,""threads"")=TRUE,""Threads""))))))"),"Twitter")</f>
        <v>Twitter</v>
      </c>
      <c r="G3515" s="41" t="s">
        <v>6019</v>
      </c>
      <c r="H3515" s="36"/>
      <c r="I3515" s="36"/>
      <c r="J3515" s="41" t="s">
        <v>188</v>
      </c>
      <c r="K3515" s="41"/>
      <c r="L3515" s="42"/>
    </row>
    <row r="3516">
      <c r="A3516" s="18">
        <v>3515.0</v>
      </c>
      <c r="B3516" s="76" t="s">
        <v>6010</v>
      </c>
      <c r="C3516" s="40" t="s">
        <v>6020</v>
      </c>
      <c r="D3516" s="41"/>
      <c r="E3516" s="41" t="s">
        <v>197</v>
      </c>
      <c r="F3516" s="41" t="str">
        <f>IFERROR(__xludf.DUMMYFUNCTION("if(REGEXMATCH(C3516,""x.com"")=TRUE,""Twitter"",if(REGEXMATCH(C3516,""facebook"")=TRUE,""Facebook"",if(REGEXMATCH(C3516,""instagram"")=TRUE,""Instagram"",if(REGEXMATCH(C3516,""youtube"")=TRUE,""Youtube"",if(REGEXMATCH(C3516,""tiktok"")=TRUE,""Tiktok"",if("&amp;"REGEXMATCH(C3516,""threads"")=TRUE,""Threads""))))))"),"Twitter")</f>
        <v>Twitter</v>
      </c>
      <c r="G3516" s="41" t="s">
        <v>6021</v>
      </c>
      <c r="H3516" s="36"/>
      <c r="I3516" s="36"/>
      <c r="J3516" s="41" t="s">
        <v>188</v>
      </c>
      <c r="K3516" s="41"/>
      <c r="L3516" s="42"/>
    </row>
    <row r="3517">
      <c r="A3517" s="18">
        <v>3516.0</v>
      </c>
      <c r="B3517" s="76" t="s">
        <v>6010</v>
      </c>
      <c r="C3517" s="40" t="s">
        <v>6022</v>
      </c>
      <c r="D3517" s="41"/>
      <c r="E3517" s="41" t="s">
        <v>197</v>
      </c>
      <c r="F3517" s="41" t="str">
        <f>IFERROR(__xludf.DUMMYFUNCTION("if(REGEXMATCH(C3517,""x.com"")=TRUE,""Twitter"",if(REGEXMATCH(C3517,""facebook"")=TRUE,""Facebook"",if(REGEXMATCH(C3517,""instagram"")=TRUE,""Instagram"",if(REGEXMATCH(C3517,""youtube"")=TRUE,""Youtube"",if(REGEXMATCH(C3517,""tiktok"")=TRUE,""Tiktok"",if("&amp;"REGEXMATCH(C3517,""threads"")=TRUE,""Threads""))))))"),"Twitter")</f>
        <v>Twitter</v>
      </c>
      <c r="G3517" s="41" t="s">
        <v>6023</v>
      </c>
      <c r="H3517" s="36"/>
      <c r="I3517" s="36"/>
      <c r="J3517" s="41" t="s">
        <v>188</v>
      </c>
      <c r="K3517" s="41"/>
      <c r="L3517" s="42"/>
    </row>
    <row r="3518">
      <c r="A3518" s="18">
        <v>3517.0</v>
      </c>
      <c r="B3518" s="76" t="s">
        <v>6010</v>
      </c>
      <c r="C3518" s="40" t="s">
        <v>6024</v>
      </c>
      <c r="D3518" s="41"/>
      <c r="E3518" s="41" t="s">
        <v>197</v>
      </c>
      <c r="F3518" s="41" t="str">
        <f>IFERROR(__xludf.DUMMYFUNCTION("if(REGEXMATCH(C3518,""x.com"")=TRUE,""Twitter"",if(REGEXMATCH(C3518,""facebook"")=TRUE,""Facebook"",if(REGEXMATCH(C3518,""instagram"")=TRUE,""Instagram"",if(REGEXMATCH(C3518,""youtube"")=TRUE,""Youtube"",if(REGEXMATCH(C3518,""tiktok"")=TRUE,""Tiktok"",if("&amp;"REGEXMATCH(C3518,""threads"")=TRUE,""Threads""))))))"),"Twitter")</f>
        <v>Twitter</v>
      </c>
      <c r="G3518" s="41" t="s">
        <v>6025</v>
      </c>
      <c r="H3518" s="36"/>
      <c r="I3518" s="36"/>
      <c r="J3518" s="41" t="s">
        <v>188</v>
      </c>
      <c r="K3518" s="41"/>
      <c r="L3518" s="42"/>
    </row>
    <row r="3519">
      <c r="A3519" s="18">
        <v>3518.0</v>
      </c>
      <c r="B3519" s="76" t="s">
        <v>6010</v>
      </c>
      <c r="C3519" s="40" t="s">
        <v>6026</v>
      </c>
      <c r="D3519" s="41"/>
      <c r="E3519" s="41" t="s">
        <v>557</v>
      </c>
      <c r="F3519" s="41" t="str">
        <f>IFERROR(__xludf.DUMMYFUNCTION("if(REGEXMATCH(C3519,""x.com"")=TRUE,""Twitter"",if(REGEXMATCH(C3519,""facebook"")=TRUE,""Facebook"",if(REGEXMATCH(C3519,""instagram"")=TRUE,""Instagram"",if(REGEXMATCH(C3519,""youtube"")=TRUE,""Youtube"",if(REGEXMATCH(C3519,""tiktok"")=TRUE,""Tiktok"",if("&amp;"REGEXMATCH(C3519,""threads"")=TRUE,""Threads""))))))"),"Tiktok")</f>
        <v>Tiktok</v>
      </c>
      <c r="G3519" s="41" t="s">
        <v>6027</v>
      </c>
      <c r="H3519" s="36"/>
      <c r="I3519" s="36"/>
      <c r="J3519" s="41" t="s">
        <v>188</v>
      </c>
      <c r="K3519" s="41"/>
      <c r="L3519" s="42"/>
    </row>
    <row r="3520">
      <c r="A3520" s="18">
        <v>3519.0</v>
      </c>
      <c r="B3520" s="76" t="s">
        <v>6010</v>
      </c>
      <c r="C3520" s="40" t="s">
        <v>6028</v>
      </c>
      <c r="D3520" s="41"/>
      <c r="E3520" s="41" t="s">
        <v>197</v>
      </c>
      <c r="F3520" s="41" t="str">
        <f>IFERROR(__xludf.DUMMYFUNCTION("if(REGEXMATCH(C3520,""x.com"")=TRUE,""Twitter"",if(REGEXMATCH(C3520,""facebook"")=TRUE,""Facebook"",if(REGEXMATCH(C3520,""instagram"")=TRUE,""Instagram"",if(REGEXMATCH(C3520,""youtube"")=TRUE,""Youtube"",if(REGEXMATCH(C3520,""tiktok"")=TRUE,""Tiktok"",if("&amp;"REGEXMATCH(C3520,""threads"")=TRUE,""Threads""))))))"),"Tiktok")</f>
        <v>Tiktok</v>
      </c>
      <c r="G3520" s="41" t="s">
        <v>6029</v>
      </c>
      <c r="H3520" s="36"/>
      <c r="I3520" s="36"/>
      <c r="J3520" s="41" t="s">
        <v>188</v>
      </c>
      <c r="K3520" s="41"/>
      <c r="L3520" s="42"/>
    </row>
    <row r="3521">
      <c r="A3521" s="18">
        <v>3520.0</v>
      </c>
      <c r="B3521" s="76" t="s">
        <v>6010</v>
      </c>
      <c r="C3521" s="40" t="s">
        <v>6030</v>
      </c>
      <c r="D3521" s="41"/>
      <c r="E3521" s="41" t="s">
        <v>197</v>
      </c>
      <c r="F3521" s="41" t="str">
        <f>IFERROR(__xludf.DUMMYFUNCTION("if(REGEXMATCH(C3521,""x.com"")=TRUE,""Twitter"",if(REGEXMATCH(C3521,""facebook"")=TRUE,""Facebook"",if(REGEXMATCH(C3521,""instagram"")=TRUE,""Instagram"",if(REGEXMATCH(C3521,""youtube"")=TRUE,""Youtube"",if(REGEXMATCH(C3521,""tiktok"")=TRUE,""Tiktok"",if("&amp;"REGEXMATCH(C3521,""threads"")=TRUE,""Threads""))))))"),"Tiktok")</f>
        <v>Tiktok</v>
      </c>
      <c r="G3521" s="41" t="s">
        <v>6031</v>
      </c>
      <c r="H3521" s="35"/>
      <c r="I3521" s="35"/>
      <c r="J3521" s="41" t="s">
        <v>188</v>
      </c>
      <c r="K3521" s="41"/>
      <c r="L3521" s="42"/>
    </row>
    <row r="3522">
      <c r="A3522" s="18">
        <v>3521.0</v>
      </c>
      <c r="B3522" s="76" t="s">
        <v>6010</v>
      </c>
      <c r="C3522" s="46" t="s">
        <v>6032</v>
      </c>
      <c r="D3522" s="41"/>
      <c r="E3522" s="41" t="s">
        <v>401</v>
      </c>
      <c r="F3522" s="41" t="str">
        <f>IFERROR(__xludf.DUMMYFUNCTION("if(REGEXMATCH(C3522,""x.com"")=TRUE,""Twitter"",if(REGEXMATCH(C3522,""facebook"")=TRUE,""Facebook"",if(REGEXMATCH(C3522,""instagram"")=TRUE,""Instagram"",if(REGEXMATCH(C3522,""youtube"")=TRUE,""Youtube"",if(REGEXMATCH(C3522,""tiktok"")=TRUE,""Tiktok"",if("&amp;"REGEXMATCH(C3522,""threads"")=TRUE,""Threads""))))))"),"Facebook")</f>
        <v>Facebook</v>
      </c>
      <c r="G3522" s="41" t="s">
        <v>937</v>
      </c>
      <c r="H3522" s="41" t="s">
        <v>1542</v>
      </c>
      <c r="I3522" s="41" t="s">
        <v>939</v>
      </c>
      <c r="J3522" s="41" t="s">
        <v>188</v>
      </c>
      <c r="K3522" s="41"/>
      <c r="L3522" s="42"/>
    </row>
    <row r="3523">
      <c r="A3523" s="18">
        <v>3522.0</v>
      </c>
      <c r="B3523" s="76" t="s">
        <v>6010</v>
      </c>
      <c r="C3523" s="46" t="s">
        <v>6033</v>
      </c>
      <c r="D3523" s="41"/>
      <c r="E3523" s="41" t="s">
        <v>401</v>
      </c>
      <c r="F3523" s="41" t="str">
        <f>IFERROR(__xludf.DUMMYFUNCTION("if(REGEXMATCH(C3523,""x.com"")=TRUE,""Twitter"",if(REGEXMATCH(C3523,""facebook"")=TRUE,""Facebook"",if(REGEXMATCH(C3523,""instagram"")=TRUE,""Instagram"",if(REGEXMATCH(C3523,""youtube"")=TRUE,""Youtube"",if(REGEXMATCH(C3523,""tiktok"")=TRUE,""Tiktok"",if("&amp;"REGEXMATCH(C3523,""threads"")=TRUE,""Threads""))))))"),"Facebook")</f>
        <v>Facebook</v>
      </c>
      <c r="G3523" s="41" t="s">
        <v>937</v>
      </c>
      <c r="H3523" s="41" t="s">
        <v>1542</v>
      </c>
      <c r="I3523" s="41" t="s">
        <v>939</v>
      </c>
      <c r="J3523" s="41" t="s">
        <v>188</v>
      </c>
      <c r="K3523" s="41"/>
      <c r="L3523" s="42"/>
    </row>
    <row r="3524">
      <c r="A3524" s="18">
        <v>3523.0</v>
      </c>
      <c r="B3524" s="76" t="s">
        <v>6010</v>
      </c>
      <c r="C3524" s="46" t="s">
        <v>6034</v>
      </c>
      <c r="D3524" s="41"/>
      <c r="E3524" s="41" t="s">
        <v>401</v>
      </c>
      <c r="F3524" s="41" t="str">
        <f>IFERROR(__xludf.DUMMYFUNCTION("if(REGEXMATCH(C3524,""x.com"")=TRUE,""Twitter"",if(REGEXMATCH(C3524,""facebook"")=TRUE,""Facebook"",if(REGEXMATCH(C3524,""instagram"")=TRUE,""Instagram"",if(REGEXMATCH(C3524,""youtube"")=TRUE,""Youtube"",if(REGEXMATCH(C3524,""tiktok"")=TRUE,""Tiktok"",if("&amp;"REGEXMATCH(C3524,""threads"")=TRUE,""Threads""))))))"),"Facebook")</f>
        <v>Facebook</v>
      </c>
      <c r="G3524" s="41" t="s">
        <v>937</v>
      </c>
      <c r="H3524" s="41" t="s">
        <v>1542</v>
      </c>
      <c r="I3524" s="41" t="s">
        <v>939</v>
      </c>
      <c r="J3524" s="41" t="s">
        <v>188</v>
      </c>
      <c r="K3524" s="41"/>
      <c r="L3524" s="42"/>
    </row>
    <row r="3525">
      <c r="A3525" s="18">
        <v>3524.0</v>
      </c>
      <c r="B3525" s="76" t="s">
        <v>6010</v>
      </c>
      <c r="C3525" s="46" t="s">
        <v>6035</v>
      </c>
      <c r="D3525" s="41"/>
      <c r="E3525" s="41" t="s">
        <v>401</v>
      </c>
      <c r="F3525" s="41" t="str">
        <f>IFERROR(__xludf.DUMMYFUNCTION("if(REGEXMATCH(C3525,""x.com"")=TRUE,""Twitter"",if(REGEXMATCH(C3525,""facebook"")=TRUE,""Facebook"",if(REGEXMATCH(C3525,""instagram"")=TRUE,""Instagram"",if(REGEXMATCH(C3525,""youtube"")=TRUE,""Youtube"",if(REGEXMATCH(C3525,""tiktok"")=TRUE,""Tiktok"",if("&amp;"REGEXMATCH(C3525,""threads"")=TRUE,""Threads""))))))"),"Facebook")</f>
        <v>Facebook</v>
      </c>
      <c r="G3525" s="41" t="s">
        <v>937</v>
      </c>
      <c r="H3525" s="41" t="s">
        <v>1542</v>
      </c>
      <c r="I3525" s="41" t="s">
        <v>939</v>
      </c>
      <c r="J3525" s="41" t="s">
        <v>188</v>
      </c>
      <c r="K3525" s="41"/>
      <c r="L3525" s="42"/>
    </row>
    <row r="3526">
      <c r="A3526" s="18">
        <v>3525.0</v>
      </c>
      <c r="B3526" s="76" t="s">
        <v>6010</v>
      </c>
      <c r="C3526" s="46" t="s">
        <v>6036</v>
      </c>
      <c r="D3526" s="41"/>
      <c r="E3526" s="41" t="s">
        <v>401</v>
      </c>
      <c r="F3526" s="41" t="str">
        <f>IFERROR(__xludf.DUMMYFUNCTION("if(REGEXMATCH(C3526,""x.com"")=TRUE,""Twitter"",if(REGEXMATCH(C3526,""facebook"")=TRUE,""Facebook"",if(REGEXMATCH(C3526,""instagram"")=TRUE,""Instagram"",if(REGEXMATCH(C3526,""youtube"")=TRUE,""Youtube"",if(REGEXMATCH(C3526,""tiktok"")=TRUE,""Tiktok"",if("&amp;"REGEXMATCH(C3526,""threads"")=TRUE,""Threads""))))))"),"Facebook")</f>
        <v>Facebook</v>
      </c>
      <c r="G3526" s="41" t="s">
        <v>937</v>
      </c>
      <c r="H3526" s="41" t="s">
        <v>1542</v>
      </c>
      <c r="I3526" s="41" t="s">
        <v>939</v>
      </c>
      <c r="J3526" s="41" t="s">
        <v>188</v>
      </c>
      <c r="K3526" s="41"/>
      <c r="L3526" s="42"/>
    </row>
    <row r="3527">
      <c r="A3527" s="18">
        <v>3526.0</v>
      </c>
      <c r="B3527" s="76" t="s">
        <v>6010</v>
      </c>
      <c r="C3527" s="46" t="s">
        <v>6037</v>
      </c>
      <c r="D3527" s="41"/>
      <c r="E3527" s="41" t="s">
        <v>401</v>
      </c>
      <c r="F3527" s="41" t="str">
        <f>IFERROR(__xludf.DUMMYFUNCTION("if(REGEXMATCH(C3527,""x.com"")=TRUE,""Twitter"",if(REGEXMATCH(C3527,""facebook"")=TRUE,""Facebook"",if(REGEXMATCH(C3527,""instagram"")=TRUE,""Instagram"",if(REGEXMATCH(C3527,""youtube"")=TRUE,""Youtube"",if(REGEXMATCH(C3527,""tiktok"")=TRUE,""Tiktok"",if("&amp;"REGEXMATCH(C3527,""threads"")=TRUE,""Threads""))))))"),"Facebook")</f>
        <v>Facebook</v>
      </c>
      <c r="G3527" s="41" t="s">
        <v>937</v>
      </c>
      <c r="H3527" s="41" t="s">
        <v>1542</v>
      </c>
      <c r="I3527" s="41" t="s">
        <v>939</v>
      </c>
      <c r="J3527" s="41" t="s">
        <v>188</v>
      </c>
      <c r="K3527" s="41"/>
      <c r="L3527" s="42"/>
    </row>
    <row r="3528">
      <c r="A3528" s="18">
        <v>3527.0</v>
      </c>
      <c r="B3528" s="76" t="s">
        <v>6010</v>
      </c>
      <c r="C3528" s="46" t="s">
        <v>6038</v>
      </c>
      <c r="D3528" s="41"/>
      <c r="E3528" s="41" t="s">
        <v>401</v>
      </c>
      <c r="F3528" s="41" t="str">
        <f>IFERROR(__xludf.DUMMYFUNCTION("if(REGEXMATCH(C3528,""x.com"")=TRUE,""Twitter"",if(REGEXMATCH(C3528,""facebook"")=TRUE,""Facebook"",if(REGEXMATCH(C3528,""instagram"")=TRUE,""Instagram"",if(REGEXMATCH(C3528,""youtube"")=TRUE,""Youtube"",if(REGEXMATCH(C3528,""tiktok"")=TRUE,""Tiktok"",if("&amp;"REGEXMATCH(C3528,""threads"")=TRUE,""Threads""))))))"),"Facebook")</f>
        <v>Facebook</v>
      </c>
      <c r="G3528" s="41" t="s">
        <v>937</v>
      </c>
      <c r="H3528" s="41" t="s">
        <v>1542</v>
      </c>
      <c r="I3528" s="41" t="s">
        <v>939</v>
      </c>
      <c r="J3528" s="41" t="s">
        <v>188</v>
      </c>
      <c r="K3528" s="18"/>
      <c r="L3528" s="42"/>
    </row>
    <row r="3529">
      <c r="A3529" s="18">
        <v>3528.0</v>
      </c>
      <c r="B3529" s="76" t="s">
        <v>6010</v>
      </c>
      <c r="C3529" s="46" t="s">
        <v>6039</v>
      </c>
      <c r="D3529" s="41"/>
      <c r="E3529" s="41" t="s">
        <v>401</v>
      </c>
      <c r="F3529" s="41" t="str">
        <f>IFERROR(__xludf.DUMMYFUNCTION("if(REGEXMATCH(C3529,""x.com"")=TRUE,""Twitter"",if(REGEXMATCH(C3529,""facebook"")=TRUE,""Facebook"",if(REGEXMATCH(C3529,""instagram"")=TRUE,""Instagram"",if(REGEXMATCH(C3529,""youtube"")=TRUE,""Youtube"",if(REGEXMATCH(C3529,""tiktok"")=TRUE,""Tiktok"",if("&amp;"REGEXMATCH(C3529,""threads"")=TRUE,""Threads""))))))"),"Facebook")</f>
        <v>Facebook</v>
      </c>
      <c r="G3529" s="41" t="s">
        <v>937</v>
      </c>
      <c r="H3529" s="41" t="s">
        <v>1542</v>
      </c>
      <c r="I3529" s="41" t="s">
        <v>939</v>
      </c>
      <c r="J3529" s="41" t="s">
        <v>188</v>
      </c>
      <c r="K3529" s="41"/>
      <c r="L3529" s="42"/>
    </row>
    <row r="3530">
      <c r="A3530" s="18">
        <v>3529.0</v>
      </c>
      <c r="B3530" s="76" t="s">
        <v>6010</v>
      </c>
      <c r="C3530" s="46" t="s">
        <v>6040</v>
      </c>
      <c r="D3530" s="41"/>
      <c r="E3530" s="41" t="s">
        <v>401</v>
      </c>
      <c r="F3530" s="41" t="str">
        <f>IFERROR(__xludf.DUMMYFUNCTION("if(REGEXMATCH(C3530,""x.com"")=TRUE,""Twitter"",if(REGEXMATCH(C3530,""facebook"")=TRUE,""Facebook"",if(REGEXMATCH(C3530,""instagram"")=TRUE,""Instagram"",if(REGEXMATCH(C3530,""youtube"")=TRUE,""Youtube"",if(REGEXMATCH(C3530,""tiktok"")=TRUE,""Tiktok"",if("&amp;"REGEXMATCH(C3530,""threads"")=TRUE,""Threads""))))))"),"Facebook")</f>
        <v>Facebook</v>
      </c>
      <c r="G3530" s="41" t="s">
        <v>937</v>
      </c>
      <c r="H3530" s="41" t="s">
        <v>1542</v>
      </c>
      <c r="I3530" s="41" t="s">
        <v>939</v>
      </c>
      <c r="J3530" s="41" t="s">
        <v>188</v>
      </c>
      <c r="K3530" s="41"/>
      <c r="L3530" s="42"/>
    </row>
    <row r="3531">
      <c r="A3531" s="18">
        <v>3530.0</v>
      </c>
      <c r="B3531" s="76" t="s">
        <v>6010</v>
      </c>
      <c r="C3531" s="46" t="s">
        <v>6041</v>
      </c>
      <c r="D3531" s="41"/>
      <c r="E3531" s="41" t="s">
        <v>401</v>
      </c>
      <c r="F3531" s="41" t="str">
        <f>IFERROR(__xludf.DUMMYFUNCTION("if(REGEXMATCH(C3531,""x.com"")=TRUE,""Twitter"",if(REGEXMATCH(C3531,""facebook"")=TRUE,""Facebook"",if(REGEXMATCH(C3531,""instagram"")=TRUE,""Instagram"",if(REGEXMATCH(C3531,""youtube"")=TRUE,""Youtube"",if(REGEXMATCH(C3531,""tiktok"")=TRUE,""Tiktok"",if("&amp;"REGEXMATCH(C3531,""threads"")=TRUE,""Threads""))))))"),"Facebook")</f>
        <v>Facebook</v>
      </c>
      <c r="G3531" s="41" t="s">
        <v>937</v>
      </c>
      <c r="H3531" s="41" t="s">
        <v>1542</v>
      </c>
      <c r="I3531" s="41" t="s">
        <v>939</v>
      </c>
      <c r="J3531" s="41" t="s">
        <v>188</v>
      </c>
      <c r="K3531" s="41"/>
      <c r="L3531" s="42"/>
    </row>
    <row r="3532">
      <c r="A3532" s="18">
        <v>3531.0</v>
      </c>
      <c r="B3532" s="76" t="s">
        <v>6010</v>
      </c>
      <c r="C3532" s="46" t="s">
        <v>6042</v>
      </c>
      <c r="D3532" s="41"/>
      <c r="E3532" s="41" t="s">
        <v>401</v>
      </c>
      <c r="F3532" s="41" t="str">
        <f>IFERROR(__xludf.DUMMYFUNCTION("if(REGEXMATCH(C3532,""x.com"")=TRUE,""Twitter"",if(REGEXMATCH(C3532,""facebook"")=TRUE,""Facebook"",if(REGEXMATCH(C3532,""instagram"")=TRUE,""Instagram"",if(REGEXMATCH(C3532,""youtube"")=TRUE,""Youtube"",if(REGEXMATCH(C3532,""tiktok"")=TRUE,""Tiktok"",if("&amp;"REGEXMATCH(C3532,""threads"")=TRUE,""Threads""))))))"),"Facebook")</f>
        <v>Facebook</v>
      </c>
      <c r="G3532" s="41" t="s">
        <v>937</v>
      </c>
      <c r="H3532" s="41" t="s">
        <v>1542</v>
      </c>
      <c r="I3532" s="41" t="s">
        <v>939</v>
      </c>
      <c r="J3532" s="41" t="s">
        <v>188</v>
      </c>
      <c r="K3532" s="41"/>
      <c r="L3532" s="42"/>
    </row>
    <row r="3533">
      <c r="A3533" s="18">
        <v>3532.0</v>
      </c>
      <c r="B3533" s="76" t="s">
        <v>6010</v>
      </c>
      <c r="C3533" s="46" t="s">
        <v>6043</v>
      </c>
      <c r="D3533" s="41"/>
      <c r="E3533" s="41" t="s">
        <v>401</v>
      </c>
      <c r="F3533" s="41" t="str">
        <f>IFERROR(__xludf.DUMMYFUNCTION("if(REGEXMATCH(C3533,""x.com"")=TRUE,""Twitter"",if(REGEXMATCH(C3533,""facebook"")=TRUE,""Facebook"",if(REGEXMATCH(C3533,""instagram"")=TRUE,""Instagram"",if(REGEXMATCH(C3533,""youtube"")=TRUE,""Youtube"",if(REGEXMATCH(C3533,""tiktok"")=TRUE,""Tiktok"",if("&amp;"REGEXMATCH(C3533,""threads"")=TRUE,""Threads""))))))"),"Facebook")</f>
        <v>Facebook</v>
      </c>
      <c r="G3533" s="41" t="s">
        <v>937</v>
      </c>
      <c r="H3533" s="41" t="s">
        <v>1542</v>
      </c>
      <c r="I3533" s="41" t="s">
        <v>939</v>
      </c>
      <c r="J3533" s="41" t="s">
        <v>188</v>
      </c>
      <c r="K3533" s="41"/>
      <c r="L3533" s="42"/>
    </row>
    <row r="3534">
      <c r="A3534" s="18">
        <v>3533.0</v>
      </c>
      <c r="B3534" s="76" t="s">
        <v>6010</v>
      </c>
      <c r="C3534" s="46" t="s">
        <v>6044</v>
      </c>
      <c r="D3534" s="41"/>
      <c r="E3534" s="41" t="s">
        <v>401</v>
      </c>
      <c r="F3534" s="41" t="str">
        <f>IFERROR(__xludf.DUMMYFUNCTION("if(REGEXMATCH(C3534,""x.com"")=TRUE,""Twitter"",if(REGEXMATCH(C3534,""facebook"")=TRUE,""Facebook"",if(REGEXMATCH(C3534,""instagram"")=TRUE,""Instagram"",if(REGEXMATCH(C3534,""youtube"")=TRUE,""Youtube"",if(REGEXMATCH(C3534,""tiktok"")=TRUE,""Tiktok"",if("&amp;"REGEXMATCH(C3534,""threads"")=TRUE,""Threads""))))))"),"Facebook")</f>
        <v>Facebook</v>
      </c>
      <c r="G3534" s="41" t="s">
        <v>937</v>
      </c>
      <c r="H3534" s="41" t="s">
        <v>1542</v>
      </c>
      <c r="I3534" s="41" t="s">
        <v>939</v>
      </c>
      <c r="J3534" s="41" t="s">
        <v>188</v>
      </c>
      <c r="K3534" s="41"/>
      <c r="L3534" s="42"/>
    </row>
    <row r="3535">
      <c r="A3535" s="18">
        <v>3534.0</v>
      </c>
      <c r="B3535" s="76" t="s">
        <v>6010</v>
      </c>
      <c r="C3535" s="46" t="s">
        <v>6045</v>
      </c>
      <c r="D3535" s="41"/>
      <c r="E3535" s="41" t="s">
        <v>401</v>
      </c>
      <c r="F3535" s="41" t="str">
        <f>IFERROR(__xludf.DUMMYFUNCTION("if(REGEXMATCH(C3535,""x.com"")=TRUE,""Twitter"",if(REGEXMATCH(C3535,""facebook"")=TRUE,""Facebook"",if(REGEXMATCH(C3535,""instagram"")=TRUE,""Instagram"",if(REGEXMATCH(C3535,""youtube"")=TRUE,""Youtube"",if(REGEXMATCH(C3535,""tiktok"")=TRUE,""Tiktok"",if("&amp;"REGEXMATCH(C3535,""threads"")=TRUE,""Threads""))))))"),"Facebook")</f>
        <v>Facebook</v>
      </c>
      <c r="G3535" s="41" t="s">
        <v>937</v>
      </c>
      <c r="H3535" s="41" t="s">
        <v>1542</v>
      </c>
      <c r="I3535" s="41" t="s">
        <v>939</v>
      </c>
      <c r="J3535" s="41" t="s">
        <v>188</v>
      </c>
      <c r="K3535" s="41"/>
      <c r="L3535" s="42"/>
    </row>
    <row r="3536">
      <c r="A3536" s="18">
        <v>3535.0</v>
      </c>
      <c r="B3536" s="76" t="s">
        <v>6010</v>
      </c>
      <c r="C3536" s="40" t="s">
        <v>6046</v>
      </c>
      <c r="D3536" s="41"/>
      <c r="E3536" s="41" t="s">
        <v>184</v>
      </c>
      <c r="F3536" s="41" t="str">
        <f>IFERROR(__xludf.DUMMYFUNCTION("if(REGEXMATCH(C3536,""x.com"")=TRUE,""Twitter"",if(REGEXMATCH(C3536,""facebook"")=TRUE,""Facebook"",if(REGEXMATCH(C3536,""instagram"")=TRUE,""Instagram"",if(REGEXMATCH(C3536,""youtube"")=TRUE,""Youtube"",if(REGEXMATCH(C3536,""tiktok"")=TRUE,""Tiktok"",if("&amp;"REGEXMATCH(C3536,""threads"")=TRUE,""Threads""))))))"),"Facebook")</f>
        <v>Facebook</v>
      </c>
      <c r="G3536" s="41" t="s">
        <v>4116</v>
      </c>
      <c r="H3536" s="18" t="s">
        <v>6047</v>
      </c>
      <c r="I3536" s="41"/>
      <c r="J3536" s="41" t="s">
        <v>188</v>
      </c>
      <c r="K3536" s="41"/>
      <c r="L3536" s="42"/>
    </row>
    <row r="3537">
      <c r="A3537" s="18">
        <v>3536.0</v>
      </c>
      <c r="B3537" s="76" t="s">
        <v>6048</v>
      </c>
      <c r="C3537" s="40" t="s">
        <v>6049</v>
      </c>
      <c r="D3537" s="41"/>
      <c r="E3537" s="41" t="s">
        <v>222</v>
      </c>
      <c r="F3537" s="18" t="str">
        <f>IFERROR(__xludf.DUMMYFUNCTION("if(REGEXMATCH(C3537,""x.com"")=TRUE,""Twitter"",if(REGEXMATCH(C3537,""facebook"")=TRUE,""Facebook"",if(REGEXMATCH(C3537,""instagram"")=TRUE,""Instagram"",if(REGEXMATCH(C3537,""youtube"")=TRUE,""Youtube"",if(REGEXMATCH(C3537,""tiktok"")=TRUE,""Tiktok"",if("&amp;"REGEXMATCH(C3537,""threads"")=TRUE,""Threads""))))))"),"Tiktok")</f>
        <v>Tiktok</v>
      </c>
      <c r="G3537" s="41" t="s">
        <v>6050</v>
      </c>
      <c r="H3537" s="41" t="s">
        <v>5595</v>
      </c>
      <c r="I3537" s="41" t="s">
        <v>4286</v>
      </c>
      <c r="J3537" s="41" t="s">
        <v>188</v>
      </c>
      <c r="K3537" s="41"/>
      <c r="L3537" s="42"/>
    </row>
    <row r="3538">
      <c r="A3538" s="18">
        <v>3537.0</v>
      </c>
      <c r="B3538" s="76" t="s">
        <v>6048</v>
      </c>
      <c r="C3538" s="40" t="s">
        <v>6051</v>
      </c>
      <c r="D3538" s="41"/>
      <c r="E3538" s="41" t="s">
        <v>222</v>
      </c>
      <c r="F3538" s="18" t="str">
        <f>IFERROR(__xludf.DUMMYFUNCTION("if(REGEXMATCH(C3538,""x.com"")=TRUE,""Twitter"",if(REGEXMATCH(C3538,""facebook"")=TRUE,""Facebook"",if(REGEXMATCH(C3538,""instagram"")=TRUE,""Instagram"",if(REGEXMATCH(C3538,""youtube"")=TRUE,""Youtube"",if(REGEXMATCH(C3538,""tiktok"")=TRUE,""Tiktok"",if("&amp;"REGEXMATCH(C3538,""threads"")=TRUE,""Threads""))))))"),"Tiktok")</f>
        <v>Tiktok</v>
      </c>
      <c r="G3538" s="41" t="s">
        <v>6052</v>
      </c>
      <c r="H3538" s="41" t="s">
        <v>5595</v>
      </c>
      <c r="I3538" s="41" t="s">
        <v>4286</v>
      </c>
      <c r="J3538" s="41" t="s">
        <v>188</v>
      </c>
      <c r="K3538" s="41"/>
      <c r="L3538" s="42"/>
    </row>
    <row r="3539">
      <c r="A3539" s="18">
        <v>3538.0</v>
      </c>
      <c r="B3539" s="76" t="s">
        <v>6048</v>
      </c>
      <c r="C3539" s="40" t="s">
        <v>6053</v>
      </c>
      <c r="D3539" s="41"/>
      <c r="E3539" s="41" t="s">
        <v>222</v>
      </c>
      <c r="F3539" s="18" t="str">
        <f>IFERROR(__xludf.DUMMYFUNCTION("if(REGEXMATCH(C3539,""x.com"")=TRUE,""Twitter"",if(REGEXMATCH(C3539,""facebook"")=TRUE,""Facebook"",if(REGEXMATCH(C3539,""instagram"")=TRUE,""Instagram"",if(REGEXMATCH(C3539,""youtube"")=TRUE,""Youtube"",if(REGEXMATCH(C3539,""tiktok"")=TRUE,""Tiktok"",if("&amp;"REGEXMATCH(C3539,""threads"")=TRUE,""Threads""))))))"),"Tiktok")</f>
        <v>Tiktok</v>
      </c>
      <c r="G3539" s="41" t="s">
        <v>6054</v>
      </c>
      <c r="H3539" s="41" t="s">
        <v>5595</v>
      </c>
      <c r="I3539" s="41" t="s">
        <v>4286</v>
      </c>
      <c r="J3539" s="41" t="s">
        <v>188</v>
      </c>
      <c r="K3539" s="41"/>
      <c r="L3539" s="42"/>
    </row>
    <row r="3540">
      <c r="A3540" s="18">
        <v>3539.0</v>
      </c>
      <c r="B3540" s="76" t="s">
        <v>6048</v>
      </c>
      <c r="C3540" s="40" t="s">
        <v>6055</v>
      </c>
      <c r="D3540" s="41"/>
      <c r="E3540" s="41" t="s">
        <v>6056</v>
      </c>
      <c r="F3540" s="18" t="str">
        <f>IFERROR(__xludf.DUMMYFUNCTION("if(REGEXMATCH(C3540,""x.com"")=TRUE,""Twitter"",if(REGEXMATCH(C3540,""facebook"")=TRUE,""Facebook"",if(REGEXMATCH(C3540,""instagram"")=TRUE,""Instagram"",if(REGEXMATCH(C3540,""youtube"")=TRUE,""Youtube"",if(REGEXMATCH(C3540,""tiktok"")=TRUE,""Tiktok"",if("&amp;"REGEXMATCH(C3540,""threads"")=TRUE,""Threads""))))))"),"Facebook")</f>
        <v>Facebook</v>
      </c>
      <c r="G3540" s="41" t="s">
        <v>6057</v>
      </c>
      <c r="H3540" s="41" t="s">
        <v>5595</v>
      </c>
      <c r="I3540" s="41" t="s">
        <v>4286</v>
      </c>
      <c r="J3540" s="41" t="s">
        <v>188</v>
      </c>
      <c r="K3540" s="41"/>
      <c r="L3540" s="42"/>
    </row>
    <row r="3541">
      <c r="A3541" s="18">
        <v>3540.0</v>
      </c>
      <c r="B3541" s="76" t="s">
        <v>6048</v>
      </c>
      <c r="C3541" s="40" t="s">
        <v>6058</v>
      </c>
      <c r="D3541" s="41"/>
      <c r="E3541" s="41" t="s">
        <v>6056</v>
      </c>
      <c r="F3541" s="18" t="str">
        <f>IFERROR(__xludf.DUMMYFUNCTION("if(REGEXMATCH(C3541,""x.com"")=TRUE,""Twitter"",if(REGEXMATCH(C3541,""facebook"")=TRUE,""Facebook"",if(REGEXMATCH(C3541,""instagram"")=TRUE,""Instagram"",if(REGEXMATCH(C3541,""youtube"")=TRUE,""Youtube"",if(REGEXMATCH(C3541,""tiktok"")=TRUE,""Tiktok"",if("&amp;"REGEXMATCH(C3541,""threads"")=TRUE,""Threads""))))))"),"Facebook")</f>
        <v>Facebook</v>
      </c>
      <c r="G3541" s="41" t="s">
        <v>6059</v>
      </c>
      <c r="H3541" s="41" t="s">
        <v>5595</v>
      </c>
      <c r="I3541" s="41" t="s">
        <v>4286</v>
      </c>
      <c r="J3541" s="41" t="s">
        <v>188</v>
      </c>
      <c r="K3541" s="41"/>
      <c r="L3541" s="42"/>
    </row>
    <row r="3542">
      <c r="A3542" s="18">
        <v>3541.0</v>
      </c>
      <c r="B3542" s="76" t="s">
        <v>6048</v>
      </c>
      <c r="C3542" s="40" t="s">
        <v>6060</v>
      </c>
      <c r="D3542" s="41"/>
      <c r="E3542" s="41" t="s">
        <v>447</v>
      </c>
      <c r="F3542" s="18" t="str">
        <f>IFERROR(__xludf.DUMMYFUNCTION("if(REGEXMATCH(C3542,""x.com"")=TRUE,""Twitter"",if(REGEXMATCH(C3542,""facebook"")=TRUE,""Facebook"",if(REGEXMATCH(C3542,""instagram"")=TRUE,""Instagram"",if(REGEXMATCH(C3542,""youtube"")=TRUE,""Youtube"",if(REGEXMATCH(C3542,""tiktok"")=TRUE,""Tiktok"",if("&amp;"REGEXMATCH(C3542,""threads"")=TRUE,""Threads""))))))"),"Facebook")</f>
        <v>Facebook</v>
      </c>
      <c r="G3542" s="41" t="s">
        <v>6061</v>
      </c>
      <c r="H3542" s="41" t="s">
        <v>5595</v>
      </c>
      <c r="I3542" s="41" t="s">
        <v>4286</v>
      </c>
      <c r="J3542" s="41" t="s">
        <v>188</v>
      </c>
      <c r="K3542" s="41"/>
      <c r="L3542" s="42"/>
    </row>
    <row r="3543">
      <c r="A3543" s="18">
        <v>3542.0</v>
      </c>
      <c r="B3543" s="76" t="s">
        <v>6048</v>
      </c>
      <c r="C3543" s="40" t="s">
        <v>6062</v>
      </c>
      <c r="D3543" s="41"/>
      <c r="E3543" s="41" t="s">
        <v>197</v>
      </c>
      <c r="F3543" s="18" t="str">
        <f>IFERROR(__xludf.DUMMYFUNCTION("if(REGEXMATCH(C3543,""x.com"")=TRUE,""Twitter"",if(REGEXMATCH(C3543,""facebook"")=TRUE,""Facebook"",if(REGEXMATCH(C3543,""instagram"")=TRUE,""Instagram"",if(REGEXMATCH(C3543,""youtube"")=TRUE,""Youtube"",if(REGEXMATCH(C3543,""tiktok"")=TRUE,""Tiktok"",if("&amp;"REGEXMATCH(C3543,""threads"")=TRUE,""Threads""))))))"),"Facebook")</f>
        <v>Facebook</v>
      </c>
      <c r="G3543" s="41" t="s">
        <v>6063</v>
      </c>
      <c r="H3543" s="41" t="s">
        <v>5595</v>
      </c>
      <c r="I3543" s="41" t="s">
        <v>4286</v>
      </c>
      <c r="J3543" s="41" t="s">
        <v>188</v>
      </c>
      <c r="K3543" s="41"/>
      <c r="L3543" s="42"/>
    </row>
    <row r="3544">
      <c r="A3544" s="18">
        <v>3543.0</v>
      </c>
      <c r="B3544" s="76" t="s">
        <v>6048</v>
      </c>
      <c r="C3544" s="40" t="s">
        <v>6064</v>
      </c>
      <c r="D3544" s="41"/>
      <c r="E3544" s="41" t="s">
        <v>197</v>
      </c>
      <c r="F3544" s="18" t="str">
        <f>IFERROR(__xludf.DUMMYFUNCTION("if(REGEXMATCH(C3544,""x.com"")=TRUE,""Twitter"",if(REGEXMATCH(C3544,""facebook"")=TRUE,""Facebook"",if(REGEXMATCH(C3544,""instagram"")=TRUE,""Instagram"",if(REGEXMATCH(C3544,""youtube"")=TRUE,""Youtube"",if(REGEXMATCH(C3544,""tiktok"")=TRUE,""Tiktok"",if("&amp;"REGEXMATCH(C3544,""threads"")=TRUE,""Threads""))))))"),"Facebook")</f>
        <v>Facebook</v>
      </c>
      <c r="G3544" s="41" t="s">
        <v>6065</v>
      </c>
      <c r="H3544" s="41" t="s">
        <v>5595</v>
      </c>
      <c r="I3544" s="41" t="s">
        <v>4286</v>
      </c>
      <c r="J3544" s="41" t="s">
        <v>188</v>
      </c>
      <c r="K3544" s="41"/>
      <c r="L3544" s="42"/>
    </row>
    <row r="3545">
      <c r="A3545" s="18">
        <v>3544.0</v>
      </c>
      <c r="B3545" s="76" t="s">
        <v>6048</v>
      </c>
      <c r="C3545" s="40" t="s">
        <v>6066</v>
      </c>
      <c r="D3545" s="41"/>
      <c r="E3545" s="41" t="s">
        <v>197</v>
      </c>
      <c r="F3545" s="18" t="str">
        <f>IFERROR(__xludf.DUMMYFUNCTION("if(REGEXMATCH(C3545,""x.com"")=TRUE,""Twitter"",if(REGEXMATCH(C3545,""facebook"")=TRUE,""Facebook"",if(REGEXMATCH(C3545,""instagram"")=TRUE,""Instagram"",if(REGEXMATCH(C3545,""youtube"")=TRUE,""Youtube"",if(REGEXMATCH(C3545,""tiktok"")=TRUE,""Tiktok"",if("&amp;"REGEXMATCH(C3545,""threads"")=TRUE,""Threads""))))))"),"Facebook")</f>
        <v>Facebook</v>
      </c>
      <c r="G3545" s="41" t="s">
        <v>6067</v>
      </c>
      <c r="H3545" s="41" t="s">
        <v>5595</v>
      </c>
      <c r="I3545" s="41" t="s">
        <v>4286</v>
      </c>
      <c r="J3545" s="41" t="s">
        <v>188</v>
      </c>
      <c r="K3545" s="41"/>
      <c r="L3545" s="42"/>
    </row>
    <row r="3546">
      <c r="A3546" s="18">
        <v>3545.0</v>
      </c>
      <c r="B3546" s="76" t="s">
        <v>6048</v>
      </c>
      <c r="C3546" s="40" t="s">
        <v>6068</v>
      </c>
      <c r="D3546" s="41"/>
      <c r="E3546" s="41" t="s">
        <v>197</v>
      </c>
      <c r="F3546" s="18" t="str">
        <f>IFERROR(__xludf.DUMMYFUNCTION("if(REGEXMATCH(C3546,""x.com"")=TRUE,""Twitter"",if(REGEXMATCH(C3546,""facebook"")=TRUE,""Facebook"",if(REGEXMATCH(C3546,""instagram"")=TRUE,""Instagram"",if(REGEXMATCH(C3546,""youtube"")=TRUE,""Youtube"",if(REGEXMATCH(C3546,""tiktok"")=TRUE,""Tiktok"",if("&amp;"REGEXMATCH(C3546,""threads"")=TRUE,""Threads""))))))"),"Facebook")</f>
        <v>Facebook</v>
      </c>
      <c r="G3546" s="41" t="s">
        <v>6069</v>
      </c>
      <c r="H3546" s="41" t="s">
        <v>5595</v>
      </c>
      <c r="I3546" s="41" t="s">
        <v>4286</v>
      </c>
      <c r="J3546" s="41" t="s">
        <v>188</v>
      </c>
      <c r="K3546" s="41"/>
      <c r="L3546" s="42"/>
    </row>
    <row r="3547">
      <c r="A3547" s="18">
        <v>3546.0</v>
      </c>
      <c r="B3547" s="76" t="s">
        <v>6048</v>
      </c>
      <c r="C3547" s="40" t="s">
        <v>6070</v>
      </c>
      <c r="D3547" s="41"/>
      <c r="E3547" s="41" t="s">
        <v>197</v>
      </c>
      <c r="F3547" s="18" t="str">
        <f>IFERROR(__xludf.DUMMYFUNCTION("if(REGEXMATCH(C3547,""x.com"")=TRUE,""Twitter"",if(REGEXMATCH(C3547,""facebook"")=TRUE,""Facebook"",if(REGEXMATCH(C3547,""instagram"")=TRUE,""Instagram"",if(REGEXMATCH(C3547,""youtube"")=TRUE,""Youtube"",if(REGEXMATCH(C3547,""tiktok"")=TRUE,""Tiktok"",if("&amp;"REGEXMATCH(C3547,""threads"")=TRUE,""Threads""))))))"),"Tiktok")</f>
        <v>Tiktok</v>
      </c>
      <c r="G3547" s="41" t="s">
        <v>6071</v>
      </c>
      <c r="H3547" s="41" t="s">
        <v>5595</v>
      </c>
      <c r="I3547" s="41" t="s">
        <v>4286</v>
      </c>
      <c r="J3547" s="41" t="s">
        <v>188</v>
      </c>
      <c r="K3547" s="41"/>
      <c r="L3547" s="42"/>
    </row>
    <row r="3548">
      <c r="A3548" s="18">
        <v>3547.0</v>
      </c>
      <c r="B3548" s="76" t="s">
        <v>6048</v>
      </c>
      <c r="C3548" s="40" t="s">
        <v>6072</v>
      </c>
      <c r="D3548" s="41"/>
      <c r="E3548" s="41" t="s">
        <v>557</v>
      </c>
      <c r="F3548" s="18" t="str">
        <f>IFERROR(__xludf.DUMMYFUNCTION("if(REGEXMATCH(C3548,""x.com"")=TRUE,""Twitter"",if(REGEXMATCH(C3548,""facebook"")=TRUE,""Facebook"",if(REGEXMATCH(C3548,""instagram"")=TRUE,""Instagram"",if(REGEXMATCH(C3548,""youtube"")=TRUE,""Youtube"",if(REGEXMATCH(C3548,""tiktok"")=TRUE,""Tiktok"",if("&amp;"REGEXMATCH(C3548,""threads"")=TRUE,""Threads""))))))"),"Tiktok")</f>
        <v>Tiktok</v>
      </c>
      <c r="G3548" s="41" t="s">
        <v>6073</v>
      </c>
      <c r="H3548" s="41" t="s">
        <v>5595</v>
      </c>
      <c r="I3548" s="41" t="s">
        <v>4286</v>
      </c>
      <c r="J3548" s="41" t="s">
        <v>188</v>
      </c>
      <c r="K3548" s="41"/>
      <c r="L3548" s="42"/>
    </row>
    <row r="3549">
      <c r="A3549" s="18">
        <v>3548.0</v>
      </c>
      <c r="B3549" s="76" t="s">
        <v>6048</v>
      </c>
      <c r="C3549" s="40" t="s">
        <v>6074</v>
      </c>
      <c r="D3549" s="41"/>
      <c r="E3549" s="41" t="s">
        <v>197</v>
      </c>
      <c r="F3549" s="18" t="str">
        <f>IFERROR(__xludf.DUMMYFUNCTION("if(REGEXMATCH(C3549,""x.com"")=TRUE,""Twitter"",if(REGEXMATCH(C3549,""facebook"")=TRUE,""Facebook"",if(REGEXMATCH(C3549,""instagram"")=TRUE,""Instagram"",if(REGEXMATCH(C3549,""youtube"")=TRUE,""Youtube"",if(REGEXMATCH(C3549,""tiktok"")=TRUE,""Tiktok"",if("&amp;"REGEXMATCH(C3549,""threads"")=TRUE,""Threads""))))))"),"Twitter")</f>
        <v>Twitter</v>
      </c>
      <c r="G3549" s="41" t="s">
        <v>6075</v>
      </c>
      <c r="H3549" s="41" t="s">
        <v>5595</v>
      </c>
      <c r="I3549" s="41" t="s">
        <v>4286</v>
      </c>
      <c r="J3549" s="41" t="s">
        <v>188</v>
      </c>
      <c r="K3549" s="41"/>
      <c r="L3549" s="42"/>
    </row>
    <row r="3550">
      <c r="A3550" s="18">
        <v>3549.0</v>
      </c>
      <c r="B3550" s="76" t="s">
        <v>6048</v>
      </c>
      <c r="C3550" s="46" t="s">
        <v>6076</v>
      </c>
      <c r="D3550" s="41"/>
      <c r="E3550" s="41" t="s">
        <v>401</v>
      </c>
      <c r="F3550" s="18" t="str">
        <f>IFERROR(__xludf.DUMMYFUNCTION("if(REGEXMATCH(C3550,""x.com"")=TRUE,""Twitter"",if(REGEXMATCH(C3550,""facebook"")=TRUE,""Facebook"",if(REGEXMATCH(C3550,""instagram"")=TRUE,""Instagram"",if(REGEXMATCH(C3550,""youtube"")=TRUE,""Youtube"",if(REGEXMATCH(C3550,""tiktok"")=TRUE,""Tiktok"",if("&amp;"REGEXMATCH(C3550,""threads"")=TRUE,""Threads""))))))"),"Facebook")</f>
        <v>Facebook</v>
      </c>
      <c r="G3550" s="41" t="s">
        <v>937</v>
      </c>
      <c r="H3550" s="41" t="s">
        <v>1542</v>
      </c>
      <c r="I3550" s="41" t="s">
        <v>939</v>
      </c>
      <c r="J3550" s="41" t="s">
        <v>188</v>
      </c>
      <c r="K3550" s="41"/>
      <c r="L3550" s="42"/>
    </row>
    <row r="3551">
      <c r="A3551" s="18">
        <v>3550.0</v>
      </c>
      <c r="B3551" s="76" t="s">
        <v>6048</v>
      </c>
      <c r="C3551" s="46" t="s">
        <v>6077</v>
      </c>
      <c r="D3551" s="41"/>
      <c r="E3551" s="41" t="s">
        <v>401</v>
      </c>
      <c r="F3551" s="18" t="str">
        <f>IFERROR(__xludf.DUMMYFUNCTION("if(REGEXMATCH(C3551,""x.com"")=TRUE,""Twitter"",if(REGEXMATCH(C3551,""facebook"")=TRUE,""Facebook"",if(REGEXMATCH(C3551,""instagram"")=TRUE,""Instagram"",if(REGEXMATCH(C3551,""youtube"")=TRUE,""Youtube"",if(REGEXMATCH(C3551,""tiktok"")=TRUE,""Tiktok"",if("&amp;"REGEXMATCH(C3551,""threads"")=TRUE,""Threads""))))))"),"Facebook")</f>
        <v>Facebook</v>
      </c>
      <c r="G3551" s="41" t="s">
        <v>937</v>
      </c>
      <c r="H3551" s="41" t="s">
        <v>1542</v>
      </c>
      <c r="I3551" s="41" t="s">
        <v>939</v>
      </c>
      <c r="J3551" s="41" t="s">
        <v>188</v>
      </c>
      <c r="K3551" s="41"/>
      <c r="L3551" s="42"/>
    </row>
    <row r="3552">
      <c r="A3552" s="18">
        <v>3551.0</v>
      </c>
      <c r="B3552" s="76" t="s">
        <v>6048</v>
      </c>
      <c r="C3552" s="46" t="s">
        <v>6078</v>
      </c>
      <c r="D3552" s="41"/>
      <c r="E3552" s="41" t="s">
        <v>401</v>
      </c>
      <c r="F3552" s="18" t="str">
        <f>IFERROR(__xludf.DUMMYFUNCTION("if(REGEXMATCH(C3552,""x.com"")=TRUE,""Twitter"",if(REGEXMATCH(C3552,""facebook"")=TRUE,""Facebook"",if(REGEXMATCH(C3552,""instagram"")=TRUE,""Instagram"",if(REGEXMATCH(C3552,""youtube"")=TRUE,""Youtube"",if(REGEXMATCH(C3552,""tiktok"")=TRUE,""Tiktok"",if("&amp;"REGEXMATCH(C3552,""threads"")=TRUE,""Threads""))))))"),"Facebook")</f>
        <v>Facebook</v>
      </c>
      <c r="G3552" s="41" t="s">
        <v>937</v>
      </c>
      <c r="H3552" s="41" t="s">
        <v>1542</v>
      </c>
      <c r="I3552" s="41" t="s">
        <v>939</v>
      </c>
      <c r="J3552" s="41" t="s">
        <v>188</v>
      </c>
      <c r="K3552" s="41"/>
      <c r="L3552" s="42"/>
    </row>
    <row r="3553">
      <c r="A3553" s="18">
        <v>3552.0</v>
      </c>
      <c r="B3553" s="76" t="s">
        <v>6048</v>
      </c>
      <c r="C3553" s="46" t="s">
        <v>6079</v>
      </c>
      <c r="D3553" s="41"/>
      <c r="E3553" s="41" t="s">
        <v>401</v>
      </c>
      <c r="F3553" s="18" t="str">
        <f>IFERROR(__xludf.DUMMYFUNCTION("if(REGEXMATCH(C3553,""x.com"")=TRUE,""Twitter"",if(REGEXMATCH(C3553,""facebook"")=TRUE,""Facebook"",if(REGEXMATCH(C3553,""instagram"")=TRUE,""Instagram"",if(REGEXMATCH(C3553,""youtube"")=TRUE,""Youtube"",if(REGEXMATCH(C3553,""tiktok"")=TRUE,""Tiktok"",if("&amp;"REGEXMATCH(C3553,""threads"")=TRUE,""Threads""))))))"),"Facebook")</f>
        <v>Facebook</v>
      </c>
      <c r="G3553" s="41" t="s">
        <v>937</v>
      </c>
      <c r="H3553" s="41" t="s">
        <v>1542</v>
      </c>
      <c r="I3553" s="41" t="s">
        <v>939</v>
      </c>
      <c r="J3553" s="41" t="s">
        <v>188</v>
      </c>
      <c r="K3553" s="41"/>
      <c r="L3553" s="42"/>
    </row>
    <row r="3554">
      <c r="A3554" s="18">
        <v>3553.0</v>
      </c>
      <c r="B3554" s="76" t="s">
        <v>6048</v>
      </c>
      <c r="C3554" s="46" t="s">
        <v>6080</v>
      </c>
      <c r="D3554" s="41"/>
      <c r="E3554" s="41" t="s">
        <v>401</v>
      </c>
      <c r="F3554" s="18" t="str">
        <f>IFERROR(__xludf.DUMMYFUNCTION("if(REGEXMATCH(C3554,""x.com"")=TRUE,""Twitter"",if(REGEXMATCH(C3554,""facebook"")=TRUE,""Facebook"",if(REGEXMATCH(C3554,""instagram"")=TRUE,""Instagram"",if(REGEXMATCH(C3554,""youtube"")=TRUE,""Youtube"",if(REGEXMATCH(C3554,""tiktok"")=TRUE,""Tiktok"",if("&amp;"REGEXMATCH(C3554,""threads"")=TRUE,""Threads""))))))"),"Facebook")</f>
        <v>Facebook</v>
      </c>
      <c r="G3554" s="41" t="s">
        <v>937</v>
      </c>
      <c r="H3554" s="41" t="s">
        <v>1542</v>
      </c>
      <c r="I3554" s="41" t="s">
        <v>939</v>
      </c>
      <c r="J3554" s="41" t="s">
        <v>188</v>
      </c>
      <c r="K3554" s="41"/>
      <c r="L3554" s="42"/>
    </row>
    <row r="3555">
      <c r="A3555" s="18">
        <v>3554.0</v>
      </c>
      <c r="B3555" s="76" t="s">
        <v>6048</v>
      </c>
      <c r="C3555" s="46" t="s">
        <v>6081</v>
      </c>
      <c r="D3555" s="41"/>
      <c r="E3555" s="41" t="s">
        <v>401</v>
      </c>
      <c r="F3555" s="18" t="str">
        <f>IFERROR(__xludf.DUMMYFUNCTION("if(REGEXMATCH(C3555,""x.com"")=TRUE,""Twitter"",if(REGEXMATCH(C3555,""facebook"")=TRUE,""Facebook"",if(REGEXMATCH(C3555,""instagram"")=TRUE,""Instagram"",if(REGEXMATCH(C3555,""youtube"")=TRUE,""Youtube"",if(REGEXMATCH(C3555,""tiktok"")=TRUE,""Tiktok"",if("&amp;"REGEXMATCH(C3555,""threads"")=TRUE,""Threads""))))))"),"Facebook")</f>
        <v>Facebook</v>
      </c>
      <c r="G3555" s="41" t="s">
        <v>937</v>
      </c>
      <c r="H3555" s="41" t="s">
        <v>1542</v>
      </c>
      <c r="I3555" s="41" t="s">
        <v>939</v>
      </c>
      <c r="J3555" s="41" t="s">
        <v>188</v>
      </c>
      <c r="K3555" s="41"/>
      <c r="L3555" s="42"/>
    </row>
    <row r="3556">
      <c r="A3556" s="18">
        <v>3555.0</v>
      </c>
      <c r="B3556" s="76" t="s">
        <v>6048</v>
      </c>
      <c r="C3556" s="40" t="s">
        <v>6082</v>
      </c>
      <c r="D3556" s="18"/>
      <c r="E3556" s="18" t="s">
        <v>184</v>
      </c>
      <c r="F3556" s="18" t="str">
        <f>IFERROR(__xludf.DUMMYFUNCTION("if(REGEXMATCH(C3556,""x.com"")=TRUE,""Twitter"",if(REGEXMATCH(C3556,""facebook"")=TRUE,""Facebook"",if(REGEXMATCH(C3556,""instagram"")=TRUE,""Instagram"",if(REGEXMATCH(C3556,""youtube"")=TRUE,""Youtube"",if(REGEXMATCH(C3556,""tiktok"")=TRUE,""Tiktok"",if("&amp;"REGEXMATCH(C3556,""threads"")=TRUE,""Threads""))))))"),"Facebook")</f>
        <v>Facebook</v>
      </c>
      <c r="G3556" s="41" t="s">
        <v>4116</v>
      </c>
      <c r="H3556" s="18" t="s">
        <v>1974</v>
      </c>
      <c r="I3556" s="41"/>
      <c r="J3556" s="41" t="s">
        <v>188</v>
      </c>
      <c r="K3556" s="41"/>
      <c r="L3556" s="42"/>
    </row>
    <row r="3557">
      <c r="A3557" s="18">
        <v>3556.0</v>
      </c>
      <c r="B3557" s="76" t="s">
        <v>6048</v>
      </c>
      <c r="C3557" s="40" t="s">
        <v>6083</v>
      </c>
      <c r="D3557" s="18"/>
      <c r="E3557" s="18" t="s">
        <v>184</v>
      </c>
      <c r="F3557" s="18" t="str">
        <f>IFERROR(__xludf.DUMMYFUNCTION("if(REGEXMATCH(C3557,""x.com"")=TRUE,""Twitter"",if(REGEXMATCH(C3557,""facebook"")=TRUE,""Facebook"",if(REGEXMATCH(C3557,""instagram"")=TRUE,""Instagram"",if(REGEXMATCH(C3557,""youtube"")=TRUE,""Youtube"",if(REGEXMATCH(C3557,""tiktok"")=TRUE,""Tiktok"",if("&amp;"REGEXMATCH(C3557,""threads"")=TRUE,""Threads""))))))"),"Facebook")</f>
        <v>Facebook</v>
      </c>
      <c r="G3557" s="41" t="s">
        <v>4116</v>
      </c>
      <c r="H3557" s="18" t="s">
        <v>1974</v>
      </c>
      <c r="I3557" s="41"/>
      <c r="J3557" s="41" t="s">
        <v>188</v>
      </c>
      <c r="K3557" s="41"/>
      <c r="L3557" s="42"/>
    </row>
    <row r="3558">
      <c r="A3558" s="18">
        <v>3557.0</v>
      </c>
      <c r="B3558" s="76" t="s">
        <v>6084</v>
      </c>
      <c r="C3558" s="40" t="s">
        <v>6085</v>
      </c>
      <c r="D3558" s="41"/>
      <c r="E3558" s="41" t="s">
        <v>197</v>
      </c>
      <c r="F3558" s="18" t="str">
        <f>IFERROR(__xludf.DUMMYFUNCTION("if(REGEXMATCH(C3558,""x.com"")=TRUE,""Twitter"",if(REGEXMATCH(C3558,""facebook"")=TRUE,""Facebook"",if(REGEXMATCH(C3558,""instagram"")=TRUE,""Instagram"",if(REGEXMATCH(C3558,""youtube"")=TRUE,""Youtube"",if(REGEXMATCH(C3558,""tiktok"")=TRUE,""Tiktok"",if("&amp;"REGEXMATCH(C3558,""threads"")=TRUE,""Threads""))))))"),"Facebook")</f>
        <v>Facebook</v>
      </c>
      <c r="G3558" s="41" t="s">
        <v>6086</v>
      </c>
      <c r="H3558" s="41" t="s">
        <v>5876</v>
      </c>
      <c r="I3558" s="41" t="s">
        <v>535</v>
      </c>
      <c r="J3558" s="41" t="s">
        <v>188</v>
      </c>
      <c r="K3558" s="41" t="s">
        <v>1611</v>
      </c>
      <c r="L3558" s="42"/>
    </row>
    <row r="3559">
      <c r="A3559" s="18">
        <v>3558.0</v>
      </c>
      <c r="B3559" s="76" t="s">
        <v>6084</v>
      </c>
      <c r="C3559" s="40" t="s">
        <v>6087</v>
      </c>
      <c r="D3559" s="41"/>
      <c r="E3559" s="41" t="s">
        <v>197</v>
      </c>
      <c r="F3559" s="18" t="str">
        <f>IFERROR(__xludf.DUMMYFUNCTION("if(REGEXMATCH(C3559,""x.com"")=TRUE,""Twitter"",if(REGEXMATCH(C3559,""facebook"")=TRUE,""Facebook"",if(REGEXMATCH(C3559,""instagram"")=TRUE,""Instagram"",if(REGEXMATCH(C3559,""youtube"")=TRUE,""Youtube"",if(REGEXMATCH(C3559,""tiktok"")=TRUE,""Tiktok"",if("&amp;"REGEXMATCH(C3559,""threads"")=TRUE,""Threads""))))))"),"Facebook")</f>
        <v>Facebook</v>
      </c>
      <c r="G3559" s="41" t="s">
        <v>6088</v>
      </c>
      <c r="H3559" s="41" t="s">
        <v>5876</v>
      </c>
      <c r="I3559" s="41" t="s">
        <v>535</v>
      </c>
      <c r="J3559" s="41" t="s">
        <v>188</v>
      </c>
      <c r="K3559" s="41" t="s">
        <v>1611</v>
      </c>
      <c r="L3559" s="42"/>
    </row>
    <row r="3560">
      <c r="A3560" s="18">
        <v>3559.0</v>
      </c>
      <c r="B3560" s="76" t="s">
        <v>6084</v>
      </c>
      <c r="C3560" s="40" t="s">
        <v>6089</v>
      </c>
      <c r="D3560" s="41"/>
      <c r="E3560" s="41" t="s">
        <v>197</v>
      </c>
      <c r="F3560" s="18" t="str">
        <f>IFERROR(__xludf.DUMMYFUNCTION("if(REGEXMATCH(C3560,""x.com"")=TRUE,""Twitter"",if(REGEXMATCH(C3560,""facebook"")=TRUE,""Facebook"",if(REGEXMATCH(C3560,""instagram"")=TRUE,""Instagram"",if(REGEXMATCH(C3560,""youtube"")=TRUE,""Youtube"",if(REGEXMATCH(C3560,""tiktok"")=TRUE,""Tiktok"",if("&amp;"REGEXMATCH(C3560,""threads"")=TRUE,""Threads""))))))"),"Facebook")</f>
        <v>Facebook</v>
      </c>
      <c r="G3560" s="41" t="s">
        <v>6090</v>
      </c>
      <c r="H3560" s="41" t="s">
        <v>5876</v>
      </c>
      <c r="I3560" s="41" t="s">
        <v>535</v>
      </c>
      <c r="J3560" s="41" t="s">
        <v>188</v>
      </c>
      <c r="K3560" s="41" t="s">
        <v>1611</v>
      </c>
      <c r="L3560" s="42"/>
    </row>
    <row r="3561">
      <c r="A3561" s="18">
        <v>3560.0</v>
      </c>
      <c r="B3561" s="76" t="s">
        <v>6084</v>
      </c>
      <c r="C3561" s="40" t="s">
        <v>6091</v>
      </c>
      <c r="D3561" s="41"/>
      <c r="E3561" s="41" t="s">
        <v>197</v>
      </c>
      <c r="F3561" s="18" t="str">
        <f>IFERROR(__xludf.DUMMYFUNCTION("if(REGEXMATCH(C3561,""x.com"")=TRUE,""Twitter"",if(REGEXMATCH(C3561,""facebook"")=TRUE,""Facebook"",if(REGEXMATCH(C3561,""instagram"")=TRUE,""Instagram"",if(REGEXMATCH(C3561,""youtube"")=TRUE,""Youtube"",if(REGEXMATCH(C3561,""tiktok"")=TRUE,""Tiktok"",if("&amp;"REGEXMATCH(C3561,""threads"")=TRUE,""Threads""))))))"),"Facebook")</f>
        <v>Facebook</v>
      </c>
      <c r="G3561" s="41" t="s">
        <v>6092</v>
      </c>
      <c r="H3561" s="41" t="s">
        <v>5876</v>
      </c>
      <c r="I3561" s="41" t="s">
        <v>535</v>
      </c>
      <c r="J3561" s="41" t="s">
        <v>188</v>
      </c>
      <c r="K3561" s="41" t="s">
        <v>1611</v>
      </c>
      <c r="L3561" s="42"/>
    </row>
    <row r="3562">
      <c r="A3562" s="18">
        <v>3561.0</v>
      </c>
      <c r="B3562" s="76" t="s">
        <v>6084</v>
      </c>
      <c r="C3562" s="40" t="s">
        <v>6093</v>
      </c>
      <c r="D3562" s="41"/>
      <c r="E3562" s="41" t="s">
        <v>197</v>
      </c>
      <c r="F3562" s="18" t="str">
        <f>IFERROR(__xludf.DUMMYFUNCTION("if(REGEXMATCH(C3562,""x.com"")=TRUE,""Twitter"",if(REGEXMATCH(C3562,""facebook"")=TRUE,""Facebook"",if(REGEXMATCH(C3562,""instagram"")=TRUE,""Instagram"",if(REGEXMATCH(C3562,""youtube"")=TRUE,""Youtube"",if(REGEXMATCH(C3562,""tiktok"")=TRUE,""Tiktok"",if("&amp;"REGEXMATCH(C3562,""threads"")=TRUE,""Threads""))))))"),"Facebook")</f>
        <v>Facebook</v>
      </c>
      <c r="G3562" s="41" t="s">
        <v>6094</v>
      </c>
      <c r="H3562" s="41" t="s">
        <v>5876</v>
      </c>
      <c r="I3562" s="41" t="s">
        <v>535</v>
      </c>
      <c r="J3562" s="41" t="s">
        <v>188</v>
      </c>
      <c r="K3562" s="41" t="s">
        <v>1611</v>
      </c>
      <c r="L3562" s="42"/>
    </row>
    <row r="3563">
      <c r="A3563" s="18">
        <v>3562.0</v>
      </c>
      <c r="B3563" s="76" t="s">
        <v>6084</v>
      </c>
      <c r="C3563" s="40" t="s">
        <v>6095</v>
      </c>
      <c r="D3563" s="41"/>
      <c r="E3563" s="41" t="s">
        <v>197</v>
      </c>
      <c r="F3563" s="18" t="str">
        <f>IFERROR(__xludf.DUMMYFUNCTION("if(REGEXMATCH(C3563,""x.com"")=TRUE,""Twitter"",if(REGEXMATCH(C3563,""facebook"")=TRUE,""Facebook"",if(REGEXMATCH(C3563,""instagram"")=TRUE,""Instagram"",if(REGEXMATCH(C3563,""youtube"")=TRUE,""Youtube"",if(REGEXMATCH(C3563,""tiktok"")=TRUE,""Tiktok"",if("&amp;"REGEXMATCH(C3563,""threads"")=TRUE,""Threads""))))))"),"Facebook")</f>
        <v>Facebook</v>
      </c>
      <c r="G3563" s="41" t="s">
        <v>6096</v>
      </c>
      <c r="H3563" s="41" t="s">
        <v>5876</v>
      </c>
      <c r="I3563" s="41" t="s">
        <v>535</v>
      </c>
      <c r="J3563" s="41" t="s">
        <v>188</v>
      </c>
      <c r="K3563" s="41" t="s">
        <v>1611</v>
      </c>
      <c r="L3563" s="42"/>
    </row>
    <row r="3564">
      <c r="A3564" s="18">
        <v>3563.0</v>
      </c>
      <c r="B3564" s="76" t="s">
        <v>6084</v>
      </c>
      <c r="C3564" s="40" t="s">
        <v>6097</v>
      </c>
      <c r="D3564" s="41"/>
      <c r="E3564" s="41" t="s">
        <v>197</v>
      </c>
      <c r="F3564" s="18" t="str">
        <f>IFERROR(__xludf.DUMMYFUNCTION("if(REGEXMATCH(C3564,""x.com"")=TRUE,""Twitter"",if(REGEXMATCH(C3564,""facebook"")=TRUE,""Facebook"",if(REGEXMATCH(C3564,""instagram"")=TRUE,""Instagram"",if(REGEXMATCH(C3564,""youtube"")=TRUE,""Youtube"",if(REGEXMATCH(C3564,""tiktok"")=TRUE,""Tiktok"",if("&amp;"REGEXMATCH(C3564,""threads"")=TRUE,""Threads""))))))"),"Facebook")</f>
        <v>Facebook</v>
      </c>
      <c r="G3564" s="41" t="s">
        <v>6098</v>
      </c>
      <c r="H3564" s="41" t="s">
        <v>5876</v>
      </c>
      <c r="I3564" s="41" t="s">
        <v>535</v>
      </c>
      <c r="J3564" s="41" t="s">
        <v>188</v>
      </c>
      <c r="K3564" s="41" t="s">
        <v>1611</v>
      </c>
      <c r="L3564" s="42"/>
    </row>
    <row r="3565">
      <c r="A3565" s="18">
        <v>3564.0</v>
      </c>
      <c r="B3565" s="76" t="s">
        <v>6084</v>
      </c>
      <c r="C3565" s="40" t="s">
        <v>6099</v>
      </c>
      <c r="D3565" s="41"/>
      <c r="E3565" s="41" t="s">
        <v>197</v>
      </c>
      <c r="F3565" s="18" t="str">
        <f>IFERROR(__xludf.DUMMYFUNCTION("if(REGEXMATCH(C3565,""x.com"")=TRUE,""Twitter"",if(REGEXMATCH(C3565,""facebook"")=TRUE,""Facebook"",if(REGEXMATCH(C3565,""instagram"")=TRUE,""Instagram"",if(REGEXMATCH(C3565,""youtube"")=TRUE,""Youtube"",if(REGEXMATCH(C3565,""tiktok"")=TRUE,""Tiktok"",if("&amp;"REGEXMATCH(C3565,""threads"")=TRUE,""Threads""))))))"),"Facebook")</f>
        <v>Facebook</v>
      </c>
      <c r="G3565" s="41" t="s">
        <v>6100</v>
      </c>
      <c r="H3565" s="41" t="s">
        <v>5876</v>
      </c>
      <c r="I3565" s="41" t="s">
        <v>535</v>
      </c>
      <c r="J3565" s="41" t="s">
        <v>188</v>
      </c>
      <c r="K3565" s="41" t="s">
        <v>1611</v>
      </c>
      <c r="L3565" s="42"/>
    </row>
    <row r="3566">
      <c r="A3566" s="18">
        <v>3565.0</v>
      </c>
      <c r="B3566" s="76" t="s">
        <v>6084</v>
      </c>
      <c r="C3566" s="40" t="s">
        <v>6101</v>
      </c>
      <c r="D3566" s="41"/>
      <c r="E3566" s="41" t="s">
        <v>197</v>
      </c>
      <c r="F3566" s="18" t="str">
        <f>IFERROR(__xludf.DUMMYFUNCTION("if(REGEXMATCH(C3566,""x.com"")=TRUE,""Twitter"",if(REGEXMATCH(C3566,""facebook"")=TRUE,""Facebook"",if(REGEXMATCH(C3566,""instagram"")=TRUE,""Instagram"",if(REGEXMATCH(C3566,""youtube"")=TRUE,""Youtube"",if(REGEXMATCH(C3566,""tiktok"")=TRUE,""Tiktok"",if("&amp;"REGEXMATCH(C3566,""threads"")=TRUE,""Threads""))))))"),"Facebook")</f>
        <v>Facebook</v>
      </c>
      <c r="G3566" s="41" t="s">
        <v>6102</v>
      </c>
      <c r="H3566" s="41" t="s">
        <v>5876</v>
      </c>
      <c r="I3566" s="41" t="s">
        <v>535</v>
      </c>
      <c r="J3566" s="41" t="s">
        <v>188</v>
      </c>
      <c r="K3566" s="41"/>
      <c r="L3566" s="42"/>
    </row>
    <row r="3567">
      <c r="A3567" s="18">
        <v>3566.0</v>
      </c>
      <c r="B3567" s="76" t="s">
        <v>6084</v>
      </c>
      <c r="C3567" s="40" t="s">
        <v>6103</v>
      </c>
      <c r="D3567" s="41"/>
      <c r="E3567" s="41" t="s">
        <v>557</v>
      </c>
      <c r="F3567" s="18" t="str">
        <f>IFERROR(__xludf.DUMMYFUNCTION("if(REGEXMATCH(C3567,""x.com"")=TRUE,""Twitter"",if(REGEXMATCH(C3567,""facebook"")=TRUE,""Facebook"",if(REGEXMATCH(C3567,""instagram"")=TRUE,""Instagram"",if(REGEXMATCH(C3567,""youtube"")=TRUE,""Youtube"",if(REGEXMATCH(C3567,""tiktok"")=TRUE,""Tiktok"",if("&amp;"REGEXMATCH(C3567,""threads"")=TRUE,""Threads""))))))"),"Facebook")</f>
        <v>Facebook</v>
      </c>
      <c r="G3567" s="41" t="s">
        <v>6104</v>
      </c>
      <c r="H3567" s="41" t="s">
        <v>5876</v>
      </c>
      <c r="I3567" s="41" t="s">
        <v>535</v>
      </c>
      <c r="J3567" s="41" t="s">
        <v>188</v>
      </c>
      <c r="K3567" s="41"/>
      <c r="L3567" s="42"/>
    </row>
    <row r="3568">
      <c r="A3568" s="18">
        <v>3567.0</v>
      </c>
      <c r="B3568" s="76" t="s">
        <v>6084</v>
      </c>
      <c r="C3568" s="40" t="s">
        <v>6105</v>
      </c>
      <c r="D3568" s="41"/>
      <c r="E3568" s="41" t="s">
        <v>197</v>
      </c>
      <c r="F3568" s="18" t="str">
        <f>IFERROR(__xludf.DUMMYFUNCTION("if(REGEXMATCH(C3568,""x.com"")=TRUE,""Twitter"",if(REGEXMATCH(C3568,""facebook"")=TRUE,""Facebook"",if(REGEXMATCH(C3568,""instagram"")=TRUE,""Instagram"",if(REGEXMATCH(C3568,""youtube"")=TRUE,""Youtube"",if(REGEXMATCH(C3568,""tiktok"")=TRUE,""Tiktok"",if("&amp;"REGEXMATCH(C3568,""threads"")=TRUE,""Threads""))))))"),"Twitter")</f>
        <v>Twitter</v>
      </c>
      <c r="G3568" s="41" t="s">
        <v>6106</v>
      </c>
      <c r="H3568" s="41" t="s">
        <v>5876</v>
      </c>
      <c r="I3568" s="41" t="s">
        <v>535</v>
      </c>
      <c r="J3568" s="41" t="s">
        <v>422</v>
      </c>
      <c r="K3568" s="41" t="s">
        <v>6107</v>
      </c>
      <c r="L3568" s="42"/>
    </row>
    <row r="3569">
      <c r="A3569" s="18">
        <v>3568.0</v>
      </c>
      <c r="B3569" s="76" t="s">
        <v>6084</v>
      </c>
      <c r="C3569" s="40" t="s">
        <v>6108</v>
      </c>
      <c r="D3569" s="41"/>
      <c r="E3569" s="41" t="s">
        <v>197</v>
      </c>
      <c r="F3569" s="18" t="str">
        <f>IFERROR(__xludf.DUMMYFUNCTION("if(REGEXMATCH(C3569,""x.com"")=TRUE,""Twitter"",if(REGEXMATCH(C3569,""facebook"")=TRUE,""Facebook"",if(REGEXMATCH(C3569,""instagram"")=TRUE,""Instagram"",if(REGEXMATCH(C3569,""youtube"")=TRUE,""Youtube"",if(REGEXMATCH(C3569,""tiktok"")=TRUE,""Tiktok"",if("&amp;"REGEXMATCH(C3569,""threads"")=TRUE,""Threads""))))))"),"Twitter")</f>
        <v>Twitter</v>
      </c>
      <c r="G3569" s="41" t="s">
        <v>6106</v>
      </c>
      <c r="H3569" s="41" t="s">
        <v>5876</v>
      </c>
      <c r="I3569" s="41" t="s">
        <v>535</v>
      </c>
      <c r="J3569" s="41" t="s">
        <v>188</v>
      </c>
      <c r="K3569" s="41"/>
      <c r="L3569" s="42"/>
    </row>
    <row r="3570">
      <c r="A3570" s="18">
        <v>3569.0</v>
      </c>
      <c r="B3570" s="76" t="s">
        <v>6084</v>
      </c>
      <c r="C3570" s="40" t="s">
        <v>6109</v>
      </c>
      <c r="D3570" s="18"/>
      <c r="E3570" s="18" t="s">
        <v>184</v>
      </c>
      <c r="F3570" s="18" t="str">
        <f>IFERROR(__xludf.DUMMYFUNCTION("if(REGEXMATCH(C3570,""x.com"")=TRUE,""Twitter"",if(REGEXMATCH(C3570,""facebook"")=TRUE,""Facebook"",if(REGEXMATCH(C3570,""instagram"")=TRUE,""Instagram"",if(REGEXMATCH(C3570,""youtube"")=TRUE,""Youtube"",if(REGEXMATCH(C3570,""tiktok"")=TRUE,""Tiktok"",if("&amp;"REGEXMATCH(C3570,""threads"")=TRUE,""Threads""))))))"),"Facebook")</f>
        <v>Facebook</v>
      </c>
      <c r="G3570" s="41" t="s">
        <v>4116</v>
      </c>
      <c r="H3570" s="18" t="s">
        <v>1974</v>
      </c>
      <c r="I3570" s="41"/>
      <c r="J3570" s="41" t="s">
        <v>188</v>
      </c>
      <c r="K3570" s="41"/>
      <c r="L3570" s="42"/>
    </row>
    <row r="3571">
      <c r="A3571" s="18">
        <v>3570.0</v>
      </c>
      <c r="B3571" s="76" t="s">
        <v>6084</v>
      </c>
      <c r="C3571" s="40" t="s">
        <v>6110</v>
      </c>
      <c r="D3571" s="18"/>
      <c r="E3571" s="18" t="s">
        <v>184</v>
      </c>
      <c r="F3571" s="18" t="str">
        <f>IFERROR(__xludf.DUMMYFUNCTION("if(REGEXMATCH(C3571,""x.com"")=TRUE,""Twitter"",if(REGEXMATCH(C3571,""facebook"")=TRUE,""Facebook"",if(REGEXMATCH(C3571,""instagram"")=TRUE,""Instagram"",if(REGEXMATCH(C3571,""youtube"")=TRUE,""Youtube"",if(REGEXMATCH(C3571,""tiktok"")=TRUE,""Tiktok"",if("&amp;"REGEXMATCH(C3571,""threads"")=TRUE,""Threads""))))))"),"Facebook")</f>
        <v>Facebook</v>
      </c>
      <c r="G3571" s="41" t="s">
        <v>4116</v>
      </c>
      <c r="H3571" s="18" t="s">
        <v>1974</v>
      </c>
      <c r="I3571" s="41"/>
      <c r="J3571" s="41" t="s">
        <v>188</v>
      </c>
      <c r="K3571" s="41"/>
      <c r="L3571" s="42"/>
    </row>
    <row r="3572">
      <c r="A3572" s="18">
        <v>3571.0</v>
      </c>
      <c r="B3572" s="76" t="s">
        <v>6111</v>
      </c>
      <c r="C3572" s="40" t="s">
        <v>6112</v>
      </c>
      <c r="D3572" s="41"/>
      <c r="E3572" s="41" t="s">
        <v>557</v>
      </c>
      <c r="F3572" s="18" t="str">
        <f>IFERROR(__xludf.DUMMYFUNCTION("if(REGEXMATCH(C3572,""x.com"")=TRUE,""Twitter"",if(REGEXMATCH(C3572,""facebook"")=TRUE,""Facebook"",if(REGEXMATCH(C3572,""instagram"")=TRUE,""Instagram"",if(REGEXMATCH(C3572,""youtube"")=TRUE,""Youtube"",if(REGEXMATCH(C3572,""tiktok"")=TRUE,""Tiktok"",if("&amp;"REGEXMATCH(C3572,""threads"")=TRUE,""Threads""))))))"),"Facebook")</f>
        <v>Facebook</v>
      </c>
      <c r="G3572" s="41" t="s">
        <v>6113</v>
      </c>
      <c r="H3572" s="41" t="s">
        <v>779</v>
      </c>
      <c r="I3572" s="41" t="s">
        <v>535</v>
      </c>
      <c r="J3572" s="41" t="s">
        <v>188</v>
      </c>
      <c r="K3572" s="41" t="s">
        <v>1611</v>
      </c>
      <c r="L3572" s="42"/>
    </row>
    <row r="3573">
      <c r="A3573" s="18">
        <v>3572.0</v>
      </c>
      <c r="B3573" s="76" t="s">
        <v>6111</v>
      </c>
      <c r="C3573" s="40" t="s">
        <v>6114</v>
      </c>
      <c r="D3573" s="41"/>
      <c r="E3573" s="41" t="s">
        <v>557</v>
      </c>
      <c r="F3573" s="18" t="str">
        <f>IFERROR(__xludf.DUMMYFUNCTION("if(REGEXMATCH(C3573,""x.com"")=TRUE,""Twitter"",if(REGEXMATCH(C3573,""facebook"")=TRUE,""Facebook"",if(REGEXMATCH(C3573,""instagram"")=TRUE,""Instagram"",if(REGEXMATCH(C3573,""youtube"")=TRUE,""Youtube"",if(REGEXMATCH(C3573,""tiktok"")=TRUE,""Tiktok"",if("&amp;"REGEXMATCH(C3573,""threads"")=TRUE,""Threads""))))))"),"Facebook")</f>
        <v>Facebook</v>
      </c>
      <c r="G3573" s="41" t="s">
        <v>6115</v>
      </c>
      <c r="H3573" s="41" t="s">
        <v>779</v>
      </c>
      <c r="I3573" s="41" t="s">
        <v>535</v>
      </c>
      <c r="J3573" s="41" t="s">
        <v>188</v>
      </c>
      <c r="K3573" s="41" t="s">
        <v>1611</v>
      </c>
      <c r="L3573" s="42"/>
    </row>
    <row r="3574">
      <c r="A3574" s="18">
        <v>3573.0</v>
      </c>
      <c r="B3574" s="76" t="s">
        <v>6111</v>
      </c>
      <c r="C3574" s="40" t="s">
        <v>6116</v>
      </c>
      <c r="D3574" s="41"/>
      <c r="E3574" s="41" t="s">
        <v>557</v>
      </c>
      <c r="F3574" s="18" t="str">
        <f>IFERROR(__xludf.DUMMYFUNCTION("if(REGEXMATCH(C3574,""x.com"")=TRUE,""Twitter"",if(REGEXMATCH(C3574,""facebook"")=TRUE,""Facebook"",if(REGEXMATCH(C3574,""instagram"")=TRUE,""Instagram"",if(REGEXMATCH(C3574,""youtube"")=TRUE,""Youtube"",if(REGEXMATCH(C3574,""tiktok"")=TRUE,""Tiktok"",if("&amp;"REGEXMATCH(C3574,""threads"")=TRUE,""Threads""))))))"),"Facebook")</f>
        <v>Facebook</v>
      </c>
      <c r="G3574" s="41" t="s">
        <v>6115</v>
      </c>
      <c r="H3574" s="41" t="s">
        <v>779</v>
      </c>
      <c r="I3574" s="41" t="s">
        <v>535</v>
      </c>
      <c r="J3574" s="41" t="s">
        <v>188</v>
      </c>
      <c r="K3574" s="41" t="s">
        <v>1611</v>
      </c>
      <c r="L3574" s="42"/>
    </row>
    <row r="3575">
      <c r="A3575" s="18">
        <v>3574.0</v>
      </c>
      <c r="B3575" s="76" t="s">
        <v>6111</v>
      </c>
      <c r="C3575" s="40" t="s">
        <v>6117</v>
      </c>
      <c r="D3575" s="41"/>
      <c r="E3575" s="41" t="s">
        <v>197</v>
      </c>
      <c r="F3575" s="18" t="str">
        <f>IFERROR(__xludf.DUMMYFUNCTION("if(REGEXMATCH(C3575,""x.com"")=TRUE,""Twitter"",if(REGEXMATCH(C3575,""facebook"")=TRUE,""Facebook"",if(REGEXMATCH(C3575,""instagram"")=TRUE,""Instagram"",if(REGEXMATCH(C3575,""youtube"")=TRUE,""Youtube"",if(REGEXMATCH(C3575,""tiktok"")=TRUE,""Tiktok"",if("&amp;"REGEXMATCH(C3575,""threads"")=TRUE,""Threads""))))))"),"Twitter")</f>
        <v>Twitter</v>
      </c>
      <c r="G3575" s="41" t="s">
        <v>6118</v>
      </c>
      <c r="H3575" s="41" t="s">
        <v>779</v>
      </c>
      <c r="I3575" s="41" t="s">
        <v>535</v>
      </c>
      <c r="J3575" s="41" t="s">
        <v>188</v>
      </c>
      <c r="K3575" s="41" t="s">
        <v>1611</v>
      </c>
      <c r="L3575" s="42"/>
    </row>
    <row r="3576">
      <c r="A3576" s="18">
        <v>3575.0</v>
      </c>
      <c r="B3576" s="76" t="s">
        <v>6111</v>
      </c>
      <c r="C3576" s="40" t="s">
        <v>6119</v>
      </c>
      <c r="D3576" s="41"/>
      <c r="E3576" s="41" t="s">
        <v>197</v>
      </c>
      <c r="F3576" s="18" t="str">
        <f>IFERROR(__xludf.DUMMYFUNCTION("if(REGEXMATCH(C3576,""x.com"")=TRUE,""Twitter"",if(REGEXMATCH(C3576,""facebook"")=TRUE,""Facebook"",if(REGEXMATCH(C3576,""instagram"")=TRUE,""Instagram"",if(REGEXMATCH(C3576,""youtube"")=TRUE,""Youtube"",if(REGEXMATCH(C3576,""tiktok"")=TRUE,""Tiktok"",if("&amp;"REGEXMATCH(C3576,""threads"")=TRUE,""Threads""))))))"),"Twitter")</f>
        <v>Twitter</v>
      </c>
      <c r="G3576" s="41" t="s">
        <v>6120</v>
      </c>
      <c r="H3576" s="41" t="s">
        <v>779</v>
      </c>
      <c r="I3576" s="41" t="s">
        <v>535</v>
      </c>
      <c r="J3576" s="41" t="s">
        <v>188</v>
      </c>
      <c r="K3576" s="41" t="s">
        <v>1611</v>
      </c>
      <c r="L3576" s="42"/>
    </row>
    <row r="3577">
      <c r="A3577" s="18">
        <v>3576.0</v>
      </c>
      <c r="B3577" s="76" t="s">
        <v>6111</v>
      </c>
      <c r="C3577" s="40" t="s">
        <v>6121</v>
      </c>
      <c r="D3577" s="41"/>
      <c r="E3577" s="41" t="s">
        <v>197</v>
      </c>
      <c r="F3577" s="18" t="str">
        <f>IFERROR(__xludf.DUMMYFUNCTION("if(REGEXMATCH(C3577,""x.com"")=TRUE,""Twitter"",if(REGEXMATCH(C3577,""facebook"")=TRUE,""Facebook"",if(REGEXMATCH(C3577,""instagram"")=TRUE,""Instagram"",if(REGEXMATCH(C3577,""youtube"")=TRUE,""Youtube"",if(REGEXMATCH(C3577,""tiktok"")=TRUE,""Tiktok"",if("&amp;"REGEXMATCH(C3577,""threads"")=TRUE,""Threads""))))))"),"Twitter")</f>
        <v>Twitter</v>
      </c>
      <c r="G3577" s="41" t="s">
        <v>6122</v>
      </c>
      <c r="H3577" s="41" t="s">
        <v>779</v>
      </c>
      <c r="I3577" s="41" t="s">
        <v>535</v>
      </c>
      <c r="J3577" s="41" t="s">
        <v>188</v>
      </c>
      <c r="K3577" s="41" t="s">
        <v>1611</v>
      </c>
      <c r="L3577" s="42"/>
    </row>
    <row r="3578">
      <c r="A3578" s="18">
        <v>3577.0</v>
      </c>
      <c r="B3578" s="76" t="s">
        <v>6111</v>
      </c>
      <c r="C3578" s="40" t="s">
        <v>6123</v>
      </c>
      <c r="D3578" s="41"/>
      <c r="E3578" s="41" t="s">
        <v>557</v>
      </c>
      <c r="F3578" s="18" t="str">
        <f>IFERROR(__xludf.DUMMYFUNCTION("if(REGEXMATCH(C3578,""x.com"")=TRUE,""Twitter"",if(REGEXMATCH(C3578,""facebook"")=TRUE,""Facebook"",if(REGEXMATCH(C3578,""instagram"")=TRUE,""Instagram"",if(REGEXMATCH(C3578,""youtube"")=TRUE,""Youtube"",if(REGEXMATCH(C3578,""tiktok"")=TRUE,""Tiktok"",if("&amp;"REGEXMATCH(C3578,""threads"")=TRUE,""Threads""))))))"),"Twitter")</f>
        <v>Twitter</v>
      </c>
      <c r="G3578" s="41" t="s">
        <v>6124</v>
      </c>
      <c r="H3578" s="41" t="s">
        <v>779</v>
      </c>
      <c r="I3578" s="41" t="s">
        <v>535</v>
      </c>
      <c r="J3578" s="41" t="s">
        <v>188</v>
      </c>
      <c r="K3578" s="41" t="s">
        <v>1611</v>
      </c>
      <c r="L3578" s="42"/>
    </row>
    <row r="3579">
      <c r="A3579" s="18">
        <v>3578.0</v>
      </c>
      <c r="B3579" s="76" t="s">
        <v>6111</v>
      </c>
      <c r="C3579" s="40" t="s">
        <v>6125</v>
      </c>
      <c r="D3579" s="41"/>
      <c r="E3579" s="41" t="s">
        <v>557</v>
      </c>
      <c r="F3579" s="18" t="str">
        <f>IFERROR(__xludf.DUMMYFUNCTION("if(REGEXMATCH(C3579,""x.com"")=TRUE,""Twitter"",if(REGEXMATCH(C3579,""facebook"")=TRUE,""Facebook"",if(REGEXMATCH(C3579,""instagram"")=TRUE,""Instagram"",if(REGEXMATCH(C3579,""youtube"")=TRUE,""Youtube"",if(REGEXMATCH(C3579,""tiktok"")=TRUE,""Tiktok"",if("&amp;"REGEXMATCH(C3579,""threads"")=TRUE,""Threads""))))))"),"Twitter")</f>
        <v>Twitter</v>
      </c>
      <c r="G3579" s="41" t="s">
        <v>6126</v>
      </c>
      <c r="H3579" s="41" t="s">
        <v>779</v>
      </c>
      <c r="I3579" s="41" t="s">
        <v>535</v>
      </c>
      <c r="J3579" s="41" t="s">
        <v>188</v>
      </c>
      <c r="K3579" s="41" t="s">
        <v>1611</v>
      </c>
      <c r="L3579" s="42"/>
    </row>
    <row r="3580">
      <c r="A3580" s="18">
        <v>3579.0</v>
      </c>
      <c r="B3580" s="76" t="s">
        <v>6111</v>
      </c>
      <c r="C3580" s="40" t="s">
        <v>6127</v>
      </c>
      <c r="D3580" s="41"/>
      <c r="E3580" s="41" t="s">
        <v>557</v>
      </c>
      <c r="F3580" s="18" t="str">
        <f>IFERROR(__xludf.DUMMYFUNCTION("if(REGEXMATCH(C3580,""x.com"")=TRUE,""Twitter"",if(REGEXMATCH(C3580,""facebook"")=TRUE,""Facebook"",if(REGEXMATCH(C3580,""instagram"")=TRUE,""Instagram"",if(REGEXMATCH(C3580,""youtube"")=TRUE,""Youtube"",if(REGEXMATCH(C3580,""tiktok"")=TRUE,""Tiktok"",if("&amp;"REGEXMATCH(C3580,""threads"")=TRUE,""Threads""))))))"),"Facebook")</f>
        <v>Facebook</v>
      </c>
      <c r="G3580" s="41" t="s">
        <v>6128</v>
      </c>
      <c r="H3580" s="41" t="s">
        <v>779</v>
      </c>
      <c r="I3580" s="41" t="s">
        <v>535</v>
      </c>
      <c r="J3580" s="41" t="s">
        <v>188</v>
      </c>
      <c r="K3580" s="41"/>
      <c r="L3580" s="42"/>
    </row>
    <row r="3581">
      <c r="A3581" s="18">
        <v>3580.0</v>
      </c>
      <c r="B3581" s="76" t="s">
        <v>6111</v>
      </c>
      <c r="C3581" s="40" t="s">
        <v>6129</v>
      </c>
      <c r="D3581" s="41"/>
      <c r="E3581" s="41" t="s">
        <v>557</v>
      </c>
      <c r="F3581" s="18" t="str">
        <f>IFERROR(__xludf.DUMMYFUNCTION("if(REGEXMATCH(C3581,""x.com"")=TRUE,""Twitter"",if(REGEXMATCH(C3581,""facebook"")=TRUE,""Facebook"",if(REGEXMATCH(C3581,""instagram"")=TRUE,""Instagram"",if(REGEXMATCH(C3581,""youtube"")=TRUE,""Youtube"",if(REGEXMATCH(C3581,""tiktok"")=TRUE,""Tiktok"",if("&amp;"REGEXMATCH(C3581,""threads"")=TRUE,""Threads""))))))"),"Facebook")</f>
        <v>Facebook</v>
      </c>
      <c r="G3581" s="41" t="s">
        <v>6130</v>
      </c>
      <c r="H3581" s="41" t="s">
        <v>779</v>
      </c>
      <c r="I3581" s="41" t="s">
        <v>535</v>
      </c>
      <c r="J3581" s="41" t="s">
        <v>188</v>
      </c>
      <c r="K3581" s="41"/>
      <c r="L3581" s="42"/>
    </row>
    <row r="3582">
      <c r="A3582" s="18">
        <v>3581.0</v>
      </c>
      <c r="B3582" s="76" t="s">
        <v>6111</v>
      </c>
      <c r="C3582" s="40" t="s">
        <v>6131</v>
      </c>
      <c r="D3582" s="41"/>
      <c r="E3582" s="41" t="s">
        <v>197</v>
      </c>
      <c r="F3582" s="18" t="str">
        <f>IFERROR(__xludf.DUMMYFUNCTION("if(REGEXMATCH(C3582,""x.com"")=TRUE,""Twitter"",if(REGEXMATCH(C3582,""facebook"")=TRUE,""Facebook"",if(REGEXMATCH(C3582,""instagram"")=TRUE,""Instagram"",if(REGEXMATCH(C3582,""youtube"")=TRUE,""Youtube"",if(REGEXMATCH(C3582,""tiktok"")=TRUE,""Tiktok"",if("&amp;"REGEXMATCH(C3582,""threads"")=TRUE,""Threads""))))))"),"Facebook")</f>
        <v>Facebook</v>
      </c>
      <c r="G3582" s="41" t="s">
        <v>6132</v>
      </c>
      <c r="H3582" s="41" t="s">
        <v>779</v>
      </c>
      <c r="I3582" s="41" t="s">
        <v>535</v>
      </c>
      <c r="J3582" s="41" t="s">
        <v>188</v>
      </c>
      <c r="K3582" s="41"/>
      <c r="L3582" s="42"/>
    </row>
    <row r="3583">
      <c r="A3583" s="18">
        <v>3582.0</v>
      </c>
      <c r="B3583" s="76" t="s">
        <v>6111</v>
      </c>
      <c r="C3583" s="40" t="s">
        <v>6133</v>
      </c>
      <c r="D3583" s="41"/>
      <c r="E3583" s="41" t="s">
        <v>197</v>
      </c>
      <c r="F3583" s="18" t="str">
        <f>IFERROR(__xludf.DUMMYFUNCTION("if(REGEXMATCH(C3583,""x.com"")=TRUE,""Twitter"",if(REGEXMATCH(C3583,""facebook"")=TRUE,""Facebook"",if(REGEXMATCH(C3583,""instagram"")=TRUE,""Instagram"",if(REGEXMATCH(C3583,""youtube"")=TRUE,""Youtube"",if(REGEXMATCH(C3583,""tiktok"")=TRUE,""Tiktok"",if("&amp;"REGEXMATCH(C3583,""threads"")=TRUE,""Threads""))))))"),"Facebook")</f>
        <v>Facebook</v>
      </c>
      <c r="G3583" s="41" t="s">
        <v>6134</v>
      </c>
      <c r="H3583" s="41" t="s">
        <v>779</v>
      </c>
      <c r="I3583" s="41" t="s">
        <v>535</v>
      </c>
      <c r="J3583" s="41" t="s">
        <v>188</v>
      </c>
      <c r="K3583" s="41"/>
      <c r="L3583" s="42"/>
    </row>
    <row r="3584">
      <c r="A3584" s="18">
        <v>3583.0</v>
      </c>
      <c r="B3584" s="76" t="s">
        <v>6111</v>
      </c>
      <c r="C3584" s="54" t="s">
        <v>6135</v>
      </c>
      <c r="D3584" s="41"/>
      <c r="E3584" s="18" t="s">
        <v>184</v>
      </c>
      <c r="F3584" s="18" t="str">
        <f>IFERROR(__xludf.DUMMYFUNCTION("if(REGEXMATCH(C3584,""x.com"")=TRUE,""Twitter"",if(REGEXMATCH(C3584,""facebook"")=TRUE,""Facebook"",if(REGEXMATCH(C3584,""instagram"")=TRUE,""Instagram"",if(REGEXMATCH(C3584,""youtube"")=TRUE,""Youtube"",if(REGEXMATCH(C3584,""tiktok"")=TRUE,""Tiktok"",if("&amp;"REGEXMATCH(C3584,""threads"")=TRUE,""Threads""))))))"),"Facebook")</f>
        <v>Facebook</v>
      </c>
      <c r="G3584" s="41" t="s">
        <v>4116</v>
      </c>
      <c r="H3584" s="18" t="s">
        <v>1974</v>
      </c>
      <c r="I3584" s="41"/>
      <c r="J3584" s="41" t="s">
        <v>188</v>
      </c>
      <c r="K3584" s="41"/>
      <c r="L3584" s="42"/>
    </row>
    <row r="3585">
      <c r="A3585" s="18">
        <v>3584.0</v>
      </c>
      <c r="B3585" s="76" t="s">
        <v>6111</v>
      </c>
      <c r="C3585" s="54" t="s">
        <v>6136</v>
      </c>
      <c r="D3585" s="41"/>
      <c r="E3585" s="18" t="s">
        <v>184</v>
      </c>
      <c r="F3585" s="18" t="str">
        <f>IFERROR(__xludf.DUMMYFUNCTION("if(REGEXMATCH(C3585,""x.com"")=TRUE,""Twitter"",if(REGEXMATCH(C3585,""facebook"")=TRUE,""Facebook"",if(REGEXMATCH(C3585,""instagram"")=TRUE,""Instagram"",if(REGEXMATCH(C3585,""youtube"")=TRUE,""Youtube"",if(REGEXMATCH(C3585,""tiktok"")=TRUE,""Tiktok"",if("&amp;"REGEXMATCH(C3585,""threads"")=TRUE,""Threads""))))))"),"Facebook")</f>
        <v>Facebook</v>
      </c>
      <c r="G3585" s="41" t="s">
        <v>4116</v>
      </c>
      <c r="H3585" s="18" t="s">
        <v>1974</v>
      </c>
      <c r="I3585" s="41"/>
      <c r="J3585" s="41" t="s">
        <v>188</v>
      </c>
      <c r="K3585" s="41"/>
      <c r="L3585" s="42"/>
    </row>
    <row r="3586">
      <c r="A3586" s="18">
        <v>3585.0</v>
      </c>
      <c r="B3586" s="76" t="s">
        <v>6137</v>
      </c>
      <c r="C3586" s="54" t="s">
        <v>6138</v>
      </c>
      <c r="D3586" s="41"/>
      <c r="E3586" s="41" t="s">
        <v>4994</v>
      </c>
      <c r="F3586" s="18" t="str">
        <f>IFERROR(__xludf.DUMMYFUNCTION("if(REGEXMATCH(C3586,""x.com"")=TRUE,""Twitter"",if(REGEXMATCH(C3586,""facebook"")=TRUE,""Facebook"",if(REGEXMATCH(C3586,""instagram"")=TRUE,""Instagram"",if(REGEXMATCH(C3586,""youtube"")=TRUE,""Youtube"",if(REGEXMATCH(C3586,""tiktok"")=TRUE,""Tiktok"",if("&amp;"REGEXMATCH(C3586,""threads"")=TRUE,""Threads""))))))"),"Tiktok")</f>
        <v>Tiktok</v>
      </c>
      <c r="G3586" s="41" t="s">
        <v>6139</v>
      </c>
      <c r="H3586" s="41" t="s">
        <v>779</v>
      </c>
      <c r="I3586" s="41" t="s">
        <v>535</v>
      </c>
      <c r="J3586" s="41" t="s">
        <v>188</v>
      </c>
      <c r="K3586" s="41"/>
      <c r="L3586" s="41" t="s">
        <v>686</v>
      </c>
    </row>
    <row r="3587">
      <c r="A3587" s="18">
        <v>3586.0</v>
      </c>
      <c r="B3587" s="76" t="s">
        <v>6137</v>
      </c>
      <c r="C3587" s="54" t="s">
        <v>6140</v>
      </c>
      <c r="D3587" s="41"/>
      <c r="E3587" s="41" t="s">
        <v>372</v>
      </c>
      <c r="F3587" s="18" t="str">
        <f>IFERROR(__xludf.DUMMYFUNCTION("if(REGEXMATCH(C3587,""x.com"")=TRUE,""Twitter"",if(REGEXMATCH(C3587,""facebook"")=TRUE,""Facebook"",if(REGEXMATCH(C3587,""instagram"")=TRUE,""Instagram"",if(REGEXMATCH(C3587,""youtube"")=TRUE,""Youtube"",if(REGEXMATCH(C3587,""tiktok"")=TRUE,""Tiktok"",if("&amp;"REGEXMATCH(C3587,""threads"")=TRUE,""Threads""))))))"),"Tiktok")</f>
        <v>Tiktok</v>
      </c>
      <c r="G3587" s="41" t="s">
        <v>6141</v>
      </c>
      <c r="H3587" s="41" t="s">
        <v>779</v>
      </c>
      <c r="I3587" s="41" t="s">
        <v>535</v>
      </c>
      <c r="J3587" s="41" t="s">
        <v>188</v>
      </c>
      <c r="K3587" s="41"/>
      <c r="L3587" s="41" t="s">
        <v>686</v>
      </c>
    </row>
    <row r="3588">
      <c r="A3588" s="18">
        <v>3587.0</v>
      </c>
      <c r="B3588" s="76" t="s">
        <v>6137</v>
      </c>
      <c r="C3588" s="54" t="s">
        <v>6142</v>
      </c>
      <c r="D3588" s="41"/>
      <c r="E3588" s="41" t="s">
        <v>1645</v>
      </c>
      <c r="F3588" s="18" t="str">
        <f>IFERROR(__xludf.DUMMYFUNCTION("if(REGEXMATCH(C3588,""x.com"")=TRUE,""Twitter"",if(REGEXMATCH(C3588,""facebook"")=TRUE,""Facebook"",if(REGEXMATCH(C3588,""instagram"")=TRUE,""Instagram"",if(REGEXMATCH(C3588,""youtube"")=TRUE,""Youtube"",if(REGEXMATCH(C3588,""tiktok"")=TRUE,""Tiktok"",if("&amp;"REGEXMATCH(C3588,""threads"")=TRUE,""Threads""))))))"),"Tiktok")</f>
        <v>Tiktok</v>
      </c>
      <c r="G3588" s="41" t="s">
        <v>6143</v>
      </c>
      <c r="H3588" s="41" t="s">
        <v>779</v>
      </c>
      <c r="I3588" s="41" t="s">
        <v>535</v>
      </c>
      <c r="J3588" s="41" t="s">
        <v>188</v>
      </c>
      <c r="K3588" s="41"/>
      <c r="L3588" s="41" t="s">
        <v>686</v>
      </c>
    </row>
    <row r="3589">
      <c r="A3589" s="18">
        <v>3588.0</v>
      </c>
      <c r="B3589" s="76" t="s">
        <v>6137</v>
      </c>
      <c r="C3589" s="54" t="s">
        <v>6144</v>
      </c>
      <c r="D3589" s="41"/>
      <c r="E3589" s="41" t="s">
        <v>557</v>
      </c>
      <c r="F3589" s="18" t="str">
        <f>IFERROR(__xludf.DUMMYFUNCTION("if(REGEXMATCH(C3589,""x.com"")=TRUE,""Twitter"",if(REGEXMATCH(C3589,""facebook"")=TRUE,""Facebook"",if(REGEXMATCH(C3589,""instagram"")=TRUE,""Instagram"",if(REGEXMATCH(C3589,""youtube"")=TRUE,""Youtube"",if(REGEXMATCH(C3589,""tiktok"")=TRUE,""Tiktok"",if("&amp;"REGEXMATCH(C3589,""threads"")=TRUE,""Threads""))))))"),"Tiktok")</f>
        <v>Tiktok</v>
      </c>
      <c r="G3589" s="41" t="s">
        <v>6145</v>
      </c>
      <c r="H3589" s="41" t="s">
        <v>779</v>
      </c>
      <c r="I3589" s="41" t="s">
        <v>535</v>
      </c>
      <c r="J3589" s="41" t="s">
        <v>188</v>
      </c>
      <c r="K3589" s="41"/>
      <c r="L3589" s="41" t="s">
        <v>686</v>
      </c>
    </row>
    <row r="3590">
      <c r="A3590" s="18">
        <v>3589.0</v>
      </c>
      <c r="B3590" s="76" t="s">
        <v>6137</v>
      </c>
      <c r="C3590" s="54" t="s">
        <v>6146</v>
      </c>
      <c r="D3590" s="41"/>
      <c r="E3590" s="41" t="s">
        <v>557</v>
      </c>
      <c r="F3590" s="18" t="str">
        <f>IFERROR(__xludf.DUMMYFUNCTION("if(REGEXMATCH(C3590,""x.com"")=TRUE,""Twitter"",if(REGEXMATCH(C3590,""facebook"")=TRUE,""Facebook"",if(REGEXMATCH(C3590,""instagram"")=TRUE,""Instagram"",if(REGEXMATCH(C3590,""youtube"")=TRUE,""Youtube"",if(REGEXMATCH(C3590,""tiktok"")=TRUE,""Tiktok"",if("&amp;"REGEXMATCH(C3590,""threads"")=TRUE,""Threads""))))))"),"Tiktok")</f>
        <v>Tiktok</v>
      </c>
      <c r="G3590" s="41" t="s">
        <v>6147</v>
      </c>
      <c r="H3590" s="41" t="s">
        <v>779</v>
      </c>
      <c r="I3590" s="41" t="s">
        <v>535</v>
      </c>
      <c r="J3590" s="41" t="s">
        <v>188</v>
      </c>
      <c r="K3590" s="41"/>
      <c r="L3590" s="41" t="s">
        <v>686</v>
      </c>
    </row>
    <row r="3591">
      <c r="A3591" s="18">
        <v>3590.0</v>
      </c>
      <c r="B3591" s="76" t="s">
        <v>6137</v>
      </c>
      <c r="C3591" s="54" t="s">
        <v>6148</v>
      </c>
      <c r="D3591" s="41"/>
      <c r="E3591" s="41" t="s">
        <v>557</v>
      </c>
      <c r="F3591" s="18" t="str">
        <f>IFERROR(__xludf.DUMMYFUNCTION("if(REGEXMATCH(C3591,""x.com"")=TRUE,""Twitter"",if(REGEXMATCH(C3591,""facebook"")=TRUE,""Facebook"",if(REGEXMATCH(C3591,""instagram"")=TRUE,""Instagram"",if(REGEXMATCH(C3591,""youtube"")=TRUE,""Youtube"",if(REGEXMATCH(C3591,""tiktok"")=TRUE,""Tiktok"",if("&amp;"REGEXMATCH(C3591,""threads"")=TRUE,""Threads""))))))"),"Facebook")</f>
        <v>Facebook</v>
      </c>
      <c r="G3591" s="41" t="s">
        <v>6149</v>
      </c>
      <c r="H3591" s="41" t="s">
        <v>779</v>
      </c>
      <c r="I3591" s="41" t="s">
        <v>535</v>
      </c>
      <c r="J3591" s="41" t="s">
        <v>188</v>
      </c>
      <c r="K3591" s="41"/>
      <c r="L3591" s="41" t="s">
        <v>622</v>
      </c>
    </row>
    <row r="3592">
      <c r="A3592" s="18">
        <v>3591.0</v>
      </c>
      <c r="B3592" s="76" t="s">
        <v>6137</v>
      </c>
      <c r="C3592" s="54" t="s">
        <v>6150</v>
      </c>
      <c r="D3592" s="41"/>
      <c r="E3592" s="41" t="s">
        <v>6151</v>
      </c>
      <c r="F3592" s="18" t="str">
        <f>IFERROR(__xludf.DUMMYFUNCTION("if(REGEXMATCH(C3592,""x.com"")=TRUE,""Twitter"",if(REGEXMATCH(C3592,""facebook"")=TRUE,""Facebook"",if(REGEXMATCH(C3592,""instagram"")=TRUE,""Instagram"",if(REGEXMATCH(C3592,""youtube"")=TRUE,""Youtube"",if(REGEXMATCH(C3592,""tiktok"")=TRUE,""Tiktok"",if("&amp;"REGEXMATCH(C3592,""threads"")=TRUE,""Threads""))))))"),"Facebook")</f>
        <v>Facebook</v>
      </c>
      <c r="G3592" s="41" t="s">
        <v>6152</v>
      </c>
      <c r="H3592" s="41" t="s">
        <v>779</v>
      </c>
      <c r="I3592" s="41" t="s">
        <v>535</v>
      </c>
      <c r="J3592" s="41" t="s">
        <v>188</v>
      </c>
      <c r="K3592" s="41"/>
      <c r="L3592" s="41" t="s">
        <v>622</v>
      </c>
    </row>
    <row r="3593">
      <c r="A3593" s="18">
        <v>3592.0</v>
      </c>
      <c r="B3593" s="76" t="s">
        <v>6137</v>
      </c>
      <c r="C3593" s="54" t="s">
        <v>6153</v>
      </c>
      <c r="D3593" s="41"/>
      <c r="E3593" s="41" t="s">
        <v>447</v>
      </c>
      <c r="F3593" s="18" t="str">
        <f>IFERROR(__xludf.DUMMYFUNCTION("if(REGEXMATCH(C3593,""x.com"")=TRUE,""Twitter"",if(REGEXMATCH(C3593,""facebook"")=TRUE,""Facebook"",if(REGEXMATCH(C3593,""instagram"")=TRUE,""Instagram"",if(REGEXMATCH(C3593,""youtube"")=TRUE,""Youtube"",if(REGEXMATCH(C3593,""tiktok"")=TRUE,""Tiktok"",if("&amp;"REGEXMATCH(C3593,""threads"")=TRUE,""Threads""))))))"),"Facebook")</f>
        <v>Facebook</v>
      </c>
      <c r="G3593" s="41" t="s">
        <v>6154</v>
      </c>
      <c r="H3593" s="41" t="s">
        <v>779</v>
      </c>
      <c r="I3593" s="41" t="s">
        <v>535</v>
      </c>
      <c r="J3593" s="41" t="s">
        <v>188</v>
      </c>
      <c r="K3593" s="41"/>
      <c r="L3593" s="41" t="s">
        <v>622</v>
      </c>
    </row>
    <row r="3594">
      <c r="A3594" s="18">
        <v>3593.0</v>
      </c>
      <c r="B3594" s="76" t="s">
        <v>6137</v>
      </c>
      <c r="C3594" s="54" t="s">
        <v>6155</v>
      </c>
      <c r="D3594" s="41"/>
      <c r="E3594" s="41" t="s">
        <v>197</v>
      </c>
      <c r="F3594" s="18" t="str">
        <f>IFERROR(__xludf.DUMMYFUNCTION("if(REGEXMATCH(C3594,""x.com"")=TRUE,""Twitter"",if(REGEXMATCH(C3594,""facebook"")=TRUE,""Facebook"",if(REGEXMATCH(C3594,""instagram"")=TRUE,""Instagram"",if(REGEXMATCH(C3594,""youtube"")=TRUE,""Youtube"",if(REGEXMATCH(C3594,""tiktok"")=TRUE,""Tiktok"",if("&amp;"REGEXMATCH(C3594,""threads"")=TRUE,""Threads""))))))"),"Facebook")</f>
        <v>Facebook</v>
      </c>
      <c r="G3594" s="41" t="s">
        <v>6156</v>
      </c>
      <c r="H3594" s="41" t="s">
        <v>779</v>
      </c>
      <c r="I3594" s="41" t="s">
        <v>535</v>
      </c>
      <c r="J3594" s="41" t="s">
        <v>188</v>
      </c>
      <c r="K3594" s="41"/>
      <c r="L3594" s="41" t="s">
        <v>622</v>
      </c>
    </row>
    <row r="3595">
      <c r="A3595" s="18">
        <v>3594.0</v>
      </c>
      <c r="B3595" s="76" t="s">
        <v>6137</v>
      </c>
      <c r="C3595" s="54" t="s">
        <v>6157</v>
      </c>
      <c r="D3595" s="41"/>
      <c r="E3595" s="41" t="s">
        <v>230</v>
      </c>
      <c r="F3595" s="18" t="str">
        <f>IFERROR(__xludf.DUMMYFUNCTION("if(REGEXMATCH(C3595,""x.com"")=TRUE,""Twitter"",if(REGEXMATCH(C3595,""facebook"")=TRUE,""Facebook"",if(REGEXMATCH(C3595,""instagram"")=TRUE,""Instagram"",if(REGEXMATCH(C3595,""youtube"")=TRUE,""Youtube"",if(REGEXMATCH(C3595,""tiktok"")=TRUE,""Tiktok"",if("&amp;"REGEXMATCH(C3595,""threads"")=TRUE,""Threads""))))))"),"Facebook")</f>
        <v>Facebook</v>
      </c>
      <c r="G3595" s="41" t="s">
        <v>6158</v>
      </c>
      <c r="H3595" s="41" t="s">
        <v>779</v>
      </c>
      <c r="I3595" s="41" t="s">
        <v>535</v>
      </c>
      <c r="J3595" s="41" t="s">
        <v>188</v>
      </c>
      <c r="K3595" s="41"/>
      <c r="L3595" s="41" t="s">
        <v>622</v>
      </c>
    </row>
    <row r="3596">
      <c r="A3596" s="18">
        <v>3595.0</v>
      </c>
      <c r="B3596" s="76" t="s">
        <v>6137</v>
      </c>
      <c r="C3596" s="54" t="s">
        <v>6159</v>
      </c>
      <c r="D3596" s="41"/>
      <c r="E3596" s="41" t="s">
        <v>4703</v>
      </c>
      <c r="F3596" s="18" t="str">
        <f>IFERROR(__xludf.DUMMYFUNCTION("if(REGEXMATCH(C3596,""x.com"")=TRUE,""Twitter"",if(REGEXMATCH(C3596,""facebook"")=TRUE,""Facebook"",if(REGEXMATCH(C3596,""instagram"")=TRUE,""Instagram"",if(REGEXMATCH(C3596,""youtube"")=TRUE,""Youtube"",if(REGEXMATCH(C3596,""tiktok"")=TRUE,""Tiktok"",if("&amp;"REGEXMATCH(C3596,""threads"")=TRUE,""Threads""))))))"),"Tiktok")</f>
        <v>Tiktok</v>
      </c>
      <c r="G3596" s="41" t="s">
        <v>6160</v>
      </c>
      <c r="H3596" s="41" t="s">
        <v>779</v>
      </c>
      <c r="I3596" s="41" t="s">
        <v>535</v>
      </c>
      <c r="J3596" s="41" t="s">
        <v>188</v>
      </c>
      <c r="K3596" s="41"/>
      <c r="L3596" s="41" t="s">
        <v>686</v>
      </c>
    </row>
    <row r="3597">
      <c r="A3597" s="18">
        <v>3596.0</v>
      </c>
      <c r="B3597" s="76" t="s">
        <v>6137</v>
      </c>
      <c r="C3597" s="54" t="s">
        <v>6161</v>
      </c>
      <c r="D3597" s="41"/>
      <c r="E3597" s="41" t="s">
        <v>230</v>
      </c>
      <c r="F3597" s="18" t="str">
        <f>IFERROR(__xludf.DUMMYFUNCTION("if(REGEXMATCH(C3597,""x.com"")=TRUE,""Twitter"",if(REGEXMATCH(C3597,""facebook"")=TRUE,""Facebook"",if(REGEXMATCH(C3597,""instagram"")=TRUE,""Instagram"",if(REGEXMATCH(C3597,""youtube"")=TRUE,""Youtube"",if(REGEXMATCH(C3597,""tiktok"")=TRUE,""Tiktok"",if("&amp;"REGEXMATCH(C3597,""threads"")=TRUE,""Threads""))))))"),"Facebook")</f>
        <v>Facebook</v>
      </c>
      <c r="G3597" s="41" t="s">
        <v>6162</v>
      </c>
      <c r="H3597" s="41" t="s">
        <v>779</v>
      </c>
      <c r="I3597" s="41" t="s">
        <v>535</v>
      </c>
      <c r="J3597" s="41" t="s">
        <v>188</v>
      </c>
      <c r="K3597" s="41"/>
      <c r="L3597" s="41" t="s">
        <v>622</v>
      </c>
    </row>
    <row r="3598">
      <c r="A3598" s="18">
        <v>3597.0</v>
      </c>
      <c r="B3598" s="76" t="s">
        <v>6137</v>
      </c>
      <c r="C3598" s="54" t="s">
        <v>6163</v>
      </c>
      <c r="D3598" s="41"/>
      <c r="E3598" s="41" t="s">
        <v>4703</v>
      </c>
      <c r="F3598" s="18" t="str">
        <f>IFERROR(__xludf.DUMMYFUNCTION("if(REGEXMATCH(C3598,""x.com"")=TRUE,""Twitter"",if(REGEXMATCH(C3598,""facebook"")=TRUE,""Facebook"",if(REGEXMATCH(C3598,""instagram"")=TRUE,""Instagram"",if(REGEXMATCH(C3598,""youtube"")=TRUE,""Youtube"",if(REGEXMATCH(C3598,""tiktok"")=TRUE,""Tiktok"",if("&amp;"REGEXMATCH(C3598,""threads"")=TRUE,""Threads""))))))"),"Facebook")</f>
        <v>Facebook</v>
      </c>
      <c r="G3598" s="41" t="s">
        <v>6164</v>
      </c>
      <c r="H3598" s="41" t="s">
        <v>779</v>
      </c>
      <c r="I3598" s="41" t="s">
        <v>535</v>
      </c>
      <c r="J3598" s="41" t="s">
        <v>188</v>
      </c>
      <c r="K3598" s="41"/>
      <c r="L3598" s="41" t="s">
        <v>622</v>
      </c>
    </row>
    <row r="3599">
      <c r="A3599" s="18">
        <v>3598.0</v>
      </c>
      <c r="B3599" s="76" t="s">
        <v>6137</v>
      </c>
      <c r="C3599" s="54" t="s">
        <v>6165</v>
      </c>
      <c r="D3599" s="41"/>
      <c r="E3599" s="41" t="s">
        <v>4703</v>
      </c>
      <c r="F3599" s="18" t="str">
        <f>IFERROR(__xludf.DUMMYFUNCTION("if(REGEXMATCH(C3599,""x.com"")=TRUE,""Twitter"",if(REGEXMATCH(C3599,""facebook"")=TRUE,""Facebook"",if(REGEXMATCH(C3599,""instagram"")=TRUE,""Instagram"",if(REGEXMATCH(C3599,""youtube"")=TRUE,""Youtube"",if(REGEXMATCH(C3599,""tiktok"")=TRUE,""Tiktok"",if("&amp;"REGEXMATCH(C3599,""threads"")=TRUE,""Threads""))))))"),"Facebook")</f>
        <v>Facebook</v>
      </c>
      <c r="G3599" s="41" t="s">
        <v>6166</v>
      </c>
      <c r="H3599" s="41" t="s">
        <v>779</v>
      </c>
      <c r="I3599" s="41" t="s">
        <v>535</v>
      </c>
      <c r="J3599" s="41" t="s">
        <v>188</v>
      </c>
      <c r="K3599" s="41"/>
      <c r="L3599" s="41" t="s">
        <v>622</v>
      </c>
    </row>
    <row r="3600">
      <c r="A3600" s="18">
        <v>3599.0</v>
      </c>
      <c r="B3600" s="76" t="s">
        <v>6137</v>
      </c>
      <c r="C3600" s="54" t="s">
        <v>6167</v>
      </c>
      <c r="D3600" s="41"/>
      <c r="E3600" s="41" t="s">
        <v>197</v>
      </c>
      <c r="F3600" s="18" t="str">
        <f>IFERROR(__xludf.DUMMYFUNCTION("if(REGEXMATCH(C3600,""x.com"")=TRUE,""Twitter"",if(REGEXMATCH(C3600,""facebook"")=TRUE,""Facebook"",if(REGEXMATCH(C3600,""instagram"")=TRUE,""Instagram"",if(REGEXMATCH(C3600,""youtube"")=TRUE,""Youtube"",if(REGEXMATCH(C3600,""tiktok"")=TRUE,""Tiktok"",if("&amp;"REGEXMATCH(C3600,""threads"")=TRUE,""Threads""))))))"),"Tiktok")</f>
        <v>Tiktok</v>
      </c>
      <c r="G3600" s="41" t="s">
        <v>6168</v>
      </c>
      <c r="H3600" s="41" t="s">
        <v>779</v>
      </c>
      <c r="I3600" s="41" t="s">
        <v>535</v>
      </c>
      <c r="J3600" s="41" t="s">
        <v>188</v>
      </c>
      <c r="K3600" s="41"/>
      <c r="L3600" s="41" t="s">
        <v>686</v>
      </c>
    </row>
    <row r="3601">
      <c r="A3601" s="18">
        <v>3600.0</v>
      </c>
      <c r="B3601" s="76" t="s">
        <v>6169</v>
      </c>
      <c r="C3601" s="54" t="s">
        <v>6170</v>
      </c>
      <c r="D3601" s="41"/>
      <c r="E3601" s="41" t="s">
        <v>197</v>
      </c>
      <c r="F3601" s="18" t="str">
        <f>IFERROR(__xludf.DUMMYFUNCTION("if(REGEXMATCH(C3601,""x.com"")=TRUE,""Twitter"",if(REGEXMATCH(C3601,""facebook"")=TRUE,""Facebook"",if(REGEXMATCH(C3601,""instagram"")=TRUE,""Instagram"",if(REGEXMATCH(C3601,""youtube"")=TRUE,""Youtube"",if(REGEXMATCH(C3601,""tiktok"")=TRUE,""Tiktok"",if("&amp;"REGEXMATCH(C3601,""threads"")=TRUE,""Threads""))))))"),"Facebook")</f>
        <v>Facebook</v>
      </c>
      <c r="G3601" s="41" t="s">
        <v>6171</v>
      </c>
      <c r="H3601" s="41" t="s">
        <v>779</v>
      </c>
      <c r="I3601" s="41" t="s">
        <v>535</v>
      </c>
      <c r="J3601" s="41" t="s">
        <v>188</v>
      </c>
      <c r="K3601" s="41"/>
      <c r="L3601" s="41" t="s">
        <v>622</v>
      </c>
    </row>
    <row r="3602">
      <c r="A3602" s="18">
        <v>3601.0</v>
      </c>
      <c r="B3602" s="76" t="s">
        <v>6169</v>
      </c>
      <c r="C3602" s="54" t="s">
        <v>6172</v>
      </c>
      <c r="D3602" s="41"/>
      <c r="E3602" s="41" t="s">
        <v>197</v>
      </c>
      <c r="F3602" s="18" t="str">
        <f>IFERROR(__xludf.DUMMYFUNCTION("if(REGEXMATCH(C3602,""x.com"")=TRUE,""Twitter"",if(REGEXMATCH(C3602,""facebook"")=TRUE,""Facebook"",if(REGEXMATCH(C3602,""instagram"")=TRUE,""Instagram"",if(REGEXMATCH(C3602,""youtube"")=TRUE,""Youtube"",if(REGEXMATCH(C3602,""tiktok"")=TRUE,""Tiktok"",if("&amp;"REGEXMATCH(C3602,""threads"")=TRUE,""Threads""))))))"),"Facebook")</f>
        <v>Facebook</v>
      </c>
      <c r="G3602" s="41" t="s">
        <v>6173</v>
      </c>
      <c r="H3602" s="41" t="s">
        <v>5917</v>
      </c>
      <c r="I3602" s="41" t="s">
        <v>535</v>
      </c>
      <c r="J3602" s="41" t="s">
        <v>188</v>
      </c>
      <c r="K3602" s="41"/>
      <c r="L3602" s="41" t="s">
        <v>622</v>
      </c>
    </row>
    <row r="3603">
      <c r="A3603" s="18">
        <v>3602.0</v>
      </c>
      <c r="B3603" s="76" t="s">
        <v>6169</v>
      </c>
      <c r="C3603" s="54" t="s">
        <v>6174</v>
      </c>
      <c r="D3603" s="41"/>
      <c r="E3603" s="41" t="s">
        <v>197</v>
      </c>
      <c r="F3603" s="18" t="str">
        <f>IFERROR(__xludf.DUMMYFUNCTION("if(REGEXMATCH(C3603,""x.com"")=TRUE,""Twitter"",if(REGEXMATCH(C3603,""facebook"")=TRUE,""Facebook"",if(REGEXMATCH(C3603,""instagram"")=TRUE,""Instagram"",if(REGEXMATCH(C3603,""youtube"")=TRUE,""Youtube"",if(REGEXMATCH(C3603,""tiktok"")=TRUE,""Tiktok"",if("&amp;"REGEXMATCH(C3603,""threads"")=TRUE,""Threads""))))))"),"Facebook")</f>
        <v>Facebook</v>
      </c>
      <c r="G3603" s="41" t="s">
        <v>6175</v>
      </c>
      <c r="H3603" s="41" t="s">
        <v>5917</v>
      </c>
      <c r="I3603" s="41" t="s">
        <v>535</v>
      </c>
      <c r="J3603" s="41" t="s">
        <v>188</v>
      </c>
      <c r="K3603" s="41"/>
      <c r="L3603" s="41" t="s">
        <v>622</v>
      </c>
    </row>
    <row r="3604">
      <c r="A3604" s="18">
        <v>3603.0</v>
      </c>
      <c r="B3604" s="76" t="s">
        <v>6169</v>
      </c>
      <c r="C3604" s="54" t="s">
        <v>6176</v>
      </c>
      <c r="D3604" s="41"/>
      <c r="E3604" s="41" t="s">
        <v>197</v>
      </c>
      <c r="F3604" s="18" t="str">
        <f>IFERROR(__xludf.DUMMYFUNCTION("if(REGEXMATCH(C3604,""x.com"")=TRUE,""Twitter"",if(REGEXMATCH(C3604,""facebook"")=TRUE,""Facebook"",if(REGEXMATCH(C3604,""instagram"")=TRUE,""Instagram"",if(REGEXMATCH(C3604,""youtube"")=TRUE,""Youtube"",if(REGEXMATCH(C3604,""tiktok"")=TRUE,""Tiktok"",if("&amp;"REGEXMATCH(C3604,""threads"")=TRUE,""Threads""))))))"),"Facebook")</f>
        <v>Facebook</v>
      </c>
      <c r="G3604" s="41" t="s">
        <v>6177</v>
      </c>
      <c r="H3604" s="41" t="s">
        <v>5917</v>
      </c>
      <c r="I3604" s="41" t="s">
        <v>535</v>
      </c>
      <c r="J3604" s="41" t="s">
        <v>188</v>
      </c>
      <c r="K3604" s="41"/>
      <c r="L3604" s="41" t="s">
        <v>622</v>
      </c>
    </row>
    <row r="3605">
      <c r="A3605" s="18">
        <v>3604.0</v>
      </c>
      <c r="B3605" s="76" t="s">
        <v>6169</v>
      </c>
      <c r="C3605" s="54" t="s">
        <v>6178</v>
      </c>
      <c r="D3605" s="41"/>
      <c r="E3605" s="41" t="s">
        <v>197</v>
      </c>
      <c r="F3605" s="18" t="str">
        <f>IFERROR(__xludf.DUMMYFUNCTION("if(REGEXMATCH(C3605,""x.com"")=TRUE,""Twitter"",if(REGEXMATCH(C3605,""facebook"")=TRUE,""Facebook"",if(REGEXMATCH(C3605,""instagram"")=TRUE,""Instagram"",if(REGEXMATCH(C3605,""youtube"")=TRUE,""Youtube"",if(REGEXMATCH(C3605,""tiktok"")=TRUE,""Tiktok"",if("&amp;"REGEXMATCH(C3605,""threads"")=TRUE,""Threads""))))))"),"Twitter")</f>
        <v>Twitter</v>
      </c>
      <c r="G3605" s="41" t="s">
        <v>6179</v>
      </c>
      <c r="H3605" s="41" t="s">
        <v>5917</v>
      </c>
      <c r="I3605" s="41" t="s">
        <v>535</v>
      </c>
      <c r="J3605" s="41" t="s">
        <v>188</v>
      </c>
      <c r="K3605" s="41"/>
      <c r="L3605" s="41" t="s">
        <v>405</v>
      </c>
    </row>
    <row r="3606">
      <c r="A3606" s="18">
        <v>3605.0</v>
      </c>
      <c r="B3606" s="76" t="s">
        <v>6169</v>
      </c>
      <c r="C3606" s="54" t="s">
        <v>6180</v>
      </c>
      <c r="D3606" s="41"/>
      <c r="E3606" s="41" t="s">
        <v>197</v>
      </c>
      <c r="F3606" s="18" t="str">
        <f>IFERROR(__xludf.DUMMYFUNCTION("if(REGEXMATCH(C3606,""x.com"")=TRUE,""Twitter"",if(REGEXMATCH(C3606,""facebook"")=TRUE,""Facebook"",if(REGEXMATCH(C3606,""instagram"")=TRUE,""Instagram"",if(REGEXMATCH(C3606,""youtube"")=TRUE,""Youtube"",if(REGEXMATCH(C3606,""tiktok"")=TRUE,""Tiktok"",if("&amp;"REGEXMATCH(C3606,""threads"")=TRUE,""Threads""))))))"),"Twitter")</f>
        <v>Twitter</v>
      </c>
      <c r="G3606" s="41" t="s">
        <v>6181</v>
      </c>
      <c r="H3606" s="41" t="s">
        <v>5917</v>
      </c>
      <c r="I3606" s="41" t="s">
        <v>535</v>
      </c>
      <c r="J3606" s="41" t="s">
        <v>188</v>
      </c>
      <c r="K3606" s="41"/>
      <c r="L3606" s="41" t="s">
        <v>405</v>
      </c>
    </row>
    <row r="3607">
      <c r="A3607" s="18">
        <v>3606.0</v>
      </c>
      <c r="B3607" s="76" t="s">
        <v>6169</v>
      </c>
      <c r="C3607" s="54" t="s">
        <v>6182</v>
      </c>
      <c r="D3607" s="41"/>
      <c r="E3607" s="41" t="s">
        <v>197</v>
      </c>
      <c r="F3607" s="18" t="str">
        <f>IFERROR(__xludf.DUMMYFUNCTION("if(REGEXMATCH(C3607,""x.com"")=TRUE,""Twitter"",if(REGEXMATCH(C3607,""facebook"")=TRUE,""Facebook"",if(REGEXMATCH(C3607,""instagram"")=TRUE,""Instagram"",if(REGEXMATCH(C3607,""youtube"")=TRUE,""Youtube"",if(REGEXMATCH(C3607,""tiktok"")=TRUE,""Tiktok"",if("&amp;"REGEXMATCH(C3607,""threads"")=TRUE,""Threads""))))))"),"Twitter")</f>
        <v>Twitter</v>
      </c>
      <c r="G3607" s="41" t="s">
        <v>6183</v>
      </c>
      <c r="H3607" s="41" t="s">
        <v>5917</v>
      </c>
      <c r="I3607" s="41" t="s">
        <v>535</v>
      </c>
      <c r="J3607" s="41" t="s">
        <v>188</v>
      </c>
      <c r="K3607" s="41"/>
      <c r="L3607" s="41" t="s">
        <v>405</v>
      </c>
    </row>
    <row r="3608">
      <c r="A3608" s="18">
        <v>3607.0</v>
      </c>
      <c r="B3608" s="76" t="s">
        <v>6169</v>
      </c>
      <c r="C3608" s="54" t="s">
        <v>6184</v>
      </c>
      <c r="D3608" s="41"/>
      <c r="E3608" s="41" t="s">
        <v>197</v>
      </c>
      <c r="F3608" s="18" t="str">
        <f>IFERROR(__xludf.DUMMYFUNCTION("if(REGEXMATCH(C3608,""x.com"")=TRUE,""Twitter"",if(REGEXMATCH(C3608,""facebook"")=TRUE,""Facebook"",if(REGEXMATCH(C3608,""instagram"")=TRUE,""Instagram"",if(REGEXMATCH(C3608,""youtube"")=TRUE,""Youtube"",if(REGEXMATCH(C3608,""tiktok"")=TRUE,""Tiktok"",if("&amp;"REGEXMATCH(C3608,""threads"")=TRUE,""Threads""))))))"),"Facebook")</f>
        <v>Facebook</v>
      </c>
      <c r="G3608" s="41" t="s">
        <v>6185</v>
      </c>
      <c r="H3608" s="41" t="s">
        <v>5917</v>
      </c>
      <c r="I3608" s="41" t="s">
        <v>535</v>
      </c>
      <c r="J3608" s="41" t="s">
        <v>188</v>
      </c>
      <c r="K3608" s="41"/>
      <c r="L3608" s="41" t="s">
        <v>622</v>
      </c>
    </row>
    <row r="3609">
      <c r="A3609" s="18">
        <v>3608.0</v>
      </c>
      <c r="B3609" s="76" t="s">
        <v>6169</v>
      </c>
      <c r="C3609" s="54" t="s">
        <v>6186</v>
      </c>
      <c r="D3609" s="41"/>
      <c r="E3609" s="41" t="s">
        <v>197</v>
      </c>
      <c r="F3609" s="18" t="str">
        <f>IFERROR(__xludf.DUMMYFUNCTION("if(REGEXMATCH(C3609,""x.com"")=TRUE,""Twitter"",if(REGEXMATCH(C3609,""facebook"")=TRUE,""Facebook"",if(REGEXMATCH(C3609,""instagram"")=TRUE,""Instagram"",if(REGEXMATCH(C3609,""youtube"")=TRUE,""Youtube"",if(REGEXMATCH(C3609,""tiktok"")=TRUE,""Tiktok"",if("&amp;"REGEXMATCH(C3609,""threads"")=TRUE,""Threads""))))))"),"Facebook")</f>
        <v>Facebook</v>
      </c>
      <c r="G3609" s="41" t="s">
        <v>6187</v>
      </c>
      <c r="H3609" s="41" t="s">
        <v>5917</v>
      </c>
      <c r="I3609" s="41" t="s">
        <v>535</v>
      </c>
      <c r="J3609" s="41" t="s">
        <v>188</v>
      </c>
      <c r="K3609" s="41"/>
      <c r="L3609" s="41" t="s">
        <v>622</v>
      </c>
    </row>
    <row r="3610">
      <c r="A3610" s="18">
        <v>3609.0</v>
      </c>
      <c r="B3610" s="76" t="s">
        <v>6169</v>
      </c>
      <c r="C3610" s="54" t="s">
        <v>6188</v>
      </c>
      <c r="D3610" s="41"/>
      <c r="E3610" s="41" t="s">
        <v>197</v>
      </c>
      <c r="F3610" s="18" t="str">
        <f>IFERROR(__xludf.DUMMYFUNCTION("if(REGEXMATCH(C3610,""x.com"")=TRUE,""Twitter"",if(REGEXMATCH(C3610,""facebook"")=TRUE,""Facebook"",if(REGEXMATCH(C3610,""instagram"")=TRUE,""Instagram"",if(REGEXMATCH(C3610,""youtube"")=TRUE,""Youtube"",if(REGEXMATCH(C3610,""tiktok"")=TRUE,""Tiktok"",if("&amp;"REGEXMATCH(C3610,""threads"")=TRUE,""Threads""))))))"),"Facebook")</f>
        <v>Facebook</v>
      </c>
      <c r="G3610" s="41" t="s">
        <v>6189</v>
      </c>
      <c r="H3610" s="41" t="s">
        <v>5917</v>
      </c>
      <c r="I3610" s="41" t="s">
        <v>535</v>
      </c>
      <c r="J3610" s="41" t="s">
        <v>188</v>
      </c>
      <c r="K3610" s="41"/>
      <c r="L3610" s="41" t="s">
        <v>622</v>
      </c>
    </row>
    <row r="3611">
      <c r="A3611" s="18">
        <v>3610.0</v>
      </c>
      <c r="B3611" s="76" t="s">
        <v>6169</v>
      </c>
      <c r="C3611" s="54" t="s">
        <v>6190</v>
      </c>
      <c r="D3611" s="41"/>
      <c r="E3611" s="41" t="s">
        <v>197</v>
      </c>
      <c r="F3611" s="18" t="str">
        <f>IFERROR(__xludf.DUMMYFUNCTION("if(REGEXMATCH(C3611,""x.com"")=TRUE,""Twitter"",if(REGEXMATCH(C3611,""facebook"")=TRUE,""Facebook"",if(REGEXMATCH(C3611,""instagram"")=TRUE,""Instagram"",if(REGEXMATCH(C3611,""youtube"")=TRUE,""Youtube"",if(REGEXMATCH(C3611,""tiktok"")=TRUE,""Tiktok"",if("&amp;"REGEXMATCH(C3611,""threads"")=TRUE,""Threads""))))))"),"Facebook")</f>
        <v>Facebook</v>
      </c>
      <c r="G3611" s="41" t="s">
        <v>6191</v>
      </c>
      <c r="H3611" s="41" t="s">
        <v>5917</v>
      </c>
      <c r="I3611" s="41" t="s">
        <v>535</v>
      </c>
      <c r="J3611" s="41" t="s">
        <v>188</v>
      </c>
      <c r="K3611" s="41"/>
      <c r="L3611" s="41" t="s">
        <v>622</v>
      </c>
    </row>
    <row r="3612">
      <c r="A3612" s="18">
        <v>3611.0</v>
      </c>
      <c r="B3612" s="76" t="s">
        <v>6169</v>
      </c>
      <c r="C3612" s="54" t="s">
        <v>6192</v>
      </c>
      <c r="D3612" s="41"/>
      <c r="E3612" s="41" t="s">
        <v>197</v>
      </c>
      <c r="F3612" s="18" t="str">
        <f>IFERROR(__xludf.DUMMYFUNCTION("if(REGEXMATCH(C3612,""x.com"")=TRUE,""Twitter"",if(REGEXMATCH(C3612,""facebook"")=TRUE,""Facebook"",if(REGEXMATCH(C3612,""instagram"")=TRUE,""Instagram"",if(REGEXMATCH(C3612,""youtube"")=TRUE,""Youtube"",if(REGEXMATCH(C3612,""tiktok"")=TRUE,""Tiktok"",if("&amp;"REGEXMATCH(C3612,""threads"")=TRUE,""Threads""))))))"),"Facebook")</f>
        <v>Facebook</v>
      </c>
      <c r="G3612" s="41" t="s">
        <v>6193</v>
      </c>
      <c r="H3612" s="41" t="s">
        <v>5917</v>
      </c>
      <c r="I3612" s="41" t="s">
        <v>535</v>
      </c>
      <c r="J3612" s="41" t="s">
        <v>188</v>
      </c>
      <c r="K3612" s="41"/>
      <c r="L3612" s="41" t="s">
        <v>622</v>
      </c>
    </row>
    <row r="3613">
      <c r="A3613" s="18">
        <v>3612.0</v>
      </c>
      <c r="B3613" s="76" t="s">
        <v>6169</v>
      </c>
      <c r="C3613" s="54" t="s">
        <v>6194</v>
      </c>
      <c r="D3613" s="41"/>
      <c r="E3613" s="41" t="s">
        <v>197</v>
      </c>
      <c r="F3613" s="18" t="str">
        <f>IFERROR(__xludf.DUMMYFUNCTION("if(REGEXMATCH(C3613,""x.com"")=TRUE,""Twitter"",if(REGEXMATCH(C3613,""facebook"")=TRUE,""Facebook"",if(REGEXMATCH(C3613,""instagram"")=TRUE,""Instagram"",if(REGEXMATCH(C3613,""youtube"")=TRUE,""Youtube"",if(REGEXMATCH(C3613,""tiktok"")=TRUE,""Tiktok"",if("&amp;"REGEXMATCH(C3613,""threads"")=TRUE,""Threads""))))))"),"Twitter")</f>
        <v>Twitter</v>
      </c>
      <c r="G3613" s="41" t="s">
        <v>6195</v>
      </c>
      <c r="H3613" s="41" t="s">
        <v>5917</v>
      </c>
      <c r="I3613" s="41" t="s">
        <v>535</v>
      </c>
      <c r="J3613" s="41" t="s">
        <v>188</v>
      </c>
      <c r="K3613" s="41"/>
      <c r="L3613" s="41" t="s">
        <v>405</v>
      </c>
    </row>
    <row r="3614">
      <c r="A3614" s="18">
        <v>3613.0</v>
      </c>
      <c r="B3614" s="76" t="s">
        <v>6169</v>
      </c>
      <c r="C3614" s="54" t="s">
        <v>6196</v>
      </c>
      <c r="D3614" s="41"/>
      <c r="E3614" s="41" t="s">
        <v>197</v>
      </c>
      <c r="F3614" s="18" t="str">
        <f>IFERROR(__xludf.DUMMYFUNCTION("if(REGEXMATCH(C3614,""x.com"")=TRUE,""Twitter"",if(REGEXMATCH(C3614,""facebook"")=TRUE,""Facebook"",if(REGEXMATCH(C3614,""instagram"")=TRUE,""Instagram"",if(REGEXMATCH(C3614,""youtube"")=TRUE,""Youtube"",if(REGEXMATCH(C3614,""tiktok"")=TRUE,""Tiktok"",if("&amp;"REGEXMATCH(C3614,""threads"")=TRUE,""Threads""))))))"),"Facebook")</f>
        <v>Facebook</v>
      </c>
      <c r="G3614" s="41" t="s">
        <v>6197</v>
      </c>
      <c r="H3614" s="41" t="s">
        <v>5917</v>
      </c>
      <c r="I3614" s="41" t="s">
        <v>535</v>
      </c>
      <c r="J3614" s="41" t="s">
        <v>188</v>
      </c>
      <c r="K3614" s="41"/>
      <c r="L3614" s="41" t="s">
        <v>622</v>
      </c>
    </row>
    <row r="3615">
      <c r="A3615" s="18">
        <v>3614.0</v>
      </c>
      <c r="B3615" s="76" t="s">
        <v>6169</v>
      </c>
      <c r="C3615" s="54" t="s">
        <v>6198</v>
      </c>
      <c r="D3615" s="41"/>
      <c r="E3615" s="41" t="s">
        <v>197</v>
      </c>
      <c r="F3615" s="18" t="str">
        <f>IFERROR(__xludf.DUMMYFUNCTION("if(REGEXMATCH(C3615,""x.com"")=TRUE,""Twitter"",if(REGEXMATCH(C3615,""facebook"")=TRUE,""Facebook"",if(REGEXMATCH(C3615,""instagram"")=TRUE,""Instagram"",if(REGEXMATCH(C3615,""youtube"")=TRUE,""Youtube"",if(REGEXMATCH(C3615,""tiktok"")=TRUE,""Tiktok"",if("&amp;"REGEXMATCH(C3615,""threads"")=TRUE,""Threads""))))))"),"Tiktok")</f>
        <v>Tiktok</v>
      </c>
      <c r="G3615" s="41" t="s">
        <v>6199</v>
      </c>
      <c r="H3615" s="41" t="s">
        <v>5917</v>
      </c>
      <c r="I3615" s="41" t="s">
        <v>535</v>
      </c>
      <c r="J3615" s="41" t="s">
        <v>188</v>
      </c>
      <c r="K3615" s="41"/>
      <c r="L3615" s="41" t="s">
        <v>686</v>
      </c>
    </row>
    <row r="3616">
      <c r="A3616" s="18">
        <v>3615.0</v>
      </c>
      <c r="B3616" s="76" t="s">
        <v>6169</v>
      </c>
      <c r="C3616" s="54" t="s">
        <v>6200</v>
      </c>
      <c r="D3616" s="41"/>
      <c r="E3616" s="41" t="s">
        <v>197</v>
      </c>
      <c r="F3616" s="18" t="str">
        <f>IFERROR(__xludf.DUMMYFUNCTION("if(REGEXMATCH(C3616,""x.com"")=TRUE,""Twitter"",if(REGEXMATCH(C3616,""facebook"")=TRUE,""Facebook"",if(REGEXMATCH(C3616,""instagram"")=TRUE,""Instagram"",if(REGEXMATCH(C3616,""youtube"")=TRUE,""Youtube"",if(REGEXMATCH(C3616,""tiktok"")=TRUE,""Tiktok"",if("&amp;"REGEXMATCH(C3616,""threads"")=TRUE,""Threads""))))))"),"Facebook")</f>
        <v>Facebook</v>
      </c>
      <c r="G3616" s="41" t="s">
        <v>6201</v>
      </c>
      <c r="H3616" s="41" t="s">
        <v>5917</v>
      </c>
      <c r="I3616" s="41" t="s">
        <v>535</v>
      </c>
      <c r="J3616" s="41" t="s">
        <v>188</v>
      </c>
      <c r="K3616" s="41"/>
      <c r="L3616" s="41" t="s">
        <v>622</v>
      </c>
    </row>
    <row r="3617">
      <c r="A3617" s="18">
        <v>3616.0</v>
      </c>
      <c r="B3617" s="76" t="s">
        <v>6169</v>
      </c>
      <c r="C3617" s="83" t="s">
        <v>6202</v>
      </c>
      <c r="D3617" s="41"/>
      <c r="E3617" s="41" t="s">
        <v>401</v>
      </c>
      <c r="F3617" s="18" t="str">
        <f>IFERROR(__xludf.DUMMYFUNCTION("if(REGEXMATCH(C3617,""x.com"")=TRUE,""Twitter"",if(REGEXMATCH(C3617,""facebook"")=TRUE,""Facebook"",if(REGEXMATCH(C3617,""instagram"")=TRUE,""Instagram"",if(REGEXMATCH(C3617,""youtube"")=TRUE,""Youtube"",if(REGEXMATCH(C3617,""tiktok"")=TRUE,""Tiktok"",if("&amp;"REGEXMATCH(C3617,""threads"")=TRUE,""Threads""))))))"),"Facebook")</f>
        <v>Facebook</v>
      </c>
      <c r="G3617" s="41" t="s">
        <v>937</v>
      </c>
      <c r="H3617" s="41" t="s">
        <v>1542</v>
      </c>
      <c r="I3617" s="41" t="s">
        <v>939</v>
      </c>
      <c r="J3617" s="41" t="s">
        <v>188</v>
      </c>
      <c r="K3617" s="41"/>
      <c r="L3617" s="42"/>
    </row>
    <row r="3618">
      <c r="A3618" s="18">
        <v>3617.0</v>
      </c>
      <c r="B3618" s="76" t="s">
        <v>6169</v>
      </c>
      <c r="C3618" s="83" t="s">
        <v>6203</v>
      </c>
      <c r="D3618" s="41"/>
      <c r="E3618" s="41" t="s">
        <v>401</v>
      </c>
      <c r="F3618" s="18" t="str">
        <f>IFERROR(__xludf.DUMMYFUNCTION("if(REGEXMATCH(C3618,""x.com"")=TRUE,""Twitter"",if(REGEXMATCH(C3618,""facebook"")=TRUE,""Facebook"",if(REGEXMATCH(C3618,""instagram"")=TRUE,""Instagram"",if(REGEXMATCH(C3618,""youtube"")=TRUE,""Youtube"",if(REGEXMATCH(C3618,""tiktok"")=TRUE,""Tiktok"",if("&amp;"REGEXMATCH(C3618,""threads"")=TRUE,""Threads""))))))"),"Facebook")</f>
        <v>Facebook</v>
      </c>
      <c r="G3618" s="41" t="s">
        <v>937</v>
      </c>
      <c r="H3618" s="41" t="s">
        <v>1542</v>
      </c>
      <c r="I3618" s="41" t="s">
        <v>939</v>
      </c>
      <c r="J3618" s="41" t="s">
        <v>188</v>
      </c>
      <c r="K3618" s="41"/>
      <c r="L3618" s="42"/>
    </row>
    <row r="3619">
      <c r="A3619" s="18">
        <v>3618.0</v>
      </c>
      <c r="B3619" s="76" t="s">
        <v>6169</v>
      </c>
      <c r="C3619" s="83" t="s">
        <v>6204</v>
      </c>
      <c r="D3619" s="41"/>
      <c r="E3619" s="41" t="s">
        <v>401</v>
      </c>
      <c r="F3619" s="18" t="str">
        <f>IFERROR(__xludf.DUMMYFUNCTION("if(REGEXMATCH(C3619,""x.com"")=TRUE,""Twitter"",if(REGEXMATCH(C3619,""facebook"")=TRUE,""Facebook"",if(REGEXMATCH(C3619,""instagram"")=TRUE,""Instagram"",if(REGEXMATCH(C3619,""youtube"")=TRUE,""Youtube"",if(REGEXMATCH(C3619,""tiktok"")=TRUE,""Tiktok"",if("&amp;"REGEXMATCH(C3619,""threads"")=TRUE,""Threads""))))))"),"Facebook")</f>
        <v>Facebook</v>
      </c>
      <c r="G3619" s="41" t="s">
        <v>937</v>
      </c>
      <c r="H3619" s="41" t="s">
        <v>1542</v>
      </c>
      <c r="I3619" s="41" t="s">
        <v>939</v>
      </c>
      <c r="J3619" s="41" t="s">
        <v>188</v>
      </c>
      <c r="K3619" s="41"/>
      <c r="L3619" s="42"/>
    </row>
    <row r="3620">
      <c r="A3620" s="18">
        <v>3619.0</v>
      </c>
      <c r="B3620" s="76" t="s">
        <v>6169</v>
      </c>
      <c r="C3620" s="54" t="s">
        <v>6205</v>
      </c>
      <c r="D3620" s="41"/>
      <c r="E3620" s="41" t="s">
        <v>401</v>
      </c>
      <c r="F3620" s="18" t="str">
        <f>IFERROR(__xludf.DUMMYFUNCTION("if(REGEXMATCH(C3620,""x.com"")=TRUE,""Twitter"",if(REGEXMATCH(C3620,""facebook"")=TRUE,""Facebook"",if(REGEXMATCH(C3620,""instagram"")=TRUE,""Instagram"",if(REGEXMATCH(C3620,""youtube"")=TRUE,""Youtube"",if(REGEXMATCH(C3620,""tiktok"")=TRUE,""Tiktok"",if("&amp;"REGEXMATCH(C3620,""threads"")=TRUE,""Threads""))))))"),"Facebook")</f>
        <v>Facebook</v>
      </c>
      <c r="G3620" s="41" t="s">
        <v>937</v>
      </c>
      <c r="H3620" s="41" t="s">
        <v>1542</v>
      </c>
      <c r="I3620" s="41" t="s">
        <v>939</v>
      </c>
      <c r="J3620" s="41" t="s">
        <v>188</v>
      </c>
      <c r="K3620" s="41"/>
      <c r="L3620" s="42"/>
    </row>
    <row r="3621">
      <c r="A3621" s="18">
        <v>3620.0</v>
      </c>
      <c r="B3621" s="76" t="s">
        <v>6169</v>
      </c>
      <c r="C3621" s="54" t="s">
        <v>6206</v>
      </c>
      <c r="D3621" s="41"/>
      <c r="E3621" s="41" t="s">
        <v>401</v>
      </c>
      <c r="F3621" s="18" t="str">
        <f>IFERROR(__xludf.DUMMYFUNCTION("if(REGEXMATCH(C3621,""x.com"")=TRUE,""Twitter"",if(REGEXMATCH(C3621,""facebook"")=TRUE,""Facebook"",if(REGEXMATCH(C3621,""instagram"")=TRUE,""Instagram"",if(REGEXMATCH(C3621,""youtube"")=TRUE,""Youtube"",if(REGEXMATCH(C3621,""tiktok"")=TRUE,""Tiktok"",if("&amp;"REGEXMATCH(C3621,""threads"")=TRUE,""Threads""))))))"),"Facebook")</f>
        <v>Facebook</v>
      </c>
      <c r="G3621" s="41" t="s">
        <v>937</v>
      </c>
      <c r="H3621" s="41" t="s">
        <v>1542</v>
      </c>
      <c r="I3621" s="41" t="s">
        <v>939</v>
      </c>
      <c r="J3621" s="41" t="s">
        <v>188</v>
      </c>
      <c r="K3621" s="41"/>
      <c r="L3621" s="42"/>
    </row>
    <row r="3622">
      <c r="A3622" s="18">
        <v>3621.0</v>
      </c>
      <c r="B3622" s="76" t="s">
        <v>6169</v>
      </c>
      <c r="C3622" s="84" t="s">
        <v>6207</v>
      </c>
      <c r="D3622" s="41"/>
      <c r="E3622" s="41" t="s">
        <v>401</v>
      </c>
      <c r="F3622" s="18" t="str">
        <f>IFERROR(__xludf.DUMMYFUNCTION("if(REGEXMATCH(C3622,""x.com"")=TRUE,""Twitter"",if(REGEXMATCH(C3622,""facebook"")=TRUE,""Facebook"",if(REGEXMATCH(C3622,""instagram"")=TRUE,""Instagram"",if(REGEXMATCH(C3622,""youtube"")=TRUE,""Youtube"",if(REGEXMATCH(C3622,""tiktok"")=TRUE,""Tiktok"",if("&amp;"REGEXMATCH(C3622,""threads"")=TRUE,""Threads""))))))"),"Facebook")</f>
        <v>Facebook</v>
      </c>
      <c r="G3622" s="41" t="s">
        <v>937</v>
      </c>
      <c r="H3622" s="41" t="s">
        <v>1542</v>
      </c>
      <c r="I3622" s="41" t="s">
        <v>939</v>
      </c>
      <c r="J3622" s="41" t="s">
        <v>188</v>
      </c>
      <c r="K3622" s="41"/>
      <c r="L3622" s="42"/>
    </row>
    <row r="3623">
      <c r="A3623" s="18">
        <v>3622.0</v>
      </c>
      <c r="B3623" s="76" t="s">
        <v>6169</v>
      </c>
      <c r="C3623" s="54" t="s">
        <v>6208</v>
      </c>
      <c r="D3623" s="41"/>
      <c r="E3623" s="41" t="s">
        <v>401</v>
      </c>
      <c r="F3623" s="18" t="str">
        <f>IFERROR(__xludf.DUMMYFUNCTION("if(REGEXMATCH(C3623,""x.com"")=TRUE,""Twitter"",if(REGEXMATCH(C3623,""facebook"")=TRUE,""Facebook"",if(REGEXMATCH(C3623,""instagram"")=TRUE,""Instagram"",if(REGEXMATCH(C3623,""youtube"")=TRUE,""Youtube"",if(REGEXMATCH(C3623,""tiktok"")=TRUE,""Tiktok"",if("&amp;"REGEXMATCH(C3623,""threads"")=TRUE,""Threads""))))))"),"Facebook")</f>
        <v>Facebook</v>
      </c>
      <c r="G3623" s="41" t="s">
        <v>937</v>
      </c>
      <c r="H3623" s="41" t="s">
        <v>1542</v>
      </c>
      <c r="I3623" s="41" t="s">
        <v>939</v>
      </c>
      <c r="J3623" s="41" t="s">
        <v>188</v>
      </c>
      <c r="K3623" s="41"/>
      <c r="L3623" s="42"/>
    </row>
    <row r="3624">
      <c r="A3624" s="18">
        <v>3623.0</v>
      </c>
      <c r="B3624" s="76" t="s">
        <v>6169</v>
      </c>
      <c r="C3624" s="54" t="s">
        <v>6209</v>
      </c>
      <c r="D3624" s="41"/>
      <c r="E3624" s="41" t="s">
        <v>401</v>
      </c>
      <c r="F3624" s="18" t="str">
        <f>IFERROR(__xludf.DUMMYFUNCTION("if(REGEXMATCH(C3624,""x.com"")=TRUE,""Twitter"",if(REGEXMATCH(C3624,""facebook"")=TRUE,""Facebook"",if(REGEXMATCH(C3624,""instagram"")=TRUE,""Instagram"",if(REGEXMATCH(C3624,""youtube"")=TRUE,""Youtube"",if(REGEXMATCH(C3624,""tiktok"")=TRUE,""Tiktok"",if("&amp;"REGEXMATCH(C3624,""threads"")=TRUE,""Threads""))))))"),"Facebook")</f>
        <v>Facebook</v>
      </c>
      <c r="G3624" s="41" t="s">
        <v>937</v>
      </c>
      <c r="H3624" s="41" t="s">
        <v>1542</v>
      </c>
      <c r="I3624" s="41" t="s">
        <v>939</v>
      </c>
      <c r="J3624" s="41" t="s">
        <v>188</v>
      </c>
      <c r="K3624" s="41"/>
      <c r="L3624" s="42"/>
    </row>
    <row r="3625">
      <c r="A3625" s="18">
        <v>3624.0</v>
      </c>
      <c r="B3625" s="76" t="s">
        <v>6169</v>
      </c>
      <c r="C3625" s="54" t="s">
        <v>6210</v>
      </c>
      <c r="D3625" s="41"/>
      <c r="E3625" s="41" t="s">
        <v>401</v>
      </c>
      <c r="F3625" s="18" t="str">
        <f>IFERROR(__xludf.DUMMYFUNCTION("if(REGEXMATCH(C3625,""x.com"")=TRUE,""Twitter"",if(REGEXMATCH(C3625,""facebook"")=TRUE,""Facebook"",if(REGEXMATCH(C3625,""instagram"")=TRUE,""Instagram"",if(REGEXMATCH(C3625,""youtube"")=TRUE,""Youtube"",if(REGEXMATCH(C3625,""tiktok"")=TRUE,""Tiktok"",if("&amp;"REGEXMATCH(C3625,""threads"")=TRUE,""Threads""))))))"),"Facebook")</f>
        <v>Facebook</v>
      </c>
      <c r="G3625" s="41" t="s">
        <v>937</v>
      </c>
      <c r="H3625" s="41" t="s">
        <v>1542</v>
      </c>
      <c r="I3625" s="41" t="s">
        <v>939</v>
      </c>
      <c r="J3625" s="41" t="s">
        <v>188</v>
      </c>
      <c r="K3625" s="41"/>
      <c r="L3625" s="42"/>
    </row>
    <row r="3626">
      <c r="A3626" s="18">
        <v>3625.0</v>
      </c>
      <c r="B3626" s="76" t="s">
        <v>6169</v>
      </c>
      <c r="C3626" s="54" t="s">
        <v>6211</v>
      </c>
      <c r="D3626" s="41"/>
      <c r="E3626" s="41" t="s">
        <v>401</v>
      </c>
      <c r="F3626" s="18" t="str">
        <f>IFERROR(__xludf.DUMMYFUNCTION("if(REGEXMATCH(C3626,""x.com"")=TRUE,""Twitter"",if(REGEXMATCH(C3626,""facebook"")=TRUE,""Facebook"",if(REGEXMATCH(C3626,""instagram"")=TRUE,""Instagram"",if(REGEXMATCH(C3626,""youtube"")=TRUE,""Youtube"",if(REGEXMATCH(C3626,""tiktok"")=TRUE,""Tiktok"",if("&amp;"REGEXMATCH(C3626,""threads"")=TRUE,""Threads""))))))"),"Facebook")</f>
        <v>Facebook</v>
      </c>
      <c r="G3626" s="41" t="s">
        <v>937</v>
      </c>
      <c r="H3626" s="41" t="s">
        <v>1542</v>
      </c>
      <c r="I3626" s="41" t="s">
        <v>939</v>
      </c>
      <c r="J3626" s="41" t="s">
        <v>188</v>
      </c>
      <c r="K3626" s="41"/>
      <c r="L3626" s="42"/>
    </row>
    <row r="3627">
      <c r="A3627" s="18">
        <v>3626.0</v>
      </c>
      <c r="B3627" s="76" t="s">
        <v>6169</v>
      </c>
      <c r="C3627" s="54" t="s">
        <v>6212</v>
      </c>
      <c r="D3627" s="41"/>
      <c r="E3627" s="41" t="s">
        <v>401</v>
      </c>
      <c r="F3627" s="18" t="str">
        <f>IFERROR(__xludf.DUMMYFUNCTION("if(REGEXMATCH(C3627,""x.com"")=TRUE,""Twitter"",if(REGEXMATCH(C3627,""facebook"")=TRUE,""Facebook"",if(REGEXMATCH(C3627,""instagram"")=TRUE,""Instagram"",if(REGEXMATCH(C3627,""youtube"")=TRUE,""Youtube"",if(REGEXMATCH(C3627,""tiktok"")=TRUE,""Tiktok"",if("&amp;"REGEXMATCH(C3627,""threads"")=TRUE,""Threads""))))))"),"Facebook")</f>
        <v>Facebook</v>
      </c>
      <c r="G3627" s="41" t="s">
        <v>937</v>
      </c>
      <c r="H3627" s="41" t="s">
        <v>1542</v>
      </c>
      <c r="I3627" s="41" t="s">
        <v>939</v>
      </c>
      <c r="J3627" s="41" t="s">
        <v>188</v>
      </c>
      <c r="K3627" s="41"/>
      <c r="L3627" s="42"/>
    </row>
    <row r="3628">
      <c r="A3628" s="18">
        <v>3627.0</v>
      </c>
      <c r="B3628" s="76" t="s">
        <v>6169</v>
      </c>
      <c r="C3628" s="54" t="s">
        <v>6213</v>
      </c>
      <c r="D3628" s="41"/>
      <c r="E3628" s="18" t="s">
        <v>184</v>
      </c>
      <c r="F3628" s="18" t="str">
        <f>IFERROR(__xludf.DUMMYFUNCTION("if(REGEXMATCH(C3628,""x.com"")=TRUE,""Twitter"",if(REGEXMATCH(C3628,""facebook"")=TRUE,""Facebook"",if(REGEXMATCH(C3628,""instagram"")=TRUE,""Instagram"",if(REGEXMATCH(C3628,""youtube"")=TRUE,""Youtube"",if(REGEXMATCH(C3628,""tiktok"")=TRUE,""Tiktok"",if("&amp;"REGEXMATCH(C3628,""threads"")=TRUE,""Threads""))))))"),"Facebook")</f>
        <v>Facebook</v>
      </c>
      <c r="G3628" s="41" t="s">
        <v>4116</v>
      </c>
      <c r="H3628" s="18" t="s">
        <v>5590</v>
      </c>
      <c r="I3628" s="41"/>
      <c r="J3628" s="41" t="s">
        <v>188</v>
      </c>
      <c r="K3628" s="41"/>
      <c r="L3628" s="41" t="s">
        <v>622</v>
      </c>
    </row>
    <row r="3629">
      <c r="A3629" s="18">
        <v>3628.0</v>
      </c>
      <c r="B3629" s="76" t="s">
        <v>6214</v>
      </c>
      <c r="C3629" s="54" t="s">
        <v>6215</v>
      </c>
      <c r="D3629" s="41"/>
      <c r="E3629" s="18" t="s">
        <v>184</v>
      </c>
      <c r="F3629" s="18" t="str">
        <f>IFERROR(__xludf.DUMMYFUNCTION("if(REGEXMATCH(C3629,""x.com"")=TRUE,""Twitter"",if(REGEXMATCH(C3629,""facebook"")=TRUE,""Facebook"",if(REGEXMATCH(C3629,""instagram"")=TRUE,""Instagram"",if(REGEXMATCH(C3629,""youtube"")=TRUE,""Youtube"",if(REGEXMATCH(C3629,""tiktok"")=TRUE,""Tiktok"",if("&amp;"REGEXMATCH(C3629,""threads"")=TRUE,""Threads""))))))"),"Facebook")</f>
        <v>Facebook</v>
      </c>
      <c r="G3629" s="41" t="s">
        <v>4116</v>
      </c>
      <c r="H3629" s="18" t="s">
        <v>6216</v>
      </c>
      <c r="I3629" s="41"/>
      <c r="J3629" s="41" t="s">
        <v>188</v>
      </c>
      <c r="K3629" s="41"/>
      <c r="L3629" s="42"/>
    </row>
    <row r="3630">
      <c r="A3630" s="18">
        <v>3629.0</v>
      </c>
      <c r="B3630" s="76" t="s">
        <v>6214</v>
      </c>
      <c r="C3630" s="54" t="s">
        <v>6217</v>
      </c>
      <c r="D3630" s="41"/>
      <c r="E3630" s="41" t="s">
        <v>401</v>
      </c>
      <c r="F3630" s="18" t="str">
        <f>IFERROR(__xludf.DUMMYFUNCTION("if(REGEXMATCH(C3630,""x.com"")=TRUE,""Twitter"",if(REGEXMATCH(C3630,""facebook"")=TRUE,""Facebook"",if(REGEXMATCH(C3630,""instagram"")=TRUE,""Instagram"",if(REGEXMATCH(C3630,""youtube"")=TRUE,""Youtube"",if(REGEXMATCH(C3630,""tiktok"")=TRUE,""Tiktok"",if("&amp;"REGEXMATCH(C3630,""threads"")=TRUE,""Threads""))))))"),"Twitter")</f>
        <v>Twitter</v>
      </c>
      <c r="G3630" s="41" t="s">
        <v>937</v>
      </c>
      <c r="H3630" s="41" t="s">
        <v>1542</v>
      </c>
      <c r="I3630" s="41" t="s">
        <v>939</v>
      </c>
      <c r="J3630" s="41" t="s">
        <v>188</v>
      </c>
      <c r="K3630" s="41" t="s">
        <v>1921</v>
      </c>
      <c r="L3630" s="42"/>
    </row>
    <row r="3631">
      <c r="A3631" s="18">
        <v>3630.0</v>
      </c>
      <c r="B3631" s="76" t="s">
        <v>6214</v>
      </c>
      <c r="C3631" s="54" t="s">
        <v>6218</v>
      </c>
      <c r="D3631" s="41"/>
      <c r="E3631" s="41" t="s">
        <v>401</v>
      </c>
      <c r="F3631" s="18" t="str">
        <f>IFERROR(__xludf.DUMMYFUNCTION("if(REGEXMATCH(C3631,""x.com"")=TRUE,""Twitter"",if(REGEXMATCH(C3631,""facebook"")=TRUE,""Facebook"",if(REGEXMATCH(C3631,""instagram"")=TRUE,""Instagram"",if(REGEXMATCH(C3631,""youtube"")=TRUE,""Youtube"",if(REGEXMATCH(C3631,""tiktok"")=TRUE,""Tiktok"",if("&amp;"REGEXMATCH(C3631,""threads"")=TRUE,""Threads""))))))"),"Twitter")</f>
        <v>Twitter</v>
      </c>
      <c r="G3631" s="41" t="s">
        <v>937</v>
      </c>
      <c r="H3631" s="41" t="s">
        <v>1542</v>
      </c>
      <c r="I3631" s="41" t="s">
        <v>939</v>
      </c>
      <c r="J3631" s="41" t="s">
        <v>188</v>
      </c>
      <c r="K3631" s="41"/>
      <c r="L3631" s="42"/>
    </row>
    <row r="3632">
      <c r="A3632" s="18">
        <v>3631.0</v>
      </c>
      <c r="B3632" s="76" t="s">
        <v>6214</v>
      </c>
      <c r="C3632" s="54" t="s">
        <v>6219</v>
      </c>
      <c r="D3632" s="41"/>
      <c r="E3632" s="41" t="s">
        <v>401</v>
      </c>
      <c r="F3632" s="18" t="str">
        <f>IFERROR(__xludf.DUMMYFUNCTION("if(REGEXMATCH(C3632,""x.com"")=TRUE,""Twitter"",if(REGEXMATCH(C3632,""facebook"")=TRUE,""Facebook"",if(REGEXMATCH(C3632,""instagram"")=TRUE,""Instagram"",if(REGEXMATCH(C3632,""youtube"")=TRUE,""Youtube"",if(REGEXMATCH(C3632,""tiktok"")=TRUE,""Tiktok"",if("&amp;"REGEXMATCH(C3632,""threads"")=TRUE,""Threads""))))))"),"Twitter")</f>
        <v>Twitter</v>
      </c>
      <c r="G3632" s="41" t="s">
        <v>937</v>
      </c>
      <c r="H3632" s="41" t="s">
        <v>1542</v>
      </c>
      <c r="I3632" s="41" t="s">
        <v>939</v>
      </c>
      <c r="J3632" s="41" t="s">
        <v>188</v>
      </c>
      <c r="K3632" s="41"/>
      <c r="L3632" s="42"/>
    </row>
    <row r="3633">
      <c r="A3633" s="18">
        <v>3632.0</v>
      </c>
      <c r="B3633" s="76" t="s">
        <v>6214</v>
      </c>
      <c r="C3633" s="54" t="s">
        <v>6220</v>
      </c>
      <c r="D3633" s="41"/>
      <c r="E3633" s="41" t="s">
        <v>401</v>
      </c>
      <c r="F3633" s="18" t="str">
        <f>IFERROR(__xludf.DUMMYFUNCTION("if(REGEXMATCH(C3633,""x.com"")=TRUE,""Twitter"",if(REGEXMATCH(C3633,""facebook"")=TRUE,""Facebook"",if(REGEXMATCH(C3633,""instagram"")=TRUE,""Instagram"",if(REGEXMATCH(C3633,""youtube"")=TRUE,""Youtube"",if(REGEXMATCH(C3633,""tiktok"")=TRUE,""Tiktok"",if("&amp;"REGEXMATCH(C3633,""threads"")=TRUE,""Threads""))))))"),"Twitter")</f>
        <v>Twitter</v>
      </c>
      <c r="G3633" s="41" t="s">
        <v>937</v>
      </c>
      <c r="H3633" s="41" t="s">
        <v>1542</v>
      </c>
      <c r="I3633" s="41" t="s">
        <v>939</v>
      </c>
      <c r="J3633" s="41" t="s">
        <v>188</v>
      </c>
      <c r="K3633" s="41"/>
      <c r="L3633" s="42"/>
    </row>
    <row r="3634">
      <c r="A3634" s="18">
        <v>3633.0</v>
      </c>
      <c r="B3634" s="76" t="s">
        <v>6214</v>
      </c>
      <c r="C3634" s="54" t="s">
        <v>6221</v>
      </c>
      <c r="D3634" s="41"/>
      <c r="E3634" s="41" t="s">
        <v>401</v>
      </c>
      <c r="F3634" s="18" t="str">
        <f>IFERROR(__xludf.DUMMYFUNCTION("if(REGEXMATCH(C3634,""x.com"")=TRUE,""Twitter"",if(REGEXMATCH(C3634,""facebook"")=TRUE,""Facebook"",if(REGEXMATCH(C3634,""instagram"")=TRUE,""Instagram"",if(REGEXMATCH(C3634,""youtube"")=TRUE,""Youtube"",if(REGEXMATCH(C3634,""tiktok"")=TRUE,""Tiktok"",if("&amp;"REGEXMATCH(C3634,""threads"")=TRUE,""Threads""))))))"),"Twitter")</f>
        <v>Twitter</v>
      </c>
      <c r="G3634" s="41" t="s">
        <v>937</v>
      </c>
      <c r="H3634" s="41" t="s">
        <v>1542</v>
      </c>
      <c r="I3634" s="41" t="s">
        <v>939</v>
      </c>
      <c r="J3634" s="41" t="s">
        <v>188</v>
      </c>
      <c r="K3634" s="41"/>
      <c r="L3634" s="42"/>
    </row>
    <row r="3635">
      <c r="A3635" s="18">
        <v>3634.0</v>
      </c>
      <c r="B3635" s="76" t="s">
        <v>6214</v>
      </c>
      <c r="C3635" s="84" t="s">
        <v>6222</v>
      </c>
      <c r="D3635" s="41"/>
      <c r="E3635" s="41" t="s">
        <v>401</v>
      </c>
      <c r="F3635" s="18" t="str">
        <f>IFERROR(__xludf.DUMMYFUNCTION("if(REGEXMATCH(C3635,""x.com"")=TRUE,""Twitter"",if(REGEXMATCH(C3635,""facebook"")=TRUE,""Facebook"",if(REGEXMATCH(C3635,""instagram"")=TRUE,""Instagram"",if(REGEXMATCH(C3635,""youtube"")=TRUE,""Youtube"",if(REGEXMATCH(C3635,""tiktok"")=TRUE,""Tiktok"",if("&amp;"REGEXMATCH(C3635,""threads"")=TRUE,""Threads""))))))"),"Twitter")</f>
        <v>Twitter</v>
      </c>
      <c r="G3635" s="41" t="s">
        <v>937</v>
      </c>
      <c r="H3635" s="41" t="s">
        <v>1542</v>
      </c>
      <c r="I3635" s="41" t="s">
        <v>939</v>
      </c>
      <c r="J3635" s="41" t="s">
        <v>188</v>
      </c>
      <c r="K3635" s="41"/>
      <c r="L3635" s="42"/>
    </row>
    <row r="3636">
      <c r="A3636" s="18">
        <v>3635.0</v>
      </c>
      <c r="B3636" s="76" t="s">
        <v>6214</v>
      </c>
      <c r="C3636" s="54" t="s">
        <v>6223</v>
      </c>
      <c r="D3636" s="41"/>
      <c r="E3636" s="41" t="s">
        <v>401</v>
      </c>
      <c r="F3636" s="18" t="str">
        <f>IFERROR(__xludf.DUMMYFUNCTION("if(REGEXMATCH(C3636,""x.com"")=TRUE,""Twitter"",if(REGEXMATCH(C3636,""facebook"")=TRUE,""Facebook"",if(REGEXMATCH(C3636,""instagram"")=TRUE,""Instagram"",if(REGEXMATCH(C3636,""youtube"")=TRUE,""Youtube"",if(REGEXMATCH(C3636,""tiktok"")=TRUE,""Tiktok"",if("&amp;"REGEXMATCH(C3636,""threads"")=TRUE,""Threads""))))))"),"Twitter")</f>
        <v>Twitter</v>
      </c>
      <c r="G3636" s="41" t="s">
        <v>937</v>
      </c>
      <c r="H3636" s="41" t="s">
        <v>1542</v>
      </c>
      <c r="I3636" s="41" t="s">
        <v>939</v>
      </c>
      <c r="J3636" s="41" t="s">
        <v>188</v>
      </c>
      <c r="K3636" s="18"/>
      <c r="L3636" s="42"/>
    </row>
    <row r="3637">
      <c r="A3637" s="18">
        <v>3636.0</v>
      </c>
      <c r="B3637" s="76" t="s">
        <v>6214</v>
      </c>
      <c r="C3637" s="83" t="s">
        <v>6224</v>
      </c>
      <c r="D3637" s="41"/>
      <c r="E3637" s="41" t="s">
        <v>401</v>
      </c>
      <c r="F3637" s="18" t="str">
        <f>IFERROR(__xludf.DUMMYFUNCTION("if(REGEXMATCH(C3637,""x.com"")=TRUE,""Twitter"",if(REGEXMATCH(C3637,""facebook"")=TRUE,""Facebook"",if(REGEXMATCH(C3637,""instagram"")=TRUE,""Instagram"",if(REGEXMATCH(C3637,""youtube"")=TRUE,""Youtube"",if(REGEXMATCH(C3637,""tiktok"")=TRUE,""Tiktok"",if("&amp;"REGEXMATCH(C3637,""threads"")=TRUE,""Threads""))))))"),"Facebook")</f>
        <v>Facebook</v>
      </c>
      <c r="G3637" s="41" t="s">
        <v>937</v>
      </c>
      <c r="H3637" s="41" t="s">
        <v>1542</v>
      </c>
      <c r="I3637" s="41" t="s">
        <v>939</v>
      </c>
      <c r="J3637" s="41" t="s">
        <v>188</v>
      </c>
      <c r="K3637" s="41"/>
      <c r="L3637" s="42"/>
    </row>
    <row r="3638">
      <c r="A3638" s="18">
        <v>3637.0</v>
      </c>
      <c r="B3638" s="76" t="s">
        <v>6214</v>
      </c>
      <c r="C3638" s="54" t="s">
        <v>6225</v>
      </c>
      <c r="D3638" s="41"/>
      <c r="E3638" s="41" t="s">
        <v>401</v>
      </c>
      <c r="F3638" s="18" t="str">
        <f>IFERROR(__xludf.DUMMYFUNCTION("if(REGEXMATCH(C3638,""x.com"")=TRUE,""Twitter"",if(REGEXMATCH(C3638,""facebook"")=TRUE,""Facebook"",if(REGEXMATCH(C3638,""instagram"")=TRUE,""Instagram"",if(REGEXMATCH(C3638,""youtube"")=TRUE,""Youtube"",if(REGEXMATCH(C3638,""tiktok"")=TRUE,""Tiktok"",if("&amp;"REGEXMATCH(C3638,""threads"")=TRUE,""Threads""))))))"),"Facebook")</f>
        <v>Facebook</v>
      </c>
      <c r="G3638" s="41" t="s">
        <v>937</v>
      </c>
      <c r="H3638" s="41" t="s">
        <v>1542</v>
      </c>
      <c r="I3638" s="41" t="s">
        <v>939</v>
      </c>
      <c r="J3638" s="41" t="s">
        <v>188</v>
      </c>
      <c r="K3638" s="41"/>
      <c r="L3638" s="42"/>
    </row>
    <row r="3639">
      <c r="A3639" s="18">
        <v>3638.0</v>
      </c>
      <c r="B3639" s="76" t="s">
        <v>6214</v>
      </c>
      <c r="C3639" s="54" t="s">
        <v>6226</v>
      </c>
      <c r="D3639" s="41"/>
      <c r="E3639" s="41" t="s">
        <v>401</v>
      </c>
      <c r="F3639" s="18" t="str">
        <f>IFERROR(__xludf.DUMMYFUNCTION("if(REGEXMATCH(C3639,""x.com"")=TRUE,""Twitter"",if(REGEXMATCH(C3639,""facebook"")=TRUE,""Facebook"",if(REGEXMATCH(C3639,""instagram"")=TRUE,""Instagram"",if(REGEXMATCH(C3639,""youtube"")=TRUE,""Youtube"",if(REGEXMATCH(C3639,""tiktok"")=TRUE,""Tiktok"",if("&amp;"REGEXMATCH(C3639,""threads"")=TRUE,""Threads""))))))"),"Facebook")</f>
        <v>Facebook</v>
      </c>
      <c r="G3639" s="41" t="s">
        <v>937</v>
      </c>
      <c r="H3639" s="41" t="s">
        <v>1542</v>
      </c>
      <c r="I3639" s="41" t="s">
        <v>939</v>
      </c>
      <c r="J3639" s="41" t="s">
        <v>188</v>
      </c>
      <c r="K3639" s="18"/>
      <c r="L3639" s="42"/>
    </row>
    <row r="3640">
      <c r="A3640" s="18">
        <v>3639.0</v>
      </c>
      <c r="B3640" s="76" t="s">
        <v>6214</v>
      </c>
      <c r="C3640" s="54" t="s">
        <v>6227</v>
      </c>
      <c r="D3640" s="41"/>
      <c r="E3640" s="41" t="s">
        <v>401</v>
      </c>
      <c r="F3640" s="18" t="str">
        <f>IFERROR(__xludf.DUMMYFUNCTION("if(REGEXMATCH(C3640,""x.com"")=TRUE,""Twitter"",if(REGEXMATCH(C3640,""facebook"")=TRUE,""Facebook"",if(REGEXMATCH(C3640,""instagram"")=TRUE,""Instagram"",if(REGEXMATCH(C3640,""youtube"")=TRUE,""Youtube"",if(REGEXMATCH(C3640,""tiktok"")=TRUE,""Tiktok"",if("&amp;"REGEXMATCH(C3640,""threads"")=TRUE,""Threads""))))))"),"Facebook")</f>
        <v>Facebook</v>
      </c>
      <c r="G3640" s="41" t="s">
        <v>937</v>
      </c>
      <c r="H3640" s="41" t="s">
        <v>1542</v>
      </c>
      <c r="I3640" s="41" t="s">
        <v>939</v>
      </c>
      <c r="J3640" s="41" t="s">
        <v>188</v>
      </c>
      <c r="K3640" s="41"/>
      <c r="L3640" s="42"/>
    </row>
    <row r="3641">
      <c r="A3641" s="18">
        <v>3640.0</v>
      </c>
      <c r="B3641" s="76" t="s">
        <v>6214</v>
      </c>
      <c r="C3641" s="54" t="s">
        <v>6228</v>
      </c>
      <c r="D3641" s="41"/>
      <c r="E3641" s="41" t="s">
        <v>401</v>
      </c>
      <c r="F3641" s="18" t="str">
        <f>IFERROR(__xludf.DUMMYFUNCTION("if(REGEXMATCH(C3641,""x.com"")=TRUE,""Twitter"",if(REGEXMATCH(C3641,""facebook"")=TRUE,""Facebook"",if(REGEXMATCH(C3641,""instagram"")=TRUE,""Instagram"",if(REGEXMATCH(C3641,""youtube"")=TRUE,""Youtube"",if(REGEXMATCH(C3641,""tiktok"")=TRUE,""Tiktok"",if("&amp;"REGEXMATCH(C3641,""threads"")=TRUE,""Threads""))))))"),"Facebook")</f>
        <v>Facebook</v>
      </c>
      <c r="G3641" s="41" t="s">
        <v>937</v>
      </c>
      <c r="H3641" s="41" t="s">
        <v>1542</v>
      </c>
      <c r="I3641" s="41" t="s">
        <v>939</v>
      </c>
      <c r="J3641" s="41" t="s">
        <v>188</v>
      </c>
      <c r="K3641" s="41"/>
      <c r="L3641" s="42"/>
    </row>
    <row r="3642">
      <c r="A3642" s="18">
        <v>3641.0</v>
      </c>
      <c r="B3642" s="76" t="s">
        <v>6214</v>
      </c>
      <c r="C3642" s="54" t="s">
        <v>6229</v>
      </c>
      <c r="D3642" s="41"/>
      <c r="E3642" s="41" t="s">
        <v>197</v>
      </c>
      <c r="F3642" s="18" t="str">
        <f>IFERROR(__xludf.DUMMYFUNCTION("if(REGEXMATCH(C3642,""x.com"")=TRUE,""Twitter"",if(REGEXMATCH(C3642,""facebook"")=TRUE,""Facebook"",if(REGEXMATCH(C3642,""instagram"")=TRUE,""Instagram"",if(REGEXMATCH(C3642,""youtube"")=TRUE,""Youtube"",if(REGEXMATCH(C3642,""tiktok"")=TRUE,""Tiktok"",if("&amp;"REGEXMATCH(C3642,""threads"")=TRUE,""Threads""))))))"),"Facebook")</f>
        <v>Facebook</v>
      </c>
      <c r="G3642" s="41" t="s">
        <v>6230</v>
      </c>
      <c r="H3642" s="43" t="s">
        <v>4986</v>
      </c>
      <c r="I3642" s="43" t="s">
        <v>535</v>
      </c>
      <c r="J3642" s="41" t="s">
        <v>188</v>
      </c>
      <c r="K3642" s="41" t="s">
        <v>1611</v>
      </c>
      <c r="L3642" s="42"/>
    </row>
    <row r="3643">
      <c r="A3643" s="18">
        <v>3642.0</v>
      </c>
      <c r="B3643" s="76" t="s">
        <v>6214</v>
      </c>
      <c r="C3643" s="54" t="s">
        <v>6231</v>
      </c>
      <c r="D3643" s="41"/>
      <c r="E3643" s="41" t="s">
        <v>197</v>
      </c>
      <c r="F3643" s="18" t="str">
        <f>IFERROR(__xludf.DUMMYFUNCTION("if(REGEXMATCH(C3643,""x.com"")=TRUE,""Twitter"",if(REGEXMATCH(C3643,""facebook"")=TRUE,""Facebook"",if(REGEXMATCH(C3643,""instagram"")=TRUE,""Instagram"",if(REGEXMATCH(C3643,""youtube"")=TRUE,""Youtube"",if(REGEXMATCH(C3643,""tiktok"")=TRUE,""Tiktok"",if("&amp;"REGEXMATCH(C3643,""threads"")=TRUE,""Threads""))))))"),"Facebook")</f>
        <v>Facebook</v>
      </c>
      <c r="G3643" s="41" t="s">
        <v>6232</v>
      </c>
      <c r="H3643" s="36"/>
      <c r="I3643" s="36"/>
      <c r="J3643" s="41" t="s">
        <v>188</v>
      </c>
      <c r="K3643" s="41" t="s">
        <v>1611</v>
      </c>
      <c r="L3643" s="42"/>
    </row>
    <row r="3644">
      <c r="A3644" s="18">
        <v>3643.0</v>
      </c>
      <c r="B3644" s="76" t="s">
        <v>6214</v>
      </c>
      <c r="C3644" s="54" t="s">
        <v>6233</v>
      </c>
      <c r="D3644" s="41"/>
      <c r="E3644" s="41" t="s">
        <v>197</v>
      </c>
      <c r="F3644" s="18" t="str">
        <f>IFERROR(__xludf.DUMMYFUNCTION("if(REGEXMATCH(C3644,""x.com"")=TRUE,""Twitter"",if(REGEXMATCH(C3644,""facebook"")=TRUE,""Facebook"",if(REGEXMATCH(C3644,""instagram"")=TRUE,""Instagram"",if(REGEXMATCH(C3644,""youtube"")=TRUE,""Youtube"",if(REGEXMATCH(C3644,""tiktok"")=TRUE,""Tiktok"",if("&amp;"REGEXMATCH(C3644,""threads"")=TRUE,""Threads""))))))"),"Facebook")</f>
        <v>Facebook</v>
      </c>
      <c r="G3644" s="41" t="s">
        <v>6234</v>
      </c>
      <c r="H3644" s="36"/>
      <c r="I3644" s="36"/>
      <c r="J3644" s="41" t="s">
        <v>188</v>
      </c>
      <c r="K3644" s="41" t="s">
        <v>1611</v>
      </c>
      <c r="L3644" s="42"/>
    </row>
    <row r="3645">
      <c r="A3645" s="18">
        <v>3644.0</v>
      </c>
      <c r="B3645" s="76" t="s">
        <v>6214</v>
      </c>
      <c r="C3645" s="54" t="s">
        <v>6235</v>
      </c>
      <c r="D3645" s="41"/>
      <c r="E3645" s="41" t="s">
        <v>1146</v>
      </c>
      <c r="F3645" s="18" t="str">
        <f>IFERROR(__xludf.DUMMYFUNCTION("if(REGEXMATCH(C3645,""x.com"")=TRUE,""Twitter"",if(REGEXMATCH(C3645,""facebook"")=TRUE,""Facebook"",if(REGEXMATCH(C3645,""instagram"")=TRUE,""Instagram"",if(REGEXMATCH(C3645,""youtube"")=TRUE,""Youtube"",if(REGEXMATCH(C3645,""tiktok"")=TRUE,""Tiktok"",if("&amp;"REGEXMATCH(C3645,""threads"")=TRUE,""Threads""))))))"),"Facebook")</f>
        <v>Facebook</v>
      </c>
      <c r="G3645" s="41" t="s">
        <v>6236</v>
      </c>
      <c r="H3645" s="36"/>
      <c r="I3645" s="36"/>
      <c r="J3645" s="41" t="s">
        <v>188</v>
      </c>
      <c r="K3645" s="41" t="s">
        <v>1611</v>
      </c>
      <c r="L3645" s="42"/>
    </row>
    <row r="3646">
      <c r="A3646" s="18">
        <v>3645.0</v>
      </c>
      <c r="B3646" s="76" t="s">
        <v>6214</v>
      </c>
      <c r="C3646" s="54" t="s">
        <v>6237</v>
      </c>
      <c r="D3646" s="41"/>
      <c r="E3646" s="41" t="s">
        <v>3714</v>
      </c>
      <c r="F3646" s="18" t="str">
        <f>IFERROR(__xludf.DUMMYFUNCTION("if(REGEXMATCH(C3646,""x.com"")=TRUE,""Twitter"",if(REGEXMATCH(C3646,""facebook"")=TRUE,""Facebook"",if(REGEXMATCH(C3646,""instagram"")=TRUE,""Instagram"",if(REGEXMATCH(C3646,""youtube"")=TRUE,""Youtube"",if(REGEXMATCH(C3646,""tiktok"")=TRUE,""Tiktok"",if("&amp;"REGEXMATCH(C3646,""threads"")=TRUE,""Threads""))))))"),"Facebook")</f>
        <v>Facebook</v>
      </c>
      <c r="G3646" s="41" t="s">
        <v>6238</v>
      </c>
      <c r="H3646" s="36"/>
      <c r="I3646" s="36"/>
      <c r="J3646" s="41" t="s">
        <v>188</v>
      </c>
      <c r="K3646" s="41" t="s">
        <v>1611</v>
      </c>
      <c r="L3646" s="42"/>
    </row>
    <row r="3647">
      <c r="A3647" s="18">
        <v>3646.0</v>
      </c>
      <c r="B3647" s="76" t="s">
        <v>6214</v>
      </c>
      <c r="C3647" s="54" t="s">
        <v>6239</v>
      </c>
      <c r="D3647" s="41"/>
      <c r="E3647" s="41" t="s">
        <v>197</v>
      </c>
      <c r="F3647" s="18" t="str">
        <f>IFERROR(__xludf.DUMMYFUNCTION("if(REGEXMATCH(C3647,""x.com"")=TRUE,""Twitter"",if(REGEXMATCH(C3647,""facebook"")=TRUE,""Facebook"",if(REGEXMATCH(C3647,""instagram"")=TRUE,""Instagram"",if(REGEXMATCH(C3647,""youtube"")=TRUE,""Youtube"",if(REGEXMATCH(C3647,""tiktok"")=TRUE,""Tiktok"",if("&amp;"REGEXMATCH(C3647,""threads"")=TRUE,""Threads""))))))"),"Facebook")</f>
        <v>Facebook</v>
      </c>
      <c r="G3647" s="41" t="s">
        <v>6240</v>
      </c>
      <c r="H3647" s="36"/>
      <c r="I3647" s="36"/>
      <c r="J3647" s="41" t="s">
        <v>188</v>
      </c>
      <c r="K3647" s="41" t="s">
        <v>1611</v>
      </c>
      <c r="L3647" s="42"/>
    </row>
    <row r="3648">
      <c r="A3648" s="18">
        <v>3647.0</v>
      </c>
      <c r="B3648" s="76" t="s">
        <v>6214</v>
      </c>
      <c r="C3648" s="54" t="s">
        <v>6241</v>
      </c>
      <c r="D3648" s="41"/>
      <c r="E3648" s="41" t="s">
        <v>197</v>
      </c>
      <c r="F3648" s="18" t="str">
        <f>IFERROR(__xludf.DUMMYFUNCTION("if(REGEXMATCH(C3648,""x.com"")=TRUE,""Twitter"",if(REGEXMATCH(C3648,""facebook"")=TRUE,""Facebook"",if(REGEXMATCH(C3648,""instagram"")=TRUE,""Instagram"",if(REGEXMATCH(C3648,""youtube"")=TRUE,""Youtube"",if(REGEXMATCH(C3648,""tiktok"")=TRUE,""Tiktok"",if("&amp;"REGEXMATCH(C3648,""threads"")=TRUE,""Threads""))))))"),"Facebook")</f>
        <v>Facebook</v>
      </c>
      <c r="G3648" s="41" t="s">
        <v>6242</v>
      </c>
      <c r="H3648" s="36"/>
      <c r="I3648" s="36"/>
      <c r="J3648" s="41" t="s">
        <v>188</v>
      </c>
      <c r="K3648" s="41" t="s">
        <v>1611</v>
      </c>
      <c r="L3648" s="42"/>
    </row>
    <row r="3649">
      <c r="A3649" s="18">
        <v>3648.0</v>
      </c>
      <c r="B3649" s="76" t="s">
        <v>6214</v>
      </c>
      <c r="C3649" s="54" t="s">
        <v>6243</v>
      </c>
      <c r="D3649" s="41"/>
      <c r="E3649" s="41" t="s">
        <v>197</v>
      </c>
      <c r="F3649" s="18" t="str">
        <f>IFERROR(__xludf.DUMMYFUNCTION("if(REGEXMATCH(C3649,""x.com"")=TRUE,""Twitter"",if(REGEXMATCH(C3649,""facebook"")=TRUE,""Facebook"",if(REGEXMATCH(C3649,""instagram"")=TRUE,""Instagram"",if(REGEXMATCH(C3649,""youtube"")=TRUE,""Youtube"",if(REGEXMATCH(C3649,""tiktok"")=TRUE,""Tiktok"",if("&amp;"REGEXMATCH(C3649,""threads"")=TRUE,""Threads""))))))"),"Facebook")</f>
        <v>Facebook</v>
      </c>
      <c r="G3649" s="41" t="s">
        <v>6177</v>
      </c>
      <c r="H3649" s="36"/>
      <c r="I3649" s="36"/>
      <c r="J3649" s="41" t="s">
        <v>188</v>
      </c>
      <c r="K3649" s="41" t="s">
        <v>1611</v>
      </c>
      <c r="L3649" s="42"/>
    </row>
    <row r="3650">
      <c r="A3650" s="18">
        <v>3649.0</v>
      </c>
      <c r="B3650" s="76" t="s">
        <v>6214</v>
      </c>
      <c r="C3650" s="54" t="s">
        <v>6244</v>
      </c>
      <c r="D3650" s="41"/>
      <c r="E3650" s="41" t="s">
        <v>197</v>
      </c>
      <c r="F3650" s="18" t="str">
        <f>IFERROR(__xludf.DUMMYFUNCTION("if(REGEXMATCH(C3650,""x.com"")=TRUE,""Twitter"",if(REGEXMATCH(C3650,""facebook"")=TRUE,""Facebook"",if(REGEXMATCH(C3650,""instagram"")=TRUE,""Instagram"",if(REGEXMATCH(C3650,""youtube"")=TRUE,""Youtube"",if(REGEXMATCH(C3650,""tiktok"")=TRUE,""Tiktok"",if("&amp;"REGEXMATCH(C3650,""threads"")=TRUE,""Threads""))))))"),"Facebook")</f>
        <v>Facebook</v>
      </c>
      <c r="G3650" s="41" t="s">
        <v>6245</v>
      </c>
      <c r="H3650" s="36"/>
      <c r="I3650" s="36"/>
      <c r="J3650" s="41" t="s">
        <v>188</v>
      </c>
      <c r="K3650" s="41"/>
      <c r="L3650" s="42"/>
    </row>
    <row r="3651">
      <c r="A3651" s="18">
        <v>3650.0</v>
      </c>
      <c r="B3651" s="76" t="s">
        <v>6214</v>
      </c>
      <c r="C3651" s="54" t="s">
        <v>6246</v>
      </c>
      <c r="D3651" s="41"/>
      <c r="E3651" s="41" t="s">
        <v>197</v>
      </c>
      <c r="F3651" s="18" t="str">
        <f>IFERROR(__xludf.DUMMYFUNCTION("if(REGEXMATCH(C3651,""x.com"")=TRUE,""Twitter"",if(REGEXMATCH(C3651,""facebook"")=TRUE,""Facebook"",if(REGEXMATCH(C3651,""instagram"")=TRUE,""Instagram"",if(REGEXMATCH(C3651,""youtube"")=TRUE,""Youtube"",if(REGEXMATCH(C3651,""tiktok"")=TRUE,""Tiktok"",if("&amp;"REGEXMATCH(C3651,""threads"")=TRUE,""Threads""))))))"),"Facebook")</f>
        <v>Facebook</v>
      </c>
      <c r="G3651" s="41" t="s">
        <v>6247</v>
      </c>
      <c r="H3651" s="36"/>
      <c r="I3651" s="36"/>
      <c r="J3651" s="41" t="s">
        <v>188</v>
      </c>
      <c r="K3651" s="41"/>
      <c r="L3651" s="42"/>
    </row>
    <row r="3652">
      <c r="A3652" s="18">
        <v>3651.0</v>
      </c>
      <c r="B3652" s="76" t="s">
        <v>6214</v>
      </c>
      <c r="C3652" s="54" t="s">
        <v>6248</v>
      </c>
      <c r="D3652" s="41"/>
      <c r="E3652" s="41" t="s">
        <v>197</v>
      </c>
      <c r="F3652" s="18" t="str">
        <f>IFERROR(__xludf.DUMMYFUNCTION("if(REGEXMATCH(C3652,""x.com"")=TRUE,""Twitter"",if(REGEXMATCH(C3652,""facebook"")=TRUE,""Facebook"",if(REGEXMATCH(C3652,""instagram"")=TRUE,""Instagram"",if(REGEXMATCH(C3652,""youtube"")=TRUE,""Youtube"",if(REGEXMATCH(C3652,""tiktok"")=TRUE,""Tiktok"",if("&amp;"REGEXMATCH(C3652,""threads"")=TRUE,""Threads""))))))"),"Facebook")</f>
        <v>Facebook</v>
      </c>
      <c r="G3652" s="41" t="s">
        <v>6177</v>
      </c>
      <c r="H3652" s="36"/>
      <c r="I3652" s="36"/>
      <c r="J3652" s="41" t="s">
        <v>188</v>
      </c>
      <c r="K3652" s="41"/>
      <c r="L3652" s="42"/>
    </row>
    <row r="3653">
      <c r="A3653" s="18">
        <v>3652.0</v>
      </c>
      <c r="B3653" s="76" t="s">
        <v>6214</v>
      </c>
      <c r="C3653" s="54" t="s">
        <v>6249</v>
      </c>
      <c r="D3653" s="41"/>
      <c r="E3653" s="41" t="s">
        <v>197</v>
      </c>
      <c r="F3653" s="18" t="str">
        <f>IFERROR(__xludf.DUMMYFUNCTION("if(REGEXMATCH(C3653,""x.com"")=TRUE,""Twitter"",if(REGEXMATCH(C3653,""facebook"")=TRUE,""Facebook"",if(REGEXMATCH(C3653,""instagram"")=TRUE,""Instagram"",if(REGEXMATCH(C3653,""youtube"")=TRUE,""Youtube"",if(REGEXMATCH(C3653,""tiktok"")=TRUE,""Tiktok"",if("&amp;"REGEXMATCH(C3653,""threads"")=TRUE,""Threads""))))))"),"Facebook")</f>
        <v>Facebook</v>
      </c>
      <c r="G3653" s="41" t="s">
        <v>6250</v>
      </c>
      <c r="H3653" s="36"/>
      <c r="I3653" s="36"/>
      <c r="J3653" s="41" t="s">
        <v>188</v>
      </c>
      <c r="K3653" s="41"/>
      <c r="L3653" s="42"/>
    </row>
    <row r="3654">
      <c r="A3654" s="18">
        <v>3653.0</v>
      </c>
      <c r="B3654" s="76" t="s">
        <v>6214</v>
      </c>
      <c r="C3654" s="54" t="s">
        <v>6251</v>
      </c>
      <c r="D3654" s="41"/>
      <c r="E3654" s="41" t="s">
        <v>197</v>
      </c>
      <c r="F3654" s="18" t="str">
        <f>IFERROR(__xludf.DUMMYFUNCTION("if(REGEXMATCH(C3654,""x.com"")=TRUE,""Twitter"",if(REGEXMATCH(C3654,""facebook"")=TRUE,""Facebook"",if(REGEXMATCH(C3654,""instagram"")=TRUE,""Instagram"",if(REGEXMATCH(C3654,""youtube"")=TRUE,""Youtube"",if(REGEXMATCH(C3654,""tiktok"")=TRUE,""Tiktok"",if("&amp;"REGEXMATCH(C3654,""threads"")=TRUE,""Threads""))))))"),"Facebook")</f>
        <v>Facebook</v>
      </c>
      <c r="G3654" s="41" t="s">
        <v>6252</v>
      </c>
      <c r="H3654" s="36"/>
      <c r="I3654" s="36"/>
      <c r="J3654" s="41" t="s">
        <v>188</v>
      </c>
      <c r="K3654" s="41"/>
      <c r="L3654" s="42"/>
    </row>
    <row r="3655">
      <c r="A3655" s="18">
        <v>3654.0</v>
      </c>
      <c r="B3655" s="76" t="s">
        <v>6214</v>
      </c>
      <c r="C3655" s="54" t="s">
        <v>6253</v>
      </c>
      <c r="D3655" s="41"/>
      <c r="E3655" s="41" t="s">
        <v>197</v>
      </c>
      <c r="F3655" s="18" t="str">
        <f>IFERROR(__xludf.DUMMYFUNCTION("if(REGEXMATCH(C3655,""x.com"")=TRUE,""Twitter"",if(REGEXMATCH(C3655,""facebook"")=TRUE,""Facebook"",if(REGEXMATCH(C3655,""instagram"")=TRUE,""Instagram"",if(REGEXMATCH(C3655,""youtube"")=TRUE,""Youtube"",if(REGEXMATCH(C3655,""tiktok"")=TRUE,""Tiktok"",if("&amp;"REGEXMATCH(C3655,""threads"")=TRUE,""Threads""))))))"),"Facebook")</f>
        <v>Facebook</v>
      </c>
      <c r="G3655" s="41" t="s">
        <v>6254</v>
      </c>
      <c r="H3655" s="35"/>
      <c r="I3655" s="35"/>
      <c r="J3655" s="41" t="s">
        <v>188</v>
      </c>
      <c r="K3655" s="41"/>
      <c r="L3655" s="42"/>
    </row>
    <row r="3656">
      <c r="A3656" s="18">
        <v>3655.0</v>
      </c>
      <c r="B3656" s="76" t="s">
        <v>6255</v>
      </c>
      <c r="C3656" s="54" t="s">
        <v>6256</v>
      </c>
      <c r="D3656" s="41"/>
      <c r="E3656" s="18" t="s">
        <v>184</v>
      </c>
      <c r="F3656" s="18" t="str">
        <f>IFERROR(__xludf.DUMMYFUNCTION("if(REGEXMATCH(C3656,""x.com"")=TRUE,""Twitter"",if(REGEXMATCH(C3656,""facebook"")=TRUE,""Facebook"",if(REGEXMATCH(C3656,""instagram"")=TRUE,""Instagram"",if(REGEXMATCH(C3656,""youtube"")=TRUE,""Youtube"",if(REGEXMATCH(C3656,""tiktok"")=TRUE,""Tiktok"",if("&amp;"REGEXMATCH(C3656,""threads"")=TRUE,""Threads""))))))"),"Facebook")</f>
        <v>Facebook</v>
      </c>
      <c r="G3656" s="41" t="s">
        <v>4116</v>
      </c>
      <c r="H3656" s="18" t="s">
        <v>1974</v>
      </c>
      <c r="I3656" s="41"/>
      <c r="J3656" s="41" t="s">
        <v>188</v>
      </c>
      <c r="K3656" s="41"/>
      <c r="L3656" s="42"/>
    </row>
    <row r="3657">
      <c r="A3657" s="18">
        <v>3656.0</v>
      </c>
      <c r="B3657" s="76" t="s">
        <v>6255</v>
      </c>
      <c r="C3657" s="54" t="s">
        <v>6257</v>
      </c>
      <c r="D3657" s="41"/>
      <c r="E3657" s="18" t="s">
        <v>184</v>
      </c>
      <c r="F3657" s="18" t="str">
        <f>IFERROR(__xludf.DUMMYFUNCTION("if(REGEXMATCH(C3657,""x.com"")=TRUE,""Twitter"",if(REGEXMATCH(C3657,""facebook"")=TRUE,""Facebook"",if(REGEXMATCH(C3657,""instagram"")=TRUE,""Instagram"",if(REGEXMATCH(C3657,""youtube"")=TRUE,""Youtube"",if(REGEXMATCH(C3657,""tiktok"")=TRUE,""Tiktok"",if("&amp;"REGEXMATCH(C3657,""threads"")=TRUE,""Threads""))))))"),"Facebook")</f>
        <v>Facebook</v>
      </c>
      <c r="G3657" s="41" t="s">
        <v>4116</v>
      </c>
      <c r="H3657" s="18" t="s">
        <v>1974</v>
      </c>
      <c r="I3657" s="18"/>
      <c r="J3657" s="41" t="s">
        <v>188</v>
      </c>
      <c r="K3657" s="41"/>
      <c r="L3657" s="42"/>
    </row>
    <row r="3658">
      <c r="A3658" s="18">
        <v>3657.0</v>
      </c>
      <c r="B3658" s="76" t="s">
        <v>6255</v>
      </c>
      <c r="C3658" s="54" t="s">
        <v>6258</v>
      </c>
      <c r="D3658" s="41"/>
      <c r="E3658" s="41" t="s">
        <v>230</v>
      </c>
      <c r="F3658" s="18" t="str">
        <f>IFERROR(__xludf.DUMMYFUNCTION("if(REGEXMATCH(C3658,""x.com"")=TRUE,""Twitter"",if(REGEXMATCH(C3658,""facebook"")=TRUE,""Facebook"",if(REGEXMATCH(C3658,""instagram"")=TRUE,""Instagram"",if(REGEXMATCH(C3658,""youtube"")=TRUE,""Youtube"",if(REGEXMATCH(C3658,""tiktok"")=TRUE,""Tiktok"",if("&amp;"REGEXMATCH(C3658,""threads"")=TRUE,""Threads""))))))"),"Facebook")</f>
        <v>Facebook</v>
      </c>
      <c r="G3658" s="41" t="s">
        <v>6259</v>
      </c>
      <c r="H3658" s="43" t="s">
        <v>779</v>
      </c>
      <c r="I3658" s="43" t="s">
        <v>535</v>
      </c>
      <c r="J3658" s="41" t="s">
        <v>188</v>
      </c>
      <c r="K3658" s="41"/>
      <c r="L3658" s="42"/>
    </row>
    <row r="3659">
      <c r="A3659" s="18">
        <v>3658.0</v>
      </c>
      <c r="B3659" s="76" t="s">
        <v>6255</v>
      </c>
      <c r="C3659" s="54" t="s">
        <v>6260</v>
      </c>
      <c r="D3659" s="41"/>
      <c r="E3659" s="41" t="s">
        <v>372</v>
      </c>
      <c r="F3659" s="18" t="str">
        <f>IFERROR(__xludf.DUMMYFUNCTION("if(REGEXMATCH(C3659,""x.com"")=TRUE,""Twitter"",if(REGEXMATCH(C3659,""facebook"")=TRUE,""Facebook"",if(REGEXMATCH(C3659,""instagram"")=TRUE,""Instagram"",if(REGEXMATCH(C3659,""youtube"")=TRUE,""Youtube"",if(REGEXMATCH(C3659,""tiktok"")=TRUE,""Tiktok"",if("&amp;"REGEXMATCH(C3659,""threads"")=TRUE,""Threads""))))))"),"Facebook")</f>
        <v>Facebook</v>
      </c>
      <c r="G3659" s="41" t="s">
        <v>6261</v>
      </c>
      <c r="H3659" s="36"/>
      <c r="I3659" s="36"/>
      <c r="J3659" s="41" t="s">
        <v>188</v>
      </c>
      <c r="K3659" s="41"/>
      <c r="L3659" s="42"/>
    </row>
    <row r="3660">
      <c r="A3660" s="18">
        <v>3659.0</v>
      </c>
      <c r="B3660" s="76" t="s">
        <v>6255</v>
      </c>
      <c r="C3660" s="54" t="s">
        <v>6262</v>
      </c>
      <c r="D3660" s="41"/>
      <c r="E3660" s="41" t="s">
        <v>447</v>
      </c>
      <c r="F3660" s="18" t="str">
        <f>IFERROR(__xludf.DUMMYFUNCTION("if(REGEXMATCH(C3660,""x.com"")=TRUE,""Twitter"",if(REGEXMATCH(C3660,""facebook"")=TRUE,""Facebook"",if(REGEXMATCH(C3660,""instagram"")=TRUE,""Instagram"",if(REGEXMATCH(C3660,""youtube"")=TRUE,""Youtube"",if(REGEXMATCH(C3660,""tiktok"")=TRUE,""Tiktok"",if("&amp;"REGEXMATCH(C3660,""threads"")=TRUE,""Threads""))))))"),"Facebook")</f>
        <v>Facebook</v>
      </c>
      <c r="G3660" s="41" t="s">
        <v>6263</v>
      </c>
      <c r="H3660" s="36"/>
      <c r="I3660" s="36"/>
      <c r="J3660" s="41" t="s">
        <v>188</v>
      </c>
      <c r="K3660" s="41"/>
      <c r="L3660" s="42"/>
    </row>
    <row r="3661">
      <c r="A3661" s="18">
        <v>3660.0</v>
      </c>
      <c r="B3661" s="76" t="s">
        <v>6255</v>
      </c>
      <c r="C3661" s="54" t="s">
        <v>6264</v>
      </c>
      <c r="D3661" s="41"/>
      <c r="E3661" s="41" t="s">
        <v>447</v>
      </c>
      <c r="F3661" s="18" t="str">
        <f>IFERROR(__xludf.DUMMYFUNCTION("if(REGEXMATCH(C3661,""x.com"")=TRUE,""Twitter"",if(REGEXMATCH(C3661,""facebook"")=TRUE,""Facebook"",if(REGEXMATCH(C3661,""instagram"")=TRUE,""Instagram"",if(REGEXMATCH(C3661,""youtube"")=TRUE,""Youtube"",if(REGEXMATCH(C3661,""tiktok"")=TRUE,""Tiktok"",if("&amp;"REGEXMATCH(C3661,""threads"")=TRUE,""Threads""))))))"),"Facebook")</f>
        <v>Facebook</v>
      </c>
      <c r="G3661" s="41" t="s">
        <v>6265</v>
      </c>
      <c r="H3661" s="36"/>
      <c r="I3661" s="36"/>
      <c r="J3661" s="41" t="s">
        <v>188</v>
      </c>
      <c r="K3661" s="41"/>
      <c r="L3661" s="42"/>
    </row>
    <row r="3662">
      <c r="A3662" s="18">
        <v>3661.0</v>
      </c>
      <c r="B3662" s="76" t="s">
        <v>6255</v>
      </c>
      <c r="C3662" s="54" t="s">
        <v>6266</v>
      </c>
      <c r="D3662" s="41"/>
      <c r="E3662" s="41" t="s">
        <v>447</v>
      </c>
      <c r="F3662" s="18" t="str">
        <f>IFERROR(__xludf.DUMMYFUNCTION("if(REGEXMATCH(C3662,""x.com"")=TRUE,""Twitter"",if(REGEXMATCH(C3662,""facebook"")=TRUE,""Facebook"",if(REGEXMATCH(C3662,""instagram"")=TRUE,""Instagram"",if(REGEXMATCH(C3662,""youtube"")=TRUE,""Youtube"",if(REGEXMATCH(C3662,""tiktok"")=TRUE,""Tiktok"",if("&amp;"REGEXMATCH(C3662,""threads"")=TRUE,""Threads""))))))"),"Youtube")</f>
        <v>Youtube</v>
      </c>
      <c r="G3662" s="41" t="s">
        <v>6267</v>
      </c>
      <c r="H3662" s="36"/>
      <c r="I3662" s="36"/>
      <c r="J3662" s="41" t="s">
        <v>188</v>
      </c>
      <c r="K3662" s="41"/>
      <c r="L3662" s="42"/>
    </row>
    <row r="3663">
      <c r="A3663" s="18">
        <v>3662.0</v>
      </c>
      <c r="B3663" s="76" t="s">
        <v>6255</v>
      </c>
      <c r="C3663" s="54" t="s">
        <v>6268</v>
      </c>
      <c r="D3663" s="41"/>
      <c r="E3663" s="41" t="s">
        <v>230</v>
      </c>
      <c r="F3663" s="18" t="str">
        <f>IFERROR(__xludf.DUMMYFUNCTION("if(REGEXMATCH(C3663,""x.com"")=TRUE,""Twitter"",if(REGEXMATCH(C3663,""facebook"")=TRUE,""Facebook"",if(REGEXMATCH(C3663,""instagram"")=TRUE,""Instagram"",if(REGEXMATCH(C3663,""youtube"")=TRUE,""Youtube"",if(REGEXMATCH(C3663,""tiktok"")=TRUE,""Tiktok"",if("&amp;"REGEXMATCH(C3663,""threads"")=TRUE,""Threads""))))))"),"Facebook")</f>
        <v>Facebook</v>
      </c>
      <c r="G3663" s="41" t="s">
        <v>6269</v>
      </c>
      <c r="H3663" s="36"/>
      <c r="I3663" s="36"/>
      <c r="J3663" s="41" t="s">
        <v>422</v>
      </c>
      <c r="K3663" s="41" t="s">
        <v>321</v>
      </c>
      <c r="L3663" s="42"/>
    </row>
    <row r="3664">
      <c r="A3664" s="18">
        <v>3663.0</v>
      </c>
      <c r="B3664" s="76" t="s">
        <v>6255</v>
      </c>
      <c r="C3664" s="54" t="s">
        <v>6270</v>
      </c>
      <c r="D3664" s="41"/>
      <c r="E3664" s="41" t="s">
        <v>5945</v>
      </c>
      <c r="F3664" s="18" t="str">
        <f>IFERROR(__xludf.DUMMYFUNCTION("if(REGEXMATCH(C3664,""x.com"")=TRUE,""Twitter"",if(REGEXMATCH(C3664,""facebook"")=TRUE,""Facebook"",if(REGEXMATCH(C3664,""instagram"")=TRUE,""Instagram"",if(REGEXMATCH(C3664,""youtube"")=TRUE,""Youtube"",if(REGEXMATCH(C3664,""tiktok"")=TRUE,""Tiktok"",if("&amp;"REGEXMATCH(C3664,""threads"")=TRUE,""Threads""))))))"),"Tiktok")</f>
        <v>Tiktok</v>
      </c>
      <c r="G3664" s="44" t="s">
        <v>6271</v>
      </c>
      <c r="H3664" s="36"/>
      <c r="I3664" s="36"/>
      <c r="J3664" s="41" t="s">
        <v>188</v>
      </c>
      <c r="K3664" s="41"/>
      <c r="L3664" s="42"/>
    </row>
    <row r="3665">
      <c r="A3665" s="18">
        <v>3664.0</v>
      </c>
      <c r="B3665" s="76" t="s">
        <v>6255</v>
      </c>
      <c r="C3665" s="54" t="s">
        <v>6272</v>
      </c>
      <c r="D3665" s="41"/>
      <c r="E3665" s="41" t="s">
        <v>557</v>
      </c>
      <c r="F3665" s="18" t="str">
        <f>IFERROR(__xludf.DUMMYFUNCTION("if(REGEXMATCH(C3665,""x.com"")=TRUE,""Twitter"",if(REGEXMATCH(C3665,""facebook"")=TRUE,""Facebook"",if(REGEXMATCH(C3665,""instagram"")=TRUE,""Instagram"",if(REGEXMATCH(C3665,""youtube"")=TRUE,""Youtube"",if(REGEXMATCH(C3665,""tiktok"")=TRUE,""Tiktok"",if("&amp;"REGEXMATCH(C3665,""threads"")=TRUE,""Threads""))))))"),"Facebook")</f>
        <v>Facebook</v>
      </c>
      <c r="G3665" s="41" t="s">
        <v>6273</v>
      </c>
      <c r="H3665" s="36"/>
      <c r="I3665" s="36"/>
      <c r="J3665" s="41" t="s">
        <v>422</v>
      </c>
      <c r="K3665" s="41" t="s">
        <v>6274</v>
      </c>
      <c r="L3665" s="42"/>
    </row>
    <row r="3666">
      <c r="A3666" s="18">
        <v>3665.0</v>
      </c>
      <c r="B3666" s="76" t="s">
        <v>6255</v>
      </c>
      <c r="C3666" s="54" t="s">
        <v>6275</v>
      </c>
      <c r="D3666" s="41"/>
      <c r="E3666" s="41" t="s">
        <v>557</v>
      </c>
      <c r="F3666" s="18" t="str">
        <f>IFERROR(__xludf.DUMMYFUNCTION("if(REGEXMATCH(C3666,""x.com"")=TRUE,""Twitter"",if(REGEXMATCH(C3666,""facebook"")=TRUE,""Facebook"",if(REGEXMATCH(C3666,""instagram"")=TRUE,""Instagram"",if(REGEXMATCH(C3666,""youtube"")=TRUE,""Youtube"",if(REGEXMATCH(C3666,""tiktok"")=TRUE,""Tiktok"",if("&amp;"REGEXMATCH(C3666,""threads"")=TRUE,""Threads""))))))"),"Facebook")</f>
        <v>Facebook</v>
      </c>
      <c r="G3666" s="41" t="s">
        <v>6276</v>
      </c>
      <c r="H3666" s="36"/>
      <c r="I3666" s="36"/>
      <c r="J3666" s="41" t="s">
        <v>422</v>
      </c>
      <c r="K3666" s="41" t="s">
        <v>6274</v>
      </c>
      <c r="L3666" s="42"/>
    </row>
    <row r="3667">
      <c r="A3667" s="18">
        <v>3666.0</v>
      </c>
      <c r="B3667" s="76" t="s">
        <v>6255</v>
      </c>
      <c r="C3667" s="54" t="s">
        <v>6277</v>
      </c>
      <c r="D3667" s="41"/>
      <c r="E3667" s="41" t="s">
        <v>197</v>
      </c>
      <c r="F3667" s="18" t="str">
        <f>IFERROR(__xludf.DUMMYFUNCTION("if(REGEXMATCH(C3667,""x.com"")=TRUE,""Twitter"",if(REGEXMATCH(C3667,""facebook"")=TRUE,""Facebook"",if(REGEXMATCH(C3667,""instagram"")=TRUE,""Instagram"",if(REGEXMATCH(C3667,""youtube"")=TRUE,""Youtube"",if(REGEXMATCH(C3667,""tiktok"")=TRUE,""Tiktok"",if("&amp;"REGEXMATCH(C3667,""threads"")=TRUE,""Threads""))))))"),"Facebook")</f>
        <v>Facebook</v>
      </c>
      <c r="G3667" s="41" t="s">
        <v>6278</v>
      </c>
      <c r="H3667" s="36"/>
      <c r="I3667" s="36"/>
      <c r="J3667" s="41" t="s">
        <v>422</v>
      </c>
      <c r="K3667" s="41" t="s">
        <v>6274</v>
      </c>
      <c r="L3667" s="42"/>
    </row>
    <row r="3668">
      <c r="A3668" s="18">
        <v>3667.0</v>
      </c>
      <c r="B3668" s="76" t="s">
        <v>6255</v>
      </c>
      <c r="C3668" s="54" t="s">
        <v>6279</v>
      </c>
      <c r="D3668" s="41"/>
      <c r="E3668" s="41" t="s">
        <v>447</v>
      </c>
      <c r="F3668" s="18" t="str">
        <f>IFERROR(__xludf.DUMMYFUNCTION("if(REGEXMATCH(C3668,""x.com"")=TRUE,""Twitter"",if(REGEXMATCH(C3668,""facebook"")=TRUE,""Facebook"",if(REGEXMATCH(C3668,""instagram"")=TRUE,""Instagram"",if(REGEXMATCH(C3668,""youtube"")=TRUE,""Youtube"",if(REGEXMATCH(C3668,""tiktok"")=TRUE,""Tiktok"",if("&amp;"REGEXMATCH(C3668,""threads"")=TRUE,""Threads""))))))"),"Twitter")</f>
        <v>Twitter</v>
      </c>
      <c r="G3668" s="41" t="s">
        <v>6280</v>
      </c>
      <c r="H3668" s="36"/>
      <c r="I3668" s="36"/>
      <c r="J3668" s="41" t="s">
        <v>422</v>
      </c>
      <c r="K3668" s="41" t="s">
        <v>6274</v>
      </c>
      <c r="L3668" s="42"/>
    </row>
    <row r="3669">
      <c r="A3669" s="18">
        <v>3668.0</v>
      </c>
      <c r="B3669" s="76" t="s">
        <v>6255</v>
      </c>
      <c r="C3669" s="54" t="s">
        <v>6281</v>
      </c>
      <c r="D3669" s="41"/>
      <c r="E3669" s="41" t="s">
        <v>447</v>
      </c>
      <c r="F3669" s="18" t="str">
        <f>IFERROR(__xludf.DUMMYFUNCTION("if(REGEXMATCH(C3669,""x.com"")=TRUE,""Twitter"",if(REGEXMATCH(C3669,""facebook"")=TRUE,""Facebook"",if(REGEXMATCH(C3669,""instagram"")=TRUE,""Instagram"",if(REGEXMATCH(C3669,""youtube"")=TRUE,""Youtube"",if(REGEXMATCH(C3669,""tiktok"")=TRUE,""Tiktok"",if("&amp;"REGEXMATCH(C3669,""threads"")=TRUE,""Threads""))))))"),"Twitter")</f>
        <v>Twitter</v>
      </c>
      <c r="G3669" s="41" t="s">
        <v>6282</v>
      </c>
      <c r="H3669" s="36"/>
      <c r="I3669" s="36"/>
      <c r="J3669" s="41" t="s">
        <v>422</v>
      </c>
      <c r="K3669" s="41" t="s">
        <v>6274</v>
      </c>
      <c r="L3669" s="42"/>
    </row>
    <row r="3670">
      <c r="A3670" s="18">
        <v>3669.0</v>
      </c>
      <c r="B3670" s="76" t="s">
        <v>6255</v>
      </c>
      <c r="C3670" s="54" t="s">
        <v>6283</v>
      </c>
      <c r="D3670" s="41"/>
      <c r="E3670" s="41" t="s">
        <v>447</v>
      </c>
      <c r="F3670" s="18" t="str">
        <f>IFERROR(__xludf.DUMMYFUNCTION("if(REGEXMATCH(C3670,""x.com"")=TRUE,""Twitter"",if(REGEXMATCH(C3670,""facebook"")=TRUE,""Facebook"",if(REGEXMATCH(C3670,""instagram"")=TRUE,""Instagram"",if(REGEXMATCH(C3670,""youtube"")=TRUE,""Youtube"",if(REGEXMATCH(C3670,""tiktok"")=TRUE,""Tiktok"",if("&amp;"REGEXMATCH(C3670,""threads"")=TRUE,""Threads""))))))"),"Twitter")</f>
        <v>Twitter</v>
      </c>
      <c r="G3670" s="41" t="s">
        <v>6284</v>
      </c>
      <c r="H3670" s="36"/>
      <c r="I3670" s="36"/>
      <c r="J3670" s="41" t="s">
        <v>422</v>
      </c>
      <c r="K3670" s="41" t="s">
        <v>6274</v>
      </c>
      <c r="L3670" s="42"/>
    </row>
    <row r="3671">
      <c r="A3671" s="18">
        <v>3670.0</v>
      </c>
      <c r="B3671" s="76" t="s">
        <v>6255</v>
      </c>
      <c r="C3671" s="54" t="s">
        <v>6285</v>
      </c>
      <c r="D3671" s="41"/>
      <c r="E3671" s="41" t="s">
        <v>197</v>
      </c>
      <c r="F3671" s="18" t="str">
        <f>IFERROR(__xludf.DUMMYFUNCTION("if(REGEXMATCH(C3671,""x.com"")=TRUE,""Twitter"",if(REGEXMATCH(C3671,""facebook"")=TRUE,""Facebook"",if(REGEXMATCH(C3671,""instagram"")=TRUE,""Instagram"",if(REGEXMATCH(C3671,""youtube"")=TRUE,""Youtube"",if(REGEXMATCH(C3671,""tiktok"")=TRUE,""Tiktok"",if("&amp;"REGEXMATCH(C3671,""threads"")=TRUE,""Threads""))))))"),"Twitter")</f>
        <v>Twitter</v>
      </c>
      <c r="G3671" s="41" t="s">
        <v>6286</v>
      </c>
      <c r="H3671" s="35"/>
      <c r="I3671" s="35"/>
      <c r="J3671" s="41" t="s">
        <v>422</v>
      </c>
      <c r="K3671" s="41" t="s">
        <v>6274</v>
      </c>
      <c r="L3671" s="42"/>
    </row>
    <row r="3672">
      <c r="A3672" s="18">
        <v>3671.0</v>
      </c>
      <c r="B3672" s="76" t="s">
        <v>6255</v>
      </c>
      <c r="C3672" s="54" t="s">
        <v>6287</v>
      </c>
      <c r="D3672" s="41"/>
      <c r="E3672" s="41" t="s">
        <v>197</v>
      </c>
      <c r="F3672" s="18" t="str">
        <f>IFERROR(__xludf.DUMMYFUNCTION("if(REGEXMATCH(C3672,""x.com"")=TRUE,""Twitter"",if(REGEXMATCH(C3672,""facebook"")=TRUE,""Facebook"",if(REGEXMATCH(C3672,""instagram"")=TRUE,""Instagram"",if(REGEXMATCH(C3672,""youtube"")=TRUE,""Youtube"",if(REGEXMATCH(C3672,""tiktok"")=TRUE,""Tiktok"",if("&amp;"REGEXMATCH(C3672,""threads"")=TRUE,""Threads""))))))"),"Twitter")</f>
        <v>Twitter</v>
      </c>
      <c r="G3672" s="41" t="s">
        <v>6288</v>
      </c>
      <c r="H3672" s="41"/>
      <c r="I3672" s="41"/>
      <c r="J3672" s="41" t="s">
        <v>422</v>
      </c>
      <c r="K3672" s="41" t="s">
        <v>6274</v>
      </c>
      <c r="L3672" s="42"/>
    </row>
    <row r="3673">
      <c r="A3673" s="18">
        <v>3672.0</v>
      </c>
      <c r="B3673" s="76" t="s">
        <v>6255</v>
      </c>
      <c r="C3673" s="54" t="s">
        <v>6289</v>
      </c>
      <c r="D3673" s="41"/>
      <c r="E3673" s="41" t="s">
        <v>6290</v>
      </c>
      <c r="F3673" s="18" t="str">
        <f>IFERROR(__xludf.DUMMYFUNCTION("if(REGEXMATCH(C3673,""x.com"")=TRUE,""Twitter"",if(REGEXMATCH(C3673,""facebook"")=TRUE,""Facebook"",if(REGEXMATCH(C3673,""instagram"")=TRUE,""Instagram"",if(REGEXMATCH(C3673,""youtube"")=TRUE,""Youtube"",if(REGEXMATCH(C3673,""tiktok"")=TRUE,""Tiktok"",if("&amp;"REGEXMATCH(C3673,""threads"")=TRUE,""Threads""))))))"),"Tiktok")</f>
        <v>Tiktok</v>
      </c>
      <c r="G3673" s="41" t="s">
        <v>6291</v>
      </c>
      <c r="H3673" s="41"/>
      <c r="I3673" s="41"/>
      <c r="J3673" s="41" t="s">
        <v>422</v>
      </c>
      <c r="K3673" s="41" t="s">
        <v>6274</v>
      </c>
      <c r="L3673" s="42"/>
    </row>
    <row r="3674">
      <c r="A3674" s="18">
        <v>3673.0</v>
      </c>
      <c r="B3674" s="76" t="s">
        <v>6255</v>
      </c>
      <c r="C3674" s="54" t="s">
        <v>6292</v>
      </c>
      <c r="D3674" s="41"/>
      <c r="E3674" s="41" t="s">
        <v>197</v>
      </c>
      <c r="F3674" s="18" t="str">
        <f>IFERROR(__xludf.DUMMYFUNCTION("if(REGEXMATCH(C3674,""x.com"")=TRUE,""Twitter"",if(REGEXMATCH(C3674,""facebook"")=TRUE,""Facebook"",if(REGEXMATCH(C3674,""instagram"")=TRUE,""Instagram"",if(REGEXMATCH(C3674,""youtube"")=TRUE,""Youtube"",if(REGEXMATCH(C3674,""tiktok"")=TRUE,""Tiktok"",if("&amp;"REGEXMATCH(C3674,""threads"")=TRUE,""Threads""))))))"),"Tiktok")</f>
        <v>Tiktok</v>
      </c>
      <c r="G3674" s="41" t="s">
        <v>6293</v>
      </c>
      <c r="H3674" s="41"/>
      <c r="I3674" s="41"/>
      <c r="J3674" s="41" t="s">
        <v>422</v>
      </c>
      <c r="K3674" s="41" t="s">
        <v>6274</v>
      </c>
      <c r="L3674" s="42"/>
    </row>
    <row r="3675">
      <c r="A3675" s="18">
        <v>3674.0</v>
      </c>
      <c r="B3675" s="76" t="s">
        <v>6255</v>
      </c>
      <c r="C3675" s="54" t="s">
        <v>6294</v>
      </c>
      <c r="D3675" s="41"/>
      <c r="E3675" s="41" t="s">
        <v>222</v>
      </c>
      <c r="F3675" s="18" t="str">
        <f>IFERROR(__xludf.DUMMYFUNCTION("if(REGEXMATCH(C3675,""x.com"")=TRUE,""Twitter"",if(REGEXMATCH(C3675,""facebook"")=TRUE,""Facebook"",if(REGEXMATCH(C3675,""instagram"")=TRUE,""Instagram"",if(REGEXMATCH(C3675,""youtube"")=TRUE,""Youtube"",if(REGEXMATCH(C3675,""tiktok"")=TRUE,""Tiktok"",if("&amp;"REGEXMATCH(C3675,""threads"")=TRUE,""Threads""))))))"),"Tiktok")</f>
        <v>Tiktok</v>
      </c>
      <c r="G3675" s="41" t="s">
        <v>6295</v>
      </c>
      <c r="H3675" s="41"/>
      <c r="I3675" s="41"/>
      <c r="J3675" s="41" t="s">
        <v>422</v>
      </c>
      <c r="K3675" s="41" t="s">
        <v>6274</v>
      </c>
      <c r="L3675" s="42"/>
    </row>
    <row r="3676">
      <c r="A3676" s="18">
        <v>3675.0</v>
      </c>
      <c r="B3676" s="76" t="s">
        <v>6255</v>
      </c>
      <c r="C3676" s="54" t="s">
        <v>6296</v>
      </c>
      <c r="D3676" s="41"/>
      <c r="E3676" s="41" t="s">
        <v>447</v>
      </c>
      <c r="F3676" s="18" t="str">
        <f>IFERROR(__xludf.DUMMYFUNCTION("if(REGEXMATCH(C3676,""x.com"")=TRUE,""Twitter"",if(REGEXMATCH(C3676,""facebook"")=TRUE,""Facebook"",if(REGEXMATCH(C3676,""instagram"")=TRUE,""Instagram"",if(REGEXMATCH(C3676,""youtube"")=TRUE,""Youtube"",if(REGEXMATCH(C3676,""tiktok"")=TRUE,""Tiktok"",if("&amp;"REGEXMATCH(C3676,""threads"")=TRUE,""Threads""))))))"),"Tiktok")</f>
        <v>Tiktok</v>
      </c>
      <c r="G3676" s="41" t="s">
        <v>6297</v>
      </c>
      <c r="H3676" s="41"/>
      <c r="I3676" s="41"/>
      <c r="J3676" s="41" t="s">
        <v>422</v>
      </c>
      <c r="K3676" s="41" t="s">
        <v>6274</v>
      </c>
      <c r="L3676" s="42"/>
    </row>
    <row r="3677">
      <c r="A3677" s="18">
        <v>3676.0</v>
      </c>
      <c r="B3677" s="76" t="s">
        <v>6298</v>
      </c>
      <c r="C3677" s="68" t="s">
        <v>6299</v>
      </c>
      <c r="D3677" s="41"/>
      <c r="E3677" s="85" t="s">
        <v>2820</v>
      </c>
      <c r="F3677" s="18" t="str">
        <f>IFERROR(__xludf.DUMMYFUNCTION("if(REGEXMATCH(C3677,""x.com"")=TRUE,""Twitter"",if(REGEXMATCH(C3677,""facebook"")=TRUE,""Facebook"",if(REGEXMATCH(C3677,""instagram"")=TRUE,""Instagram"",if(REGEXMATCH(C3677,""youtube"")=TRUE,""Youtube"",if(REGEXMATCH(C3677,""tiktok"")=TRUE,""Tiktok"",if("&amp;"REGEXMATCH(C3677,""threads"")=TRUE,""Threads""))))))"),"Tiktok")</f>
        <v>Tiktok</v>
      </c>
      <c r="G3677" s="41" t="s">
        <v>6300</v>
      </c>
      <c r="H3677" s="41"/>
      <c r="I3677" s="41"/>
      <c r="J3677" s="41" t="s">
        <v>188</v>
      </c>
      <c r="K3677" s="41" t="s">
        <v>1611</v>
      </c>
      <c r="L3677" s="42"/>
    </row>
    <row r="3678">
      <c r="A3678" s="18">
        <v>3677.0</v>
      </c>
      <c r="B3678" s="76" t="s">
        <v>6298</v>
      </c>
      <c r="C3678" s="68" t="s">
        <v>6301</v>
      </c>
      <c r="D3678" s="41"/>
      <c r="E3678" s="85" t="s">
        <v>372</v>
      </c>
      <c r="F3678" s="18" t="str">
        <f>IFERROR(__xludf.DUMMYFUNCTION("if(REGEXMATCH(C3678,""x.com"")=TRUE,""Twitter"",if(REGEXMATCH(C3678,""facebook"")=TRUE,""Facebook"",if(REGEXMATCH(C3678,""instagram"")=TRUE,""Instagram"",if(REGEXMATCH(C3678,""youtube"")=TRUE,""Youtube"",if(REGEXMATCH(C3678,""tiktok"")=TRUE,""Tiktok"",if("&amp;"REGEXMATCH(C3678,""threads"")=TRUE,""Threads""))))))"),"Facebook")</f>
        <v>Facebook</v>
      </c>
      <c r="G3678" s="41" t="s">
        <v>6302</v>
      </c>
      <c r="H3678" s="41"/>
      <c r="I3678" s="41"/>
      <c r="J3678" s="41" t="s">
        <v>188</v>
      </c>
      <c r="K3678" s="41" t="s">
        <v>1611</v>
      </c>
      <c r="L3678" s="42"/>
    </row>
    <row r="3679">
      <c r="A3679" s="18">
        <v>3678.0</v>
      </c>
      <c r="B3679" s="76" t="s">
        <v>6298</v>
      </c>
      <c r="C3679" s="68" t="s">
        <v>6303</v>
      </c>
      <c r="D3679" s="41"/>
      <c r="E3679" s="85" t="s">
        <v>447</v>
      </c>
      <c r="F3679" s="18" t="str">
        <f>IFERROR(__xludf.DUMMYFUNCTION("if(REGEXMATCH(C3679,""x.com"")=TRUE,""Twitter"",if(REGEXMATCH(C3679,""facebook"")=TRUE,""Facebook"",if(REGEXMATCH(C3679,""instagram"")=TRUE,""Instagram"",if(REGEXMATCH(C3679,""youtube"")=TRUE,""Youtube"",if(REGEXMATCH(C3679,""tiktok"")=TRUE,""Tiktok"",if("&amp;"REGEXMATCH(C3679,""threads"")=TRUE,""Threads""))))))"),"Tiktok")</f>
        <v>Tiktok</v>
      </c>
      <c r="G3679" s="41" t="s">
        <v>6304</v>
      </c>
      <c r="H3679" s="41"/>
      <c r="I3679" s="41"/>
      <c r="J3679" s="41" t="s">
        <v>188</v>
      </c>
      <c r="K3679" s="41" t="s">
        <v>1611</v>
      </c>
      <c r="L3679" s="42"/>
    </row>
    <row r="3680">
      <c r="A3680" s="18">
        <v>3679.0</v>
      </c>
      <c r="B3680" s="76" t="s">
        <v>6298</v>
      </c>
      <c r="C3680" s="68" t="s">
        <v>6305</v>
      </c>
      <c r="D3680" s="41"/>
      <c r="E3680" s="85" t="s">
        <v>447</v>
      </c>
      <c r="F3680" s="18" t="str">
        <f>IFERROR(__xludf.DUMMYFUNCTION("if(REGEXMATCH(C3680,""x.com"")=TRUE,""Twitter"",if(REGEXMATCH(C3680,""facebook"")=TRUE,""Facebook"",if(REGEXMATCH(C3680,""instagram"")=TRUE,""Instagram"",if(REGEXMATCH(C3680,""youtube"")=TRUE,""Youtube"",if(REGEXMATCH(C3680,""tiktok"")=TRUE,""Tiktok"",if("&amp;"REGEXMATCH(C3680,""threads"")=TRUE,""Threads""))))))"),"Facebook")</f>
        <v>Facebook</v>
      </c>
      <c r="G3680" s="44" t="s">
        <v>6306</v>
      </c>
      <c r="H3680" s="41"/>
      <c r="I3680" s="41"/>
      <c r="J3680" s="41" t="s">
        <v>188</v>
      </c>
      <c r="K3680" s="41" t="s">
        <v>1611</v>
      </c>
      <c r="L3680" s="42"/>
    </row>
    <row r="3681">
      <c r="A3681" s="18">
        <v>3680.0</v>
      </c>
      <c r="B3681" s="76" t="s">
        <v>6298</v>
      </c>
      <c r="C3681" s="68" t="s">
        <v>6307</v>
      </c>
      <c r="D3681" s="41"/>
      <c r="E3681" s="85" t="s">
        <v>230</v>
      </c>
      <c r="F3681" s="18" t="str">
        <f>IFERROR(__xludf.DUMMYFUNCTION("if(REGEXMATCH(C3681,""x.com"")=TRUE,""Twitter"",if(REGEXMATCH(C3681,""facebook"")=TRUE,""Facebook"",if(REGEXMATCH(C3681,""instagram"")=TRUE,""Instagram"",if(REGEXMATCH(C3681,""youtube"")=TRUE,""Youtube"",if(REGEXMATCH(C3681,""tiktok"")=TRUE,""Tiktok"",if("&amp;"REGEXMATCH(C3681,""threads"")=TRUE,""Threads""))))))"),"Facebook")</f>
        <v>Facebook</v>
      </c>
      <c r="G3681" s="41" t="s">
        <v>6308</v>
      </c>
      <c r="H3681" s="41"/>
      <c r="I3681" s="41"/>
      <c r="J3681" s="41" t="s">
        <v>188</v>
      </c>
      <c r="K3681" s="41" t="s">
        <v>1611</v>
      </c>
      <c r="L3681" s="42"/>
    </row>
    <row r="3682">
      <c r="A3682" s="18">
        <v>3681.0</v>
      </c>
      <c r="B3682" s="76" t="s">
        <v>6298</v>
      </c>
      <c r="C3682" s="68" t="s">
        <v>6309</v>
      </c>
      <c r="D3682" s="41"/>
      <c r="E3682" s="85" t="s">
        <v>230</v>
      </c>
      <c r="F3682" s="18" t="str">
        <f>IFERROR(__xludf.DUMMYFUNCTION("if(REGEXMATCH(C3682,""x.com"")=TRUE,""Twitter"",if(REGEXMATCH(C3682,""facebook"")=TRUE,""Facebook"",if(REGEXMATCH(C3682,""instagram"")=TRUE,""Instagram"",if(REGEXMATCH(C3682,""youtube"")=TRUE,""Youtube"",if(REGEXMATCH(C3682,""tiktok"")=TRUE,""Tiktok"",if("&amp;"REGEXMATCH(C3682,""threads"")=TRUE,""Threads""))))))"),"Facebook")</f>
        <v>Facebook</v>
      </c>
      <c r="G3682" s="41" t="s">
        <v>6310</v>
      </c>
      <c r="H3682" s="41"/>
      <c r="I3682" s="41"/>
      <c r="J3682" s="41" t="s">
        <v>188</v>
      </c>
      <c r="K3682" s="41" t="s">
        <v>1611</v>
      </c>
      <c r="L3682" s="42"/>
    </row>
    <row r="3683">
      <c r="A3683" s="18">
        <v>3682.0</v>
      </c>
      <c r="B3683" s="76" t="s">
        <v>6298</v>
      </c>
      <c r="C3683" s="68" t="s">
        <v>6311</v>
      </c>
      <c r="D3683" s="41"/>
      <c r="E3683" s="85" t="s">
        <v>4555</v>
      </c>
      <c r="F3683" s="18" t="str">
        <f>IFERROR(__xludf.DUMMYFUNCTION("if(REGEXMATCH(C3683,""x.com"")=TRUE,""Twitter"",if(REGEXMATCH(C3683,""facebook"")=TRUE,""Facebook"",if(REGEXMATCH(C3683,""instagram"")=TRUE,""Instagram"",if(REGEXMATCH(C3683,""youtube"")=TRUE,""Youtube"",if(REGEXMATCH(C3683,""tiktok"")=TRUE,""Tiktok"",if("&amp;"REGEXMATCH(C3683,""threads"")=TRUE,""Threads""))))))"),"Tiktok")</f>
        <v>Tiktok</v>
      </c>
      <c r="G3683" s="41" t="s">
        <v>6265</v>
      </c>
      <c r="H3683" s="41"/>
      <c r="I3683" s="41"/>
      <c r="J3683" s="41" t="s">
        <v>188</v>
      </c>
      <c r="K3683" s="41" t="s">
        <v>1611</v>
      </c>
      <c r="L3683" s="42"/>
    </row>
    <row r="3684">
      <c r="A3684" s="18">
        <v>3683.0</v>
      </c>
      <c r="B3684" s="76" t="s">
        <v>6298</v>
      </c>
      <c r="C3684" s="54" t="s">
        <v>6312</v>
      </c>
      <c r="D3684" s="41"/>
      <c r="E3684" s="41" t="s">
        <v>557</v>
      </c>
      <c r="F3684" s="18" t="str">
        <f>IFERROR(__xludf.DUMMYFUNCTION("if(REGEXMATCH(C3684,""x.com"")=TRUE,""Twitter"",if(REGEXMATCH(C3684,""facebook"")=TRUE,""Facebook"",if(REGEXMATCH(C3684,""instagram"")=TRUE,""Instagram"",if(REGEXMATCH(C3684,""youtube"")=TRUE,""Youtube"",if(REGEXMATCH(C3684,""tiktok"")=TRUE,""Tiktok"",if("&amp;"REGEXMATCH(C3684,""threads"")=TRUE,""Threads""))))))"),"Facebook")</f>
        <v>Facebook</v>
      </c>
      <c r="G3684" s="41" t="s">
        <v>6313</v>
      </c>
      <c r="H3684" s="41"/>
      <c r="I3684" s="41"/>
      <c r="J3684" s="41" t="s">
        <v>188</v>
      </c>
      <c r="K3684" s="41" t="s">
        <v>1611</v>
      </c>
      <c r="L3684" s="42"/>
    </row>
    <row r="3685">
      <c r="A3685" s="18">
        <v>3684.0</v>
      </c>
      <c r="B3685" s="76" t="s">
        <v>6298</v>
      </c>
      <c r="C3685" s="54" t="s">
        <v>6314</v>
      </c>
      <c r="D3685" s="41"/>
      <c r="E3685" s="41" t="s">
        <v>557</v>
      </c>
      <c r="F3685" s="18" t="str">
        <f>IFERROR(__xludf.DUMMYFUNCTION("if(REGEXMATCH(C3685,""x.com"")=TRUE,""Twitter"",if(REGEXMATCH(C3685,""facebook"")=TRUE,""Facebook"",if(REGEXMATCH(C3685,""instagram"")=TRUE,""Instagram"",if(REGEXMATCH(C3685,""youtube"")=TRUE,""Youtube"",if(REGEXMATCH(C3685,""tiktok"")=TRUE,""Tiktok"",if("&amp;"REGEXMATCH(C3685,""threads"")=TRUE,""Threads""))))))"),"Facebook")</f>
        <v>Facebook</v>
      </c>
      <c r="G3685" s="41" t="s">
        <v>6315</v>
      </c>
      <c r="H3685" s="41"/>
      <c r="I3685" s="41"/>
      <c r="J3685" s="41" t="s">
        <v>188</v>
      </c>
      <c r="K3685" s="41"/>
      <c r="L3685" s="42"/>
    </row>
    <row r="3686">
      <c r="A3686" s="18">
        <v>3685.0</v>
      </c>
      <c r="B3686" s="76" t="s">
        <v>6298</v>
      </c>
      <c r="C3686" s="54" t="s">
        <v>6316</v>
      </c>
      <c r="D3686" s="41"/>
      <c r="E3686" s="41" t="s">
        <v>222</v>
      </c>
      <c r="F3686" s="18" t="str">
        <f>IFERROR(__xludf.DUMMYFUNCTION("if(REGEXMATCH(C3686,""x.com"")=TRUE,""Twitter"",if(REGEXMATCH(C3686,""facebook"")=TRUE,""Facebook"",if(REGEXMATCH(C3686,""instagram"")=TRUE,""Instagram"",if(REGEXMATCH(C3686,""youtube"")=TRUE,""Youtube"",if(REGEXMATCH(C3686,""tiktok"")=TRUE,""Tiktok"",if("&amp;"REGEXMATCH(C3686,""threads"")=TRUE,""Threads""))))))"),"Facebook")</f>
        <v>Facebook</v>
      </c>
      <c r="G3686" s="41" t="s">
        <v>6317</v>
      </c>
      <c r="H3686" s="41"/>
      <c r="I3686" s="41"/>
      <c r="J3686" s="41" t="s">
        <v>188</v>
      </c>
      <c r="K3686" s="41"/>
      <c r="L3686" s="42"/>
    </row>
    <row r="3687">
      <c r="A3687" s="18">
        <v>3686.0</v>
      </c>
      <c r="B3687" s="76" t="s">
        <v>6298</v>
      </c>
      <c r="C3687" s="54" t="s">
        <v>6318</v>
      </c>
      <c r="D3687" s="41"/>
      <c r="E3687" s="41" t="s">
        <v>6319</v>
      </c>
      <c r="F3687" s="18" t="str">
        <f>IFERROR(__xludf.DUMMYFUNCTION("if(REGEXMATCH(C3687,""x.com"")=TRUE,""Twitter"",if(REGEXMATCH(C3687,""facebook"")=TRUE,""Facebook"",if(REGEXMATCH(C3687,""instagram"")=TRUE,""Instagram"",if(REGEXMATCH(C3687,""youtube"")=TRUE,""Youtube"",if(REGEXMATCH(C3687,""tiktok"")=TRUE,""Tiktok"",if("&amp;"REGEXMATCH(C3687,""threads"")=TRUE,""Threads""))))))"),"Facebook")</f>
        <v>Facebook</v>
      </c>
      <c r="G3687" s="41" t="s">
        <v>6320</v>
      </c>
      <c r="H3687" s="41"/>
      <c r="I3687" s="41"/>
      <c r="J3687" s="41" t="s">
        <v>188</v>
      </c>
      <c r="K3687" s="41"/>
      <c r="L3687" s="42"/>
    </row>
    <row r="3688">
      <c r="A3688" s="18">
        <v>3687.0</v>
      </c>
      <c r="B3688" s="76" t="s">
        <v>6298</v>
      </c>
      <c r="C3688" s="54" t="s">
        <v>6321</v>
      </c>
      <c r="D3688" s="41"/>
      <c r="E3688" s="41" t="s">
        <v>447</v>
      </c>
      <c r="F3688" s="18" t="str">
        <f>IFERROR(__xludf.DUMMYFUNCTION("if(REGEXMATCH(C3688,""x.com"")=TRUE,""Twitter"",if(REGEXMATCH(C3688,""facebook"")=TRUE,""Facebook"",if(REGEXMATCH(C3688,""instagram"")=TRUE,""Instagram"",if(REGEXMATCH(C3688,""youtube"")=TRUE,""Youtube"",if(REGEXMATCH(C3688,""tiktok"")=TRUE,""Tiktok"",if("&amp;"REGEXMATCH(C3688,""threads"")=TRUE,""Threads""))))))"),"Tiktok")</f>
        <v>Tiktok</v>
      </c>
      <c r="G3688" s="41" t="s">
        <v>6322</v>
      </c>
      <c r="H3688" s="41"/>
      <c r="I3688" s="41"/>
      <c r="J3688" s="41" t="s">
        <v>188</v>
      </c>
      <c r="K3688" s="41"/>
      <c r="L3688" s="42"/>
    </row>
    <row r="3689">
      <c r="A3689" s="18">
        <v>3688.0</v>
      </c>
      <c r="B3689" s="76" t="s">
        <v>6298</v>
      </c>
      <c r="C3689" s="54" t="s">
        <v>6323</v>
      </c>
      <c r="D3689" s="41"/>
      <c r="E3689" s="41" t="s">
        <v>447</v>
      </c>
      <c r="F3689" s="18" t="str">
        <f>IFERROR(__xludf.DUMMYFUNCTION("if(REGEXMATCH(C3689,""x.com"")=TRUE,""Twitter"",if(REGEXMATCH(C3689,""facebook"")=TRUE,""Facebook"",if(REGEXMATCH(C3689,""instagram"")=TRUE,""Instagram"",if(REGEXMATCH(C3689,""youtube"")=TRUE,""Youtube"",if(REGEXMATCH(C3689,""tiktok"")=TRUE,""Tiktok"",if("&amp;"REGEXMATCH(C3689,""threads"")=TRUE,""Threads""))))))"),"Tiktok")</f>
        <v>Tiktok</v>
      </c>
      <c r="G3689" s="41" t="s">
        <v>6324</v>
      </c>
      <c r="H3689" s="41"/>
      <c r="I3689" s="41"/>
      <c r="J3689" s="41" t="s">
        <v>188</v>
      </c>
      <c r="K3689" s="41"/>
      <c r="L3689" s="42"/>
    </row>
    <row r="3690">
      <c r="A3690" s="18">
        <v>3689.0</v>
      </c>
      <c r="B3690" s="76" t="s">
        <v>6298</v>
      </c>
      <c r="C3690" s="54" t="s">
        <v>6325</v>
      </c>
      <c r="D3690" s="41"/>
      <c r="E3690" s="41" t="s">
        <v>447</v>
      </c>
      <c r="F3690" s="18" t="str">
        <f>IFERROR(__xludf.DUMMYFUNCTION("if(REGEXMATCH(C3690,""x.com"")=TRUE,""Twitter"",if(REGEXMATCH(C3690,""facebook"")=TRUE,""Facebook"",if(REGEXMATCH(C3690,""instagram"")=TRUE,""Instagram"",if(REGEXMATCH(C3690,""youtube"")=TRUE,""Youtube"",if(REGEXMATCH(C3690,""tiktok"")=TRUE,""Tiktok"",if("&amp;"REGEXMATCH(C3690,""threads"")=TRUE,""Threads""))))))"),"Twitter")</f>
        <v>Twitter</v>
      </c>
      <c r="G3690" s="41" t="s">
        <v>6326</v>
      </c>
      <c r="H3690" s="41"/>
      <c r="I3690" s="41"/>
      <c r="J3690" s="41" t="s">
        <v>422</v>
      </c>
      <c r="K3690" s="41"/>
      <c r="L3690" s="42"/>
    </row>
    <row r="3691">
      <c r="A3691" s="18">
        <v>3690.0</v>
      </c>
      <c r="B3691" s="76" t="s">
        <v>6327</v>
      </c>
      <c r="C3691" s="68" t="s">
        <v>6328</v>
      </c>
      <c r="D3691" s="41"/>
      <c r="E3691" s="18" t="s">
        <v>184</v>
      </c>
      <c r="F3691" s="18" t="str">
        <f>IFERROR(__xludf.DUMMYFUNCTION("if(REGEXMATCH(C3691,""x.com"")=TRUE,""Twitter"",if(REGEXMATCH(C3691,""facebook"")=TRUE,""Facebook"",if(REGEXMATCH(C3691,""instagram"")=TRUE,""Instagram"",if(REGEXMATCH(C3691,""youtube"")=TRUE,""Youtube"",if(REGEXMATCH(C3691,""tiktok"")=TRUE,""Tiktok"",if("&amp;"REGEXMATCH(C3691,""threads"")=TRUE,""Threads""))))))"),"Facebook")</f>
        <v>Facebook</v>
      </c>
      <c r="G3691" s="41" t="s">
        <v>4116</v>
      </c>
      <c r="H3691" s="41" t="s">
        <v>1974</v>
      </c>
      <c r="I3691" s="41"/>
      <c r="J3691" s="41" t="s">
        <v>188</v>
      </c>
      <c r="K3691" s="41"/>
      <c r="L3691" s="42"/>
    </row>
    <row r="3692">
      <c r="A3692" s="18">
        <v>3691.0</v>
      </c>
      <c r="B3692" s="76" t="s">
        <v>6327</v>
      </c>
      <c r="C3692" s="68" t="s">
        <v>6329</v>
      </c>
      <c r="D3692" s="41"/>
      <c r="E3692" s="18" t="s">
        <v>184</v>
      </c>
      <c r="F3692" s="18" t="str">
        <f>IFERROR(__xludf.DUMMYFUNCTION("if(REGEXMATCH(C3692,""x.com"")=TRUE,""Twitter"",if(REGEXMATCH(C3692,""facebook"")=TRUE,""Facebook"",if(REGEXMATCH(C3692,""instagram"")=TRUE,""Instagram"",if(REGEXMATCH(C3692,""youtube"")=TRUE,""Youtube"",if(REGEXMATCH(C3692,""tiktok"")=TRUE,""Tiktok"",if("&amp;"REGEXMATCH(C3692,""threads"")=TRUE,""Threads""))))))"),"Facebook")</f>
        <v>Facebook</v>
      </c>
      <c r="G3692" s="41" t="s">
        <v>4116</v>
      </c>
      <c r="H3692" s="41" t="s">
        <v>1974</v>
      </c>
      <c r="I3692" s="41"/>
      <c r="J3692" s="41" t="s">
        <v>188</v>
      </c>
      <c r="K3692" s="41"/>
      <c r="L3692" s="42"/>
    </row>
    <row r="3693">
      <c r="A3693" s="18">
        <v>3692.0</v>
      </c>
      <c r="B3693" s="76" t="s">
        <v>6327</v>
      </c>
      <c r="C3693" s="68" t="s">
        <v>6330</v>
      </c>
      <c r="D3693" s="41"/>
      <c r="E3693" s="18" t="s">
        <v>184</v>
      </c>
      <c r="F3693" s="18" t="b">
        <f>IFERROR(__xludf.DUMMYFUNCTION("if(REGEXMATCH(C3693,""x.com"")=TRUE,""Twitter"",if(REGEXMATCH(C3693,""facebook"")=TRUE,""Facebook"",if(REGEXMATCH(C3693,""instagram"")=TRUE,""Instagram"",if(REGEXMATCH(C3693,""youtube"")=TRUE,""Youtube"",if(REGEXMATCH(C3693,""tiktok"")=TRUE,""Tiktok"",if("&amp;"REGEXMATCH(C3693,""threads"")=TRUE,""Threads""))))))"),FALSE)</f>
        <v>0</v>
      </c>
      <c r="G3693" s="41" t="s">
        <v>4116</v>
      </c>
      <c r="H3693" s="41" t="s">
        <v>1974</v>
      </c>
      <c r="I3693" s="41"/>
      <c r="J3693" s="41" t="s">
        <v>188</v>
      </c>
      <c r="K3693" s="41"/>
      <c r="L3693" s="42"/>
    </row>
    <row r="3694">
      <c r="A3694" s="18">
        <v>3693.0</v>
      </c>
      <c r="B3694" s="76" t="s">
        <v>6327</v>
      </c>
      <c r="C3694" s="54" t="s">
        <v>6331</v>
      </c>
      <c r="D3694" s="41"/>
      <c r="E3694" s="18" t="s">
        <v>184</v>
      </c>
      <c r="F3694" s="18" t="str">
        <f>IFERROR(__xludf.DUMMYFUNCTION("if(REGEXMATCH(C3694,""x.com"")=TRUE,""Twitter"",if(REGEXMATCH(C3694,""facebook"")=TRUE,""Facebook"",if(REGEXMATCH(C3694,""instagram"")=TRUE,""Instagram"",if(REGEXMATCH(C3694,""youtube"")=TRUE,""Youtube"",if(REGEXMATCH(C3694,""tiktok"")=TRUE,""Tiktok"",if("&amp;"REGEXMATCH(C3694,""threads"")=TRUE,""Threads""))))))"),"Instagram")</f>
        <v>Instagram</v>
      </c>
      <c r="G3694" s="41" t="s">
        <v>4116</v>
      </c>
      <c r="H3694" s="41" t="s">
        <v>1974</v>
      </c>
      <c r="I3694" s="41"/>
      <c r="J3694" s="41" t="s">
        <v>188</v>
      </c>
      <c r="K3694" s="41"/>
      <c r="L3694" s="42"/>
    </row>
    <row r="3695">
      <c r="A3695" s="18">
        <v>3694.0</v>
      </c>
      <c r="B3695" s="76" t="s">
        <v>6327</v>
      </c>
      <c r="C3695" s="54" t="s">
        <v>6332</v>
      </c>
      <c r="D3695" s="41"/>
      <c r="E3695" s="18" t="s">
        <v>184</v>
      </c>
      <c r="F3695" s="18" t="str">
        <f>IFERROR(__xludf.DUMMYFUNCTION("if(REGEXMATCH(C3695,""x.com"")=TRUE,""Twitter"",if(REGEXMATCH(C3695,""facebook"")=TRUE,""Facebook"",if(REGEXMATCH(C3695,""instagram"")=TRUE,""Instagram"",if(REGEXMATCH(C3695,""youtube"")=TRUE,""Youtube"",if(REGEXMATCH(C3695,""tiktok"")=TRUE,""Tiktok"",if("&amp;"REGEXMATCH(C3695,""threads"")=TRUE,""Threads""))))))"),"Instagram")</f>
        <v>Instagram</v>
      </c>
      <c r="G3695" s="41" t="s">
        <v>4116</v>
      </c>
      <c r="H3695" s="41" t="s">
        <v>1974</v>
      </c>
      <c r="I3695" s="41"/>
      <c r="J3695" s="41" t="s">
        <v>188</v>
      </c>
      <c r="K3695" s="41"/>
      <c r="L3695" s="42"/>
    </row>
    <row r="3696">
      <c r="A3696" s="18">
        <v>3695.0</v>
      </c>
      <c r="B3696" s="76" t="s">
        <v>6327</v>
      </c>
      <c r="C3696" s="54" t="s">
        <v>6333</v>
      </c>
      <c r="D3696" s="41"/>
      <c r="E3696" s="18" t="s">
        <v>184</v>
      </c>
      <c r="F3696" s="18" t="str">
        <f>IFERROR(__xludf.DUMMYFUNCTION("if(REGEXMATCH(C3696,""x.com"")=TRUE,""Twitter"",if(REGEXMATCH(C3696,""facebook"")=TRUE,""Facebook"",if(REGEXMATCH(C3696,""instagram"")=TRUE,""Instagram"",if(REGEXMATCH(C3696,""youtube"")=TRUE,""Youtube"",if(REGEXMATCH(C3696,""tiktok"")=TRUE,""Tiktok"",if("&amp;"REGEXMATCH(C3696,""threads"")=TRUE,""Threads""))))))"),"Instagram")</f>
        <v>Instagram</v>
      </c>
      <c r="G3696" s="41" t="s">
        <v>4116</v>
      </c>
      <c r="H3696" s="41" t="s">
        <v>1974</v>
      </c>
      <c r="I3696" s="41"/>
      <c r="J3696" s="41" t="s">
        <v>188</v>
      </c>
      <c r="K3696" s="41"/>
      <c r="L3696" s="42"/>
    </row>
    <row r="3697">
      <c r="A3697" s="18">
        <v>3696.0</v>
      </c>
      <c r="B3697" s="76" t="s">
        <v>6327</v>
      </c>
      <c r="C3697" s="54" t="s">
        <v>6334</v>
      </c>
      <c r="D3697" s="41"/>
      <c r="E3697" s="41" t="s">
        <v>197</v>
      </c>
      <c r="F3697" s="18" t="str">
        <f>IFERROR(__xludf.DUMMYFUNCTION("if(REGEXMATCH(C3697,""x.com"")=TRUE,""Twitter"",if(REGEXMATCH(C3697,""facebook"")=TRUE,""Facebook"",if(REGEXMATCH(C3697,""instagram"")=TRUE,""Instagram"",if(REGEXMATCH(C3697,""youtube"")=TRUE,""Youtube"",if(REGEXMATCH(C3697,""tiktok"")=TRUE,""Tiktok"",if("&amp;"REGEXMATCH(C3697,""threads"")=TRUE,""Threads""))))))"),"Twitter")</f>
        <v>Twitter</v>
      </c>
      <c r="G3697" s="41" t="s">
        <v>6335</v>
      </c>
      <c r="H3697" s="41" t="s">
        <v>4986</v>
      </c>
      <c r="I3697" s="41" t="s">
        <v>535</v>
      </c>
      <c r="J3697" s="41" t="s">
        <v>188</v>
      </c>
      <c r="K3697" s="41" t="s">
        <v>1611</v>
      </c>
      <c r="L3697" s="42"/>
    </row>
    <row r="3698">
      <c r="A3698" s="18">
        <v>3697.0</v>
      </c>
      <c r="B3698" s="76" t="s">
        <v>6327</v>
      </c>
      <c r="C3698" s="54" t="s">
        <v>6336</v>
      </c>
      <c r="D3698" s="41"/>
      <c r="E3698" s="41" t="s">
        <v>197</v>
      </c>
      <c r="F3698" s="18" t="str">
        <f>IFERROR(__xludf.DUMMYFUNCTION("if(REGEXMATCH(C3698,""x.com"")=TRUE,""Twitter"",if(REGEXMATCH(C3698,""facebook"")=TRUE,""Facebook"",if(REGEXMATCH(C3698,""instagram"")=TRUE,""Instagram"",if(REGEXMATCH(C3698,""youtube"")=TRUE,""Youtube"",if(REGEXMATCH(C3698,""tiktok"")=TRUE,""Tiktok"",if("&amp;"REGEXMATCH(C3698,""threads"")=TRUE,""Threads""))))))"),"Facebook")</f>
        <v>Facebook</v>
      </c>
      <c r="G3698" s="41" t="s">
        <v>6337</v>
      </c>
      <c r="H3698" s="41" t="s">
        <v>4986</v>
      </c>
      <c r="I3698" s="41" t="s">
        <v>535</v>
      </c>
      <c r="J3698" s="41" t="s">
        <v>188</v>
      </c>
      <c r="K3698" s="41" t="s">
        <v>1611</v>
      </c>
      <c r="L3698" s="42"/>
    </row>
    <row r="3699">
      <c r="A3699" s="18">
        <v>3698.0</v>
      </c>
      <c r="B3699" s="76" t="s">
        <v>6327</v>
      </c>
      <c r="C3699" s="54" t="s">
        <v>6338</v>
      </c>
      <c r="D3699" s="41"/>
      <c r="E3699" s="41" t="s">
        <v>197</v>
      </c>
      <c r="F3699" s="18" t="str">
        <f>IFERROR(__xludf.DUMMYFUNCTION("if(REGEXMATCH(C3699,""x.com"")=TRUE,""Twitter"",if(REGEXMATCH(C3699,""facebook"")=TRUE,""Facebook"",if(REGEXMATCH(C3699,""instagram"")=TRUE,""Instagram"",if(REGEXMATCH(C3699,""youtube"")=TRUE,""Youtube"",if(REGEXMATCH(C3699,""tiktok"")=TRUE,""Tiktok"",if("&amp;"REGEXMATCH(C3699,""threads"")=TRUE,""Threads""))))))"),"Facebook")</f>
        <v>Facebook</v>
      </c>
      <c r="G3699" s="41" t="s">
        <v>6339</v>
      </c>
      <c r="H3699" s="41" t="s">
        <v>4986</v>
      </c>
      <c r="I3699" s="41" t="s">
        <v>535</v>
      </c>
      <c r="J3699" s="41" t="s">
        <v>188</v>
      </c>
      <c r="K3699" s="41" t="s">
        <v>1611</v>
      </c>
      <c r="L3699" s="42"/>
    </row>
    <row r="3700">
      <c r="A3700" s="18">
        <v>3699.0</v>
      </c>
      <c r="B3700" s="76" t="s">
        <v>6327</v>
      </c>
      <c r="C3700" s="54" t="s">
        <v>6340</v>
      </c>
      <c r="D3700" s="41"/>
      <c r="E3700" s="41" t="s">
        <v>197</v>
      </c>
      <c r="F3700" s="18" t="str">
        <f>IFERROR(__xludf.DUMMYFUNCTION("if(REGEXMATCH(C3700,""x.com"")=TRUE,""Twitter"",if(REGEXMATCH(C3700,""facebook"")=TRUE,""Facebook"",if(REGEXMATCH(C3700,""instagram"")=TRUE,""Instagram"",if(REGEXMATCH(C3700,""youtube"")=TRUE,""Youtube"",if(REGEXMATCH(C3700,""tiktok"")=TRUE,""Tiktok"",if("&amp;"REGEXMATCH(C3700,""threads"")=TRUE,""Threads""))))))"),"Facebook")</f>
        <v>Facebook</v>
      </c>
      <c r="G3700" s="41" t="s">
        <v>6341</v>
      </c>
      <c r="H3700" s="41" t="s">
        <v>4986</v>
      </c>
      <c r="I3700" s="41" t="s">
        <v>535</v>
      </c>
      <c r="J3700" s="41" t="s">
        <v>188</v>
      </c>
      <c r="K3700" s="41" t="s">
        <v>1611</v>
      </c>
      <c r="L3700" s="42"/>
    </row>
    <row r="3701">
      <c r="A3701" s="18">
        <v>3700.0</v>
      </c>
      <c r="B3701" s="76" t="s">
        <v>6327</v>
      </c>
      <c r="C3701" s="54" t="s">
        <v>6342</v>
      </c>
      <c r="D3701" s="41"/>
      <c r="E3701" s="41" t="s">
        <v>197</v>
      </c>
      <c r="F3701" s="18" t="str">
        <f>IFERROR(__xludf.DUMMYFUNCTION("if(REGEXMATCH(C3701,""x.com"")=TRUE,""Twitter"",if(REGEXMATCH(C3701,""facebook"")=TRUE,""Facebook"",if(REGEXMATCH(C3701,""instagram"")=TRUE,""Instagram"",if(REGEXMATCH(C3701,""youtube"")=TRUE,""Youtube"",if(REGEXMATCH(C3701,""tiktok"")=TRUE,""Tiktok"",if("&amp;"REGEXMATCH(C3701,""threads"")=TRUE,""Threads""))))))"),"Facebook")</f>
        <v>Facebook</v>
      </c>
      <c r="G3701" s="41" t="s">
        <v>6343</v>
      </c>
      <c r="H3701" s="41" t="s">
        <v>4986</v>
      </c>
      <c r="I3701" s="41" t="s">
        <v>535</v>
      </c>
      <c r="J3701" s="41" t="s">
        <v>188</v>
      </c>
      <c r="K3701" s="41" t="s">
        <v>1611</v>
      </c>
      <c r="L3701" s="42"/>
    </row>
    <row r="3702">
      <c r="A3702" s="18">
        <v>3701.0</v>
      </c>
      <c r="B3702" s="76" t="s">
        <v>6327</v>
      </c>
      <c r="C3702" s="54" t="s">
        <v>6344</v>
      </c>
      <c r="D3702" s="41"/>
      <c r="E3702" s="41" t="s">
        <v>557</v>
      </c>
      <c r="F3702" s="18" t="str">
        <f>IFERROR(__xludf.DUMMYFUNCTION("if(REGEXMATCH(C3702,""x.com"")=TRUE,""Twitter"",if(REGEXMATCH(C3702,""facebook"")=TRUE,""Facebook"",if(REGEXMATCH(C3702,""instagram"")=TRUE,""Instagram"",if(REGEXMATCH(C3702,""youtube"")=TRUE,""Youtube"",if(REGEXMATCH(C3702,""tiktok"")=TRUE,""Tiktok"",if("&amp;"REGEXMATCH(C3702,""threads"")=TRUE,""Threads""))))))"),"Tiktok")</f>
        <v>Tiktok</v>
      </c>
      <c r="G3702" s="41" t="s">
        <v>6345</v>
      </c>
      <c r="H3702" s="41" t="s">
        <v>4986</v>
      </c>
      <c r="I3702" s="41" t="s">
        <v>535</v>
      </c>
      <c r="J3702" s="41" t="s">
        <v>188</v>
      </c>
      <c r="K3702" s="41" t="s">
        <v>1611</v>
      </c>
      <c r="L3702" s="42"/>
    </row>
    <row r="3703">
      <c r="A3703" s="18">
        <v>3702.0</v>
      </c>
      <c r="B3703" s="76" t="s">
        <v>6327</v>
      </c>
      <c r="C3703" s="54" t="s">
        <v>6346</v>
      </c>
      <c r="D3703" s="41"/>
      <c r="E3703" s="41" t="s">
        <v>6014</v>
      </c>
      <c r="F3703" s="18" t="str">
        <f>IFERROR(__xludf.DUMMYFUNCTION("if(REGEXMATCH(C3703,""x.com"")=TRUE,""Twitter"",if(REGEXMATCH(C3703,""facebook"")=TRUE,""Facebook"",if(REGEXMATCH(C3703,""instagram"")=TRUE,""Instagram"",if(REGEXMATCH(C3703,""youtube"")=TRUE,""Youtube"",if(REGEXMATCH(C3703,""tiktok"")=TRUE,""Tiktok"",if("&amp;"REGEXMATCH(C3703,""threads"")=TRUE,""Threads""))))))"),"Tiktok")</f>
        <v>Tiktok</v>
      </c>
      <c r="G3703" s="41" t="s">
        <v>6347</v>
      </c>
      <c r="H3703" s="41" t="s">
        <v>4986</v>
      </c>
      <c r="I3703" s="41" t="s">
        <v>535</v>
      </c>
      <c r="J3703" s="41" t="s">
        <v>188</v>
      </c>
      <c r="K3703" s="41" t="s">
        <v>1611</v>
      </c>
      <c r="L3703" s="42"/>
    </row>
    <row r="3704">
      <c r="A3704" s="18">
        <v>3703.0</v>
      </c>
      <c r="B3704" s="76" t="s">
        <v>6327</v>
      </c>
      <c r="C3704" s="54" t="s">
        <v>6348</v>
      </c>
      <c r="D3704" s="41"/>
      <c r="E3704" s="41" t="s">
        <v>197</v>
      </c>
      <c r="F3704" s="18" t="str">
        <f>IFERROR(__xludf.DUMMYFUNCTION("if(REGEXMATCH(C3704,""x.com"")=TRUE,""Twitter"",if(REGEXMATCH(C3704,""facebook"")=TRUE,""Facebook"",if(REGEXMATCH(C3704,""instagram"")=TRUE,""Instagram"",if(REGEXMATCH(C3704,""youtube"")=TRUE,""Youtube"",if(REGEXMATCH(C3704,""tiktok"")=TRUE,""Tiktok"",if("&amp;"REGEXMATCH(C3704,""threads"")=TRUE,""Threads""))))))"),"Twitter")</f>
        <v>Twitter</v>
      </c>
      <c r="G3704" s="41" t="s">
        <v>6349</v>
      </c>
      <c r="H3704" s="41" t="s">
        <v>4986</v>
      </c>
      <c r="I3704" s="41" t="s">
        <v>535</v>
      </c>
      <c r="J3704" s="41" t="s">
        <v>188</v>
      </c>
      <c r="K3704" s="41" t="s">
        <v>1611</v>
      </c>
      <c r="L3704" s="42"/>
    </row>
    <row r="3705">
      <c r="A3705" s="18">
        <v>3704.0</v>
      </c>
      <c r="B3705" s="76" t="s">
        <v>6327</v>
      </c>
      <c r="C3705" s="54" t="s">
        <v>6350</v>
      </c>
      <c r="D3705" s="41"/>
      <c r="E3705" s="41" t="s">
        <v>557</v>
      </c>
      <c r="F3705" s="18" t="str">
        <f>IFERROR(__xludf.DUMMYFUNCTION("if(REGEXMATCH(C3705,""x.com"")=TRUE,""Twitter"",if(REGEXMATCH(C3705,""facebook"")=TRUE,""Facebook"",if(REGEXMATCH(C3705,""instagram"")=TRUE,""Instagram"",if(REGEXMATCH(C3705,""youtube"")=TRUE,""Youtube"",if(REGEXMATCH(C3705,""tiktok"")=TRUE,""Tiktok"",if("&amp;"REGEXMATCH(C3705,""threads"")=TRUE,""Threads""))))))"),"Tiktok")</f>
        <v>Tiktok</v>
      </c>
      <c r="G3705" s="41" t="s">
        <v>6351</v>
      </c>
      <c r="H3705" s="41" t="s">
        <v>4986</v>
      </c>
      <c r="I3705" s="41" t="s">
        <v>535</v>
      </c>
      <c r="J3705" s="41" t="s">
        <v>188</v>
      </c>
      <c r="K3705" s="41"/>
      <c r="L3705" s="42"/>
    </row>
    <row r="3706">
      <c r="A3706" s="18">
        <v>3705.0</v>
      </c>
      <c r="B3706" s="76" t="s">
        <v>6327</v>
      </c>
      <c r="C3706" s="54" t="s">
        <v>6352</v>
      </c>
      <c r="D3706" s="41"/>
      <c r="E3706" s="41" t="s">
        <v>6353</v>
      </c>
      <c r="F3706" s="18" t="str">
        <f>IFERROR(__xludf.DUMMYFUNCTION("if(REGEXMATCH(C3706,""x.com"")=TRUE,""Twitter"",if(REGEXMATCH(C3706,""facebook"")=TRUE,""Facebook"",if(REGEXMATCH(C3706,""instagram"")=TRUE,""Instagram"",if(REGEXMATCH(C3706,""youtube"")=TRUE,""Youtube"",if(REGEXMATCH(C3706,""tiktok"")=TRUE,""Tiktok"",if("&amp;"REGEXMATCH(C3706,""threads"")=TRUE,""Threads""))))))"),"Facebook")</f>
        <v>Facebook</v>
      </c>
      <c r="G3706" s="41" t="s">
        <v>6354</v>
      </c>
      <c r="H3706" s="41" t="s">
        <v>4986</v>
      </c>
      <c r="I3706" s="41" t="s">
        <v>535</v>
      </c>
      <c r="J3706" s="41" t="s">
        <v>188</v>
      </c>
      <c r="K3706" s="41"/>
      <c r="L3706" s="42"/>
    </row>
    <row r="3707">
      <c r="A3707" s="18">
        <v>3706.0</v>
      </c>
      <c r="B3707" s="76" t="s">
        <v>6327</v>
      </c>
      <c r="C3707" s="54" t="s">
        <v>6355</v>
      </c>
      <c r="D3707" s="41"/>
      <c r="E3707" s="41" t="s">
        <v>197</v>
      </c>
      <c r="F3707" s="18" t="str">
        <f>IFERROR(__xludf.DUMMYFUNCTION("if(REGEXMATCH(C3707,""x.com"")=TRUE,""Twitter"",if(REGEXMATCH(C3707,""facebook"")=TRUE,""Facebook"",if(REGEXMATCH(C3707,""instagram"")=TRUE,""Instagram"",if(REGEXMATCH(C3707,""youtube"")=TRUE,""Youtube"",if(REGEXMATCH(C3707,""tiktok"")=TRUE,""Tiktok"",if("&amp;"REGEXMATCH(C3707,""threads"")=TRUE,""Threads""))))))"),"Facebook")</f>
        <v>Facebook</v>
      </c>
      <c r="G3707" s="41" t="s">
        <v>6356</v>
      </c>
      <c r="H3707" s="41" t="s">
        <v>4986</v>
      </c>
      <c r="I3707" s="41" t="s">
        <v>535</v>
      </c>
      <c r="J3707" s="41" t="s">
        <v>188</v>
      </c>
      <c r="K3707" s="41"/>
      <c r="L3707" s="42"/>
    </row>
    <row r="3708">
      <c r="A3708" s="18">
        <v>3707.0</v>
      </c>
      <c r="B3708" s="76" t="s">
        <v>6327</v>
      </c>
      <c r="C3708" s="54" t="s">
        <v>6357</v>
      </c>
      <c r="D3708" s="41"/>
      <c r="E3708" s="41" t="s">
        <v>6358</v>
      </c>
      <c r="F3708" s="18" t="str">
        <f>IFERROR(__xludf.DUMMYFUNCTION("if(REGEXMATCH(C3708,""x.com"")=TRUE,""Twitter"",if(REGEXMATCH(C3708,""facebook"")=TRUE,""Facebook"",if(REGEXMATCH(C3708,""instagram"")=TRUE,""Instagram"",if(REGEXMATCH(C3708,""youtube"")=TRUE,""Youtube"",if(REGEXMATCH(C3708,""tiktok"")=TRUE,""Tiktok"",if("&amp;"REGEXMATCH(C3708,""threads"")=TRUE,""Threads""))))))"),"Facebook")</f>
        <v>Facebook</v>
      </c>
      <c r="G3708" s="41" t="s">
        <v>6359</v>
      </c>
      <c r="H3708" s="41" t="s">
        <v>4986</v>
      </c>
      <c r="I3708" s="41" t="s">
        <v>535</v>
      </c>
      <c r="J3708" s="41" t="s">
        <v>188</v>
      </c>
      <c r="K3708" s="41"/>
      <c r="L3708" s="42"/>
    </row>
    <row r="3709">
      <c r="A3709" s="18">
        <v>3708.0</v>
      </c>
      <c r="B3709" s="76" t="s">
        <v>6327</v>
      </c>
      <c r="C3709" s="54" t="s">
        <v>6360</v>
      </c>
      <c r="D3709" s="41"/>
      <c r="E3709" s="41" t="s">
        <v>197</v>
      </c>
      <c r="F3709" s="18" t="str">
        <f>IFERROR(__xludf.DUMMYFUNCTION("if(REGEXMATCH(C3709,""x.com"")=TRUE,""Twitter"",if(REGEXMATCH(C3709,""facebook"")=TRUE,""Facebook"",if(REGEXMATCH(C3709,""instagram"")=TRUE,""Instagram"",if(REGEXMATCH(C3709,""youtube"")=TRUE,""Youtube"",if(REGEXMATCH(C3709,""tiktok"")=TRUE,""Tiktok"",if("&amp;"REGEXMATCH(C3709,""threads"")=TRUE,""Threads""))))))"),"Twitter")</f>
        <v>Twitter</v>
      </c>
      <c r="G3709" s="41" t="s">
        <v>6361</v>
      </c>
      <c r="H3709" s="41" t="s">
        <v>4986</v>
      </c>
      <c r="I3709" s="41" t="s">
        <v>535</v>
      </c>
      <c r="J3709" s="41" t="s">
        <v>188</v>
      </c>
      <c r="K3709" s="41"/>
      <c r="L3709" s="42"/>
    </row>
    <row r="3710">
      <c r="A3710" s="18">
        <v>3709.0</v>
      </c>
      <c r="B3710" s="76" t="s">
        <v>6327</v>
      </c>
      <c r="C3710" s="54" t="s">
        <v>6362</v>
      </c>
      <c r="D3710" s="41"/>
      <c r="E3710" s="41" t="s">
        <v>197</v>
      </c>
      <c r="F3710" s="18" t="str">
        <f>IFERROR(__xludf.DUMMYFUNCTION("if(REGEXMATCH(C3710,""x.com"")=TRUE,""Twitter"",if(REGEXMATCH(C3710,""facebook"")=TRUE,""Facebook"",if(REGEXMATCH(C3710,""instagram"")=TRUE,""Instagram"",if(REGEXMATCH(C3710,""youtube"")=TRUE,""Youtube"",if(REGEXMATCH(C3710,""tiktok"")=TRUE,""Tiktok"",if("&amp;"REGEXMATCH(C3710,""threads"")=TRUE,""Threads""))))))"),"Facebook")</f>
        <v>Facebook</v>
      </c>
      <c r="G3710" s="41" t="s">
        <v>6363</v>
      </c>
      <c r="H3710" s="41" t="s">
        <v>4986</v>
      </c>
      <c r="I3710" s="41" t="s">
        <v>535</v>
      </c>
      <c r="J3710" s="41" t="s">
        <v>188</v>
      </c>
      <c r="K3710" s="41"/>
      <c r="L3710" s="42"/>
    </row>
    <row r="3711">
      <c r="A3711" s="18">
        <v>3710.0</v>
      </c>
      <c r="B3711" s="76" t="s">
        <v>6327</v>
      </c>
      <c r="C3711" s="54" t="s">
        <v>6364</v>
      </c>
      <c r="D3711" s="41"/>
      <c r="E3711" s="41" t="s">
        <v>230</v>
      </c>
      <c r="F3711" s="18" t="str">
        <f>IFERROR(__xludf.DUMMYFUNCTION("if(REGEXMATCH(C3711,""x.com"")=TRUE,""Twitter"",if(REGEXMATCH(C3711,""facebook"")=TRUE,""Facebook"",if(REGEXMATCH(C3711,""instagram"")=TRUE,""Instagram"",if(REGEXMATCH(C3711,""youtube"")=TRUE,""Youtube"",if(REGEXMATCH(C3711,""tiktok"")=TRUE,""Tiktok"",if("&amp;"REGEXMATCH(C3711,""threads"")=TRUE,""Threads""))))))"),"Twitter")</f>
        <v>Twitter</v>
      </c>
      <c r="G3711" s="41" t="s">
        <v>6365</v>
      </c>
      <c r="H3711" s="52" t="s">
        <v>4181</v>
      </c>
      <c r="I3711" s="41" t="s">
        <v>535</v>
      </c>
      <c r="J3711" s="41" t="s">
        <v>188</v>
      </c>
      <c r="K3711" s="41"/>
      <c r="L3711" s="42"/>
    </row>
    <row r="3712">
      <c r="A3712" s="18">
        <v>3711.0</v>
      </c>
      <c r="B3712" s="76" t="s">
        <v>6327</v>
      </c>
      <c r="C3712" s="54" t="s">
        <v>6366</v>
      </c>
      <c r="D3712" s="41"/>
      <c r="E3712" s="41" t="s">
        <v>1146</v>
      </c>
      <c r="F3712" s="18" t="str">
        <f>IFERROR(__xludf.DUMMYFUNCTION("if(REGEXMATCH(C3712,""x.com"")=TRUE,""Twitter"",if(REGEXMATCH(C3712,""facebook"")=TRUE,""Facebook"",if(REGEXMATCH(C3712,""instagram"")=TRUE,""Instagram"",if(REGEXMATCH(C3712,""youtube"")=TRUE,""Youtube"",if(REGEXMATCH(C3712,""tiktok"")=TRUE,""Tiktok"",if("&amp;"REGEXMATCH(C3712,""threads"")=TRUE,""Threads""))))))"),"Facebook")</f>
        <v>Facebook</v>
      </c>
      <c r="G3712" s="41" t="s">
        <v>6367</v>
      </c>
      <c r="H3712" s="41" t="s">
        <v>4986</v>
      </c>
      <c r="I3712" s="41" t="s">
        <v>535</v>
      </c>
      <c r="J3712" s="41" t="s">
        <v>188</v>
      </c>
      <c r="K3712" s="41"/>
      <c r="L3712" s="42"/>
    </row>
    <row r="3713">
      <c r="A3713" s="18">
        <v>3712.0</v>
      </c>
      <c r="B3713" s="76" t="s">
        <v>6327</v>
      </c>
      <c r="C3713" s="54" t="s">
        <v>6368</v>
      </c>
      <c r="D3713" s="41"/>
      <c r="E3713" s="41" t="s">
        <v>1146</v>
      </c>
      <c r="F3713" s="18" t="str">
        <f>IFERROR(__xludf.DUMMYFUNCTION("if(REGEXMATCH(C3713,""x.com"")=TRUE,""Twitter"",if(REGEXMATCH(C3713,""facebook"")=TRUE,""Facebook"",if(REGEXMATCH(C3713,""instagram"")=TRUE,""Instagram"",if(REGEXMATCH(C3713,""youtube"")=TRUE,""Youtube"",if(REGEXMATCH(C3713,""tiktok"")=TRUE,""Tiktok"",if("&amp;"REGEXMATCH(C3713,""threads"")=TRUE,""Threads""))))))"),"Facebook")</f>
        <v>Facebook</v>
      </c>
      <c r="G3713" s="41" t="s">
        <v>6369</v>
      </c>
      <c r="H3713" s="41" t="s">
        <v>4986</v>
      </c>
      <c r="I3713" s="41" t="s">
        <v>535</v>
      </c>
      <c r="J3713" s="41" t="s">
        <v>188</v>
      </c>
      <c r="K3713" s="41"/>
      <c r="L3713" s="42"/>
    </row>
    <row r="3714">
      <c r="A3714" s="18">
        <v>3713.0</v>
      </c>
      <c r="B3714" s="76" t="s">
        <v>6370</v>
      </c>
      <c r="C3714" s="40" t="s">
        <v>6371</v>
      </c>
      <c r="D3714" s="41"/>
      <c r="E3714" s="41" t="s">
        <v>197</v>
      </c>
      <c r="F3714" s="18" t="str">
        <f>IFERROR(__xludf.DUMMYFUNCTION("if(REGEXMATCH(C3714,""x.com"")=TRUE,""Twitter"",if(REGEXMATCH(C3714,""facebook"")=TRUE,""Facebook"",if(REGEXMATCH(C3714,""instagram"")=TRUE,""Instagram"",if(REGEXMATCH(C3714,""youtube"")=TRUE,""Youtube"",if(REGEXMATCH(C3714,""tiktok"")=TRUE,""Tiktok"",if("&amp;"REGEXMATCH(C3714,""threads"")=TRUE,""Threads""))))))"),"Twitter")</f>
        <v>Twitter</v>
      </c>
      <c r="G3714" s="41" t="s">
        <v>6372</v>
      </c>
      <c r="H3714" s="76" t="s">
        <v>5452</v>
      </c>
      <c r="I3714" s="76" t="s">
        <v>535</v>
      </c>
      <c r="J3714" s="41" t="s">
        <v>188</v>
      </c>
      <c r="K3714" s="41" t="s">
        <v>1611</v>
      </c>
      <c r="L3714" s="42"/>
    </row>
    <row r="3715">
      <c r="A3715" s="18">
        <v>3714.0</v>
      </c>
      <c r="B3715" s="76" t="s">
        <v>6370</v>
      </c>
      <c r="C3715" s="40" t="s">
        <v>6373</v>
      </c>
      <c r="D3715" s="41"/>
      <c r="E3715" s="41" t="s">
        <v>197</v>
      </c>
      <c r="F3715" s="18" t="str">
        <f>IFERROR(__xludf.DUMMYFUNCTION("if(REGEXMATCH(C3715,""x.com"")=TRUE,""Twitter"",if(REGEXMATCH(C3715,""facebook"")=TRUE,""Facebook"",if(REGEXMATCH(C3715,""instagram"")=TRUE,""Instagram"",if(REGEXMATCH(C3715,""youtube"")=TRUE,""Youtube"",if(REGEXMATCH(C3715,""tiktok"")=TRUE,""Tiktok"",if("&amp;"REGEXMATCH(C3715,""threads"")=TRUE,""Threads""))))))"),"Twitter")</f>
        <v>Twitter</v>
      </c>
      <c r="G3715" s="41" t="s">
        <v>6374</v>
      </c>
      <c r="H3715" s="76" t="s">
        <v>5452</v>
      </c>
      <c r="I3715" s="76" t="s">
        <v>535</v>
      </c>
      <c r="J3715" s="41" t="s">
        <v>188</v>
      </c>
      <c r="K3715" s="41" t="s">
        <v>1611</v>
      </c>
      <c r="L3715" s="42"/>
    </row>
    <row r="3716">
      <c r="A3716" s="18">
        <v>3715.0</v>
      </c>
      <c r="B3716" s="76" t="s">
        <v>6370</v>
      </c>
      <c r="C3716" s="40" t="s">
        <v>6375</v>
      </c>
      <c r="D3716" s="41"/>
      <c r="E3716" s="41" t="s">
        <v>747</v>
      </c>
      <c r="F3716" s="18" t="str">
        <f>IFERROR(__xludf.DUMMYFUNCTION("if(REGEXMATCH(C3716,""x.com"")=TRUE,""Twitter"",if(REGEXMATCH(C3716,""facebook"")=TRUE,""Facebook"",if(REGEXMATCH(C3716,""instagram"")=TRUE,""Instagram"",if(REGEXMATCH(C3716,""youtube"")=TRUE,""Youtube"",if(REGEXMATCH(C3716,""tiktok"")=TRUE,""Tiktok"",if("&amp;"REGEXMATCH(C3716,""threads"")=TRUE,""Threads""))))))"),"Tiktok")</f>
        <v>Tiktok</v>
      </c>
      <c r="G3716" s="41" t="s">
        <v>6376</v>
      </c>
      <c r="H3716" s="76" t="s">
        <v>5452</v>
      </c>
      <c r="I3716" s="76" t="s">
        <v>535</v>
      </c>
      <c r="J3716" s="41" t="s">
        <v>188</v>
      </c>
      <c r="K3716" s="41" t="s">
        <v>1611</v>
      </c>
      <c r="L3716" s="42"/>
    </row>
    <row r="3717">
      <c r="A3717" s="18">
        <v>3716.0</v>
      </c>
      <c r="B3717" s="76" t="s">
        <v>6370</v>
      </c>
      <c r="C3717" s="40" t="s">
        <v>6377</v>
      </c>
      <c r="D3717" s="41"/>
      <c r="E3717" s="41" t="s">
        <v>230</v>
      </c>
      <c r="F3717" s="18" t="str">
        <f>IFERROR(__xludf.DUMMYFUNCTION("if(REGEXMATCH(C3717,""x.com"")=TRUE,""Twitter"",if(REGEXMATCH(C3717,""facebook"")=TRUE,""Facebook"",if(REGEXMATCH(C3717,""instagram"")=TRUE,""Instagram"",if(REGEXMATCH(C3717,""youtube"")=TRUE,""Youtube"",if(REGEXMATCH(C3717,""tiktok"")=TRUE,""Tiktok"",if("&amp;"REGEXMATCH(C3717,""threads"")=TRUE,""Threads""))))))"),"Twitter")</f>
        <v>Twitter</v>
      </c>
      <c r="G3717" s="41" t="s">
        <v>6378</v>
      </c>
      <c r="H3717" s="76" t="s">
        <v>5452</v>
      </c>
      <c r="I3717" s="76" t="s">
        <v>535</v>
      </c>
      <c r="J3717" s="41" t="s">
        <v>188</v>
      </c>
      <c r="K3717" s="41" t="s">
        <v>1611</v>
      </c>
      <c r="L3717" s="42"/>
    </row>
    <row r="3718">
      <c r="A3718" s="18">
        <v>3717.0</v>
      </c>
      <c r="B3718" s="76" t="s">
        <v>6370</v>
      </c>
      <c r="C3718" s="40" t="s">
        <v>6379</v>
      </c>
      <c r="D3718" s="41"/>
      <c r="E3718" s="41" t="s">
        <v>6056</v>
      </c>
      <c r="F3718" s="18" t="str">
        <f>IFERROR(__xludf.DUMMYFUNCTION("if(REGEXMATCH(C3718,""x.com"")=TRUE,""Twitter"",if(REGEXMATCH(C3718,""facebook"")=TRUE,""Facebook"",if(REGEXMATCH(C3718,""instagram"")=TRUE,""Instagram"",if(REGEXMATCH(C3718,""youtube"")=TRUE,""Youtube"",if(REGEXMATCH(C3718,""tiktok"")=TRUE,""Tiktok"",if("&amp;"REGEXMATCH(C3718,""threads"")=TRUE,""Threads""))))))"),"Threads")</f>
        <v>Threads</v>
      </c>
      <c r="G3718" s="70" t="s">
        <v>6380</v>
      </c>
      <c r="H3718" s="76" t="s">
        <v>5452</v>
      </c>
      <c r="I3718" s="76" t="s">
        <v>535</v>
      </c>
      <c r="J3718" s="41" t="s">
        <v>422</v>
      </c>
      <c r="K3718" s="41" t="s">
        <v>6381</v>
      </c>
      <c r="L3718" s="42"/>
    </row>
    <row r="3719">
      <c r="A3719" s="18">
        <v>3718.0</v>
      </c>
      <c r="B3719" s="76" t="s">
        <v>6370</v>
      </c>
      <c r="C3719" s="40" t="s">
        <v>6382</v>
      </c>
      <c r="D3719" s="41"/>
      <c r="E3719" s="41" t="s">
        <v>557</v>
      </c>
      <c r="F3719" s="18" t="str">
        <f>IFERROR(__xludf.DUMMYFUNCTION("if(REGEXMATCH(C3719,""x.com"")=TRUE,""Twitter"",if(REGEXMATCH(C3719,""facebook"")=TRUE,""Facebook"",if(REGEXMATCH(C3719,""instagram"")=TRUE,""Instagram"",if(REGEXMATCH(C3719,""youtube"")=TRUE,""Youtube"",if(REGEXMATCH(C3719,""tiktok"")=TRUE,""Tiktok"",if("&amp;"REGEXMATCH(C3719,""threads"")=TRUE,""Threads""))))))"),"Facebook")</f>
        <v>Facebook</v>
      </c>
      <c r="G3719" s="41" t="s">
        <v>6383</v>
      </c>
      <c r="H3719" s="76" t="s">
        <v>5452</v>
      </c>
      <c r="I3719" s="76" t="s">
        <v>535</v>
      </c>
      <c r="J3719" s="41" t="s">
        <v>188</v>
      </c>
      <c r="K3719" s="41" t="s">
        <v>1611</v>
      </c>
      <c r="L3719" s="42"/>
    </row>
    <row r="3720">
      <c r="A3720" s="18">
        <v>3719.0</v>
      </c>
      <c r="B3720" s="76" t="s">
        <v>6370</v>
      </c>
      <c r="C3720" s="40" t="s">
        <v>6384</v>
      </c>
      <c r="D3720" s="41"/>
      <c r="E3720" s="41" t="s">
        <v>197</v>
      </c>
      <c r="F3720" s="18" t="str">
        <f>IFERROR(__xludf.DUMMYFUNCTION("if(REGEXMATCH(C3720,""x.com"")=TRUE,""Twitter"",if(REGEXMATCH(C3720,""facebook"")=TRUE,""Facebook"",if(REGEXMATCH(C3720,""instagram"")=TRUE,""Instagram"",if(REGEXMATCH(C3720,""youtube"")=TRUE,""Youtube"",if(REGEXMATCH(C3720,""tiktok"")=TRUE,""Tiktok"",if("&amp;"REGEXMATCH(C3720,""threads"")=TRUE,""Threads""))))))"),"Facebook")</f>
        <v>Facebook</v>
      </c>
      <c r="G3720" s="41" t="s">
        <v>6385</v>
      </c>
      <c r="H3720" s="76" t="s">
        <v>5452</v>
      </c>
      <c r="I3720" s="76" t="s">
        <v>535</v>
      </c>
      <c r="J3720" s="41" t="s">
        <v>188</v>
      </c>
      <c r="K3720" s="41" t="s">
        <v>1611</v>
      </c>
      <c r="L3720" s="42"/>
    </row>
    <row r="3721">
      <c r="A3721" s="18">
        <v>3720.0</v>
      </c>
      <c r="B3721" s="76" t="s">
        <v>6370</v>
      </c>
      <c r="C3721" s="40" t="s">
        <v>6386</v>
      </c>
      <c r="D3721" s="41"/>
      <c r="E3721" s="41" t="s">
        <v>197</v>
      </c>
      <c r="F3721" s="18" t="str">
        <f>IFERROR(__xludf.DUMMYFUNCTION("if(REGEXMATCH(C3721,""x.com"")=TRUE,""Twitter"",if(REGEXMATCH(C3721,""facebook"")=TRUE,""Facebook"",if(REGEXMATCH(C3721,""instagram"")=TRUE,""Instagram"",if(REGEXMATCH(C3721,""youtube"")=TRUE,""Youtube"",if(REGEXMATCH(C3721,""tiktok"")=TRUE,""Tiktok"",if("&amp;"REGEXMATCH(C3721,""threads"")=TRUE,""Threads""))))))"),"Facebook")</f>
        <v>Facebook</v>
      </c>
      <c r="G3721" s="41" t="s">
        <v>6387</v>
      </c>
      <c r="H3721" s="76" t="s">
        <v>5452</v>
      </c>
      <c r="I3721" s="76" t="s">
        <v>535</v>
      </c>
      <c r="J3721" s="41" t="s">
        <v>188</v>
      </c>
      <c r="K3721" s="41" t="s">
        <v>1611</v>
      </c>
      <c r="L3721" s="42"/>
    </row>
    <row r="3722">
      <c r="A3722" s="18">
        <v>3721.0</v>
      </c>
      <c r="B3722" s="76" t="s">
        <v>6370</v>
      </c>
      <c r="C3722" s="40" t="s">
        <v>6388</v>
      </c>
      <c r="D3722" s="41"/>
      <c r="E3722" s="41" t="s">
        <v>197</v>
      </c>
      <c r="F3722" s="18" t="str">
        <f>IFERROR(__xludf.DUMMYFUNCTION("if(REGEXMATCH(C3722,""x.com"")=TRUE,""Twitter"",if(REGEXMATCH(C3722,""facebook"")=TRUE,""Facebook"",if(REGEXMATCH(C3722,""instagram"")=TRUE,""Instagram"",if(REGEXMATCH(C3722,""youtube"")=TRUE,""Youtube"",if(REGEXMATCH(C3722,""tiktok"")=TRUE,""Tiktok"",if("&amp;"REGEXMATCH(C3722,""threads"")=TRUE,""Threads""))))))"),"Facebook")</f>
        <v>Facebook</v>
      </c>
      <c r="G3722" s="41" t="s">
        <v>6389</v>
      </c>
      <c r="H3722" s="76" t="s">
        <v>5452</v>
      </c>
      <c r="I3722" s="76" t="s">
        <v>535</v>
      </c>
      <c r="J3722" s="41" t="s">
        <v>188</v>
      </c>
      <c r="K3722" s="41"/>
      <c r="L3722" s="42"/>
    </row>
    <row r="3723">
      <c r="A3723" s="18">
        <v>3722.0</v>
      </c>
      <c r="B3723" s="76" t="s">
        <v>6370</v>
      </c>
      <c r="C3723" s="40" t="s">
        <v>6390</v>
      </c>
      <c r="D3723" s="41"/>
      <c r="E3723" s="41" t="s">
        <v>372</v>
      </c>
      <c r="F3723" s="18" t="str">
        <f>IFERROR(__xludf.DUMMYFUNCTION("if(REGEXMATCH(C3723,""x.com"")=TRUE,""Twitter"",if(REGEXMATCH(C3723,""facebook"")=TRUE,""Facebook"",if(REGEXMATCH(C3723,""instagram"")=TRUE,""Instagram"",if(REGEXMATCH(C3723,""youtube"")=TRUE,""Youtube"",if(REGEXMATCH(C3723,""tiktok"")=TRUE,""Tiktok"",if("&amp;"REGEXMATCH(C3723,""threads"")=TRUE,""Threads""))))))"),"Facebook")</f>
        <v>Facebook</v>
      </c>
      <c r="G3723" s="41" t="s">
        <v>6391</v>
      </c>
      <c r="H3723" s="76" t="s">
        <v>5452</v>
      </c>
      <c r="I3723" s="76" t="s">
        <v>535</v>
      </c>
      <c r="J3723" s="41" t="s">
        <v>188</v>
      </c>
      <c r="K3723" s="41"/>
      <c r="L3723" s="42"/>
    </row>
    <row r="3724">
      <c r="A3724" s="18">
        <v>3723.0</v>
      </c>
      <c r="B3724" s="76" t="s">
        <v>6370</v>
      </c>
      <c r="C3724" s="82" t="s">
        <v>6392</v>
      </c>
      <c r="D3724" s="42"/>
      <c r="E3724" s="41" t="s">
        <v>184</v>
      </c>
      <c r="F3724" s="18" t="str">
        <f>IFERROR(__xludf.DUMMYFUNCTION("if(REGEXMATCH(C3724,""x.com"")=TRUE,""Twitter"",if(REGEXMATCH(C3724,""facebook"")=TRUE,""Facebook"",if(REGEXMATCH(C3724,""instagram"")=TRUE,""Instagram"",if(REGEXMATCH(C3724,""youtube"")=TRUE,""Youtube"",if(REGEXMATCH(C3724,""tiktok"")=TRUE,""Tiktok"",if("&amp;"REGEXMATCH(C3724,""threads"")=TRUE,""Threads""))))))"),"Facebook")</f>
        <v>Facebook</v>
      </c>
      <c r="G3724" s="76" t="s">
        <v>6393</v>
      </c>
      <c r="H3724" s="76" t="s">
        <v>6394</v>
      </c>
      <c r="I3724" s="42"/>
      <c r="J3724" s="76" t="s">
        <v>188</v>
      </c>
      <c r="K3724" s="76" t="s">
        <v>3490</v>
      </c>
      <c r="L3724" s="42"/>
    </row>
    <row r="3725">
      <c r="A3725" s="18">
        <v>3724.0</v>
      </c>
      <c r="B3725" s="76" t="s">
        <v>6395</v>
      </c>
      <c r="C3725" s="40" t="s">
        <v>6396</v>
      </c>
      <c r="D3725" s="41"/>
      <c r="E3725" s="41" t="s">
        <v>197</v>
      </c>
      <c r="F3725" s="65" t="s">
        <v>405</v>
      </c>
      <c r="G3725" s="41" t="s">
        <v>6397</v>
      </c>
      <c r="H3725" s="76" t="s">
        <v>5876</v>
      </c>
      <c r="I3725" s="76" t="s">
        <v>535</v>
      </c>
      <c r="J3725" s="41" t="s">
        <v>422</v>
      </c>
      <c r="K3725" s="41" t="s">
        <v>6398</v>
      </c>
      <c r="L3725" s="42"/>
    </row>
    <row r="3726">
      <c r="A3726" s="18">
        <v>3725.0</v>
      </c>
      <c r="B3726" s="76" t="s">
        <v>6395</v>
      </c>
      <c r="C3726" s="40" t="s">
        <v>6399</v>
      </c>
      <c r="D3726" s="41"/>
      <c r="E3726" s="41" t="s">
        <v>557</v>
      </c>
      <c r="F3726" s="65" t="s">
        <v>622</v>
      </c>
      <c r="G3726" s="41" t="s">
        <v>6400</v>
      </c>
      <c r="H3726" s="76" t="s">
        <v>5876</v>
      </c>
      <c r="I3726" s="76" t="s">
        <v>535</v>
      </c>
      <c r="J3726" s="41" t="s">
        <v>422</v>
      </c>
      <c r="K3726" s="41" t="s">
        <v>6398</v>
      </c>
      <c r="L3726" s="42"/>
    </row>
    <row r="3727">
      <c r="A3727" s="18">
        <v>3726.0</v>
      </c>
      <c r="B3727" s="76" t="s">
        <v>6395</v>
      </c>
      <c r="C3727" s="40" t="s">
        <v>6401</v>
      </c>
      <c r="D3727" s="41"/>
      <c r="E3727" s="41" t="s">
        <v>197</v>
      </c>
      <c r="F3727" s="65" t="s">
        <v>622</v>
      </c>
      <c r="G3727" s="41" t="s">
        <v>6402</v>
      </c>
      <c r="H3727" s="76" t="s">
        <v>5876</v>
      </c>
      <c r="I3727" s="76" t="s">
        <v>535</v>
      </c>
      <c r="J3727" s="41" t="s">
        <v>422</v>
      </c>
      <c r="K3727" s="41" t="s">
        <v>6398</v>
      </c>
      <c r="L3727" s="42"/>
    </row>
    <row r="3728">
      <c r="A3728" s="18">
        <v>3727.0</v>
      </c>
      <c r="B3728" s="76" t="s">
        <v>6395</v>
      </c>
      <c r="C3728" s="40" t="s">
        <v>6403</v>
      </c>
      <c r="D3728" s="41"/>
      <c r="E3728" s="41" t="s">
        <v>197</v>
      </c>
      <c r="F3728" s="65" t="s">
        <v>622</v>
      </c>
      <c r="G3728" s="41" t="s">
        <v>6404</v>
      </c>
      <c r="H3728" s="76" t="s">
        <v>5876</v>
      </c>
      <c r="I3728" s="76" t="s">
        <v>535</v>
      </c>
      <c r="J3728" s="41" t="s">
        <v>422</v>
      </c>
      <c r="K3728" s="41" t="s">
        <v>6398</v>
      </c>
      <c r="L3728" s="42"/>
    </row>
    <row r="3729">
      <c r="A3729" s="18">
        <v>3728.0</v>
      </c>
      <c r="B3729" s="76" t="s">
        <v>6395</v>
      </c>
      <c r="C3729" s="40" t="s">
        <v>6405</v>
      </c>
      <c r="D3729" s="41"/>
      <c r="E3729" s="41" t="s">
        <v>197</v>
      </c>
      <c r="F3729" s="65" t="s">
        <v>622</v>
      </c>
      <c r="G3729" s="41" t="s">
        <v>6406</v>
      </c>
      <c r="H3729" s="76" t="s">
        <v>5876</v>
      </c>
      <c r="I3729" s="76" t="s">
        <v>535</v>
      </c>
      <c r="J3729" s="41" t="s">
        <v>422</v>
      </c>
      <c r="K3729" s="41" t="s">
        <v>6398</v>
      </c>
      <c r="L3729" s="42"/>
    </row>
    <row r="3730">
      <c r="A3730" s="18">
        <v>3729.0</v>
      </c>
      <c r="B3730" s="76" t="s">
        <v>6395</v>
      </c>
      <c r="C3730" s="40" t="s">
        <v>6407</v>
      </c>
      <c r="D3730" s="41"/>
      <c r="E3730" s="41" t="s">
        <v>197</v>
      </c>
      <c r="F3730" s="65" t="s">
        <v>622</v>
      </c>
      <c r="G3730" s="41" t="s">
        <v>6408</v>
      </c>
      <c r="H3730" s="76" t="s">
        <v>5876</v>
      </c>
      <c r="I3730" s="76" t="s">
        <v>535</v>
      </c>
      <c r="J3730" s="41" t="s">
        <v>422</v>
      </c>
      <c r="K3730" s="41" t="s">
        <v>6398</v>
      </c>
      <c r="L3730" s="42"/>
    </row>
    <row r="3731">
      <c r="A3731" s="18">
        <v>3730.0</v>
      </c>
      <c r="B3731" s="76" t="s">
        <v>6395</v>
      </c>
      <c r="C3731" s="60" t="s">
        <v>6409</v>
      </c>
      <c r="D3731" s="61"/>
      <c r="E3731" s="61" t="s">
        <v>557</v>
      </c>
      <c r="F3731" s="65" t="s">
        <v>622</v>
      </c>
      <c r="G3731" s="61" t="s">
        <v>6410</v>
      </c>
      <c r="H3731" s="76" t="s">
        <v>5876</v>
      </c>
      <c r="I3731" s="76" t="s">
        <v>535</v>
      </c>
      <c r="J3731" s="41" t="s">
        <v>422</v>
      </c>
      <c r="K3731" s="41" t="s">
        <v>6411</v>
      </c>
      <c r="L3731" s="42"/>
    </row>
    <row r="3732">
      <c r="A3732" s="18">
        <v>3731.0</v>
      </c>
      <c r="B3732" s="76" t="s">
        <v>6395</v>
      </c>
      <c r="C3732" s="60" t="s">
        <v>6412</v>
      </c>
      <c r="D3732" s="61"/>
      <c r="E3732" s="61" t="s">
        <v>557</v>
      </c>
      <c r="F3732" s="65" t="s">
        <v>622</v>
      </c>
      <c r="G3732" s="61" t="s">
        <v>6413</v>
      </c>
      <c r="H3732" s="76" t="s">
        <v>5876</v>
      </c>
      <c r="I3732" s="76" t="s">
        <v>535</v>
      </c>
      <c r="J3732" s="41" t="s">
        <v>422</v>
      </c>
      <c r="K3732" s="41" t="s">
        <v>6414</v>
      </c>
      <c r="L3732" s="42"/>
    </row>
    <row r="3733">
      <c r="A3733" s="18">
        <v>3732.0</v>
      </c>
      <c r="B3733" s="76" t="s">
        <v>6395</v>
      </c>
      <c r="C3733" s="40" t="s">
        <v>6415</v>
      </c>
      <c r="D3733" s="41"/>
      <c r="E3733" s="41" t="s">
        <v>557</v>
      </c>
      <c r="F3733" s="65" t="s">
        <v>622</v>
      </c>
      <c r="G3733" s="41" t="s">
        <v>6416</v>
      </c>
      <c r="H3733" s="76" t="s">
        <v>5876</v>
      </c>
      <c r="I3733" s="76" t="s">
        <v>535</v>
      </c>
      <c r="J3733" s="41" t="s">
        <v>422</v>
      </c>
      <c r="K3733" s="41" t="s">
        <v>6398</v>
      </c>
      <c r="L3733" s="42"/>
    </row>
    <row r="3734">
      <c r="A3734" s="18">
        <v>3733.0</v>
      </c>
      <c r="B3734" s="76" t="s">
        <v>6395</v>
      </c>
      <c r="C3734" s="60" t="s">
        <v>6417</v>
      </c>
      <c r="D3734" s="61"/>
      <c r="E3734" s="61" t="s">
        <v>197</v>
      </c>
      <c r="F3734" s="65" t="s">
        <v>622</v>
      </c>
      <c r="G3734" s="61" t="s">
        <v>6418</v>
      </c>
      <c r="H3734" s="76" t="s">
        <v>5876</v>
      </c>
      <c r="I3734" s="76" t="s">
        <v>535</v>
      </c>
      <c r="J3734" s="41" t="s">
        <v>422</v>
      </c>
      <c r="K3734" s="41" t="s">
        <v>6419</v>
      </c>
      <c r="L3734" s="42"/>
    </row>
    <row r="3735">
      <c r="A3735" s="18">
        <v>3734.0</v>
      </c>
      <c r="B3735" s="76" t="s">
        <v>6395</v>
      </c>
      <c r="C3735" s="40" t="s">
        <v>6420</v>
      </c>
      <c r="D3735" s="41"/>
      <c r="E3735" s="41" t="s">
        <v>197</v>
      </c>
      <c r="F3735" s="65" t="s">
        <v>622</v>
      </c>
      <c r="G3735" s="41" t="s">
        <v>6421</v>
      </c>
      <c r="H3735" s="76" t="s">
        <v>5876</v>
      </c>
      <c r="I3735" s="76" t="s">
        <v>535</v>
      </c>
      <c r="J3735" s="41" t="s">
        <v>422</v>
      </c>
      <c r="K3735" s="41" t="s">
        <v>6398</v>
      </c>
      <c r="L3735" s="42"/>
    </row>
    <row r="3736">
      <c r="A3736" s="18">
        <v>3735.0</v>
      </c>
      <c r="B3736" s="76" t="s">
        <v>6395</v>
      </c>
      <c r="C3736" s="40" t="s">
        <v>6422</v>
      </c>
      <c r="D3736" s="41"/>
      <c r="E3736" s="41" t="s">
        <v>557</v>
      </c>
      <c r="F3736" s="65" t="s">
        <v>702</v>
      </c>
      <c r="G3736" s="41" t="s">
        <v>6423</v>
      </c>
      <c r="H3736" s="76" t="s">
        <v>5876</v>
      </c>
      <c r="I3736" s="76" t="s">
        <v>535</v>
      </c>
      <c r="J3736" s="41" t="s">
        <v>422</v>
      </c>
      <c r="K3736" s="41" t="s">
        <v>6398</v>
      </c>
      <c r="L3736" s="42"/>
    </row>
    <row r="3737">
      <c r="A3737" s="18">
        <v>3736.0</v>
      </c>
      <c r="B3737" s="76" t="s">
        <v>6395</v>
      </c>
      <c r="C3737" s="40" t="s">
        <v>6424</v>
      </c>
      <c r="D3737" s="41"/>
      <c r="E3737" s="41" t="s">
        <v>230</v>
      </c>
      <c r="F3737" s="65" t="s">
        <v>405</v>
      </c>
      <c r="G3737" s="41" t="s">
        <v>6425</v>
      </c>
      <c r="H3737" s="76" t="s">
        <v>5876</v>
      </c>
      <c r="I3737" s="76" t="s">
        <v>535</v>
      </c>
      <c r="J3737" s="41" t="s">
        <v>422</v>
      </c>
      <c r="K3737" s="41" t="s">
        <v>6398</v>
      </c>
      <c r="L3737" s="42"/>
    </row>
    <row r="3738">
      <c r="A3738" s="18">
        <v>3737.0</v>
      </c>
      <c r="B3738" s="76" t="s">
        <v>6395</v>
      </c>
      <c r="C3738" s="46" t="s">
        <v>6426</v>
      </c>
      <c r="D3738" s="41"/>
      <c r="E3738" s="41" t="s">
        <v>401</v>
      </c>
      <c r="F3738" s="41" t="s">
        <v>686</v>
      </c>
      <c r="G3738" s="41" t="s">
        <v>937</v>
      </c>
      <c r="H3738" s="41" t="s">
        <v>1542</v>
      </c>
      <c r="I3738" s="41" t="s">
        <v>939</v>
      </c>
      <c r="J3738" s="41" t="s">
        <v>188</v>
      </c>
      <c r="K3738" s="41"/>
      <c r="L3738" s="42"/>
    </row>
    <row r="3739">
      <c r="A3739" s="18">
        <v>3738.0</v>
      </c>
      <c r="B3739" s="76" t="s">
        <v>6395</v>
      </c>
      <c r="C3739" s="46" t="s">
        <v>6427</v>
      </c>
      <c r="D3739" s="41"/>
      <c r="E3739" s="41" t="s">
        <v>401</v>
      </c>
      <c r="F3739" s="41" t="s">
        <v>686</v>
      </c>
      <c r="G3739" s="41" t="s">
        <v>937</v>
      </c>
      <c r="H3739" s="41" t="s">
        <v>1542</v>
      </c>
      <c r="I3739" s="41" t="s">
        <v>939</v>
      </c>
      <c r="J3739" s="41" t="s">
        <v>188</v>
      </c>
      <c r="K3739" s="41"/>
      <c r="L3739" s="42"/>
    </row>
    <row r="3740">
      <c r="A3740" s="18">
        <v>3739.0</v>
      </c>
      <c r="B3740" s="76" t="s">
        <v>6395</v>
      </c>
      <c r="C3740" s="46" t="s">
        <v>6428</v>
      </c>
      <c r="D3740" s="41"/>
      <c r="E3740" s="41" t="s">
        <v>401</v>
      </c>
      <c r="F3740" s="41" t="s">
        <v>686</v>
      </c>
      <c r="G3740" s="41" t="s">
        <v>937</v>
      </c>
      <c r="H3740" s="41" t="s">
        <v>1542</v>
      </c>
      <c r="I3740" s="41" t="s">
        <v>939</v>
      </c>
      <c r="J3740" s="41" t="s">
        <v>188</v>
      </c>
      <c r="K3740" s="41"/>
      <c r="L3740" s="42"/>
    </row>
    <row r="3741">
      <c r="A3741" s="18">
        <v>3740.0</v>
      </c>
      <c r="B3741" s="76" t="s">
        <v>6395</v>
      </c>
      <c r="C3741" s="46" t="s">
        <v>6429</v>
      </c>
      <c r="D3741" s="41"/>
      <c r="E3741" s="41" t="s">
        <v>401</v>
      </c>
      <c r="F3741" s="41" t="s">
        <v>686</v>
      </c>
      <c r="G3741" s="41" t="s">
        <v>937</v>
      </c>
      <c r="H3741" s="41" t="s">
        <v>1542</v>
      </c>
      <c r="I3741" s="41" t="s">
        <v>939</v>
      </c>
      <c r="J3741" s="41" t="s">
        <v>188</v>
      </c>
      <c r="K3741" s="41"/>
      <c r="L3741" s="42"/>
    </row>
    <row r="3742">
      <c r="A3742" s="18">
        <v>3741.0</v>
      </c>
      <c r="B3742" s="76" t="s">
        <v>6395</v>
      </c>
      <c r="C3742" s="46" t="s">
        <v>6430</v>
      </c>
      <c r="D3742" s="41"/>
      <c r="E3742" s="41" t="s">
        <v>401</v>
      </c>
      <c r="F3742" s="41" t="s">
        <v>686</v>
      </c>
      <c r="G3742" s="41" t="s">
        <v>937</v>
      </c>
      <c r="H3742" s="41" t="s">
        <v>1542</v>
      </c>
      <c r="I3742" s="41" t="s">
        <v>939</v>
      </c>
      <c r="J3742" s="41" t="s">
        <v>188</v>
      </c>
      <c r="K3742" s="41"/>
      <c r="L3742" s="42"/>
    </row>
    <row r="3743">
      <c r="A3743" s="18">
        <v>3742.0</v>
      </c>
      <c r="B3743" s="76" t="s">
        <v>6395</v>
      </c>
      <c r="C3743" s="46" t="s">
        <v>6431</v>
      </c>
      <c r="D3743" s="41"/>
      <c r="E3743" s="41" t="s">
        <v>401</v>
      </c>
      <c r="F3743" s="41" t="s">
        <v>686</v>
      </c>
      <c r="G3743" s="41" t="s">
        <v>937</v>
      </c>
      <c r="H3743" s="41" t="s">
        <v>1542</v>
      </c>
      <c r="I3743" s="41" t="s">
        <v>939</v>
      </c>
      <c r="J3743" s="41" t="s">
        <v>188</v>
      </c>
      <c r="K3743" s="41"/>
      <c r="L3743" s="42"/>
    </row>
    <row r="3744">
      <c r="A3744" s="18">
        <v>3743.0</v>
      </c>
      <c r="B3744" s="76" t="s">
        <v>6395</v>
      </c>
      <c r="C3744" s="46" t="s">
        <v>6432</v>
      </c>
      <c r="D3744" s="41"/>
      <c r="E3744" s="41" t="s">
        <v>401</v>
      </c>
      <c r="F3744" s="41" t="s">
        <v>686</v>
      </c>
      <c r="G3744" s="41" t="s">
        <v>937</v>
      </c>
      <c r="H3744" s="41" t="s">
        <v>1542</v>
      </c>
      <c r="I3744" s="41" t="s">
        <v>939</v>
      </c>
      <c r="J3744" s="41" t="s">
        <v>188</v>
      </c>
      <c r="K3744" s="18"/>
      <c r="L3744" s="42"/>
    </row>
    <row r="3745">
      <c r="A3745" s="18">
        <v>3744.0</v>
      </c>
      <c r="B3745" s="76" t="s">
        <v>6395</v>
      </c>
      <c r="C3745" s="46" t="s">
        <v>6433</v>
      </c>
      <c r="D3745" s="41"/>
      <c r="E3745" s="41" t="s">
        <v>401</v>
      </c>
      <c r="F3745" s="41" t="s">
        <v>686</v>
      </c>
      <c r="G3745" s="41" t="s">
        <v>937</v>
      </c>
      <c r="H3745" s="41" t="s">
        <v>1542</v>
      </c>
      <c r="I3745" s="41" t="s">
        <v>939</v>
      </c>
      <c r="J3745" s="41" t="s">
        <v>188</v>
      </c>
      <c r="K3745" s="41"/>
      <c r="L3745" s="42"/>
    </row>
    <row r="3746">
      <c r="A3746" s="18">
        <v>3745.0</v>
      </c>
      <c r="B3746" s="76" t="s">
        <v>6434</v>
      </c>
      <c r="C3746" s="40" t="s">
        <v>6435</v>
      </c>
      <c r="D3746" s="41"/>
      <c r="E3746" s="41" t="s">
        <v>197</v>
      </c>
      <c r="F3746" s="18" t="str">
        <f>IFERROR(__xludf.DUMMYFUNCTION("if(REGEXMATCH(C3746,""x.com"")=TRUE,""Twitter"",if(REGEXMATCH(C3746,""facebook"")=TRUE,""Facebook"",if(REGEXMATCH(C3746,""instagram"")=TRUE,""Instagram"",if(REGEXMATCH(C3746,""youtube"")=TRUE,""Youtube"",if(REGEXMATCH(C3746,""tiktok"")=TRUE,""Tiktok"",if("&amp;"REGEXMATCH(C3746,""threads"")=TRUE,""Threads""))))))"),"Facebook")</f>
        <v>Facebook</v>
      </c>
      <c r="G3746" s="41" t="s">
        <v>6436</v>
      </c>
      <c r="H3746" s="42"/>
      <c r="I3746" s="42"/>
      <c r="J3746" s="41" t="s">
        <v>188</v>
      </c>
      <c r="K3746" s="41" t="s">
        <v>1611</v>
      </c>
      <c r="L3746" s="42"/>
    </row>
    <row r="3747">
      <c r="A3747" s="18">
        <v>3746.0</v>
      </c>
      <c r="B3747" s="76" t="s">
        <v>6434</v>
      </c>
      <c r="C3747" s="40" t="s">
        <v>6437</v>
      </c>
      <c r="D3747" s="41"/>
      <c r="E3747" s="41" t="s">
        <v>557</v>
      </c>
      <c r="F3747" s="18" t="str">
        <f>IFERROR(__xludf.DUMMYFUNCTION("if(REGEXMATCH(C3747,""x.com"")=TRUE,""Twitter"",if(REGEXMATCH(C3747,""facebook"")=TRUE,""Facebook"",if(REGEXMATCH(C3747,""instagram"")=TRUE,""Instagram"",if(REGEXMATCH(C3747,""youtube"")=TRUE,""Youtube"",if(REGEXMATCH(C3747,""tiktok"")=TRUE,""Tiktok"",if("&amp;"REGEXMATCH(C3747,""threads"")=TRUE,""Threads""))))))"),"Facebook")</f>
        <v>Facebook</v>
      </c>
      <c r="G3747" s="41" t="s">
        <v>6438</v>
      </c>
      <c r="H3747" s="42"/>
      <c r="I3747" s="42"/>
      <c r="J3747" s="41" t="s">
        <v>188</v>
      </c>
      <c r="K3747" s="41" t="s">
        <v>1611</v>
      </c>
      <c r="L3747" s="42"/>
    </row>
    <row r="3748">
      <c r="A3748" s="18">
        <v>3747.0</v>
      </c>
      <c r="B3748" s="76" t="s">
        <v>6434</v>
      </c>
      <c r="C3748" s="40" t="s">
        <v>6439</v>
      </c>
      <c r="D3748" s="41"/>
      <c r="E3748" s="41" t="s">
        <v>557</v>
      </c>
      <c r="F3748" s="18" t="str">
        <f>IFERROR(__xludf.DUMMYFUNCTION("if(REGEXMATCH(C3748,""x.com"")=TRUE,""Twitter"",if(REGEXMATCH(C3748,""facebook"")=TRUE,""Facebook"",if(REGEXMATCH(C3748,""instagram"")=TRUE,""Instagram"",if(REGEXMATCH(C3748,""youtube"")=TRUE,""Youtube"",if(REGEXMATCH(C3748,""tiktok"")=TRUE,""Tiktok"",if("&amp;"REGEXMATCH(C3748,""threads"")=TRUE,""Threads""))))))"),"Facebook")</f>
        <v>Facebook</v>
      </c>
      <c r="G3748" s="41" t="s">
        <v>6440</v>
      </c>
      <c r="H3748" s="42"/>
      <c r="I3748" s="42"/>
      <c r="J3748" s="41" t="s">
        <v>188</v>
      </c>
      <c r="K3748" s="41" t="s">
        <v>1611</v>
      </c>
      <c r="L3748" s="42"/>
    </row>
    <row r="3749">
      <c r="A3749" s="18">
        <v>3748.0</v>
      </c>
      <c r="B3749" s="76" t="s">
        <v>6434</v>
      </c>
      <c r="C3749" s="40" t="s">
        <v>6441</v>
      </c>
      <c r="D3749" s="41"/>
      <c r="E3749" s="41" t="s">
        <v>197</v>
      </c>
      <c r="F3749" s="18" t="str">
        <f>IFERROR(__xludf.DUMMYFUNCTION("if(REGEXMATCH(C3749,""x.com"")=TRUE,""Twitter"",if(REGEXMATCH(C3749,""facebook"")=TRUE,""Facebook"",if(REGEXMATCH(C3749,""instagram"")=TRUE,""Instagram"",if(REGEXMATCH(C3749,""youtube"")=TRUE,""Youtube"",if(REGEXMATCH(C3749,""tiktok"")=TRUE,""Tiktok"",if("&amp;"REGEXMATCH(C3749,""threads"")=TRUE,""Threads""))))))"),"Facebook")</f>
        <v>Facebook</v>
      </c>
      <c r="G3749" s="41" t="s">
        <v>6442</v>
      </c>
      <c r="H3749" s="42"/>
      <c r="I3749" s="42"/>
      <c r="J3749" s="41" t="s">
        <v>188</v>
      </c>
      <c r="K3749" s="41" t="s">
        <v>1611</v>
      </c>
      <c r="L3749" s="42"/>
    </row>
    <row r="3750">
      <c r="A3750" s="18">
        <v>3749.0</v>
      </c>
      <c r="B3750" s="76" t="s">
        <v>6434</v>
      </c>
      <c r="C3750" s="40" t="s">
        <v>6443</v>
      </c>
      <c r="D3750" s="41"/>
      <c r="E3750" s="41" t="s">
        <v>372</v>
      </c>
      <c r="F3750" s="18" t="str">
        <f>IFERROR(__xludf.DUMMYFUNCTION("if(REGEXMATCH(C3750,""x.com"")=TRUE,""Twitter"",if(REGEXMATCH(C3750,""facebook"")=TRUE,""Facebook"",if(REGEXMATCH(C3750,""instagram"")=TRUE,""Instagram"",if(REGEXMATCH(C3750,""youtube"")=TRUE,""Youtube"",if(REGEXMATCH(C3750,""tiktok"")=TRUE,""Tiktok"",if("&amp;"REGEXMATCH(C3750,""threads"")=TRUE,""Threads""))))))"),"Tiktok")</f>
        <v>Tiktok</v>
      </c>
      <c r="G3750" s="41" t="s">
        <v>6444</v>
      </c>
      <c r="H3750" s="42"/>
      <c r="I3750" s="42"/>
      <c r="J3750" s="41" t="s">
        <v>188</v>
      </c>
      <c r="K3750" s="41" t="s">
        <v>1611</v>
      </c>
      <c r="L3750" s="42"/>
    </row>
    <row r="3751">
      <c r="A3751" s="18">
        <v>3750.0</v>
      </c>
      <c r="B3751" s="76" t="s">
        <v>6434</v>
      </c>
      <c r="C3751" s="40" t="s">
        <v>6445</v>
      </c>
      <c r="D3751" s="41"/>
      <c r="E3751" s="41" t="s">
        <v>557</v>
      </c>
      <c r="F3751" s="18" t="str">
        <f>IFERROR(__xludf.DUMMYFUNCTION("if(REGEXMATCH(C3751,""x.com"")=TRUE,""Twitter"",if(REGEXMATCH(C3751,""facebook"")=TRUE,""Facebook"",if(REGEXMATCH(C3751,""instagram"")=TRUE,""Instagram"",if(REGEXMATCH(C3751,""youtube"")=TRUE,""Youtube"",if(REGEXMATCH(C3751,""tiktok"")=TRUE,""Tiktok"",if("&amp;"REGEXMATCH(C3751,""threads"")=TRUE,""Threads""))))))"),"Tiktok")</f>
        <v>Tiktok</v>
      </c>
      <c r="G3751" s="41" t="s">
        <v>6446</v>
      </c>
      <c r="H3751" s="42"/>
      <c r="I3751" s="42"/>
      <c r="J3751" s="41" t="s">
        <v>188</v>
      </c>
      <c r="K3751" s="41" t="s">
        <v>1611</v>
      </c>
      <c r="L3751" s="42"/>
    </row>
    <row r="3752">
      <c r="A3752" s="18">
        <v>3751.0</v>
      </c>
      <c r="B3752" s="76" t="s">
        <v>6434</v>
      </c>
      <c r="C3752" s="40" t="s">
        <v>6447</v>
      </c>
      <c r="D3752" s="41"/>
      <c r="E3752" s="41" t="s">
        <v>557</v>
      </c>
      <c r="F3752" s="18" t="str">
        <f>IFERROR(__xludf.DUMMYFUNCTION("if(REGEXMATCH(C3752,""x.com"")=TRUE,""Twitter"",if(REGEXMATCH(C3752,""facebook"")=TRUE,""Facebook"",if(REGEXMATCH(C3752,""instagram"")=TRUE,""Instagram"",if(REGEXMATCH(C3752,""youtube"")=TRUE,""Youtube"",if(REGEXMATCH(C3752,""tiktok"")=TRUE,""Tiktok"",if("&amp;"REGEXMATCH(C3752,""threads"")=TRUE,""Threads""))))))"),"Twitter")</f>
        <v>Twitter</v>
      </c>
      <c r="G3752" s="41" t="s">
        <v>6448</v>
      </c>
      <c r="H3752" s="42"/>
      <c r="I3752" s="42"/>
      <c r="J3752" s="41" t="s">
        <v>188</v>
      </c>
      <c r="K3752" s="41" t="s">
        <v>1611</v>
      </c>
      <c r="L3752" s="42"/>
    </row>
    <row r="3753">
      <c r="A3753" s="18">
        <v>3752.0</v>
      </c>
      <c r="B3753" s="76" t="s">
        <v>6434</v>
      </c>
      <c r="C3753" s="40" t="s">
        <v>6449</v>
      </c>
      <c r="D3753" s="41"/>
      <c r="E3753" s="41" t="s">
        <v>230</v>
      </c>
      <c r="F3753" s="18" t="str">
        <f>IFERROR(__xludf.DUMMYFUNCTION("if(REGEXMATCH(C3753,""x.com"")=TRUE,""Twitter"",if(REGEXMATCH(C3753,""facebook"")=TRUE,""Facebook"",if(REGEXMATCH(C3753,""instagram"")=TRUE,""Instagram"",if(REGEXMATCH(C3753,""youtube"")=TRUE,""Youtube"",if(REGEXMATCH(C3753,""tiktok"")=TRUE,""Tiktok"",if("&amp;"REGEXMATCH(C3753,""threads"")=TRUE,""Threads""))))))"),"Tiktok")</f>
        <v>Tiktok</v>
      </c>
      <c r="G3753" s="41" t="s">
        <v>6450</v>
      </c>
      <c r="H3753" s="42"/>
      <c r="I3753" s="42"/>
      <c r="J3753" s="41" t="s">
        <v>188</v>
      </c>
      <c r="K3753" s="41"/>
      <c r="L3753" s="42"/>
    </row>
    <row r="3754">
      <c r="A3754" s="18">
        <v>3753.0</v>
      </c>
      <c r="B3754" s="76" t="s">
        <v>6434</v>
      </c>
      <c r="C3754" s="40" t="s">
        <v>6451</v>
      </c>
      <c r="D3754" s="41"/>
      <c r="E3754" s="41" t="s">
        <v>447</v>
      </c>
      <c r="F3754" s="18" t="str">
        <f>IFERROR(__xludf.DUMMYFUNCTION("if(REGEXMATCH(C3754,""x.com"")=TRUE,""Twitter"",if(REGEXMATCH(C3754,""facebook"")=TRUE,""Facebook"",if(REGEXMATCH(C3754,""instagram"")=TRUE,""Instagram"",if(REGEXMATCH(C3754,""youtube"")=TRUE,""Youtube"",if(REGEXMATCH(C3754,""tiktok"")=TRUE,""Tiktok"",if("&amp;"REGEXMATCH(C3754,""threads"")=TRUE,""Threads""))))))"),"Tiktok")</f>
        <v>Tiktok</v>
      </c>
      <c r="G3754" s="41" t="s">
        <v>6452</v>
      </c>
      <c r="H3754" s="42"/>
      <c r="I3754" s="42"/>
      <c r="J3754" s="41" t="s">
        <v>188</v>
      </c>
      <c r="K3754" s="41"/>
      <c r="L3754" s="42"/>
    </row>
    <row r="3755">
      <c r="A3755" s="18">
        <v>3754.0</v>
      </c>
      <c r="B3755" s="76" t="s">
        <v>6434</v>
      </c>
      <c r="C3755" s="40" t="s">
        <v>6453</v>
      </c>
      <c r="D3755" s="41"/>
      <c r="E3755" s="41" t="s">
        <v>447</v>
      </c>
      <c r="F3755" s="18" t="str">
        <f>IFERROR(__xludf.DUMMYFUNCTION("if(REGEXMATCH(C3755,""x.com"")=TRUE,""Twitter"",if(REGEXMATCH(C3755,""facebook"")=TRUE,""Facebook"",if(REGEXMATCH(C3755,""instagram"")=TRUE,""Instagram"",if(REGEXMATCH(C3755,""youtube"")=TRUE,""Youtube"",if(REGEXMATCH(C3755,""tiktok"")=TRUE,""Tiktok"",if("&amp;"REGEXMATCH(C3755,""threads"")=TRUE,""Threads""))))))"),"Tiktok")</f>
        <v>Tiktok</v>
      </c>
      <c r="G3755" s="41" t="s">
        <v>6454</v>
      </c>
      <c r="H3755" s="42"/>
      <c r="I3755" s="42"/>
      <c r="J3755" s="41" t="s">
        <v>188</v>
      </c>
      <c r="K3755" s="41"/>
      <c r="L3755" s="42"/>
    </row>
    <row r="3756">
      <c r="A3756" s="18">
        <v>3755.0</v>
      </c>
      <c r="B3756" s="76" t="s">
        <v>6434</v>
      </c>
      <c r="C3756" s="40" t="s">
        <v>6455</v>
      </c>
      <c r="D3756" s="41"/>
      <c r="E3756" s="41" t="s">
        <v>4703</v>
      </c>
      <c r="F3756" s="18" t="str">
        <f>IFERROR(__xludf.DUMMYFUNCTION("if(REGEXMATCH(C3756,""x.com"")=TRUE,""Twitter"",if(REGEXMATCH(C3756,""facebook"")=TRUE,""Facebook"",if(REGEXMATCH(C3756,""instagram"")=TRUE,""Instagram"",if(REGEXMATCH(C3756,""youtube"")=TRUE,""Youtube"",if(REGEXMATCH(C3756,""tiktok"")=TRUE,""Tiktok"",if("&amp;"REGEXMATCH(C3756,""threads"")=TRUE,""Threads""))))))"),"Tiktok")</f>
        <v>Tiktok</v>
      </c>
      <c r="G3756" s="41" t="s">
        <v>6456</v>
      </c>
      <c r="H3756" s="42"/>
      <c r="I3756" s="42"/>
      <c r="J3756" s="41" t="s">
        <v>188</v>
      </c>
      <c r="K3756" s="41"/>
      <c r="L3756" s="42"/>
    </row>
    <row r="3757">
      <c r="A3757" s="18">
        <v>3756.0</v>
      </c>
      <c r="B3757" s="76" t="s">
        <v>6434</v>
      </c>
      <c r="C3757" s="40" t="s">
        <v>6457</v>
      </c>
      <c r="D3757" s="41"/>
      <c r="E3757" s="41" t="s">
        <v>5945</v>
      </c>
      <c r="F3757" s="18" t="str">
        <f>IFERROR(__xludf.DUMMYFUNCTION("if(REGEXMATCH(C3757,""x.com"")=TRUE,""Twitter"",if(REGEXMATCH(C3757,""facebook"")=TRUE,""Facebook"",if(REGEXMATCH(C3757,""instagram"")=TRUE,""Instagram"",if(REGEXMATCH(C3757,""youtube"")=TRUE,""Youtube"",if(REGEXMATCH(C3757,""tiktok"")=TRUE,""Tiktok"",if("&amp;"REGEXMATCH(C3757,""threads"")=TRUE,""Threads""))))))"),"Tiktok")</f>
        <v>Tiktok</v>
      </c>
      <c r="G3757" s="41" t="s">
        <v>6458</v>
      </c>
      <c r="H3757" s="42"/>
      <c r="I3757" s="42"/>
      <c r="J3757" s="41" t="s">
        <v>188</v>
      </c>
      <c r="K3757" s="41"/>
      <c r="L3757" s="42"/>
    </row>
    <row r="3758">
      <c r="A3758" s="18">
        <v>3757.0</v>
      </c>
      <c r="B3758" s="76" t="s">
        <v>6434</v>
      </c>
      <c r="C3758" s="40" t="s">
        <v>6459</v>
      </c>
      <c r="D3758" s="41"/>
      <c r="E3758" s="41" t="s">
        <v>230</v>
      </c>
      <c r="F3758" s="18" t="str">
        <f>IFERROR(__xludf.DUMMYFUNCTION("if(REGEXMATCH(C3758,""x.com"")=TRUE,""Twitter"",if(REGEXMATCH(C3758,""facebook"")=TRUE,""Facebook"",if(REGEXMATCH(C3758,""instagram"")=TRUE,""Instagram"",if(REGEXMATCH(C3758,""youtube"")=TRUE,""Youtube"",if(REGEXMATCH(C3758,""tiktok"")=TRUE,""Tiktok"",if("&amp;"REGEXMATCH(C3758,""threads"")=TRUE,""Threads""))))))"),"Tiktok")</f>
        <v>Tiktok</v>
      </c>
      <c r="G3758" s="41" t="s">
        <v>6460</v>
      </c>
      <c r="H3758" s="42"/>
      <c r="I3758" s="42"/>
      <c r="J3758" s="41" t="s">
        <v>188</v>
      </c>
      <c r="K3758" s="41"/>
      <c r="L3758" s="42"/>
    </row>
    <row r="3759">
      <c r="A3759" s="18">
        <v>3758.0</v>
      </c>
      <c r="B3759" s="76" t="s">
        <v>6434</v>
      </c>
      <c r="C3759" s="40" t="s">
        <v>6461</v>
      </c>
      <c r="D3759" s="41"/>
      <c r="E3759" s="41" t="s">
        <v>447</v>
      </c>
      <c r="F3759" s="18" t="str">
        <f>IFERROR(__xludf.DUMMYFUNCTION("if(REGEXMATCH(C3759,""x.com"")=TRUE,""Twitter"",if(REGEXMATCH(C3759,""facebook"")=TRUE,""Facebook"",if(REGEXMATCH(C3759,""instagram"")=TRUE,""Instagram"",if(REGEXMATCH(C3759,""youtube"")=TRUE,""Youtube"",if(REGEXMATCH(C3759,""tiktok"")=TRUE,""Tiktok"",if("&amp;"REGEXMATCH(C3759,""threads"")=TRUE,""Threads""))))))"),"Facebook")</f>
        <v>Facebook</v>
      </c>
      <c r="G3759" s="44" t="s">
        <v>6462</v>
      </c>
      <c r="H3759" s="42"/>
      <c r="I3759" s="42"/>
      <c r="J3759" s="41" t="s">
        <v>188</v>
      </c>
      <c r="K3759" s="41"/>
      <c r="L3759" s="42"/>
    </row>
    <row r="3760">
      <c r="A3760" s="18">
        <v>3759.0</v>
      </c>
      <c r="B3760" s="76" t="s">
        <v>6434</v>
      </c>
      <c r="C3760" s="40" t="s">
        <v>6463</v>
      </c>
      <c r="D3760" s="41"/>
      <c r="E3760" s="41" t="s">
        <v>4703</v>
      </c>
      <c r="F3760" s="18" t="str">
        <f>IFERROR(__xludf.DUMMYFUNCTION("if(REGEXMATCH(C3760,""x.com"")=TRUE,""Twitter"",if(REGEXMATCH(C3760,""facebook"")=TRUE,""Facebook"",if(REGEXMATCH(C3760,""instagram"")=TRUE,""Instagram"",if(REGEXMATCH(C3760,""youtube"")=TRUE,""Youtube"",if(REGEXMATCH(C3760,""tiktok"")=TRUE,""Tiktok"",if("&amp;"REGEXMATCH(C3760,""threads"")=TRUE,""Threads""))))))"),"Facebook")</f>
        <v>Facebook</v>
      </c>
      <c r="G3760" s="41" t="s">
        <v>6464</v>
      </c>
      <c r="H3760" s="42"/>
      <c r="I3760" s="42"/>
      <c r="J3760" s="41" t="s">
        <v>188</v>
      </c>
      <c r="K3760" s="41"/>
      <c r="L3760" s="42"/>
    </row>
    <row r="3761">
      <c r="A3761" s="18">
        <v>3760.0</v>
      </c>
      <c r="B3761" s="76" t="s">
        <v>6434</v>
      </c>
      <c r="C3761" s="40" t="s">
        <v>6465</v>
      </c>
      <c r="D3761" s="41"/>
      <c r="E3761" s="41" t="s">
        <v>6466</v>
      </c>
      <c r="F3761" s="18" t="str">
        <f>IFERROR(__xludf.DUMMYFUNCTION("if(REGEXMATCH(C3761,""x.com"")=TRUE,""Twitter"",if(REGEXMATCH(C3761,""facebook"")=TRUE,""Facebook"",if(REGEXMATCH(C3761,""instagram"")=TRUE,""Instagram"",if(REGEXMATCH(C3761,""youtube"")=TRUE,""Youtube"",if(REGEXMATCH(C3761,""tiktok"")=TRUE,""Tiktok"",if("&amp;"REGEXMATCH(C3761,""threads"")=TRUE,""Threads""))))))"),"Facebook")</f>
        <v>Facebook</v>
      </c>
      <c r="G3761" s="41" t="s">
        <v>6467</v>
      </c>
      <c r="H3761" s="42"/>
      <c r="I3761" s="42"/>
      <c r="J3761" s="41" t="s">
        <v>188</v>
      </c>
      <c r="K3761" s="41"/>
      <c r="L3761" s="42"/>
    </row>
    <row r="3762">
      <c r="A3762" s="18">
        <v>3761.0</v>
      </c>
      <c r="B3762" s="76" t="s">
        <v>6434</v>
      </c>
      <c r="C3762" s="40" t="s">
        <v>6468</v>
      </c>
      <c r="D3762" s="41"/>
      <c r="E3762" s="41" t="s">
        <v>447</v>
      </c>
      <c r="F3762" s="18" t="str">
        <f>IFERROR(__xludf.DUMMYFUNCTION("if(REGEXMATCH(C3762,""x.com"")=TRUE,""Twitter"",if(REGEXMATCH(C3762,""facebook"")=TRUE,""Facebook"",if(REGEXMATCH(C3762,""instagram"")=TRUE,""Instagram"",if(REGEXMATCH(C3762,""youtube"")=TRUE,""Youtube"",if(REGEXMATCH(C3762,""tiktok"")=TRUE,""Tiktok"",if("&amp;"REGEXMATCH(C3762,""threads"")=TRUE,""Threads""))))))"),"Threads")</f>
        <v>Threads</v>
      </c>
      <c r="G3762" s="41" t="s">
        <v>6469</v>
      </c>
      <c r="H3762" s="42"/>
      <c r="I3762" s="42"/>
      <c r="J3762" s="41" t="s">
        <v>188</v>
      </c>
      <c r="K3762" s="41"/>
      <c r="L3762" s="42"/>
    </row>
    <row r="3763">
      <c r="A3763" s="18">
        <v>3762.0</v>
      </c>
      <c r="B3763" s="76" t="s">
        <v>6434</v>
      </c>
      <c r="C3763" s="74" t="s">
        <v>6470</v>
      </c>
      <c r="D3763" s="42"/>
      <c r="E3763" s="42"/>
      <c r="F3763" s="76" t="s">
        <v>1873</v>
      </c>
      <c r="G3763" s="76" t="s">
        <v>6471</v>
      </c>
      <c r="H3763" s="76" t="s">
        <v>2023</v>
      </c>
      <c r="I3763" s="42"/>
      <c r="J3763" s="41" t="s">
        <v>188</v>
      </c>
      <c r="K3763" s="42"/>
      <c r="L3763" s="42"/>
    </row>
    <row r="3764">
      <c r="A3764" s="18">
        <v>3763.0</v>
      </c>
      <c r="B3764" s="76" t="s">
        <v>6472</v>
      </c>
      <c r="C3764" s="60" t="s">
        <v>6473</v>
      </c>
      <c r="D3764" s="41"/>
      <c r="E3764" s="61" t="s">
        <v>197</v>
      </c>
      <c r="F3764" s="18" t="str">
        <f>IFERROR(__xludf.DUMMYFUNCTION("if(REGEXMATCH(C3764,""x.com"")=TRUE,""Twitter"",if(REGEXMATCH(C3764,""facebook"")=TRUE,""Facebook"",if(REGEXMATCH(C3764,""instagram"")=TRUE,""Instagram"",if(REGEXMATCH(C3764,""youtube"")=TRUE,""Youtube"",if(REGEXMATCH(C3764,""tiktok"")=TRUE,""Tiktok"",if("&amp;"REGEXMATCH(C3764,""threads"")=TRUE,""Threads""))))))"),"Twitter")</f>
        <v>Twitter</v>
      </c>
      <c r="G3764" s="61" t="s">
        <v>6474</v>
      </c>
      <c r="H3764" s="41" t="s">
        <v>4986</v>
      </c>
      <c r="I3764" s="41"/>
      <c r="J3764" s="61" t="s">
        <v>188</v>
      </c>
      <c r="K3764" s="61" t="s">
        <v>1611</v>
      </c>
      <c r="L3764" s="42"/>
    </row>
    <row r="3765">
      <c r="A3765" s="18">
        <v>3764.0</v>
      </c>
      <c r="B3765" s="76" t="s">
        <v>6472</v>
      </c>
      <c r="C3765" s="40" t="s">
        <v>6475</v>
      </c>
      <c r="D3765" s="41"/>
      <c r="E3765" s="41" t="s">
        <v>197</v>
      </c>
      <c r="F3765" s="18" t="str">
        <f>IFERROR(__xludf.DUMMYFUNCTION("if(REGEXMATCH(C3765,""x.com"")=TRUE,""Twitter"",if(REGEXMATCH(C3765,""facebook"")=TRUE,""Facebook"",if(REGEXMATCH(C3765,""instagram"")=TRUE,""Instagram"",if(REGEXMATCH(C3765,""youtube"")=TRUE,""Youtube"",if(REGEXMATCH(C3765,""tiktok"")=TRUE,""Tiktok"",if("&amp;"REGEXMATCH(C3765,""threads"")=TRUE,""Threads""))))))"),"Tiktok")</f>
        <v>Tiktok</v>
      </c>
      <c r="G3765" s="41" t="s">
        <v>6476</v>
      </c>
      <c r="H3765" s="41" t="s">
        <v>4986</v>
      </c>
      <c r="I3765" s="41"/>
      <c r="J3765" s="61" t="s">
        <v>188</v>
      </c>
      <c r="K3765" s="41" t="s">
        <v>1611</v>
      </c>
      <c r="L3765" s="42"/>
    </row>
    <row r="3766">
      <c r="A3766" s="18">
        <v>3765.0</v>
      </c>
      <c r="B3766" s="76" t="s">
        <v>6472</v>
      </c>
      <c r="C3766" s="57" t="s">
        <v>6477</v>
      </c>
      <c r="D3766" s="41"/>
      <c r="E3766" s="58" t="s">
        <v>557</v>
      </c>
      <c r="F3766" s="18" t="str">
        <f>IFERROR(__xludf.DUMMYFUNCTION("if(REGEXMATCH(C3766,""x.com"")=TRUE,""Twitter"",if(REGEXMATCH(C3766,""facebook"")=TRUE,""Facebook"",if(REGEXMATCH(C3766,""instagram"")=TRUE,""Instagram"",if(REGEXMATCH(C3766,""youtube"")=TRUE,""Youtube"",if(REGEXMATCH(C3766,""tiktok"")=TRUE,""Tiktok"",if("&amp;"REGEXMATCH(C3766,""threads"")=TRUE,""Threads""))))))"),"Tiktok")</f>
        <v>Tiktok</v>
      </c>
      <c r="G3766" s="58" t="s">
        <v>6478</v>
      </c>
      <c r="H3766" s="41" t="s">
        <v>4986</v>
      </c>
      <c r="I3766" s="41"/>
      <c r="J3766" s="61" t="s">
        <v>188</v>
      </c>
      <c r="K3766" s="58" t="s">
        <v>1611</v>
      </c>
      <c r="L3766" s="42"/>
    </row>
    <row r="3767">
      <c r="A3767" s="18">
        <v>3766.0</v>
      </c>
      <c r="B3767" s="76" t="s">
        <v>6472</v>
      </c>
      <c r="C3767" s="57" t="s">
        <v>6479</v>
      </c>
      <c r="D3767" s="41"/>
      <c r="E3767" s="58" t="s">
        <v>197</v>
      </c>
      <c r="F3767" s="18" t="str">
        <f>IFERROR(__xludf.DUMMYFUNCTION("if(REGEXMATCH(C3767,""x.com"")=TRUE,""Twitter"",if(REGEXMATCH(C3767,""facebook"")=TRUE,""Facebook"",if(REGEXMATCH(C3767,""instagram"")=TRUE,""Instagram"",if(REGEXMATCH(C3767,""youtube"")=TRUE,""Youtube"",if(REGEXMATCH(C3767,""tiktok"")=TRUE,""Tiktok"",if("&amp;"REGEXMATCH(C3767,""threads"")=TRUE,""Threads""))))))"),"Facebook")</f>
        <v>Facebook</v>
      </c>
      <c r="G3767" s="58" t="s">
        <v>6480</v>
      </c>
      <c r="H3767" s="41" t="s">
        <v>4986</v>
      </c>
      <c r="I3767" s="41"/>
      <c r="J3767" s="61" t="s">
        <v>188</v>
      </c>
      <c r="K3767" s="58" t="s">
        <v>1611</v>
      </c>
      <c r="L3767" s="42"/>
    </row>
    <row r="3768">
      <c r="A3768" s="18">
        <v>3767.0</v>
      </c>
      <c r="B3768" s="76" t="s">
        <v>6472</v>
      </c>
      <c r="C3768" s="40" t="s">
        <v>6481</v>
      </c>
      <c r="D3768" s="41"/>
      <c r="E3768" s="41" t="s">
        <v>197</v>
      </c>
      <c r="F3768" s="18" t="str">
        <f>IFERROR(__xludf.DUMMYFUNCTION("if(REGEXMATCH(C3768,""x.com"")=TRUE,""Twitter"",if(REGEXMATCH(C3768,""facebook"")=TRUE,""Facebook"",if(REGEXMATCH(C3768,""instagram"")=TRUE,""Instagram"",if(REGEXMATCH(C3768,""youtube"")=TRUE,""Youtube"",if(REGEXMATCH(C3768,""tiktok"")=TRUE,""Tiktok"",if("&amp;"REGEXMATCH(C3768,""threads"")=TRUE,""Threads""))))))"),"Facebook")</f>
        <v>Facebook</v>
      </c>
      <c r="G3768" s="41" t="s">
        <v>6482</v>
      </c>
      <c r="H3768" s="41" t="s">
        <v>4986</v>
      </c>
      <c r="I3768" s="41"/>
      <c r="J3768" s="61" t="s">
        <v>188</v>
      </c>
      <c r="K3768" s="41" t="s">
        <v>1611</v>
      </c>
      <c r="L3768" s="42"/>
    </row>
    <row r="3769">
      <c r="A3769" s="18">
        <v>3768.0</v>
      </c>
      <c r="B3769" s="76" t="s">
        <v>6472</v>
      </c>
      <c r="C3769" s="57" t="s">
        <v>6483</v>
      </c>
      <c r="D3769" s="41"/>
      <c r="E3769" s="58" t="s">
        <v>557</v>
      </c>
      <c r="F3769" s="18" t="str">
        <f>IFERROR(__xludf.DUMMYFUNCTION("if(REGEXMATCH(C3769,""x.com"")=TRUE,""Twitter"",if(REGEXMATCH(C3769,""facebook"")=TRUE,""Facebook"",if(REGEXMATCH(C3769,""instagram"")=TRUE,""Instagram"",if(REGEXMATCH(C3769,""youtube"")=TRUE,""Youtube"",if(REGEXMATCH(C3769,""tiktok"")=TRUE,""Tiktok"",if("&amp;"REGEXMATCH(C3769,""threads"")=TRUE,""Threads""))))))"),"Twitter")</f>
        <v>Twitter</v>
      </c>
      <c r="G3769" s="58" t="s">
        <v>6484</v>
      </c>
      <c r="H3769" s="41" t="s">
        <v>4986</v>
      </c>
      <c r="I3769" s="41"/>
      <c r="J3769" s="61" t="s">
        <v>188</v>
      </c>
      <c r="K3769" s="58" t="s">
        <v>1611</v>
      </c>
      <c r="L3769" s="42"/>
    </row>
    <row r="3770">
      <c r="A3770" s="18">
        <v>3769.0</v>
      </c>
      <c r="B3770" s="76" t="s">
        <v>6472</v>
      </c>
      <c r="C3770" s="40" t="s">
        <v>6485</v>
      </c>
      <c r="D3770" s="41"/>
      <c r="E3770" s="41" t="s">
        <v>557</v>
      </c>
      <c r="F3770" s="18" t="str">
        <f>IFERROR(__xludf.DUMMYFUNCTION("if(REGEXMATCH(C3770,""x.com"")=TRUE,""Twitter"",if(REGEXMATCH(C3770,""facebook"")=TRUE,""Facebook"",if(REGEXMATCH(C3770,""instagram"")=TRUE,""Instagram"",if(REGEXMATCH(C3770,""youtube"")=TRUE,""Youtube"",if(REGEXMATCH(C3770,""tiktok"")=TRUE,""Tiktok"",if("&amp;"REGEXMATCH(C3770,""threads"")=TRUE,""Threads""))))))"),"Tiktok")</f>
        <v>Tiktok</v>
      </c>
      <c r="G3770" s="41" t="s">
        <v>6486</v>
      </c>
      <c r="H3770" s="41" t="s">
        <v>4986</v>
      </c>
      <c r="I3770" s="41"/>
      <c r="J3770" s="61" t="s">
        <v>188</v>
      </c>
      <c r="K3770" s="41" t="s">
        <v>1611</v>
      </c>
      <c r="L3770" s="42"/>
    </row>
    <row r="3771">
      <c r="A3771" s="18">
        <v>3770.0</v>
      </c>
      <c r="B3771" s="76" t="s">
        <v>6472</v>
      </c>
      <c r="C3771" s="40" t="s">
        <v>6487</v>
      </c>
      <c r="D3771" s="41"/>
      <c r="E3771" s="41" t="s">
        <v>2820</v>
      </c>
      <c r="F3771" s="18" t="str">
        <f>IFERROR(__xludf.DUMMYFUNCTION("if(REGEXMATCH(C3771,""x.com"")=TRUE,""Twitter"",if(REGEXMATCH(C3771,""facebook"")=TRUE,""Facebook"",if(REGEXMATCH(C3771,""instagram"")=TRUE,""Instagram"",if(REGEXMATCH(C3771,""youtube"")=TRUE,""Youtube"",if(REGEXMATCH(C3771,""tiktok"")=TRUE,""Tiktok"",if("&amp;"REGEXMATCH(C3771,""threads"")=TRUE,""Threads""))))))"),"Tiktok")</f>
        <v>Tiktok</v>
      </c>
      <c r="G3771" s="41" t="s">
        <v>6488</v>
      </c>
      <c r="H3771" s="41" t="s">
        <v>4986</v>
      </c>
      <c r="I3771" s="41"/>
      <c r="J3771" s="61" t="s">
        <v>188</v>
      </c>
      <c r="K3771" s="41" t="s">
        <v>1611</v>
      </c>
      <c r="L3771" s="42"/>
    </row>
    <row r="3772">
      <c r="A3772" s="18">
        <v>3771.0</v>
      </c>
      <c r="B3772" s="76" t="s">
        <v>6472</v>
      </c>
      <c r="C3772" s="40" t="s">
        <v>6489</v>
      </c>
      <c r="D3772" s="41"/>
      <c r="E3772" s="41" t="s">
        <v>557</v>
      </c>
      <c r="F3772" s="18" t="str">
        <f>IFERROR(__xludf.DUMMYFUNCTION("if(REGEXMATCH(C3772,""x.com"")=TRUE,""Twitter"",if(REGEXMATCH(C3772,""facebook"")=TRUE,""Facebook"",if(REGEXMATCH(C3772,""instagram"")=TRUE,""Instagram"",if(REGEXMATCH(C3772,""youtube"")=TRUE,""Youtube"",if(REGEXMATCH(C3772,""tiktok"")=TRUE,""Tiktok"",if("&amp;"REGEXMATCH(C3772,""threads"")=TRUE,""Threads""))))))"),"Tiktok")</f>
        <v>Tiktok</v>
      </c>
      <c r="G3772" s="41" t="s">
        <v>6490</v>
      </c>
      <c r="H3772" s="41" t="s">
        <v>4986</v>
      </c>
      <c r="I3772" s="41"/>
      <c r="J3772" s="61" t="s">
        <v>188</v>
      </c>
      <c r="K3772" s="41"/>
      <c r="L3772" s="42"/>
    </row>
    <row r="3773">
      <c r="A3773" s="18">
        <v>3772.0</v>
      </c>
      <c r="B3773" s="76" t="s">
        <v>6472</v>
      </c>
      <c r="C3773" s="40" t="s">
        <v>6491</v>
      </c>
      <c r="D3773" s="41"/>
      <c r="E3773" s="41" t="s">
        <v>447</v>
      </c>
      <c r="F3773" s="18" t="str">
        <f>IFERROR(__xludf.DUMMYFUNCTION("if(REGEXMATCH(C3773,""x.com"")=TRUE,""Twitter"",if(REGEXMATCH(C3773,""facebook"")=TRUE,""Facebook"",if(REGEXMATCH(C3773,""instagram"")=TRUE,""Instagram"",if(REGEXMATCH(C3773,""youtube"")=TRUE,""Youtube"",if(REGEXMATCH(C3773,""tiktok"")=TRUE,""Tiktok"",if("&amp;"REGEXMATCH(C3773,""threads"")=TRUE,""Threads""))))))"),"Tiktok")</f>
        <v>Tiktok</v>
      </c>
      <c r="G3773" s="41" t="s">
        <v>6492</v>
      </c>
      <c r="H3773" s="41" t="s">
        <v>4986</v>
      </c>
      <c r="I3773" s="41"/>
      <c r="J3773" s="61" t="s">
        <v>188</v>
      </c>
      <c r="K3773" s="41"/>
      <c r="L3773" s="42"/>
    </row>
    <row r="3774">
      <c r="A3774" s="18">
        <v>3773.0</v>
      </c>
      <c r="B3774" s="76" t="s">
        <v>6472</v>
      </c>
      <c r="C3774" s="40" t="s">
        <v>6493</v>
      </c>
      <c r="D3774" s="41"/>
      <c r="E3774" s="41" t="s">
        <v>447</v>
      </c>
      <c r="F3774" s="18" t="str">
        <f>IFERROR(__xludf.DUMMYFUNCTION("if(REGEXMATCH(C3774,""x.com"")=TRUE,""Twitter"",if(REGEXMATCH(C3774,""facebook"")=TRUE,""Facebook"",if(REGEXMATCH(C3774,""instagram"")=TRUE,""Instagram"",if(REGEXMATCH(C3774,""youtube"")=TRUE,""Youtube"",if(REGEXMATCH(C3774,""tiktok"")=TRUE,""Tiktok"",if("&amp;"REGEXMATCH(C3774,""threads"")=TRUE,""Threads""))))))"),"Facebook")</f>
        <v>Facebook</v>
      </c>
      <c r="G3774" s="41" t="s">
        <v>6494</v>
      </c>
      <c r="H3774" s="41" t="s">
        <v>4986</v>
      </c>
      <c r="I3774" s="41"/>
      <c r="J3774" s="61" t="s">
        <v>188</v>
      </c>
      <c r="K3774" s="41"/>
      <c r="L3774" s="42"/>
    </row>
    <row r="3775">
      <c r="A3775" s="18">
        <v>3774.0</v>
      </c>
      <c r="B3775" s="76" t="s">
        <v>6472</v>
      </c>
      <c r="C3775" s="40" t="s">
        <v>6495</v>
      </c>
      <c r="D3775" s="41"/>
      <c r="E3775" s="41" t="s">
        <v>447</v>
      </c>
      <c r="F3775" s="18" t="str">
        <f>IFERROR(__xludf.DUMMYFUNCTION("if(REGEXMATCH(C3775,""x.com"")=TRUE,""Twitter"",if(REGEXMATCH(C3775,""facebook"")=TRUE,""Facebook"",if(REGEXMATCH(C3775,""instagram"")=TRUE,""Instagram"",if(REGEXMATCH(C3775,""youtube"")=TRUE,""Youtube"",if(REGEXMATCH(C3775,""tiktok"")=TRUE,""Tiktok"",if("&amp;"REGEXMATCH(C3775,""threads"")=TRUE,""Threads""))))))"),"Facebook")</f>
        <v>Facebook</v>
      </c>
      <c r="G3775" s="41" t="s">
        <v>6494</v>
      </c>
      <c r="H3775" s="41" t="s">
        <v>4986</v>
      </c>
      <c r="I3775" s="41"/>
      <c r="J3775" s="61" t="s">
        <v>188</v>
      </c>
      <c r="K3775" s="41"/>
      <c r="L3775" s="42"/>
    </row>
    <row r="3776">
      <c r="A3776" s="18">
        <v>3775.0</v>
      </c>
      <c r="B3776" s="76" t="s">
        <v>6472</v>
      </c>
      <c r="C3776" s="40" t="s">
        <v>6496</v>
      </c>
      <c r="D3776" s="41"/>
      <c r="E3776" s="41" t="s">
        <v>447</v>
      </c>
      <c r="F3776" s="18" t="str">
        <f>IFERROR(__xludf.DUMMYFUNCTION("if(REGEXMATCH(C3776,""x.com"")=TRUE,""Twitter"",if(REGEXMATCH(C3776,""facebook"")=TRUE,""Facebook"",if(REGEXMATCH(C3776,""instagram"")=TRUE,""Instagram"",if(REGEXMATCH(C3776,""youtube"")=TRUE,""Youtube"",if(REGEXMATCH(C3776,""tiktok"")=TRUE,""Tiktok"",if("&amp;"REGEXMATCH(C3776,""threads"")=TRUE,""Threads""))))))"),"Facebook")</f>
        <v>Facebook</v>
      </c>
      <c r="G3776" s="41" t="s">
        <v>6497</v>
      </c>
      <c r="H3776" s="41" t="s">
        <v>4986</v>
      </c>
      <c r="I3776" s="41"/>
      <c r="J3776" s="61" t="s">
        <v>188</v>
      </c>
      <c r="K3776" s="41"/>
      <c r="L3776" s="42"/>
    </row>
    <row r="3777">
      <c r="A3777" s="18">
        <v>3776.0</v>
      </c>
      <c r="B3777" s="76" t="s">
        <v>6472</v>
      </c>
      <c r="C3777" s="40" t="s">
        <v>6498</v>
      </c>
      <c r="D3777" s="41"/>
      <c r="E3777" s="41" t="s">
        <v>4703</v>
      </c>
      <c r="F3777" s="18" t="str">
        <f>IFERROR(__xludf.DUMMYFUNCTION("if(REGEXMATCH(C3777,""x.com"")=TRUE,""Twitter"",if(REGEXMATCH(C3777,""facebook"")=TRUE,""Facebook"",if(REGEXMATCH(C3777,""instagram"")=TRUE,""Instagram"",if(REGEXMATCH(C3777,""youtube"")=TRUE,""Youtube"",if(REGEXMATCH(C3777,""tiktok"")=TRUE,""Tiktok"",if("&amp;"REGEXMATCH(C3777,""threads"")=TRUE,""Threads""))))))"),"Facebook")</f>
        <v>Facebook</v>
      </c>
      <c r="G3777" s="41" t="s">
        <v>6499</v>
      </c>
      <c r="H3777" s="41" t="s">
        <v>4986</v>
      </c>
      <c r="I3777" s="41"/>
      <c r="J3777" s="61" t="s">
        <v>188</v>
      </c>
      <c r="K3777" s="41"/>
      <c r="L3777" s="42"/>
    </row>
    <row r="3778">
      <c r="A3778" s="18">
        <v>3777.0</v>
      </c>
      <c r="B3778" s="76" t="s">
        <v>6472</v>
      </c>
      <c r="C3778" s="40" t="s">
        <v>6500</v>
      </c>
      <c r="D3778" s="41"/>
      <c r="E3778" s="41" t="s">
        <v>447</v>
      </c>
      <c r="F3778" s="18" t="str">
        <f>IFERROR(__xludf.DUMMYFUNCTION("if(REGEXMATCH(C3778,""x.com"")=TRUE,""Twitter"",if(REGEXMATCH(C3778,""facebook"")=TRUE,""Facebook"",if(REGEXMATCH(C3778,""instagram"")=TRUE,""Instagram"",if(REGEXMATCH(C3778,""youtube"")=TRUE,""Youtube"",if(REGEXMATCH(C3778,""tiktok"")=TRUE,""Tiktok"",if("&amp;"REGEXMATCH(C3778,""threads"")=TRUE,""Threads""))))))"),"Facebook")</f>
        <v>Facebook</v>
      </c>
      <c r="G3778" s="41" t="s">
        <v>6501</v>
      </c>
      <c r="H3778" s="41" t="s">
        <v>4986</v>
      </c>
      <c r="I3778" s="41"/>
      <c r="J3778" s="61" t="s">
        <v>188</v>
      </c>
      <c r="K3778" s="41"/>
      <c r="L3778" s="42"/>
    </row>
    <row r="3779">
      <c r="A3779" s="18">
        <v>3778.0</v>
      </c>
      <c r="B3779" s="76" t="s">
        <v>6472</v>
      </c>
      <c r="C3779" s="40" t="s">
        <v>6502</v>
      </c>
      <c r="D3779" s="41"/>
      <c r="E3779" s="41" t="s">
        <v>447</v>
      </c>
      <c r="F3779" s="18" t="str">
        <f>IFERROR(__xludf.DUMMYFUNCTION("if(REGEXMATCH(C3779,""x.com"")=TRUE,""Twitter"",if(REGEXMATCH(C3779,""facebook"")=TRUE,""Facebook"",if(REGEXMATCH(C3779,""instagram"")=TRUE,""Instagram"",if(REGEXMATCH(C3779,""youtube"")=TRUE,""Youtube"",if(REGEXMATCH(C3779,""tiktok"")=TRUE,""Tiktok"",if("&amp;"REGEXMATCH(C3779,""threads"")=TRUE,""Threads""))))))"),"Twitter")</f>
        <v>Twitter</v>
      </c>
      <c r="G3779" s="41" t="s">
        <v>6503</v>
      </c>
      <c r="H3779" s="41" t="s">
        <v>4986</v>
      </c>
      <c r="I3779" s="41"/>
      <c r="J3779" s="61" t="s">
        <v>188</v>
      </c>
      <c r="K3779" s="41"/>
      <c r="L3779" s="42"/>
    </row>
    <row r="3780">
      <c r="A3780" s="18">
        <v>3779.0</v>
      </c>
      <c r="B3780" s="76" t="s">
        <v>6472</v>
      </c>
      <c r="C3780" s="40" t="s">
        <v>6504</v>
      </c>
      <c r="D3780" s="41"/>
      <c r="E3780" s="41" t="s">
        <v>230</v>
      </c>
      <c r="F3780" s="18" t="str">
        <f>IFERROR(__xludf.DUMMYFUNCTION("if(REGEXMATCH(C3780,""x.com"")=TRUE,""Twitter"",if(REGEXMATCH(C3780,""facebook"")=TRUE,""Facebook"",if(REGEXMATCH(C3780,""instagram"")=TRUE,""Instagram"",if(REGEXMATCH(C3780,""youtube"")=TRUE,""Youtube"",if(REGEXMATCH(C3780,""tiktok"")=TRUE,""Tiktok"",if("&amp;"REGEXMATCH(C3780,""threads"")=TRUE,""Threads""))))))"),"Instagram")</f>
        <v>Instagram</v>
      </c>
      <c r="G3780" s="41" t="s">
        <v>6505</v>
      </c>
      <c r="H3780" s="41" t="s">
        <v>4986</v>
      </c>
      <c r="I3780" s="41"/>
      <c r="J3780" s="61" t="s">
        <v>188</v>
      </c>
      <c r="K3780" s="41"/>
      <c r="L3780" s="42"/>
    </row>
    <row r="3781">
      <c r="A3781" s="18">
        <v>3780.0</v>
      </c>
      <c r="B3781" s="76" t="s">
        <v>6472</v>
      </c>
      <c r="C3781" s="40" t="s">
        <v>6506</v>
      </c>
      <c r="D3781" s="41"/>
      <c r="E3781" s="41" t="s">
        <v>401</v>
      </c>
      <c r="F3781" s="18" t="str">
        <f>IFERROR(__xludf.DUMMYFUNCTION("if(REGEXMATCH(C3781,""x.com"")=TRUE,""Twitter"",if(REGEXMATCH(C3781,""facebook"")=TRUE,""Facebook"",if(REGEXMATCH(C3781,""instagram"")=TRUE,""Instagram"",if(REGEXMATCH(C3781,""youtube"")=TRUE,""Youtube"",if(REGEXMATCH(C3781,""tiktok"")=TRUE,""Tiktok"",if("&amp;"REGEXMATCH(C3781,""threads"")=TRUE,""Threads""))))))"),"Facebook")</f>
        <v>Facebook</v>
      </c>
      <c r="G3781" s="41" t="s">
        <v>937</v>
      </c>
      <c r="H3781" s="41" t="s">
        <v>1542</v>
      </c>
      <c r="I3781" s="41" t="s">
        <v>939</v>
      </c>
      <c r="J3781" s="41" t="s">
        <v>188</v>
      </c>
      <c r="K3781" s="41"/>
      <c r="L3781" s="41" t="s">
        <v>622</v>
      </c>
    </row>
    <row r="3782">
      <c r="A3782" s="18">
        <v>3781.0</v>
      </c>
      <c r="B3782" s="76" t="s">
        <v>6472</v>
      </c>
      <c r="C3782" s="40" t="s">
        <v>6507</v>
      </c>
      <c r="D3782" s="41"/>
      <c r="E3782" s="41" t="s">
        <v>401</v>
      </c>
      <c r="F3782" s="18" t="str">
        <f>IFERROR(__xludf.DUMMYFUNCTION("if(REGEXMATCH(C3782,""x.com"")=TRUE,""Twitter"",if(REGEXMATCH(C3782,""facebook"")=TRUE,""Facebook"",if(REGEXMATCH(C3782,""instagram"")=TRUE,""Instagram"",if(REGEXMATCH(C3782,""youtube"")=TRUE,""Youtube"",if(REGEXMATCH(C3782,""tiktok"")=TRUE,""Tiktok"",if("&amp;"REGEXMATCH(C3782,""threads"")=TRUE,""Threads""))))))"),"Facebook")</f>
        <v>Facebook</v>
      </c>
      <c r="G3782" s="41" t="s">
        <v>937</v>
      </c>
      <c r="H3782" s="41" t="s">
        <v>1542</v>
      </c>
      <c r="I3782" s="41" t="s">
        <v>939</v>
      </c>
      <c r="J3782" s="41" t="s">
        <v>188</v>
      </c>
      <c r="K3782" s="41"/>
      <c r="L3782" s="41" t="s">
        <v>622</v>
      </c>
    </row>
    <row r="3783">
      <c r="A3783" s="18">
        <v>3782.0</v>
      </c>
      <c r="B3783" s="76" t="s">
        <v>6472</v>
      </c>
      <c r="C3783" s="40" t="s">
        <v>6508</v>
      </c>
      <c r="D3783" s="41"/>
      <c r="E3783" s="41" t="s">
        <v>401</v>
      </c>
      <c r="F3783" s="18" t="str">
        <f>IFERROR(__xludf.DUMMYFUNCTION("if(REGEXMATCH(C3783,""x.com"")=TRUE,""Twitter"",if(REGEXMATCH(C3783,""facebook"")=TRUE,""Facebook"",if(REGEXMATCH(C3783,""instagram"")=TRUE,""Instagram"",if(REGEXMATCH(C3783,""youtube"")=TRUE,""Youtube"",if(REGEXMATCH(C3783,""tiktok"")=TRUE,""Tiktok"",if("&amp;"REGEXMATCH(C3783,""threads"")=TRUE,""Threads""))))))"),"Facebook")</f>
        <v>Facebook</v>
      </c>
      <c r="G3783" s="41" t="s">
        <v>937</v>
      </c>
      <c r="H3783" s="41" t="s">
        <v>1542</v>
      </c>
      <c r="I3783" s="41" t="s">
        <v>939</v>
      </c>
      <c r="J3783" s="41" t="s">
        <v>188</v>
      </c>
      <c r="K3783" s="41"/>
      <c r="L3783" s="41" t="s">
        <v>622</v>
      </c>
    </row>
    <row r="3784">
      <c r="A3784" s="18">
        <v>3783.0</v>
      </c>
      <c r="B3784" s="76" t="s">
        <v>6472</v>
      </c>
      <c r="C3784" s="40" t="s">
        <v>6509</v>
      </c>
      <c r="D3784" s="41"/>
      <c r="E3784" s="41" t="s">
        <v>401</v>
      </c>
      <c r="F3784" s="18" t="str">
        <f>IFERROR(__xludf.DUMMYFUNCTION("if(REGEXMATCH(C3784,""x.com"")=TRUE,""Twitter"",if(REGEXMATCH(C3784,""facebook"")=TRUE,""Facebook"",if(REGEXMATCH(C3784,""instagram"")=TRUE,""Instagram"",if(REGEXMATCH(C3784,""youtube"")=TRUE,""Youtube"",if(REGEXMATCH(C3784,""tiktok"")=TRUE,""Tiktok"",if("&amp;"REGEXMATCH(C3784,""threads"")=TRUE,""Threads""))))))"),"Facebook")</f>
        <v>Facebook</v>
      </c>
      <c r="G3784" s="41" t="s">
        <v>937</v>
      </c>
      <c r="H3784" s="41" t="s">
        <v>1542</v>
      </c>
      <c r="I3784" s="41" t="s">
        <v>939</v>
      </c>
      <c r="J3784" s="41" t="s">
        <v>188</v>
      </c>
      <c r="K3784" s="41"/>
      <c r="L3784" s="41" t="s">
        <v>622</v>
      </c>
    </row>
    <row r="3785">
      <c r="A3785" s="18">
        <v>3784.0</v>
      </c>
      <c r="B3785" s="76" t="s">
        <v>6472</v>
      </c>
      <c r="C3785" s="40" t="s">
        <v>6510</v>
      </c>
      <c r="D3785" s="41"/>
      <c r="E3785" s="41" t="s">
        <v>401</v>
      </c>
      <c r="F3785" s="18" t="str">
        <f>IFERROR(__xludf.DUMMYFUNCTION("if(REGEXMATCH(C3785,""x.com"")=TRUE,""Twitter"",if(REGEXMATCH(C3785,""facebook"")=TRUE,""Facebook"",if(REGEXMATCH(C3785,""instagram"")=TRUE,""Instagram"",if(REGEXMATCH(C3785,""youtube"")=TRUE,""Youtube"",if(REGEXMATCH(C3785,""tiktok"")=TRUE,""Tiktok"",if("&amp;"REGEXMATCH(C3785,""threads"")=TRUE,""Threads""))))))"),"Facebook")</f>
        <v>Facebook</v>
      </c>
      <c r="G3785" s="41" t="s">
        <v>937</v>
      </c>
      <c r="H3785" s="41" t="s">
        <v>1542</v>
      </c>
      <c r="I3785" s="41" t="s">
        <v>939</v>
      </c>
      <c r="J3785" s="41" t="s">
        <v>188</v>
      </c>
      <c r="K3785" s="41"/>
      <c r="L3785" s="41" t="s">
        <v>622</v>
      </c>
    </row>
    <row r="3786">
      <c r="A3786" s="18">
        <v>3785.0</v>
      </c>
      <c r="B3786" s="76" t="s">
        <v>6472</v>
      </c>
      <c r="C3786" s="73" t="s">
        <v>6511</v>
      </c>
      <c r="D3786" s="41"/>
      <c r="E3786" s="41" t="s">
        <v>401</v>
      </c>
      <c r="F3786" s="18" t="str">
        <f>IFERROR(__xludf.DUMMYFUNCTION("if(REGEXMATCH(C3786,""x.com"")=TRUE,""Twitter"",if(REGEXMATCH(C3786,""facebook"")=TRUE,""Facebook"",if(REGEXMATCH(C3786,""instagram"")=TRUE,""Instagram"",if(REGEXMATCH(C3786,""youtube"")=TRUE,""Youtube"",if(REGEXMATCH(C3786,""tiktok"")=TRUE,""Tiktok"",if("&amp;"REGEXMATCH(C3786,""threads"")=TRUE,""Threads""))))))"),"Facebook")</f>
        <v>Facebook</v>
      </c>
      <c r="G3786" s="41" t="s">
        <v>937</v>
      </c>
      <c r="H3786" s="41" t="s">
        <v>1542</v>
      </c>
      <c r="I3786" s="41" t="s">
        <v>939</v>
      </c>
      <c r="J3786" s="41" t="s">
        <v>188</v>
      </c>
      <c r="K3786" s="41"/>
      <c r="L3786" s="41" t="s">
        <v>622</v>
      </c>
    </row>
    <row r="3787">
      <c r="A3787" s="18">
        <v>3786.0</v>
      </c>
      <c r="B3787" s="76" t="s">
        <v>6472</v>
      </c>
      <c r="C3787" s="40" t="s">
        <v>6512</v>
      </c>
      <c r="D3787" s="41"/>
      <c r="E3787" s="41" t="s">
        <v>401</v>
      </c>
      <c r="F3787" s="18" t="str">
        <f>IFERROR(__xludf.DUMMYFUNCTION("if(REGEXMATCH(C3787,""x.com"")=TRUE,""Twitter"",if(REGEXMATCH(C3787,""facebook"")=TRUE,""Facebook"",if(REGEXMATCH(C3787,""instagram"")=TRUE,""Instagram"",if(REGEXMATCH(C3787,""youtube"")=TRUE,""Youtube"",if(REGEXMATCH(C3787,""tiktok"")=TRUE,""Tiktok"",if("&amp;"REGEXMATCH(C3787,""threads"")=TRUE,""Threads""))))))"),"Facebook")</f>
        <v>Facebook</v>
      </c>
      <c r="G3787" s="41" t="s">
        <v>937</v>
      </c>
      <c r="H3787" s="41" t="s">
        <v>1542</v>
      </c>
      <c r="I3787" s="41" t="s">
        <v>939</v>
      </c>
      <c r="J3787" s="41" t="s">
        <v>188</v>
      </c>
      <c r="K3787" s="41"/>
      <c r="L3787" s="41" t="s">
        <v>622</v>
      </c>
    </row>
    <row r="3788">
      <c r="A3788" s="18">
        <v>3787.0</v>
      </c>
      <c r="B3788" s="76" t="s">
        <v>6472</v>
      </c>
      <c r="C3788" s="40" t="s">
        <v>6513</v>
      </c>
      <c r="D3788" s="41"/>
      <c r="E3788" s="41" t="s">
        <v>401</v>
      </c>
      <c r="F3788" s="18" t="str">
        <f>IFERROR(__xludf.DUMMYFUNCTION("if(REGEXMATCH(C3788,""x.com"")=TRUE,""Twitter"",if(REGEXMATCH(C3788,""facebook"")=TRUE,""Facebook"",if(REGEXMATCH(C3788,""instagram"")=TRUE,""Instagram"",if(REGEXMATCH(C3788,""youtube"")=TRUE,""Youtube"",if(REGEXMATCH(C3788,""tiktok"")=TRUE,""Tiktok"",if("&amp;"REGEXMATCH(C3788,""threads"")=TRUE,""Threads""))))))"),"Facebook")</f>
        <v>Facebook</v>
      </c>
      <c r="G3788" s="41" t="s">
        <v>937</v>
      </c>
      <c r="H3788" s="41" t="s">
        <v>1542</v>
      </c>
      <c r="I3788" s="41" t="s">
        <v>939</v>
      </c>
      <c r="J3788" s="41" t="s">
        <v>188</v>
      </c>
      <c r="K3788" s="41"/>
      <c r="L3788" s="41" t="s">
        <v>622</v>
      </c>
    </row>
    <row r="3789">
      <c r="A3789" s="18">
        <v>3788.0</v>
      </c>
      <c r="B3789" s="76" t="s">
        <v>6472</v>
      </c>
      <c r="C3789" s="40" t="s">
        <v>6514</v>
      </c>
      <c r="D3789" s="41"/>
      <c r="E3789" s="41" t="s">
        <v>1178</v>
      </c>
      <c r="F3789" s="18" t="str">
        <f>IFERROR(__xludf.DUMMYFUNCTION("if(REGEXMATCH(C3789,""x.com"")=TRUE,""Twitter"",if(REGEXMATCH(C3789,""facebook"")=TRUE,""Facebook"",if(REGEXMATCH(C3789,""instagram"")=TRUE,""Instagram"",if(REGEXMATCH(C3789,""youtube"")=TRUE,""Youtube"",if(REGEXMATCH(C3789,""tiktok"")=TRUE,""Tiktok"",if("&amp;"REGEXMATCH(C3789,""threads"")=TRUE,""Threads""))))))"),"Facebook")</f>
        <v>Facebook</v>
      </c>
      <c r="G3789" s="41" t="s">
        <v>2135</v>
      </c>
      <c r="H3789" s="41" t="s">
        <v>2136</v>
      </c>
      <c r="I3789" s="41" t="s">
        <v>2137</v>
      </c>
      <c r="J3789" s="41" t="s">
        <v>188</v>
      </c>
      <c r="K3789" s="41"/>
      <c r="L3789" s="41" t="s">
        <v>622</v>
      </c>
    </row>
    <row r="3790">
      <c r="A3790" s="18">
        <v>3789.0</v>
      </c>
      <c r="B3790" s="76" t="s">
        <v>6472</v>
      </c>
      <c r="C3790" s="40" t="s">
        <v>6515</v>
      </c>
      <c r="D3790" s="41"/>
      <c r="E3790" s="41" t="s">
        <v>401</v>
      </c>
      <c r="F3790" s="18" t="str">
        <f>IFERROR(__xludf.DUMMYFUNCTION("if(REGEXMATCH(C3790,""x.com"")=TRUE,""Twitter"",if(REGEXMATCH(C3790,""facebook"")=TRUE,""Facebook"",if(REGEXMATCH(C3790,""instagram"")=TRUE,""Instagram"",if(REGEXMATCH(C3790,""youtube"")=TRUE,""Youtube"",if(REGEXMATCH(C3790,""tiktok"")=TRUE,""Tiktok"",if("&amp;"REGEXMATCH(C3790,""threads"")=TRUE,""Threads""))))))"),"Facebook")</f>
        <v>Facebook</v>
      </c>
      <c r="G3790" s="41" t="s">
        <v>937</v>
      </c>
      <c r="H3790" s="41" t="s">
        <v>1542</v>
      </c>
      <c r="I3790" s="41" t="s">
        <v>939</v>
      </c>
      <c r="J3790" s="41" t="s">
        <v>188</v>
      </c>
      <c r="K3790" s="41"/>
      <c r="L3790" s="41" t="s">
        <v>622</v>
      </c>
    </row>
    <row r="3791">
      <c r="A3791" s="18">
        <v>3790.0</v>
      </c>
      <c r="B3791" s="76" t="s">
        <v>6472</v>
      </c>
      <c r="C3791" s="40" t="s">
        <v>6516</v>
      </c>
      <c r="D3791" s="41"/>
      <c r="E3791" s="41" t="s">
        <v>401</v>
      </c>
      <c r="F3791" s="18" t="str">
        <f>IFERROR(__xludf.DUMMYFUNCTION("if(REGEXMATCH(C3791,""x.com"")=TRUE,""Twitter"",if(REGEXMATCH(C3791,""facebook"")=TRUE,""Facebook"",if(REGEXMATCH(C3791,""instagram"")=TRUE,""Instagram"",if(REGEXMATCH(C3791,""youtube"")=TRUE,""Youtube"",if(REGEXMATCH(C3791,""tiktok"")=TRUE,""Tiktok"",if("&amp;"REGEXMATCH(C3791,""threads"")=TRUE,""Threads""))))))"),"Facebook")</f>
        <v>Facebook</v>
      </c>
      <c r="G3791" s="41" t="s">
        <v>937</v>
      </c>
      <c r="H3791" s="41" t="s">
        <v>1542</v>
      </c>
      <c r="I3791" s="41" t="s">
        <v>939</v>
      </c>
      <c r="J3791" s="41" t="s">
        <v>188</v>
      </c>
      <c r="K3791" s="41"/>
      <c r="L3791" s="41" t="s">
        <v>622</v>
      </c>
    </row>
    <row r="3792">
      <c r="A3792" s="18">
        <v>3791.0</v>
      </c>
      <c r="B3792" s="76" t="s">
        <v>6472</v>
      </c>
      <c r="C3792" s="40" t="s">
        <v>6517</v>
      </c>
      <c r="D3792" s="41"/>
      <c r="E3792" s="41" t="s">
        <v>401</v>
      </c>
      <c r="F3792" s="18" t="str">
        <f>IFERROR(__xludf.DUMMYFUNCTION("if(REGEXMATCH(C3792,""x.com"")=TRUE,""Twitter"",if(REGEXMATCH(C3792,""facebook"")=TRUE,""Facebook"",if(REGEXMATCH(C3792,""instagram"")=TRUE,""Instagram"",if(REGEXMATCH(C3792,""youtube"")=TRUE,""Youtube"",if(REGEXMATCH(C3792,""tiktok"")=TRUE,""Tiktok"",if("&amp;"REGEXMATCH(C3792,""threads"")=TRUE,""Threads""))))))"),"Facebook")</f>
        <v>Facebook</v>
      </c>
      <c r="G3792" s="41" t="s">
        <v>937</v>
      </c>
      <c r="H3792" s="41" t="s">
        <v>1542</v>
      </c>
      <c r="I3792" s="41" t="s">
        <v>939</v>
      </c>
      <c r="J3792" s="41" t="s">
        <v>188</v>
      </c>
      <c r="K3792" s="41"/>
      <c r="L3792" s="41" t="s">
        <v>622</v>
      </c>
    </row>
    <row r="3793">
      <c r="A3793" s="18">
        <v>3792.0</v>
      </c>
      <c r="B3793" s="76" t="s">
        <v>6472</v>
      </c>
      <c r="C3793" s="40" t="s">
        <v>6518</v>
      </c>
      <c r="D3793" s="41"/>
      <c r="E3793" s="41" t="s">
        <v>401</v>
      </c>
      <c r="F3793" s="18" t="str">
        <f>IFERROR(__xludf.DUMMYFUNCTION("if(REGEXMATCH(C3793,""x.com"")=TRUE,""Twitter"",if(REGEXMATCH(C3793,""facebook"")=TRUE,""Facebook"",if(REGEXMATCH(C3793,""instagram"")=TRUE,""Instagram"",if(REGEXMATCH(C3793,""youtube"")=TRUE,""Youtube"",if(REGEXMATCH(C3793,""tiktok"")=TRUE,""Tiktok"",if("&amp;"REGEXMATCH(C3793,""threads"")=TRUE,""Threads""))))))"),"Facebook")</f>
        <v>Facebook</v>
      </c>
      <c r="G3793" s="41" t="s">
        <v>937</v>
      </c>
      <c r="H3793" s="41" t="s">
        <v>1542</v>
      </c>
      <c r="I3793" s="41" t="s">
        <v>939</v>
      </c>
      <c r="J3793" s="41" t="s">
        <v>188</v>
      </c>
      <c r="K3793" s="41"/>
      <c r="L3793" s="41" t="s">
        <v>622</v>
      </c>
    </row>
    <row r="3794">
      <c r="A3794" s="18">
        <v>3793.0</v>
      </c>
      <c r="B3794" s="76" t="s">
        <v>6472</v>
      </c>
      <c r="C3794" s="40" t="s">
        <v>6519</v>
      </c>
      <c r="D3794" s="41"/>
      <c r="E3794" s="41" t="s">
        <v>401</v>
      </c>
      <c r="F3794" s="18" t="str">
        <f>IFERROR(__xludf.DUMMYFUNCTION("if(REGEXMATCH(C3794,""x.com"")=TRUE,""Twitter"",if(REGEXMATCH(C3794,""facebook"")=TRUE,""Facebook"",if(REGEXMATCH(C3794,""instagram"")=TRUE,""Instagram"",if(REGEXMATCH(C3794,""youtube"")=TRUE,""Youtube"",if(REGEXMATCH(C3794,""tiktok"")=TRUE,""Tiktok"",if("&amp;"REGEXMATCH(C3794,""threads"")=TRUE,""Threads""))))))"),"Facebook")</f>
        <v>Facebook</v>
      </c>
      <c r="G3794" s="41" t="s">
        <v>937</v>
      </c>
      <c r="H3794" s="41" t="s">
        <v>1542</v>
      </c>
      <c r="I3794" s="41" t="s">
        <v>939</v>
      </c>
      <c r="J3794" s="41" t="s">
        <v>188</v>
      </c>
      <c r="K3794" s="41"/>
      <c r="L3794" s="41" t="s">
        <v>622</v>
      </c>
    </row>
    <row r="3795">
      <c r="A3795" s="18">
        <v>3794.0</v>
      </c>
      <c r="B3795" s="76" t="s">
        <v>6472</v>
      </c>
      <c r="C3795" s="40" t="s">
        <v>6520</v>
      </c>
      <c r="D3795" s="41"/>
      <c r="E3795" s="41" t="s">
        <v>401</v>
      </c>
      <c r="F3795" s="18" t="str">
        <f>IFERROR(__xludf.DUMMYFUNCTION("if(REGEXMATCH(C3795,""x.com"")=TRUE,""Twitter"",if(REGEXMATCH(C3795,""facebook"")=TRUE,""Facebook"",if(REGEXMATCH(C3795,""instagram"")=TRUE,""Instagram"",if(REGEXMATCH(C3795,""youtube"")=TRUE,""Youtube"",if(REGEXMATCH(C3795,""tiktok"")=TRUE,""Tiktok"",if("&amp;"REGEXMATCH(C3795,""threads"")=TRUE,""Threads""))))))"),"Facebook")</f>
        <v>Facebook</v>
      </c>
      <c r="G3795" s="41" t="s">
        <v>937</v>
      </c>
      <c r="H3795" s="41" t="s">
        <v>1542</v>
      </c>
      <c r="I3795" s="41" t="s">
        <v>939</v>
      </c>
      <c r="J3795" s="41" t="s">
        <v>188</v>
      </c>
      <c r="K3795" s="41"/>
      <c r="L3795" s="41" t="s">
        <v>622</v>
      </c>
    </row>
    <row r="3796">
      <c r="A3796" s="18">
        <v>3795.0</v>
      </c>
      <c r="B3796" s="76" t="s">
        <v>6472</v>
      </c>
      <c r="C3796" s="44" t="s">
        <v>6521</v>
      </c>
      <c r="D3796" s="18"/>
      <c r="E3796" s="41" t="s">
        <v>184</v>
      </c>
      <c r="F3796" s="18" t="str">
        <f>IFERROR(__xludf.DUMMYFUNCTION("if(REGEXMATCH(C3796,""x.com"")=TRUE,""Twitter"",if(REGEXMATCH(C3796,""facebook"")=TRUE,""Facebook"",if(REGEXMATCH(C3796,""instagram"")=TRUE,""Instagram"",if(REGEXMATCH(C3796,""youtube"")=TRUE,""Youtube"",if(REGEXMATCH(C3796,""tiktok"")=TRUE,""Tiktok"",if("&amp;"REGEXMATCH(C3796,""threads"")=TRUE,""Threads""))))))"),"Facebook")</f>
        <v>Facebook</v>
      </c>
      <c r="G3796" s="41" t="s">
        <v>6522</v>
      </c>
      <c r="H3796" s="18" t="s">
        <v>2020</v>
      </c>
      <c r="I3796" s="41"/>
      <c r="J3796" s="41" t="s">
        <v>188</v>
      </c>
      <c r="K3796" s="41"/>
      <c r="L3796" s="41" t="s">
        <v>622</v>
      </c>
    </row>
    <row r="3797">
      <c r="A3797" s="18">
        <v>3796.0</v>
      </c>
      <c r="B3797" s="76" t="s">
        <v>6523</v>
      </c>
      <c r="C3797" s="40" t="s">
        <v>6524</v>
      </c>
      <c r="D3797" s="41"/>
      <c r="E3797" s="41" t="s">
        <v>557</v>
      </c>
      <c r="F3797" s="18" t="str">
        <f>IFERROR(__xludf.DUMMYFUNCTION("if(REGEXMATCH(C3797,""x.com"")=TRUE,""Twitter"",if(REGEXMATCH(C3797,""facebook"")=TRUE,""Facebook"",if(REGEXMATCH(C3797,""instagram"")=TRUE,""Instagram"",if(REGEXMATCH(C3797,""youtube"")=TRUE,""Youtube"",if(REGEXMATCH(C3797,""tiktok"")=TRUE,""Tiktok"",if("&amp;"REGEXMATCH(C3797,""threads"")=TRUE,""Threads""))))))"),"Tiktok")</f>
        <v>Tiktok</v>
      </c>
      <c r="G3797" s="41" t="s">
        <v>6525</v>
      </c>
      <c r="H3797" s="41" t="s">
        <v>4986</v>
      </c>
      <c r="I3797" s="41"/>
      <c r="J3797" s="41" t="s">
        <v>188</v>
      </c>
      <c r="K3797" s="41" t="s">
        <v>1611</v>
      </c>
      <c r="L3797" s="41" t="s">
        <v>686</v>
      </c>
    </row>
    <row r="3798">
      <c r="A3798" s="18">
        <v>3797.0</v>
      </c>
      <c r="B3798" s="76" t="s">
        <v>6523</v>
      </c>
      <c r="C3798" s="40" t="s">
        <v>6526</v>
      </c>
      <c r="D3798" s="41"/>
      <c r="E3798" s="41" t="s">
        <v>197</v>
      </c>
      <c r="F3798" s="18" t="str">
        <f>IFERROR(__xludf.DUMMYFUNCTION("if(REGEXMATCH(C3798,""x.com"")=TRUE,""Twitter"",if(REGEXMATCH(C3798,""facebook"")=TRUE,""Facebook"",if(REGEXMATCH(C3798,""instagram"")=TRUE,""Instagram"",if(REGEXMATCH(C3798,""youtube"")=TRUE,""Youtube"",if(REGEXMATCH(C3798,""tiktok"")=TRUE,""Tiktok"",if("&amp;"REGEXMATCH(C3798,""threads"")=TRUE,""Threads""))))))"),"Facebook")</f>
        <v>Facebook</v>
      </c>
      <c r="G3798" s="41" t="s">
        <v>6527</v>
      </c>
      <c r="H3798" s="41" t="s">
        <v>4986</v>
      </c>
      <c r="I3798" s="41"/>
      <c r="J3798" s="41" t="s">
        <v>188</v>
      </c>
      <c r="K3798" s="41" t="s">
        <v>1611</v>
      </c>
      <c r="L3798" s="41" t="s">
        <v>622</v>
      </c>
    </row>
    <row r="3799">
      <c r="A3799" s="18">
        <v>3798.0</v>
      </c>
      <c r="B3799" s="76" t="s">
        <v>6523</v>
      </c>
      <c r="C3799" s="40" t="s">
        <v>6528</v>
      </c>
      <c r="D3799" s="41"/>
      <c r="E3799" s="41" t="s">
        <v>372</v>
      </c>
      <c r="F3799" s="18" t="str">
        <f>IFERROR(__xludf.DUMMYFUNCTION("if(REGEXMATCH(C3799,""x.com"")=TRUE,""Twitter"",if(REGEXMATCH(C3799,""facebook"")=TRUE,""Facebook"",if(REGEXMATCH(C3799,""instagram"")=TRUE,""Instagram"",if(REGEXMATCH(C3799,""youtube"")=TRUE,""Youtube"",if(REGEXMATCH(C3799,""tiktok"")=TRUE,""Tiktok"",if("&amp;"REGEXMATCH(C3799,""threads"")=TRUE,""Threads""))))))"),"Facebook")</f>
        <v>Facebook</v>
      </c>
      <c r="G3799" s="41" t="s">
        <v>6529</v>
      </c>
      <c r="H3799" s="41" t="s">
        <v>4986</v>
      </c>
      <c r="I3799" s="41"/>
      <c r="J3799" s="41" t="s">
        <v>188</v>
      </c>
      <c r="K3799" s="41" t="s">
        <v>1611</v>
      </c>
      <c r="L3799" s="41" t="s">
        <v>622</v>
      </c>
    </row>
    <row r="3800">
      <c r="A3800" s="18">
        <v>3799.0</v>
      </c>
      <c r="B3800" s="76" t="s">
        <v>6523</v>
      </c>
      <c r="C3800" s="40" t="s">
        <v>6530</v>
      </c>
      <c r="D3800" s="41"/>
      <c r="E3800" s="41" t="s">
        <v>197</v>
      </c>
      <c r="F3800" s="18" t="str">
        <f>IFERROR(__xludf.DUMMYFUNCTION("if(REGEXMATCH(C3800,""x.com"")=TRUE,""Twitter"",if(REGEXMATCH(C3800,""facebook"")=TRUE,""Facebook"",if(REGEXMATCH(C3800,""instagram"")=TRUE,""Instagram"",if(REGEXMATCH(C3800,""youtube"")=TRUE,""Youtube"",if(REGEXMATCH(C3800,""tiktok"")=TRUE,""Tiktok"",if("&amp;"REGEXMATCH(C3800,""threads"")=TRUE,""Threads""))))))"),"Facebook")</f>
        <v>Facebook</v>
      </c>
      <c r="G3800" s="41" t="s">
        <v>6531</v>
      </c>
      <c r="H3800" s="41" t="s">
        <v>4986</v>
      </c>
      <c r="I3800" s="41"/>
      <c r="J3800" s="41" t="s">
        <v>188</v>
      </c>
      <c r="K3800" s="41" t="s">
        <v>1611</v>
      </c>
      <c r="L3800" s="41" t="s">
        <v>622</v>
      </c>
    </row>
    <row r="3801">
      <c r="A3801" s="18">
        <v>3800.0</v>
      </c>
      <c r="B3801" s="76" t="s">
        <v>6523</v>
      </c>
      <c r="C3801" s="40" t="s">
        <v>6532</v>
      </c>
      <c r="D3801" s="41"/>
      <c r="E3801" s="41" t="s">
        <v>197</v>
      </c>
      <c r="F3801" s="18" t="str">
        <f>IFERROR(__xludf.DUMMYFUNCTION("if(REGEXMATCH(C3801,""x.com"")=TRUE,""Twitter"",if(REGEXMATCH(C3801,""facebook"")=TRUE,""Facebook"",if(REGEXMATCH(C3801,""instagram"")=TRUE,""Instagram"",if(REGEXMATCH(C3801,""youtube"")=TRUE,""Youtube"",if(REGEXMATCH(C3801,""tiktok"")=TRUE,""Tiktok"",if("&amp;"REGEXMATCH(C3801,""threads"")=TRUE,""Threads""))))))"),"Facebook")</f>
        <v>Facebook</v>
      </c>
      <c r="G3801" s="41" t="s">
        <v>6533</v>
      </c>
      <c r="H3801" s="41" t="s">
        <v>4986</v>
      </c>
      <c r="I3801" s="41"/>
      <c r="J3801" s="41" t="s">
        <v>188</v>
      </c>
      <c r="K3801" s="41" t="s">
        <v>1611</v>
      </c>
      <c r="L3801" s="41" t="s">
        <v>622</v>
      </c>
    </row>
    <row r="3802">
      <c r="A3802" s="18">
        <v>3801.0</v>
      </c>
      <c r="B3802" s="76" t="s">
        <v>6523</v>
      </c>
      <c r="C3802" s="40" t="s">
        <v>6534</v>
      </c>
      <c r="D3802" s="41"/>
      <c r="E3802" s="41" t="s">
        <v>197</v>
      </c>
      <c r="F3802" s="18" t="str">
        <f>IFERROR(__xludf.DUMMYFUNCTION("if(REGEXMATCH(C3802,""x.com"")=TRUE,""Twitter"",if(REGEXMATCH(C3802,""facebook"")=TRUE,""Facebook"",if(REGEXMATCH(C3802,""instagram"")=TRUE,""Instagram"",if(REGEXMATCH(C3802,""youtube"")=TRUE,""Youtube"",if(REGEXMATCH(C3802,""tiktok"")=TRUE,""Tiktok"",if("&amp;"REGEXMATCH(C3802,""threads"")=TRUE,""Threads""))))))"),"Facebook")</f>
        <v>Facebook</v>
      </c>
      <c r="G3802" s="41" t="s">
        <v>6535</v>
      </c>
      <c r="H3802" s="41" t="s">
        <v>4986</v>
      </c>
      <c r="I3802" s="41"/>
      <c r="J3802" s="41" t="s">
        <v>188</v>
      </c>
      <c r="K3802" s="41" t="s">
        <v>1611</v>
      </c>
      <c r="L3802" s="41" t="s">
        <v>622</v>
      </c>
    </row>
    <row r="3803">
      <c r="A3803" s="18">
        <v>3802.0</v>
      </c>
      <c r="B3803" s="76" t="s">
        <v>6523</v>
      </c>
      <c r="C3803" s="40" t="s">
        <v>6536</v>
      </c>
      <c r="D3803" s="41"/>
      <c r="E3803" s="41" t="s">
        <v>557</v>
      </c>
      <c r="F3803" s="18" t="str">
        <f>IFERROR(__xludf.DUMMYFUNCTION("if(REGEXMATCH(C3803,""x.com"")=TRUE,""Twitter"",if(REGEXMATCH(C3803,""facebook"")=TRUE,""Facebook"",if(REGEXMATCH(C3803,""instagram"")=TRUE,""Instagram"",if(REGEXMATCH(C3803,""youtube"")=TRUE,""Youtube"",if(REGEXMATCH(C3803,""tiktok"")=TRUE,""Tiktok"",if("&amp;"REGEXMATCH(C3803,""threads"")=TRUE,""Threads""))))))"),"Threads")</f>
        <v>Threads</v>
      </c>
      <c r="G3803" s="41" t="s">
        <v>6537</v>
      </c>
      <c r="H3803" s="41" t="s">
        <v>4986</v>
      </c>
      <c r="I3803" s="41"/>
      <c r="J3803" s="41" t="s">
        <v>188</v>
      </c>
      <c r="K3803" s="41" t="s">
        <v>1611</v>
      </c>
      <c r="L3803" s="41" t="s">
        <v>4216</v>
      </c>
    </row>
    <row r="3804">
      <c r="A3804" s="18">
        <v>3803.0</v>
      </c>
      <c r="B3804" s="76" t="s">
        <v>6523</v>
      </c>
      <c r="C3804" s="40" t="s">
        <v>6538</v>
      </c>
      <c r="D3804" s="41"/>
      <c r="E3804" s="41" t="s">
        <v>197</v>
      </c>
      <c r="F3804" s="18" t="str">
        <f>IFERROR(__xludf.DUMMYFUNCTION("if(REGEXMATCH(C3804,""x.com"")=TRUE,""Twitter"",if(REGEXMATCH(C3804,""facebook"")=TRUE,""Facebook"",if(REGEXMATCH(C3804,""instagram"")=TRUE,""Instagram"",if(REGEXMATCH(C3804,""youtube"")=TRUE,""Youtube"",if(REGEXMATCH(C3804,""tiktok"")=TRUE,""Tiktok"",if("&amp;"REGEXMATCH(C3804,""threads"")=TRUE,""Threads""))))))"),"Facebook")</f>
        <v>Facebook</v>
      </c>
      <c r="G3804" s="41" t="s">
        <v>6539</v>
      </c>
      <c r="H3804" s="41" t="s">
        <v>4986</v>
      </c>
      <c r="I3804" s="41"/>
      <c r="J3804" s="41" t="s">
        <v>188</v>
      </c>
      <c r="K3804" s="41" t="s">
        <v>1611</v>
      </c>
      <c r="L3804" s="41" t="s">
        <v>622</v>
      </c>
    </row>
    <row r="3805">
      <c r="A3805" s="18">
        <v>3804.0</v>
      </c>
      <c r="B3805" s="76" t="s">
        <v>6523</v>
      </c>
      <c r="C3805" s="40" t="s">
        <v>6540</v>
      </c>
      <c r="D3805" s="41"/>
      <c r="E3805" s="41" t="s">
        <v>1178</v>
      </c>
      <c r="F3805" s="18" t="str">
        <f>IFERROR(__xludf.DUMMYFUNCTION("if(REGEXMATCH(C3805,""x.com"")=TRUE,""Twitter"",if(REGEXMATCH(C3805,""facebook"")=TRUE,""Facebook"",if(REGEXMATCH(C3805,""instagram"")=TRUE,""Instagram"",if(REGEXMATCH(C3805,""youtube"")=TRUE,""Youtube"",if(REGEXMATCH(C3805,""tiktok"")=TRUE,""Tiktok"",if("&amp;"REGEXMATCH(C3805,""threads"")=TRUE,""Threads""))))))"),"Facebook")</f>
        <v>Facebook</v>
      </c>
      <c r="G3805" s="41" t="s">
        <v>6541</v>
      </c>
      <c r="H3805" s="41" t="s">
        <v>4986</v>
      </c>
      <c r="I3805" s="41"/>
      <c r="J3805" s="41" t="s">
        <v>188</v>
      </c>
      <c r="K3805" s="41"/>
      <c r="L3805" s="41" t="s">
        <v>622</v>
      </c>
    </row>
    <row r="3806">
      <c r="A3806" s="18">
        <v>3805.0</v>
      </c>
      <c r="B3806" s="76" t="s">
        <v>6523</v>
      </c>
      <c r="C3806" s="40" t="s">
        <v>6542</v>
      </c>
      <c r="D3806" s="41"/>
      <c r="E3806" s="41" t="s">
        <v>4590</v>
      </c>
      <c r="F3806" s="18" t="str">
        <f>IFERROR(__xludf.DUMMYFUNCTION("if(REGEXMATCH(C3806,""x.com"")=TRUE,""Twitter"",if(REGEXMATCH(C3806,""facebook"")=TRUE,""Facebook"",if(REGEXMATCH(C3806,""instagram"")=TRUE,""Instagram"",if(REGEXMATCH(C3806,""youtube"")=TRUE,""Youtube"",if(REGEXMATCH(C3806,""tiktok"")=TRUE,""Tiktok"",if("&amp;"REGEXMATCH(C3806,""threads"")=TRUE,""Threads""))))))"),"Facebook")</f>
        <v>Facebook</v>
      </c>
      <c r="G3806" s="41" t="s">
        <v>6543</v>
      </c>
      <c r="H3806" s="41" t="s">
        <v>4986</v>
      </c>
      <c r="I3806" s="41"/>
      <c r="J3806" s="41" t="s">
        <v>188</v>
      </c>
      <c r="K3806" s="41"/>
      <c r="L3806" s="41" t="s">
        <v>622</v>
      </c>
    </row>
    <row r="3807">
      <c r="A3807" s="18">
        <v>3806.0</v>
      </c>
      <c r="B3807" s="76" t="s">
        <v>6523</v>
      </c>
      <c r="C3807" s="40" t="s">
        <v>6544</v>
      </c>
      <c r="D3807" s="41"/>
      <c r="E3807" s="41" t="s">
        <v>2820</v>
      </c>
      <c r="F3807" s="18" t="str">
        <f>IFERROR(__xludf.DUMMYFUNCTION("if(REGEXMATCH(C3807,""x.com"")=TRUE,""Twitter"",if(REGEXMATCH(C3807,""facebook"")=TRUE,""Facebook"",if(REGEXMATCH(C3807,""instagram"")=TRUE,""Instagram"",if(REGEXMATCH(C3807,""youtube"")=TRUE,""Youtube"",if(REGEXMATCH(C3807,""tiktok"")=TRUE,""Tiktok"",if("&amp;"REGEXMATCH(C3807,""threads"")=TRUE,""Threads""))))))"),"Facebook")</f>
        <v>Facebook</v>
      </c>
      <c r="G3807" s="41" t="s">
        <v>6545</v>
      </c>
      <c r="H3807" s="41" t="s">
        <v>4986</v>
      </c>
      <c r="I3807" s="41"/>
      <c r="J3807" s="41" t="s">
        <v>188</v>
      </c>
      <c r="K3807" s="41"/>
      <c r="L3807" s="41" t="s">
        <v>622</v>
      </c>
    </row>
    <row r="3808">
      <c r="A3808" s="18">
        <v>3807.0</v>
      </c>
      <c r="B3808" s="76" t="s">
        <v>6523</v>
      </c>
      <c r="C3808" s="40" t="s">
        <v>6546</v>
      </c>
      <c r="D3808" s="41"/>
      <c r="E3808" s="41" t="s">
        <v>197</v>
      </c>
      <c r="F3808" s="18" t="str">
        <f>IFERROR(__xludf.DUMMYFUNCTION("if(REGEXMATCH(C3808,""x.com"")=TRUE,""Twitter"",if(REGEXMATCH(C3808,""facebook"")=TRUE,""Facebook"",if(REGEXMATCH(C3808,""instagram"")=TRUE,""Instagram"",if(REGEXMATCH(C3808,""youtube"")=TRUE,""Youtube"",if(REGEXMATCH(C3808,""tiktok"")=TRUE,""Tiktok"",if("&amp;"REGEXMATCH(C3808,""threads"")=TRUE,""Threads""))))))"),"Facebook")</f>
        <v>Facebook</v>
      </c>
      <c r="G3808" s="41" t="s">
        <v>6547</v>
      </c>
      <c r="H3808" s="41" t="s">
        <v>4986</v>
      </c>
      <c r="I3808" s="41"/>
      <c r="J3808" s="41" t="s">
        <v>188</v>
      </c>
      <c r="K3808" s="41"/>
      <c r="L3808" s="41" t="s">
        <v>622</v>
      </c>
    </row>
    <row r="3809">
      <c r="A3809" s="18">
        <v>3808.0</v>
      </c>
      <c r="B3809" s="76" t="s">
        <v>6523</v>
      </c>
      <c r="C3809" s="40" t="s">
        <v>6548</v>
      </c>
      <c r="D3809" s="41"/>
      <c r="E3809" s="41" t="s">
        <v>557</v>
      </c>
      <c r="F3809" s="18" t="str">
        <f>IFERROR(__xludf.DUMMYFUNCTION("if(REGEXMATCH(C3809,""x.com"")=TRUE,""Twitter"",if(REGEXMATCH(C3809,""facebook"")=TRUE,""Facebook"",if(REGEXMATCH(C3809,""instagram"")=TRUE,""Instagram"",if(REGEXMATCH(C3809,""youtube"")=TRUE,""Youtube"",if(REGEXMATCH(C3809,""tiktok"")=TRUE,""Tiktok"",if("&amp;"REGEXMATCH(C3809,""threads"")=TRUE,""Threads""))))))"),"Facebook")</f>
        <v>Facebook</v>
      </c>
      <c r="G3809" s="41" t="s">
        <v>6549</v>
      </c>
      <c r="H3809" s="41" t="s">
        <v>4986</v>
      </c>
      <c r="I3809" s="41"/>
      <c r="J3809" s="41" t="s">
        <v>188</v>
      </c>
      <c r="K3809" s="41"/>
      <c r="L3809" s="41" t="s">
        <v>622</v>
      </c>
    </row>
    <row r="3810">
      <c r="A3810" s="18">
        <v>3809.0</v>
      </c>
      <c r="B3810" s="76" t="s">
        <v>6523</v>
      </c>
      <c r="C3810" s="40" t="s">
        <v>6550</v>
      </c>
      <c r="D3810" s="41"/>
      <c r="E3810" s="41" t="s">
        <v>197</v>
      </c>
      <c r="F3810" s="18" t="str">
        <f>IFERROR(__xludf.DUMMYFUNCTION("if(REGEXMATCH(C3810,""x.com"")=TRUE,""Twitter"",if(REGEXMATCH(C3810,""facebook"")=TRUE,""Facebook"",if(REGEXMATCH(C3810,""instagram"")=TRUE,""Instagram"",if(REGEXMATCH(C3810,""youtube"")=TRUE,""Youtube"",if(REGEXMATCH(C3810,""tiktok"")=TRUE,""Tiktok"",if("&amp;"REGEXMATCH(C3810,""threads"")=TRUE,""Threads""))))))"),"Twitter")</f>
        <v>Twitter</v>
      </c>
      <c r="G3810" s="41" t="s">
        <v>6551</v>
      </c>
      <c r="H3810" s="41" t="s">
        <v>4986</v>
      </c>
      <c r="I3810" s="41"/>
      <c r="J3810" s="41" t="s">
        <v>188</v>
      </c>
      <c r="K3810" s="41"/>
      <c r="L3810" s="41" t="s">
        <v>405</v>
      </c>
    </row>
    <row r="3811">
      <c r="A3811" s="18">
        <v>3810.0</v>
      </c>
      <c r="B3811" s="76" t="s">
        <v>6523</v>
      </c>
      <c r="C3811" s="40" t="s">
        <v>6552</v>
      </c>
      <c r="D3811" s="41"/>
      <c r="E3811" s="18" t="s">
        <v>184</v>
      </c>
      <c r="F3811" s="18" t="str">
        <f>IFERROR(__xludf.DUMMYFUNCTION("if(REGEXMATCH(C3811,""x.com"")=TRUE,""Twitter"",if(REGEXMATCH(C3811,""facebook"")=TRUE,""Facebook"",if(REGEXMATCH(C3811,""instagram"")=TRUE,""Instagram"",if(REGEXMATCH(C3811,""youtube"")=TRUE,""Youtube"",if(REGEXMATCH(C3811,""tiktok"")=TRUE,""Tiktok"",if("&amp;"REGEXMATCH(C3811,""threads"")=TRUE,""Threads""))))))"),"Tiktok")</f>
        <v>Tiktok</v>
      </c>
      <c r="G3811" s="41" t="s">
        <v>6553</v>
      </c>
      <c r="H3811" s="18" t="s">
        <v>6554</v>
      </c>
      <c r="I3811" s="41"/>
      <c r="J3811" s="41" t="s">
        <v>188</v>
      </c>
      <c r="K3811" s="41"/>
      <c r="L3811" s="41" t="s">
        <v>686</v>
      </c>
    </row>
    <row r="3812">
      <c r="A3812" s="18">
        <v>3811.0</v>
      </c>
      <c r="B3812" s="76" t="s">
        <v>6523</v>
      </c>
      <c r="C3812" s="40" t="s">
        <v>6555</v>
      </c>
      <c r="D3812" s="41"/>
      <c r="E3812" s="18" t="s">
        <v>184</v>
      </c>
      <c r="F3812" s="18" t="str">
        <f>IFERROR(__xludf.DUMMYFUNCTION("if(REGEXMATCH(C3812,""x.com"")=TRUE,""Twitter"",if(REGEXMATCH(C3812,""facebook"")=TRUE,""Facebook"",if(REGEXMATCH(C3812,""instagram"")=TRUE,""Instagram"",if(REGEXMATCH(C3812,""youtube"")=TRUE,""Youtube"",if(REGEXMATCH(C3812,""tiktok"")=TRUE,""Tiktok"",if("&amp;"REGEXMATCH(C3812,""threads"")=TRUE,""Threads""))))))"),"Tiktok")</f>
        <v>Tiktok</v>
      </c>
      <c r="G3812" s="18" t="s">
        <v>6553</v>
      </c>
      <c r="H3812" s="18" t="s">
        <v>6554</v>
      </c>
      <c r="I3812" s="41"/>
      <c r="J3812" s="41" t="s">
        <v>188</v>
      </c>
      <c r="K3812" s="41"/>
      <c r="L3812" s="41" t="s">
        <v>686</v>
      </c>
    </row>
    <row r="3813">
      <c r="A3813" s="18">
        <v>3812.0</v>
      </c>
      <c r="B3813" s="76" t="s">
        <v>6523</v>
      </c>
      <c r="C3813" s="44" t="s">
        <v>6556</v>
      </c>
      <c r="D3813" s="41"/>
      <c r="E3813" s="18" t="s">
        <v>184</v>
      </c>
      <c r="F3813" s="18" t="str">
        <f>IFERROR(__xludf.DUMMYFUNCTION("if(REGEXMATCH(C3813,""x.com"")=TRUE,""Twitter"",if(REGEXMATCH(C3813,""facebook"")=TRUE,""Facebook"",if(REGEXMATCH(C3813,""instagram"")=TRUE,""Instagram"",if(REGEXMATCH(C3813,""youtube"")=TRUE,""Youtube"",if(REGEXMATCH(C3813,""tiktok"")=TRUE,""Tiktok"",if("&amp;"REGEXMATCH(C3813,""threads"")=TRUE,""Threads""))))))"),"Tiktok")</f>
        <v>Tiktok</v>
      </c>
      <c r="G3813" s="18" t="s">
        <v>6553</v>
      </c>
      <c r="H3813" s="18" t="s">
        <v>6554</v>
      </c>
      <c r="I3813" s="41"/>
      <c r="J3813" s="41" t="s">
        <v>188</v>
      </c>
      <c r="K3813" s="41"/>
      <c r="L3813" s="41" t="s">
        <v>686</v>
      </c>
    </row>
    <row r="3814">
      <c r="A3814" s="18">
        <v>3813.0</v>
      </c>
      <c r="B3814" s="76" t="s">
        <v>6523</v>
      </c>
      <c r="C3814" s="40" t="s">
        <v>6557</v>
      </c>
      <c r="D3814" s="41"/>
      <c r="E3814" s="18" t="s">
        <v>184</v>
      </c>
      <c r="F3814" s="18" t="str">
        <f>IFERROR(__xludf.DUMMYFUNCTION("if(REGEXMATCH(C3814,""x.com"")=TRUE,""Twitter"",if(REGEXMATCH(C3814,""facebook"")=TRUE,""Facebook"",if(REGEXMATCH(C3814,""instagram"")=TRUE,""Instagram"",if(REGEXMATCH(C3814,""youtube"")=TRUE,""Youtube"",if(REGEXMATCH(C3814,""tiktok"")=TRUE,""Tiktok"",if("&amp;"REGEXMATCH(C3814,""threads"")=TRUE,""Threads""))))))"),"Facebook")</f>
        <v>Facebook</v>
      </c>
      <c r="G3814" s="18" t="s">
        <v>4116</v>
      </c>
      <c r="H3814" s="18" t="s">
        <v>6554</v>
      </c>
      <c r="I3814" s="41"/>
      <c r="J3814" s="41" t="s">
        <v>188</v>
      </c>
      <c r="K3814" s="41"/>
      <c r="L3814" s="41" t="s">
        <v>622</v>
      </c>
    </row>
    <row r="3815">
      <c r="A3815" s="18">
        <v>3814.0</v>
      </c>
      <c r="B3815" s="45">
        <v>46002.0</v>
      </c>
      <c r="C3815" s="40" t="s">
        <v>6558</v>
      </c>
      <c r="D3815" s="41"/>
      <c r="E3815" s="41" t="s">
        <v>4193</v>
      </c>
      <c r="F3815" s="70" t="str">
        <f>IFERROR(__xludf.DUMMYFUNCTION("if(REGEXMATCH(C3815,""x.com"")=TRUE,""Twitter"",if(REGEXMATCH(C3815,""facebook"")=TRUE,""Facebook"",if(REGEXMATCH(C3815,""instagram"")=TRUE,""Instagram"",if(REGEXMATCH(C3815,""youtube"")=TRUE,""Youtube"",if(REGEXMATCH(C3815,""tiktok"")=TRUE,""Tiktok"",if("&amp;"REGEXMATCH(C3815,""threads"")=TRUE,""Threads""))))))"),"Tiktok")</f>
        <v>Tiktok</v>
      </c>
      <c r="G3815" s="70" t="s">
        <v>6559</v>
      </c>
      <c r="H3815" s="43" t="s">
        <v>6560</v>
      </c>
      <c r="I3815" s="43" t="s">
        <v>535</v>
      </c>
      <c r="J3815" s="41" t="s">
        <v>188</v>
      </c>
      <c r="K3815" s="42"/>
      <c r="L3815" s="76" t="s">
        <v>686</v>
      </c>
    </row>
    <row r="3816">
      <c r="A3816" s="18">
        <v>3815.0</v>
      </c>
      <c r="B3816" s="45">
        <v>46002.0</v>
      </c>
      <c r="C3816" s="40" t="s">
        <v>6561</v>
      </c>
      <c r="D3816" s="41"/>
      <c r="E3816" s="41" t="s">
        <v>557</v>
      </c>
      <c r="F3816" s="70" t="str">
        <f>IFERROR(__xludf.DUMMYFUNCTION("if(REGEXMATCH(C3816,""x.com"")=TRUE,""Twitter"",if(REGEXMATCH(C3816,""facebook"")=TRUE,""Facebook"",if(REGEXMATCH(C3816,""instagram"")=TRUE,""Instagram"",if(REGEXMATCH(C3816,""youtube"")=TRUE,""Youtube"",if(REGEXMATCH(C3816,""tiktok"")=TRUE,""Tiktok"",if("&amp;"REGEXMATCH(C3816,""threads"")=TRUE,""Threads""))))))"),"Tiktok")</f>
        <v>Tiktok</v>
      </c>
      <c r="G3816" s="70" t="s">
        <v>6562</v>
      </c>
      <c r="H3816" s="36"/>
      <c r="I3816" s="36"/>
      <c r="J3816" s="41" t="s">
        <v>188</v>
      </c>
      <c r="K3816" s="42"/>
      <c r="L3816" s="76" t="s">
        <v>686</v>
      </c>
    </row>
    <row r="3817">
      <c r="A3817" s="18">
        <v>3816.0</v>
      </c>
      <c r="B3817" s="45">
        <v>46002.0</v>
      </c>
      <c r="C3817" s="40" t="s">
        <v>6563</v>
      </c>
      <c r="D3817" s="41"/>
      <c r="E3817" s="41" t="s">
        <v>401</v>
      </c>
      <c r="F3817" s="70" t="str">
        <f>IFERROR(__xludf.DUMMYFUNCTION("if(REGEXMATCH(C3817,""x.com"")=TRUE,""Twitter"",if(REGEXMATCH(C3817,""facebook"")=TRUE,""Facebook"",if(REGEXMATCH(C3817,""instagram"")=TRUE,""Instagram"",if(REGEXMATCH(C3817,""youtube"")=TRUE,""Youtube"",if(REGEXMATCH(C3817,""tiktok"")=TRUE,""Tiktok"",if("&amp;"REGEXMATCH(C3817,""threads"")=TRUE,""Threads""))))))"),"Facebook")</f>
        <v>Facebook</v>
      </c>
      <c r="G3817" s="70" t="s">
        <v>6564</v>
      </c>
      <c r="H3817" s="36"/>
      <c r="I3817" s="36"/>
      <c r="J3817" s="41" t="s">
        <v>188</v>
      </c>
      <c r="K3817" s="42"/>
      <c r="L3817" s="76" t="s">
        <v>622</v>
      </c>
    </row>
    <row r="3818">
      <c r="A3818" s="18">
        <v>3817.0</v>
      </c>
      <c r="B3818" s="45">
        <v>46002.0</v>
      </c>
      <c r="C3818" s="40" t="s">
        <v>6565</v>
      </c>
      <c r="D3818" s="41"/>
      <c r="E3818" s="41" t="s">
        <v>4213</v>
      </c>
      <c r="F3818" s="70" t="str">
        <f>IFERROR(__xludf.DUMMYFUNCTION("if(REGEXMATCH(C3818,""x.com"")=TRUE,""Twitter"",if(REGEXMATCH(C3818,""facebook"")=TRUE,""Facebook"",if(REGEXMATCH(C3818,""instagram"")=TRUE,""Instagram"",if(REGEXMATCH(C3818,""youtube"")=TRUE,""Youtube"",if(REGEXMATCH(C3818,""tiktok"")=TRUE,""Tiktok"",if("&amp;"REGEXMATCH(C3818,""threads"")=TRUE,""Threads""))))))"),"Facebook")</f>
        <v>Facebook</v>
      </c>
      <c r="G3818" s="70" t="s">
        <v>6566</v>
      </c>
      <c r="H3818" s="36"/>
      <c r="I3818" s="36"/>
      <c r="J3818" s="41" t="s">
        <v>188</v>
      </c>
      <c r="K3818" s="42"/>
      <c r="L3818" s="76" t="s">
        <v>622</v>
      </c>
    </row>
    <row r="3819">
      <c r="A3819" s="18">
        <v>3818.0</v>
      </c>
      <c r="B3819" s="45">
        <v>46002.0</v>
      </c>
      <c r="C3819" s="40" t="s">
        <v>6567</v>
      </c>
      <c r="D3819" s="41"/>
      <c r="E3819" s="41" t="s">
        <v>401</v>
      </c>
      <c r="F3819" s="70" t="str">
        <f>IFERROR(__xludf.DUMMYFUNCTION("if(REGEXMATCH(C3819,""x.com"")=TRUE,""Twitter"",if(REGEXMATCH(C3819,""facebook"")=TRUE,""Facebook"",if(REGEXMATCH(C3819,""instagram"")=TRUE,""Instagram"",if(REGEXMATCH(C3819,""youtube"")=TRUE,""Youtube"",if(REGEXMATCH(C3819,""tiktok"")=TRUE,""Tiktok"",if("&amp;"REGEXMATCH(C3819,""threads"")=TRUE,""Threads""))))))"),"Facebook")</f>
        <v>Facebook</v>
      </c>
      <c r="G3819" s="70" t="s">
        <v>6568</v>
      </c>
      <c r="H3819" s="36"/>
      <c r="I3819" s="36"/>
      <c r="J3819" s="41" t="s">
        <v>188</v>
      </c>
      <c r="K3819" s="42"/>
      <c r="L3819" s="76" t="s">
        <v>622</v>
      </c>
    </row>
    <row r="3820">
      <c r="A3820" s="18">
        <v>3819.0</v>
      </c>
      <c r="B3820" s="45">
        <v>46002.0</v>
      </c>
      <c r="C3820" s="40" t="s">
        <v>6569</v>
      </c>
      <c r="D3820" s="41"/>
      <c r="E3820" s="41" t="s">
        <v>401</v>
      </c>
      <c r="F3820" s="70" t="str">
        <f>IFERROR(__xludf.DUMMYFUNCTION("if(REGEXMATCH(C3820,""x.com"")=TRUE,""Twitter"",if(REGEXMATCH(C3820,""facebook"")=TRUE,""Facebook"",if(REGEXMATCH(C3820,""instagram"")=TRUE,""Instagram"",if(REGEXMATCH(C3820,""youtube"")=TRUE,""Youtube"",if(REGEXMATCH(C3820,""tiktok"")=TRUE,""Tiktok"",if("&amp;"REGEXMATCH(C3820,""threads"")=TRUE,""Threads""))))))"),"Facebook")</f>
        <v>Facebook</v>
      </c>
      <c r="G3820" s="70" t="s">
        <v>6568</v>
      </c>
      <c r="H3820" s="36"/>
      <c r="I3820" s="36"/>
      <c r="J3820" s="41" t="s">
        <v>188</v>
      </c>
      <c r="K3820" s="42"/>
      <c r="L3820" s="76" t="s">
        <v>622</v>
      </c>
    </row>
    <row r="3821">
      <c r="A3821" s="18">
        <v>3820.0</v>
      </c>
      <c r="B3821" s="45">
        <v>46002.0</v>
      </c>
      <c r="C3821" s="40" t="s">
        <v>6570</v>
      </c>
      <c r="D3821" s="41"/>
      <c r="E3821" s="41" t="s">
        <v>1178</v>
      </c>
      <c r="F3821" s="70" t="str">
        <f>IFERROR(__xludf.DUMMYFUNCTION("if(REGEXMATCH(C3821,""x.com"")=TRUE,""Twitter"",if(REGEXMATCH(C3821,""facebook"")=TRUE,""Facebook"",if(REGEXMATCH(C3821,""instagram"")=TRUE,""Instagram"",if(REGEXMATCH(C3821,""youtube"")=TRUE,""Youtube"",if(REGEXMATCH(C3821,""tiktok"")=TRUE,""Tiktok"",if("&amp;"REGEXMATCH(C3821,""threads"")=TRUE,""Threads""))))))"),"Facebook")</f>
        <v>Facebook</v>
      </c>
      <c r="G3821" s="70" t="s">
        <v>6571</v>
      </c>
      <c r="H3821" s="36"/>
      <c r="I3821" s="36"/>
      <c r="J3821" s="41" t="s">
        <v>188</v>
      </c>
      <c r="K3821" s="42"/>
      <c r="L3821" s="76" t="s">
        <v>622</v>
      </c>
    </row>
    <row r="3822">
      <c r="A3822" s="18">
        <v>3821.0</v>
      </c>
      <c r="B3822" s="45">
        <v>46002.0</v>
      </c>
      <c r="C3822" s="40" t="s">
        <v>6572</v>
      </c>
      <c r="D3822" s="41"/>
      <c r="E3822" s="41" t="s">
        <v>401</v>
      </c>
      <c r="F3822" s="70" t="str">
        <f>IFERROR(__xludf.DUMMYFUNCTION("if(REGEXMATCH(C3822,""x.com"")=TRUE,""Twitter"",if(REGEXMATCH(C3822,""facebook"")=TRUE,""Facebook"",if(REGEXMATCH(C3822,""instagram"")=TRUE,""Instagram"",if(REGEXMATCH(C3822,""youtube"")=TRUE,""Youtube"",if(REGEXMATCH(C3822,""tiktok"")=TRUE,""Tiktok"",if("&amp;"REGEXMATCH(C3822,""threads"")=TRUE,""Threads""))))))"),"Facebook")</f>
        <v>Facebook</v>
      </c>
      <c r="G3822" s="71" t="s">
        <v>6573</v>
      </c>
      <c r="H3822" s="36"/>
      <c r="I3822" s="36"/>
      <c r="J3822" s="41" t="s">
        <v>188</v>
      </c>
      <c r="K3822" s="42"/>
      <c r="L3822" s="76" t="s">
        <v>622</v>
      </c>
    </row>
    <row r="3823">
      <c r="A3823" s="18">
        <v>3822.0</v>
      </c>
      <c r="B3823" s="45">
        <v>46002.0</v>
      </c>
      <c r="C3823" s="40" t="s">
        <v>6574</v>
      </c>
      <c r="D3823" s="41"/>
      <c r="E3823" s="41" t="s">
        <v>372</v>
      </c>
      <c r="F3823" s="70" t="str">
        <f>IFERROR(__xludf.DUMMYFUNCTION("if(REGEXMATCH(C3823,""x.com"")=TRUE,""Twitter"",if(REGEXMATCH(C3823,""facebook"")=TRUE,""Facebook"",if(REGEXMATCH(C3823,""instagram"")=TRUE,""Instagram"",if(REGEXMATCH(C3823,""youtube"")=TRUE,""Youtube"",if(REGEXMATCH(C3823,""tiktok"")=TRUE,""Tiktok"",if("&amp;"REGEXMATCH(C3823,""threads"")=TRUE,""Threads""))))))"),"Facebook")</f>
        <v>Facebook</v>
      </c>
      <c r="G3823" s="44" t="s">
        <v>6575</v>
      </c>
      <c r="H3823" s="36"/>
      <c r="I3823" s="36"/>
      <c r="J3823" s="41" t="s">
        <v>188</v>
      </c>
      <c r="K3823" s="42"/>
      <c r="L3823" s="76" t="s">
        <v>622</v>
      </c>
    </row>
    <row r="3824">
      <c r="A3824" s="18">
        <v>3823.0</v>
      </c>
      <c r="B3824" s="45">
        <v>46002.0</v>
      </c>
      <c r="C3824" s="40" t="s">
        <v>6576</v>
      </c>
      <c r="D3824" s="41"/>
      <c r="E3824" s="41" t="s">
        <v>197</v>
      </c>
      <c r="F3824" s="70" t="str">
        <f>IFERROR(__xludf.DUMMYFUNCTION("if(REGEXMATCH(C3824,""x.com"")=TRUE,""Twitter"",if(REGEXMATCH(C3824,""facebook"")=TRUE,""Facebook"",if(REGEXMATCH(C3824,""instagram"")=TRUE,""Instagram"",if(REGEXMATCH(C3824,""youtube"")=TRUE,""Youtube"",if(REGEXMATCH(C3824,""tiktok"")=TRUE,""Tiktok"",if("&amp;"REGEXMATCH(C3824,""threads"")=TRUE,""Threads""))))))"),"Facebook")</f>
        <v>Facebook</v>
      </c>
      <c r="G3824" s="70" t="s">
        <v>6577</v>
      </c>
      <c r="H3824" s="36"/>
      <c r="I3824" s="36"/>
      <c r="J3824" s="41" t="s">
        <v>188</v>
      </c>
      <c r="K3824" s="42"/>
      <c r="L3824" s="76" t="s">
        <v>622</v>
      </c>
    </row>
    <row r="3825">
      <c r="A3825" s="18">
        <v>3824.0</v>
      </c>
      <c r="B3825" s="45">
        <v>46002.0</v>
      </c>
      <c r="C3825" s="40" t="s">
        <v>6578</v>
      </c>
      <c r="D3825" s="41"/>
      <c r="E3825" s="41" t="s">
        <v>372</v>
      </c>
      <c r="F3825" s="70" t="str">
        <f>IFERROR(__xludf.DUMMYFUNCTION("if(REGEXMATCH(C3825,""x.com"")=TRUE,""Twitter"",if(REGEXMATCH(C3825,""facebook"")=TRUE,""Facebook"",if(REGEXMATCH(C3825,""instagram"")=TRUE,""Instagram"",if(REGEXMATCH(C3825,""youtube"")=TRUE,""Youtube"",if(REGEXMATCH(C3825,""tiktok"")=TRUE,""Tiktok"",if("&amp;"REGEXMATCH(C3825,""threads"")=TRUE,""Threads""))))))"),"Facebook")</f>
        <v>Facebook</v>
      </c>
      <c r="G3825" s="71" t="s">
        <v>6579</v>
      </c>
      <c r="H3825" s="36"/>
      <c r="I3825" s="36"/>
      <c r="J3825" s="41" t="s">
        <v>188</v>
      </c>
      <c r="K3825" s="42"/>
      <c r="L3825" s="76" t="s">
        <v>622</v>
      </c>
    </row>
    <row r="3826">
      <c r="A3826" s="18">
        <v>3825.0</v>
      </c>
      <c r="B3826" s="45">
        <v>46002.0</v>
      </c>
      <c r="C3826" s="40" t="s">
        <v>6580</v>
      </c>
      <c r="D3826" s="41"/>
      <c r="E3826" s="41" t="s">
        <v>372</v>
      </c>
      <c r="F3826" s="70" t="str">
        <f>IFERROR(__xludf.DUMMYFUNCTION("if(REGEXMATCH(C3826,""x.com"")=TRUE,""Twitter"",if(REGEXMATCH(C3826,""facebook"")=TRUE,""Facebook"",if(REGEXMATCH(C3826,""instagram"")=TRUE,""Instagram"",if(REGEXMATCH(C3826,""youtube"")=TRUE,""Youtube"",if(REGEXMATCH(C3826,""tiktok"")=TRUE,""Tiktok"",if("&amp;"REGEXMATCH(C3826,""threads"")=TRUE,""Threads""))))))"),"Facebook")</f>
        <v>Facebook</v>
      </c>
      <c r="G3826" s="41" t="s">
        <v>6581</v>
      </c>
      <c r="H3826" s="36"/>
      <c r="I3826" s="36"/>
      <c r="J3826" s="41" t="s">
        <v>188</v>
      </c>
      <c r="K3826" s="42"/>
      <c r="L3826" s="76" t="s">
        <v>622</v>
      </c>
    </row>
    <row r="3827">
      <c r="A3827" s="18">
        <v>3826.0</v>
      </c>
      <c r="B3827" s="45">
        <v>46002.0</v>
      </c>
      <c r="C3827" s="40" t="s">
        <v>6582</v>
      </c>
      <c r="D3827" s="41"/>
      <c r="E3827" s="41" t="s">
        <v>197</v>
      </c>
      <c r="F3827" s="70" t="str">
        <f>IFERROR(__xludf.DUMMYFUNCTION("if(REGEXMATCH(C3827,""x.com"")=TRUE,""Twitter"",if(REGEXMATCH(C3827,""facebook"")=TRUE,""Facebook"",if(REGEXMATCH(C3827,""instagram"")=TRUE,""Instagram"",if(REGEXMATCH(C3827,""youtube"")=TRUE,""Youtube"",if(REGEXMATCH(C3827,""tiktok"")=TRUE,""Tiktok"",if("&amp;"REGEXMATCH(C3827,""threads"")=TRUE,""Threads""))))))"),"Facebook")</f>
        <v>Facebook</v>
      </c>
      <c r="G3827" s="70" t="s">
        <v>6583</v>
      </c>
      <c r="H3827" s="36"/>
      <c r="I3827" s="36"/>
      <c r="J3827" s="41" t="s">
        <v>188</v>
      </c>
      <c r="K3827" s="42"/>
      <c r="L3827" s="76" t="s">
        <v>622</v>
      </c>
    </row>
    <row r="3828">
      <c r="A3828" s="18">
        <v>3827.0</v>
      </c>
      <c r="B3828" s="45">
        <v>46002.0</v>
      </c>
      <c r="C3828" s="40" t="s">
        <v>6584</v>
      </c>
      <c r="D3828" s="41"/>
      <c r="E3828" s="41" t="s">
        <v>197</v>
      </c>
      <c r="F3828" s="70" t="str">
        <f>IFERROR(__xludf.DUMMYFUNCTION("if(REGEXMATCH(C3828,""x.com"")=TRUE,""Twitter"",if(REGEXMATCH(C3828,""facebook"")=TRUE,""Facebook"",if(REGEXMATCH(C3828,""instagram"")=TRUE,""Instagram"",if(REGEXMATCH(C3828,""youtube"")=TRUE,""Youtube"",if(REGEXMATCH(C3828,""tiktok"")=TRUE,""Tiktok"",if("&amp;"REGEXMATCH(C3828,""threads"")=TRUE,""Threads""))))))"),"Facebook")</f>
        <v>Facebook</v>
      </c>
      <c r="G3828" s="70" t="s">
        <v>6585</v>
      </c>
      <c r="H3828" s="36"/>
      <c r="I3828" s="36"/>
      <c r="J3828" s="41" t="s">
        <v>188</v>
      </c>
      <c r="K3828" s="42"/>
      <c r="L3828" s="76" t="s">
        <v>622</v>
      </c>
    </row>
    <row r="3829">
      <c r="A3829" s="18">
        <v>3828.0</v>
      </c>
      <c r="B3829" s="45">
        <v>46002.0</v>
      </c>
      <c r="C3829" s="40" t="s">
        <v>6586</v>
      </c>
      <c r="D3829" s="41"/>
      <c r="E3829" s="41" t="s">
        <v>447</v>
      </c>
      <c r="F3829" s="70" t="str">
        <f>IFERROR(__xludf.DUMMYFUNCTION("if(REGEXMATCH(C3829,""x.com"")=TRUE,""Twitter"",if(REGEXMATCH(C3829,""facebook"")=TRUE,""Facebook"",if(REGEXMATCH(C3829,""instagram"")=TRUE,""Instagram"",if(REGEXMATCH(C3829,""youtube"")=TRUE,""Youtube"",if(REGEXMATCH(C3829,""tiktok"")=TRUE,""Tiktok"",if("&amp;"REGEXMATCH(C3829,""threads"")=TRUE,""Threads""))))))"),"Facebook")</f>
        <v>Facebook</v>
      </c>
      <c r="G3829" s="44" t="s">
        <v>6587</v>
      </c>
      <c r="H3829" s="35"/>
      <c r="I3829" s="35"/>
      <c r="J3829" s="41" t="s">
        <v>188</v>
      </c>
      <c r="K3829" s="42"/>
      <c r="L3829" s="76" t="s">
        <v>622</v>
      </c>
    </row>
    <row r="3830">
      <c r="A3830" s="18">
        <v>3829.0</v>
      </c>
      <c r="B3830" s="45">
        <v>46002.0</v>
      </c>
      <c r="C3830" s="40" t="s">
        <v>6588</v>
      </c>
      <c r="D3830" s="41"/>
      <c r="E3830" s="41" t="s">
        <v>197</v>
      </c>
      <c r="F3830" s="70" t="str">
        <f>IFERROR(__xludf.DUMMYFUNCTION("if(REGEXMATCH(C3830,""x.com"")=TRUE,""Twitter"",if(REGEXMATCH(C3830,""facebook"")=TRUE,""Facebook"",if(REGEXMATCH(C3830,""instagram"")=TRUE,""Instagram"",if(REGEXMATCH(C3830,""youtube"")=TRUE,""Youtube"",if(REGEXMATCH(C3830,""tiktok"")=TRUE,""Tiktok"",if("&amp;"REGEXMATCH(C3830,""threads"")=TRUE,""Threads""))))))"),"Facebook")</f>
        <v>Facebook</v>
      </c>
      <c r="G3830" s="70" t="s">
        <v>6589</v>
      </c>
      <c r="H3830" s="41"/>
      <c r="I3830" s="41"/>
      <c r="J3830" s="41" t="s">
        <v>188</v>
      </c>
      <c r="K3830" s="42"/>
      <c r="L3830" s="76" t="s">
        <v>622</v>
      </c>
    </row>
    <row r="3831">
      <c r="A3831" s="18">
        <v>3830.0</v>
      </c>
      <c r="B3831" s="45">
        <v>46002.0</v>
      </c>
      <c r="C3831" s="40" t="s">
        <v>6590</v>
      </c>
      <c r="D3831" s="41"/>
      <c r="E3831" s="41" t="s">
        <v>197</v>
      </c>
      <c r="F3831" s="70" t="str">
        <f>IFERROR(__xludf.DUMMYFUNCTION("if(REGEXMATCH(C3831,""x.com"")=TRUE,""Twitter"",if(REGEXMATCH(C3831,""facebook"")=TRUE,""Facebook"",if(REGEXMATCH(C3831,""instagram"")=TRUE,""Instagram"",if(REGEXMATCH(C3831,""youtube"")=TRUE,""Youtube"",if(REGEXMATCH(C3831,""tiktok"")=TRUE,""Tiktok"",if("&amp;"REGEXMATCH(C3831,""threads"")=TRUE,""Threads""))))))"),"Facebook")</f>
        <v>Facebook</v>
      </c>
      <c r="G3831" s="70" t="s">
        <v>6591</v>
      </c>
      <c r="H3831" s="41"/>
      <c r="I3831" s="41"/>
      <c r="J3831" s="41" t="s">
        <v>188</v>
      </c>
      <c r="K3831" s="42"/>
      <c r="L3831" s="76" t="s">
        <v>622</v>
      </c>
    </row>
    <row r="3832">
      <c r="A3832" s="18">
        <v>3831.0</v>
      </c>
      <c r="B3832" s="45">
        <v>46002.0</v>
      </c>
      <c r="C3832" s="40" t="s">
        <v>6592</v>
      </c>
      <c r="D3832" s="41"/>
      <c r="E3832" s="41" t="s">
        <v>622</v>
      </c>
      <c r="F3832" s="70" t="str">
        <f>IFERROR(__xludf.DUMMYFUNCTION("if(REGEXMATCH(C3832,""x.com"")=TRUE,""Twitter"",if(REGEXMATCH(C3832,""facebook"")=TRUE,""Facebook"",if(REGEXMATCH(C3832,""instagram"")=TRUE,""Instagram"",if(REGEXMATCH(C3832,""youtube"")=TRUE,""Youtube"",if(REGEXMATCH(C3832,""tiktok"")=TRUE,""Tiktok"",if("&amp;"REGEXMATCH(C3832,""threads"")=TRUE,""Threads""))))))"),"Facebook")</f>
        <v>Facebook</v>
      </c>
      <c r="G3832" s="41" t="s">
        <v>372</v>
      </c>
      <c r="H3832" s="70" t="s">
        <v>6593</v>
      </c>
      <c r="I3832" s="41"/>
      <c r="J3832" s="41" t="s">
        <v>188</v>
      </c>
      <c r="K3832" s="42"/>
      <c r="L3832" s="76" t="s">
        <v>622</v>
      </c>
    </row>
    <row r="3833">
      <c r="A3833" s="18">
        <v>3832.0</v>
      </c>
      <c r="B3833" s="45">
        <v>46002.0</v>
      </c>
      <c r="C3833" s="40" t="s">
        <v>6594</v>
      </c>
      <c r="D3833" s="41"/>
      <c r="E3833" s="41" t="s">
        <v>622</v>
      </c>
      <c r="F3833" s="70" t="str">
        <f>IFERROR(__xludf.DUMMYFUNCTION("if(REGEXMATCH(C3833,""x.com"")=TRUE,""Twitter"",if(REGEXMATCH(C3833,""facebook"")=TRUE,""Facebook"",if(REGEXMATCH(C3833,""instagram"")=TRUE,""Instagram"",if(REGEXMATCH(C3833,""youtube"")=TRUE,""Youtube"",if(REGEXMATCH(C3833,""tiktok"")=TRUE,""Tiktok"",if("&amp;"REGEXMATCH(C3833,""threads"")=TRUE,""Threads""))))))"),"Facebook")</f>
        <v>Facebook</v>
      </c>
      <c r="G3833" s="41" t="s">
        <v>372</v>
      </c>
      <c r="H3833" s="70" t="s">
        <v>6595</v>
      </c>
      <c r="I3833" s="41"/>
      <c r="J3833" s="41" t="s">
        <v>188</v>
      </c>
      <c r="K3833" s="42"/>
      <c r="L3833" s="76" t="s">
        <v>622</v>
      </c>
    </row>
    <row r="3834">
      <c r="A3834" s="18">
        <v>3833.0</v>
      </c>
      <c r="B3834" s="45">
        <v>46002.0</v>
      </c>
      <c r="C3834" s="40" t="s">
        <v>6596</v>
      </c>
      <c r="D3834" s="41"/>
      <c r="E3834" s="41" t="s">
        <v>686</v>
      </c>
      <c r="F3834" s="70" t="str">
        <f>IFERROR(__xludf.DUMMYFUNCTION("if(REGEXMATCH(C3834,""x.com"")=TRUE,""Twitter"",if(REGEXMATCH(C3834,""facebook"")=TRUE,""Facebook"",if(REGEXMATCH(C3834,""instagram"")=TRUE,""Instagram"",if(REGEXMATCH(C3834,""youtube"")=TRUE,""Youtube"",if(REGEXMATCH(C3834,""tiktok"")=TRUE,""Tiktok"",if("&amp;"REGEXMATCH(C3834,""threads"")=TRUE,""Threads""))))))"),"Tiktok")</f>
        <v>Tiktok</v>
      </c>
      <c r="G3834" s="41" t="s">
        <v>557</v>
      </c>
      <c r="H3834" s="70" t="s">
        <v>6597</v>
      </c>
      <c r="I3834" s="41"/>
      <c r="J3834" s="41" t="s">
        <v>188</v>
      </c>
      <c r="K3834" s="42"/>
      <c r="L3834" s="76" t="s">
        <v>686</v>
      </c>
    </row>
    <row r="3835">
      <c r="A3835" s="18">
        <v>3834.0</v>
      </c>
      <c r="B3835" s="45">
        <v>46002.0</v>
      </c>
      <c r="C3835" s="86" t="s">
        <v>6598</v>
      </c>
      <c r="D3835" s="41"/>
      <c r="E3835" s="41" t="s">
        <v>686</v>
      </c>
      <c r="F3835" s="70" t="str">
        <f>IFERROR(__xludf.DUMMYFUNCTION("if(REGEXMATCH(C3835,""x.com"")=TRUE,""Twitter"",if(REGEXMATCH(C3835,""facebook"")=TRUE,""Facebook"",if(REGEXMATCH(C3835,""instagram"")=TRUE,""Instagram"",if(REGEXMATCH(C3835,""youtube"")=TRUE,""Youtube"",if(REGEXMATCH(C3835,""tiktok"")=TRUE,""Tiktok"",if("&amp;"REGEXMATCH(C3835,""threads"")=TRUE,""Threads""))))))"),"Tiktok")</f>
        <v>Tiktok</v>
      </c>
      <c r="G3835" s="41" t="s">
        <v>557</v>
      </c>
      <c r="H3835" s="70" t="s">
        <v>6599</v>
      </c>
      <c r="I3835" s="41"/>
      <c r="J3835" s="41" t="s">
        <v>188</v>
      </c>
      <c r="K3835" s="42"/>
      <c r="L3835" s="76" t="s">
        <v>686</v>
      </c>
    </row>
    <row r="3836">
      <c r="A3836" s="18">
        <v>3835.0</v>
      </c>
      <c r="B3836" s="45">
        <v>46002.0</v>
      </c>
      <c r="C3836" s="40" t="s">
        <v>6600</v>
      </c>
      <c r="D3836" s="41"/>
      <c r="E3836" s="41" t="s">
        <v>686</v>
      </c>
      <c r="F3836" s="70" t="str">
        <f>IFERROR(__xludf.DUMMYFUNCTION("if(REGEXMATCH(C3836,""x.com"")=TRUE,""Twitter"",if(REGEXMATCH(C3836,""facebook"")=TRUE,""Facebook"",if(REGEXMATCH(C3836,""instagram"")=TRUE,""Instagram"",if(REGEXMATCH(C3836,""youtube"")=TRUE,""Youtube"",if(REGEXMATCH(C3836,""tiktok"")=TRUE,""Tiktok"",if("&amp;"REGEXMATCH(C3836,""threads"")=TRUE,""Threads""))))))"),"Tiktok")</f>
        <v>Tiktok</v>
      </c>
      <c r="G3836" s="41" t="s">
        <v>557</v>
      </c>
      <c r="H3836" s="70" t="s">
        <v>6601</v>
      </c>
      <c r="I3836" s="41"/>
      <c r="J3836" s="41" t="s">
        <v>188</v>
      </c>
      <c r="K3836" s="42"/>
      <c r="L3836" s="76" t="s">
        <v>686</v>
      </c>
    </row>
    <row r="3837">
      <c r="A3837" s="18">
        <v>3836.0</v>
      </c>
      <c r="B3837" s="45">
        <v>46002.0</v>
      </c>
      <c r="C3837" s="40" t="s">
        <v>6602</v>
      </c>
      <c r="D3837" s="41"/>
      <c r="E3837" s="41" t="s">
        <v>686</v>
      </c>
      <c r="F3837" s="70" t="str">
        <f>IFERROR(__xludf.DUMMYFUNCTION("if(REGEXMATCH(C3837,""x.com"")=TRUE,""Twitter"",if(REGEXMATCH(C3837,""facebook"")=TRUE,""Facebook"",if(REGEXMATCH(C3837,""instagram"")=TRUE,""Instagram"",if(REGEXMATCH(C3837,""youtube"")=TRUE,""Youtube"",if(REGEXMATCH(C3837,""tiktok"")=TRUE,""Tiktok"",if("&amp;"REGEXMATCH(C3837,""threads"")=TRUE,""Threads""))))))"),"Tiktok")</f>
        <v>Tiktok</v>
      </c>
      <c r="G3837" s="41" t="s">
        <v>3428</v>
      </c>
      <c r="H3837" s="70" t="s">
        <v>6603</v>
      </c>
      <c r="I3837" s="41"/>
      <c r="J3837" s="41" t="s">
        <v>188</v>
      </c>
      <c r="K3837" s="42"/>
      <c r="L3837" s="76" t="s">
        <v>686</v>
      </c>
    </row>
    <row r="3838">
      <c r="A3838" s="18">
        <v>3837.0</v>
      </c>
      <c r="B3838" s="45">
        <v>46002.0</v>
      </c>
      <c r="C3838" s="82" t="s">
        <v>6604</v>
      </c>
      <c r="D3838" s="42"/>
      <c r="E3838" s="76" t="s">
        <v>6605</v>
      </c>
      <c r="F3838" s="70" t="str">
        <f>IFERROR(__xludf.DUMMYFUNCTION("if(REGEXMATCH(C3838,""x.com"")=TRUE,""Twitter"",if(REGEXMATCH(C3838,""facebook"")=TRUE,""Facebook"",if(REGEXMATCH(C3838,""instagram"")=TRUE,""Instagram"",if(REGEXMATCH(C3838,""youtube"")=TRUE,""Youtube"",if(REGEXMATCH(C3838,""tiktok"")=TRUE,""Tiktok"",if("&amp;"REGEXMATCH(C3838,""threads"")=TRUE,""Threads""))))))"),"Tiktok")</f>
        <v>Tiktok</v>
      </c>
      <c r="G3838" s="76" t="s">
        <v>6606</v>
      </c>
      <c r="H3838" s="76" t="s">
        <v>6607</v>
      </c>
      <c r="I3838" s="42"/>
      <c r="J3838" s="41" t="s">
        <v>188</v>
      </c>
      <c r="K3838" s="41"/>
      <c r="L3838" s="76" t="s">
        <v>686</v>
      </c>
    </row>
    <row r="3839">
      <c r="A3839" s="18">
        <v>3838.0</v>
      </c>
      <c r="B3839" s="45">
        <v>46002.0</v>
      </c>
      <c r="C3839" s="87" t="s">
        <v>6608</v>
      </c>
      <c r="D3839" s="42"/>
      <c r="E3839" s="76" t="s">
        <v>6605</v>
      </c>
      <c r="F3839" s="70" t="str">
        <f>IFERROR(__xludf.DUMMYFUNCTION("if(REGEXMATCH(C3839,""x.com"")=TRUE,""Twitter"",if(REGEXMATCH(C3839,""facebook"")=TRUE,""Facebook"",if(REGEXMATCH(C3839,""instagram"")=TRUE,""Instagram"",if(REGEXMATCH(C3839,""youtube"")=TRUE,""Youtube"",if(REGEXMATCH(C3839,""tiktok"")=TRUE,""Tiktok"",if("&amp;"REGEXMATCH(C3839,""threads"")=TRUE,""Threads""))))))"),"Tiktok")</f>
        <v>Tiktok</v>
      </c>
      <c r="G3839" s="18" t="s">
        <v>6609</v>
      </c>
      <c r="H3839" s="18" t="s">
        <v>1974</v>
      </c>
      <c r="I3839" s="42"/>
      <c r="J3839" s="52" t="s">
        <v>188</v>
      </c>
      <c r="K3839" s="41"/>
      <c r="L3839" s="88" t="s">
        <v>686</v>
      </c>
    </row>
    <row r="3840">
      <c r="A3840" s="18">
        <v>3839.0</v>
      </c>
      <c r="B3840" s="45">
        <v>46002.0</v>
      </c>
      <c r="C3840" s="87" t="s">
        <v>6610</v>
      </c>
      <c r="D3840" s="42"/>
      <c r="E3840" s="76" t="s">
        <v>6605</v>
      </c>
      <c r="F3840" s="70" t="str">
        <f>IFERROR(__xludf.DUMMYFUNCTION("if(REGEXMATCH(C3840,""x.com"")=TRUE,""Twitter"",if(REGEXMATCH(C3840,""facebook"")=TRUE,""Facebook"",if(REGEXMATCH(C3840,""instagram"")=TRUE,""Instagram"",if(REGEXMATCH(C3840,""youtube"")=TRUE,""Youtube"",if(REGEXMATCH(C3840,""tiktok"")=TRUE,""Tiktok"",if("&amp;"REGEXMATCH(C3840,""threads"")=TRUE,""Threads""))))))"),"Tiktok")</f>
        <v>Tiktok</v>
      </c>
      <c r="G3840" s="65" t="s">
        <v>6611</v>
      </c>
      <c r="H3840" s="65" t="s">
        <v>6607</v>
      </c>
      <c r="I3840" s="42"/>
      <c r="J3840" s="52" t="s">
        <v>188</v>
      </c>
      <c r="K3840" s="42"/>
      <c r="L3840" s="88" t="s">
        <v>686</v>
      </c>
    </row>
    <row r="3841">
      <c r="A3841" s="18">
        <v>3840.0</v>
      </c>
      <c r="B3841" s="45">
        <v>46003.0</v>
      </c>
      <c r="C3841" s="40" t="s">
        <v>6612</v>
      </c>
      <c r="D3841" s="41"/>
      <c r="E3841" s="41" t="s">
        <v>401</v>
      </c>
      <c r="F3841" s="70" t="str">
        <f>IFERROR(__xludf.DUMMYFUNCTION("if(REGEXMATCH(C3841,""x.com"")=TRUE,""Twitter"",if(REGEXMATCH(C3841,""facebook"")=TRUE,""Facebook"",if(REGEXMATCH(C3841,""instagram"")=TRUE,""Instagram"",if(REGEXMATCH(C3841,""youtube"")=TRUE,""Youtube"",if(REGEXMATCH(C3841,""tiktok"")=TRUE,""Tiktok"",if("&amp;"REGEXMATCH(C3841,""threads"")=TRUE,""Threads""))))))"),"Facebook")</f>
        <v>Facebook</v>
      </c>
      <c r="G3841" s="70" t="s">
        <v>6613</v>
      </c>
      <c r="H3841" s="41"/>
      <c r="I3841" s="43"/>
      <c r="J3841" s="41" t="s">
        <v>188</v>
      </c>
      <c r="K3841" s="41" t="s">
        <v>1611</v>
      </c>
      <c r="L3841" s="42"/>
    </row>
    <row r="3842">
      <c r="A3842" s="18">
        <v>3841.0</v>
      </c>
      <c r="B3842" s="45">
        <v>46003.0</v>
      </c>
      <c r="C3842" s="40" t="s">
        <v>6614</v>
      </c>
      <c r="D3842" s="41"/>
      <c r="E3842" s="41" t="s">
        <v>401</v>
      </c>
      <c r="F3842" s="70" t="str">
        <f>IFERROR(__xludf.DUMMYFUNCTION("if(REGEXMATCH(C3842,""x.com"")=TRUE,""Twitter"",if(REGEXMATCH(C3842,""facebook"")=TRUE,""Facebook"",if(REGEXMATCH(C3842,""instagram"")=TRUE,""Instagram"",if(REGEXMATCH(C3842,""youtube"")=TRUE,""Youtube"",if(REGEXMATCH(C3842,""tiktok"")=TRUE,""Tiktok"",if("&amp;"REGEXMATCH(C3842,""threads"")=TRUE,""Threads""))))))"),"Facebook")</f>
        <v>Facebook</v>
      </c>
      <c r="G3842" s="70" t="s">
        <v>6613</v>
      </c>
      <c r="H3842" s="41"/>
      <c r="I3842" s="36"/>
      <c r="J3842" s="41" t="s">
        <v>188</v>
      </c>
      <c r="K3842" s="41" t="s">
        <v>1611</v>
      </c>
      <c r="L3842" s="42"/>
    </row>
    <row r="3843">
      <c r="A3843" s="18">
        <v>3842.0</v>
      </c>
      <c r="B3843" s="45">
        <v>46003.0</v>
      </c>
      <c r="C3843" s="40" t="s">
        <v>6615</v>
      </c>
      <c r="D3843" s="41"/>
      <c r="E3843" s="41" t="s">
        <v>401</v>
      </c>
      <c r="F3843" s="70" t="str">
        <f>IFERROR(__xludf.DUMMYFUNCTION("if(REGEXMATCH(C3843,""x.com"")=TRUE,""Twitter"",if(REGEXMATCH(C3843,""facebook"")=TRUE,""Facebook"",if(REGEXMATCH(C3843,""instagram"")=TRUE,""Instagram"",if(REGEXMATCH(C3843,""youtube"")=TRUE,""Youtube"",if(REGEXMATCH(C3843,""tiktok"")=TRUE,""Tiktok"",if("&amp;"REGEXMATCH(C3843,""threads"")=TRUE,""Threads""))))))"),"Facebook")</f>
        <v>Facebook</v>
      </c>
      <c r="G3843" s="70" t="s">
        <v>6616</v>
      </c>
      <c r="H3843" s="41"/>
      <c r="I3843" s="36"/>
      <c r="J3843" s="41" t="s">
        <v>188</v>
      </c>
      <c r="K3843" s="41" t="s">
        <v>1611</v>
      </c>
      <c r="L3843" s="42"/>
    </row>
    <row r="3844">
      <c r="A3844" s="18">
        <v>3843.0</v>
      </c>
      <c r="B3844" s="45">
        <v>46003.0</v>
      </c>
      <c r="C3844" s="40" t="s">
        <v>6617</v>
      </c>
      <c r="D3844" s="41"/>
      <c r="E3844" s="41" t="s">
        <v>401</v>
      </c>
      <c r="F3844" s="70" t="str">
        <f>IFERROR(__xludf.DUMMYFUNCTION("if(REGEXMATCH(C3844,""x.com"")=TRUE,""Twitter"",if(REGEXMATCH(C3844,""facebook"")=TRUE,""Facebook"",if(REGEXMATCH(C3844,""instagram"")=TRUE,""Instagram"",if(REGEXMATCH(C3844,""youtube"")=TRUE,""Youtube"",if(REGEXMATCH(C3844,""tiktok"")=TRUE,""Tiktok"",if("&amp;"REGEXMATCH(C3844,""threads"")=TRUE,""Threads""))))))"),"Facebook")</f>
        <v>Facebook</v>
      </c>
      <c r="G3844" s="70" t="s">
        <v>6616</v>
      </c>
      <c r="H3844" s="41"/>
      <c r="I3844" s="36"/>
      <c r="J3844" s="41" t="s">
        <v>188</v>
      </c>
      <c r="K3844" s="41" t="s">
        <v>1611</v>
      </c>
      <c r="L3844" s="42"/>
    </row>
    <row r="3845">
      <c r="A3845" s="18">
        <v>3844.0</v>
      </c>
      <c r="B3845" s="45">
        <v>46003.0</v>
      </c>
      <c r="C3845" s="40" t="s">
        <v>6618</v>
      </c>
      <c r="D3845" s="41"/>
      <c r="E3845" s="41" t="s">
        <v>401</v>
      </c>
      <c r="F3845" s="70" t="str">
        <f>IFERROR(__xludf.DUMMYFUNCTION("if(REGEXMATCH(C3845,""x.com"")=TRUE,""Twitter"",if(REGEXMATCH(C3845,""facebook"")=TRUE,""Facebook"",if(REGEXMATCH(C3845,""instagram"")=TRUE,""Instagram"",if(REGEXMATCH(C3845,""youtube"")=TRUE,""Youtube"",if(REGEXMATCH(C3845,""tiktok"")=TRUE,""Tiktok"",if("&amp;"REGEXMATCH(C3845,""threads"")=TRUE,""Threads""))))))"),"Facebook")</f>
        <v>Facebook</v>
      </c>
      <c r="G3845" s="70" t="s">
        <v>6613</v>
      </c>
      <c r="H3845" s="41"/>
      <c r="I3845" s="36"/>
      <c r="J3845" s="41" t="s">
        <v>188</v>
      </c>
      <c r="K3845" s="41" t="s">
        <v>1611</v>
      </c>
      <c r="L3845" s="42"/>
    </row>
    <row r="3846">
      <c r="A3846" s="18">
        <v>3845.0</v>
      </c>
      <c r="B3846" s="45">
        <v>46003.0</v>
      </c>
      <c r="C3846" s="44" t="s">
        <v>6619</v>
      </c>
      <c r="D3846" s="41"/>
      <c r="E3846" s="41" t="s">
        <v>4703</v>
      </c>
      <c r="F3846" s="70" t="str">
        <f>IFERROR(__xludf.DUMMYFUNCTION("if(REGEXMATCH(C3846,""x.com"")=TRUE,""Twitter"",if(REGEXMATCH(C3846,""facebook"")=TRUE,""Facebook"",if(REGEXMATCH(C3846,""instagram"")=TRUE,""Instagram"",if(REGEXMATCH(C3846,""youtube"")=TRUE,""Youtube"",if(REGEXMATCH(C3846,""tiktok"")=TRUE,""Tiktok"",if("&amp;"REGEXMATCH(C3846,""threads"")=TRUE,""Threads""))))))"),"Facebook")</f>
        <v>Facebook</v>
      </c>
      <c r="G3846" s="70" t="s">
        <v>6620</v>
      </c>
      <c r="H3846" s="41"/>
      <c r="I3846" s="36"/>
      <c r="J3846" s="41" t="s">
        <v>188</v>
      </c>
      <c r="K3846" s="41" t="s">
        <v>1611</v>
      </c>
      <c r="L3846" s="42"/>
    </row>
    <row r="3847">
      <c r="A3847" s="18">
        <v>3846.0</v>
      </c>
      <c r="B3847" s="45">
        <v>46003.0</v>
      </c>
      <c r="C3847" s="44" t="s">
        <v>6621</v>
      </c>
      <c r="D3847" s="41"/>
      <c r="E3847" s="41" t="s">
        <v>4703</v>
      </c>
      <c r="F3847" s="70" t="str">
        <f>IFERROR(__xludf.DUMMYFUNCTION("if(REGEXMATCH(C3847,""x.com"")=TRUE,""Twitter"",if(REGEXMATCH(C3847,""facebook"")=TRUE,""Facebook"",if(REGEXMATCH(C3847,""instagram"")=TRUE,""Instagram"",if(REGEXMATCH(C3847,""youtube"")=TRUE,""Youtube"",if(REGEXMATCH(C3847,""tiktok"")=TRUE,""Tiktok"",if("&amp;"REGEXMATCH(C3847,""threads"")=TRUE,""Threads""))))))"),"Facebook")</f>
        <v>Facebook</v>
      </c>
      <c r="G3847" s="70" t="s">
        <v>6620</v>
      </c>
      <c r="H3847" s="41"/>
      <c r="I3847" s="36"/>
      <c r="J3847" s="41" t="s">
        <v>188</v>
      </c>
      <c r="K3847" s="41" t="s">
        <v>1611</v>
      </c>
      <c r="L3847" s="42"/>
    </row>
    <row r="3848">
      <c r="A3848" s="18">
        <v>3847.0</v>
      </c>
      <c r="B3848" s="45">
        <v>46003.0</v>
      </c>
      <c r="C3848" s="44" t="s">
        <v>6622</v>
      </c>
      <c r="D3848" s="41"/>
      <c r="E3848" s="41" t="s">
        <v>4703</v>
      </c>
      <c r="F3848" s="70" t="str">
        <f>IFERROR(__xludf.DUMMYFUNCTION("if(REGEXMATCH(C3848,""x.com"")=TRUE,""Twitter"",if(REGEXMATCH(C3848,""facebook"")=TRUE,""Facebook"",if(REGEXMATCH(C3848,""instagram"")=TRUE,""Instagram"",if(REGEXMATCH(C3848,""youtube"")=TRUE,""Youtube"",if(REGEXMATCH(C3848,""tiktok"")=TRUE,""Tiktok"",if("&amp;"REGEXMATCH(C3848,""threads"")=TRUE,""Threads""))))))"),"Twitter")</f>
        <v>Twitter</v>
      </c>
      <c r="G3848" s="70" t="s">
        <v>6623</v>
      </c>
      <c r="H3848" s="41"/>
      <c r="I3848" s="36"/>
      <c r="J3848" s="41" t="s">
        <v>188</v>
      </c>
      <c r="K3848" s="41" t="s">
        <v>1611</v>
      </c>
      <c r="L3848" s="42"/>
    </row>
    <row r="3849">
      <c r="A3849" s="18">
        <v>3848.0</v>
      </c>
      <c r="B3849" s="45">
        <v>46003.0</v>
      </c>
      <c r="C3849" s="44" t="s">
        <v>6624</v>
      </c>
      <c r="D3849" s="41"/>
      <c r="E3849" s="41" t="s">
        <v>4703</v>
      </c>
      <c r="F3849" s="70" t="str">
        <f>IFERROR(__xludf.DUMMYFUNCTION("if(REGEXMATCH(C3849,""x.com"")=TRUE,""Twitter"",if(REGEXMATCH(C3849,""facebook"")=TRUE,""Facebook"",if(REGEXMATCH(C3849,""instagram"")=TRUE,""Instagram"",if(REGEXMATCH(C3849,""youtube"")=TRUE,""Youtube"",if(REGEXMATCH(C3849,""tiktok"")=TRUE,""Tiktok"",if("&amp;"REGEXMATCH(C3849,""threads"")=TRUE,""Threads""))))))"),"Twitter")</f>
        <v>Twitter</v>
      </c>
      <c r="G3849" s="70" t="s">
        <v>6625</v>
      </c>
      <c r="H3849" s="41"/>
      <c r="I3849" s="36"/>
      <c r="J3849" s="41" t="s">
        <v>188</v>
      </c>
      <c r="K3849" s="41"/>
      <c r="L3849" s="42"/>
    </row>
    <row r="3850">
      <c r="A3850" s="18">
        <v>3849.0</v>
      </c>
      <c r="B3850" s="45">
        <v>46003.0</v>
      </c>
      <c r="C3850" s="44" t="s">
        <v>6626</v>
      </c>
      <c r="D3850" s="41"/>
      <c r="E3850" s="41" t="s">
        <v>197</v>
      </c>
      <c r="F3850" s="70" t="str">
        <f>IFERROR(__xludf.DUMMYFUNCTION("if(REGEXMATCH(C3850,""x.com"")=TRUE,""Twitter"",if(REGEXMATCH(C3850,""facebook"")=TRUE,""Facebook"",if(REGEXMATCH(C3850,""instagram"")=TRUE,""Instagram"",if(REGEXMATCH(C3850,""youtube"")=TRUE,""Youtube"",if(REGEXMATCH(C3850,""tiktok"")=TRUE,""Tiktok"",if("&amp;"REGEXMATCH(C3850,""threads"")=TRUE,""Threads""))))))"),"Twitter")</f>
        <v>Twitter</v>
      </c>
      <c r="G3850" s="70" t="s">
        <v>6627</v>
      </c>
      <c r="H3850" s="41"/>
      <c r="I3850" s="36"/>
      <c r="J3850" s="41" t="s">
        <v>188</v>
      </c>
      <c r="K3850" s="41"/>
      <c r="L3850" s="42"/>
    </row>
    <row r="3851">
      <c r="A3851" s="18">
        <v>3850.0</v>
      </c>
      <c r="B3851" s="45">
        <v>46003.0</v>
      </c>
      <c r="C3851" s="44" t="s">
        <v>6628</v>
      </c>
      <c r="D3851" s="41"/>
      <c r="E3851" s="41" t="s">
        <v>197</v>
      </c>
      <c r="F3851" s="70" t="str">
        <f>IFERROR(__xludf.DUMMYFUNCTION("if(REGEXMATCH(C3851,""x.com"")=TRUE,""Twitter"",if(REGEXMATCH(C3851,""facebook"")=TRUE,""Facebook"",if(REGEXMATCH(C3851,""instagram"")=TRUE,""Instagram"",if(REGEXMATCH(C3851,""youtube"")=TRUE,""Youtube"",if(REGEXMATCH(C3851,""tiktok"")=TRUE,""Tiktok"",if("&amp;"REGEXMATCH(C3851,""threads"")=TRUE,""Threads""))))))"),"Twitter")</f>
        <v>Twitter</v>
      </c>
      <c r="G3851" s="70" t="s">
        <v>6629</v>
      </c>
      <c r="H3851" s="41"/>
      <c r="I3851" s="36"/>
      <c r="J3851" s="41" t="s">
        <v>188</v>
      </c>
      <c r="K3851" s="41"/>
      <c r="L3851" s="42"/>
    </row>
    <row r="3852">
      <c r="A3852" s="18">
        <v>3851.0</v>
      </c>
      <c r="B3852" s="45">
        <v>46003.0</v>
      </c>
      <c r="C3852" s="40" t="s">
        <v>6630</v>
      </c>
      <c r="D3852" s="41"/>
      <c r="E3852" s="41" t="s">
        <v>197</v>
      </c>
      <c r="F3852" s="70" t="str">
        <f>IFERROR(__xludf.DUMMYFUNCTION("if(REGEXMATCH(C3852,""x.com"")=TRUE,""Twitter"",if(REGEXMATCH(C3852,""facebook"")=TRUE,""Facebook"",if(REGEXMATCH(C3852,""instagram"")=TRUE,""Instagram"",if(REGEXMATCH(C3852,""youtube"")=TRUE,""Youtube"",if(REGEXMATCH(C3852,""tiktok"")=TRUE,""Tiktok"",if("&amp;"REGEXMATCH(C3852,""threads"")=TRUE,""Threads""))))))"),"Twitter")</f>
        <v>Twitter</v>
      </c>
      <c r="G3852" s="70" t="s">
        <v>6631</v>
      </c>
      <c r="H3852" s="41"/>
      <c r="I3852" s="36"/>
      <c r="J3852" s="41" t="s">
        <v>188</v>
      </c>
      <c r="K3852" s="41"/>
      <c r="L3852" s="42"/>
    </row>
    <row r="3853">
      <c r="A3853" s="18">
        <v>3852.0</v>
      </c>
      <c r="B3853" s="45">
        <v>46003.0</v>
      </c>
      <c r="C3853" s="40" t="s">
        <v>6632</v>
      </c>
      <c r="D3853" s="41"/>
      <c r="E3853" s="41" t="s">
        <v>197</v>
      </c>
      <c r="F3853" s="70" t="str">
        <f>IFERROR(__xludf.DUMMYFUNCTION("if(REGEXMATCH(C3853,""x.com"")=TRUE,""Twitter"",if(REGEXMATCH(C3853,""facebook"")=TRUE,""Facebook"",if(REGEXMATCH(C3853,""instagram"")=TRUE,""Instagram"",if(REGEXMATCH(C3853,""youtube"")=TRUE,""Youtube"",if(REGEXMATCH(C3853,""tiktok"")=TRUE,""Tiktok"",if("&amp;"REGEXMATCH(C3853,""threads"")=TRUE,""Threads""))))))"),"Twitter")</f>
        <v>Twitter</v>
      </c>
      <c r="G3853" s="70" t="s">
        <v>6633</v>
      </c>
      <c r="H3853" s="41"/>
      <c r="I3853" s="36"/>
      <c r="J3853" s="41" t="s">
        <v>188</v>
      </c>
      <c r="K3853" s="41"/>
      <c r="L3853" s="42"/>
    </row>
    <row r="3854">
      <c r="A3854" s="18">
        <v>3853.0</v>
      </c>
      <c r="B3854" s="45">
        <v>46003.0</v>
      </c>
      <c r="C3854" s="40" t="s">
        <v>6634</v>
      </c>
      <c r="D3854" s="41"/>
      <c r="E3854" s="41" t="s">
        <v>557</v>
      </c>
      <c r="F3854" s="70" t="str">
        <f>IFERROR(__xludf.DUMMYFUNCTION("if(REGEXMATCH(C3854,""x.com"")=TRUE,""Twitter"",if(REGEXMATCH(C3854,""facebook"")=TRUE,""Facebook"",if(REGEXMATCH(C3854,""instagram"")=TRUE,""Instagram"",if(REGEXMATCH(C3854,""youtube"")=TRUE,""Youtube"",if(REGEXMATCH(C3854,""tiktok"")=TRUE,""Tiktok"",if("&amp;"REGEXMATCH(C3854,""threads"")=TRUE,""Threads""))))))"),"Facebook")</f>
        <v>Facebook</v>
      </c>
      <c r="G3854" s="70" t="s">
        <v>6635</v>
      </c>
      <c r="H3854" s="41"/>
      <c r="I3854" s="36"/>
      <c r="J3854" s="41" t="s">
        <v>188</v>
      </c>
      <c r="K3854" s="41"/>
      <c r="L3854" s="42"/>
    </row>
    <row r="3855">
      <c r="A3855" s="18">
        <v>3854.0</v>
      </c>
      <c r="B3855" s="45">
        <v>46003.0</v>
      </c>
      <c r="C3855" s="40" t="s">
        <v>6636</v>
      </c>
      <c r="D3855" s="41"/>
      <c r="E3855" s="41" t="s">
        <v>184</v>
      </c>
      <c r="F3855" s="70" t="str">
        <f>IFERROR(__xludf.DUMMYFUNCTION("if(REGEXMATCH(C3855,""x.com"")=TRUE,""Twitter"",if(REGEXMATCH(C3855,""facebook"")=TRUE,""Facebook"",if(REGEXMATCH(C3855,""instagram"")=TRUE,""Instagram"",if(REGEXMATCH(C3855,""youtube"")=TRUE,""Youtube"",if(REGEXMATCH(C3855,""tiktok"")=TRUE,""Tiktok"",if("&amp;"REGEXMATCH(C3855,""threads"")=TRUE,""Threads""))))))"),"Twitter")</f>
        <v>Twitter</v>
      </c>
      <c r="G3855" s="70" t="s">
        <v>6637</v>
      </c>
      <c r="H3855" s="41"/>
      <c r="I3855" s="35"/>
      <c r="J3855" s="41" t="s">
        <v>188</v>
      </c>
      <c r="K3855" s="41"/>
      <c r="L3855" s="42"/>
    </row>
    <row r="3856">
      <c r="A3856" s="18">
        <v>3855.0</v>
      </c>
      <c r="B3856" s="45">
        <v>46003.0</v>
      </c>
      <c r="C3856" s="40" t="s">
        <v>6638</v>
      </c>
      <c r="D3856" s="41"/>
      <c r="E3856" s="41" t="s">
        <v>557</v>
      </c>
      <c r="F3856" s="70" t="str">
        <f>IFERROR(__xludf.DUMMYFUNCTION("if(REGEXMATCH(C3856,""x.com"")=TRUE,""Twitter"",if(REGEXMATCH(C3856,""facebook"")=TRUE,""Facebook"",if(REGEXMATCH(C3856,""instagram"")=TRUE,""Instagram"",if(REGEXMATCH(C3856,""youtube"")=TRUE,""Youtube"",if(REGEXMATCH(C3856,""tiktok"")=TRUE,""Tiktok"",if("&amp;"REGEXMATCH(C3856,""threads"")=TRUE,""Threads""))))))"),"Tiktok")</f>
        <v>Tiktok</v>
      </c>
      <c r="G3856" s="70" t="s">
        <v>6639</v>
      </c>
      <c r="H3856" s="41"/>
      <c r="I3856" s="41"/>
      <c r="J3856" s="41" t="s">
        <v>188</v>
      </c>
      <c r="K3856" s="41"/>
      <c r="L3856" s="42"/>
    </row>
    <row r="3857">
      <c r="A3857" s="18">
        <v>3856.0</v>
      </c>
      <c r="B3857" s="45">
        <v>46003.0</v>
      </c>
      <c r="C3857" s="40" t="s">
        <v>6640</v>
      </c>
      <c r="D3857" s="41"/>
      <c r="E3857" s="41" t="s">
        <v>557</v>
      </c>
      <c r="F3857" s="70" t="str">
        <f>IFERROR(__xludf.DUMMYFUNCTION("if(REGEXMATCH(C3857,""x.com"")=TRUE,""Twitter"",if(REGEXMATCH(C3857,""facebook"")=TRUE,""Facebook"",if(REGEXMATCH(C3857,""instagram"")=TRUE,""Instagram"",if(REGEXMATCH(C3857,""youtube"")=TRUE,""Youtube"",if(REGEXMATCH(C3857,""tiktok"")=TRUE,""Tiktok"",if("&amp;"REGEXMATCH(C3857,""threads"")=TRUE,""Threads""))))))"),"Tiktok")</f>
        <v>Tiktok</v>
      </c>
      <c r="G3857" s="70" t="s">
        <v>6641</v>
      </c>
      <c r="H3857" s="41"/>
      <c r="I3857" s="41"/>
      <c r="J3857" s="41" t="s">
        <v>188</v>
      </c>
      <c r="K3857" s="41"/>
      <c r="L3857" s="42"/>
    </row>
    <row r="3858">
      <c r="A3858" s="18">
        <v>3857.0</v>
      </c>
      <c r="B3858" s="45">
        <v>46003.0</v>
      </c>
      <c r="C3858" s="40" t="s">
        <v>6642</v>
      </c>
      <c r="D3858" s="41"/>
      <c r="E3858" s="41" t="s">
        <v>557</v>
      </c>
      <c r="F3858" s="70" t="str">
        <f>IFERROR(__xludf.DUMMYFUNCTION("if(REGEXMATCH(C3858,""x.com"")=TRUE,""Twitter"",if(REGEXMATCH(C3858,""facebook"")=TRUE,""Facebook"",if(REGEXMATCH(C3858,""instagram"")=TRUE,""Instagram"",if(REGEXMATCH(C3858,""youtube"")=TRUE,""Youtube"",if(REGEXMATCH(C3858,""tiktok"")=TRUE,""Tiktok"",if("&amp;"REGEXMATCH(C3858,""threads"")=TRUE,""Threads""))))))"),"Tiktok")</f>
        <v>Tiktok</v>
      </c>
      <c r="G3858" s="70" t="s">
        <v>6643</v>
      </c>
      <c r="H3858" s="41"/>
      <c r="I3858" s="41"/>
      <c r="J3858" s="41" t="s">
        <v>188</v>
      </c>
      <c r="K3858" s="41"/>
      <c r="L3858" s="42"/>
    </row>
    <row r="3859">
      <c r="A3859" s="18">
        <v>3858.0</v>
      </c>
      <c r="B3859" s="45">
        <v>46003.0</v>
      </c>
      <c r="C3859" s="46" t="s">
        <v>6644</v>
      </c>
      <c r="D3859" s="41"/>
      <c r="E3859" s="41" t="s">
        <v>401</v>
      </c>
      <c r="F3859" s="41" t="str">
        <f>IFERROR(__xludf.DUMMYFUNCTION("if(REGEXMATCH(C3859,""x.com"")=TRUE,""Twitter"",if(REGEXMATCH(C3859,""facebook"")=TRUE,""Facebook"",if(REGEXMATCH(C3859,""instagram"")=TRUE,""Instagram"",if(REGEXMATCH(C3859,""youtube"")=TRUE,""Youtube"",if(REGEXMATCH(C3859,""tiktok"")=TRUE,""Tiktok"",if("&amp;"REGEXMATCH(C3859,""threads"")=TRUE,""Threads""))))))"),"Facebook")</f>
        <v>Facebook</v>
      </c>
      <c r="G3859" s="41" t="s">
        <v>937</v>
      </c>
      <c r="H3859" s="41" t="s">
        <v>1542</v>
      </c>
      <c r="I3859" s="41" t="s">
        <v>939</v>
      </c>
      <c r="J3859" s="41" t="s">
        <v>188</v>
      </c>
      <c r="K3859" s="41"/>
      <c r="L3859" s="42"/>
    </row>
    <row r="3860">
      <c r="A3860" s="18">
        <v>3859.0</v>
      </c>
      <c r="B3860" s="45">
        <v>46003.0</v>
      </c>
      <c r="C3860" s="46" t="s">
        <v>6645</v>
      </c>
      <c r="D3860" s="41"/>
      <c r="E3860" s="41" t="s">
        <v>401</v>
      </c>
      <c r="F3860" s="41" t="str">
        <f>IFERROR(__xludf.DUMMYFUNCTION("if(REGEXMATCH(C3860,""x.com"")=TRUE,""Twitter"",if(REGEXMATCH(C3860,""facebook"")=TRUE,""Facebook"",if(REGEXMATCH(C3860,""instagram"")=TRUE,""Instagram"",if(REGEXMATCH(C3860,""youtube"")=TRUE,""Youtube"",if(REGEXMATCH(C3860,""tiktok"")=TRUE,""Tiktok"",if("&amp;"REGEXMATCH(C3860,""threads"")=TRUE,""Threads""))))))"),"Facebook")</f>
        <v>Facebook</v>
      </c>
      <c r="G3860" s="41" t="s">
        <v>937</v>
      </c>
      <c r="H3860" s="41" t="s">
        <v>1542</v>
      </c>
      <c r="I3860" s="41" t="s">
        <v>939</v>
      </c>
      <c r="J3860" s="41" t="s">
        <v>188</v>
      </c>
      <c r="K3860" s="41"/>
      <c r="L3860" s="42"/>
    </row>
    <row r="3861">
      <c r="A3861" s="18">
        <v>3860.0</v>
      </c>
      <c r="B3861" s="45">
        <v>46003.0</v>
      </c>
      <c r="C3861" s="82" t="s">
        <v>6646</v>
      </c>
      <c r="D3861" s="42"/>
      <c r="E3861" s="18" t="s">
        <v>184</v>
      </c>
      <c r="F3861" s="72" t="str">
        <f>IFERROR(__xludf.DUMMYFUNCTION("if(REGEXMATCH(C3861,""x.com"")=TRUE,""Twitter"",if(REGEXMATCH(C3861,""facebook"")=TRUE,""Facebook"",if(REGEXMATCH(C3861,""instagram"")=TRUE,""Instagram"",if(REGEXMATCH(C3861,""youtube"")=TRUE,""Youtube"",if(REGEXMATCH(C3861,""tiktok"")=TRUE,""Tiktok"",if("&amp;"REGEXMATCH(C3861,""threads"")=TRUE,""Threads""))))))"),"Facebook")</f>
        <v>Facebook</v>
      </c>
      <c r="G3861" s="76" t="s">
        <v>6647</v>
      </c>
      <c r="H3861" s="42"/>
      <c r="I3861" s="42"/>
      <c r="J3861" s="41" t="s">
        <v>188</v>
      </c>
      <c r="K3861" s="42"/>
      <c r="L3861" s="42"/>
    </row>
    <row r="3862">
      <c r="A3862" s="18">
        <v>3861.0</v>
      </c>
      <c r="B3862" s="45">
        <v>46004.0</v>
      </c>
      <c r="C3862" s="40" t="s">
        <v>6648</v>
      </c>
      <c r="D3862" s="41"/>
      <c r="E3862" s="41" t="s">
        <v>6649</v>
      </c>
      <c r="F3862" s="41" t="str">
        <f>IFERROR(__xludf.DUMMYFUNCTION("if(REGEXMATCH(C3862,""x.com"")=TRUE,""Twitter"",if(REGEXMATCH(C3862,""facebook"")=TRUE,""Facebook"",if(REGEXMATCH(C3862,""instagram"")=TRUE,""Instagram"",if(REGEXMATCH(C3862,""youtube"")=TRUE,""Youtube"",if(REGEXMATCH(C3862,""tiktok"")=TRUE,""Tiktok"",if("&amp;"REGEXMATCH(C3862,""threads"")=TRUE,""Threads""))))))"),"Tiktok")</f>
        <v>Tiktok</v>
      </c>
      <c r="G3862" s="41" t="s">
        <v>6650</v>
      </c>
      <c r="H3862" s="43" t="s">
        <v>6651</v>
      </c>
      <c r="I3862" s="41" t="s">
        <v>535</v>
      </c>
      <c r="J3862" s="41" t="s">
        <v>188</v>
      </c>
      <c r="K3862" s="41" t="s">
        <v>1611</v>
      </c>
      <c r="L3862" s="42"/>
    </row>
    <row r="3863">
      <c r="A3863" s="18">
        <v>3862.0</v>
      </c>
      <c r="B3863" s="45">
        <v>46004.0</v>
      </c>
      <c r="C3863" s="40" t="s">
        <v>6652</v>
      </c>
      <c r="D3863" s="41"/>
      <c r="E3863" s="41" t="s">
        <v>372</v>
      </c>
      <c r="F3863" s="41" t="str">
        <f>IFERROR(__xludf.DUMMYFUNCTION("if(REGEXMATCH(C3863,""x.com"")=TRUE,""Twitter"",if(REGEXMATCH(C3863,""facebook"")=TRUE,""Facebook"",if(REGEXMATCH(C3863,""instagram"")=TRUE,""Instagram"",if(REGEXMATCH(C3863,""youtube"")=TRUE,""Youtube"",if(REGEXMATCH(C3863,""tiktok"")=TRUE,""Tiktok"",if("&amp;"REGEXMATCH(C3863,""threads"")=TRUE,""Threads""))))))"),"Tiktok")</f>
        <v>Tiktok</v>
      </c>
      <c r="G3863" s="41" t="s">
        <v>6653</v>
      </c>
      <c r="H3863" s="36"/>
      <c r="I3863" s="41"/>
      <c r="J3863" s="41" t="s">
        <v>188</v>
      </c>
      <c r="K3863" s="41" t="s">
        <v>1611</v>
      </c>
      <c r="L3863" s="42"/>
    </row>
    <row r="3864">
      <c r="A3864" s="18">
        <v>3863.0</v>
      </c>
      <c r="B3864" s="45">
        <v>46004.0</v>
      </c>
      <c r="C3864" s="40" t="s">
        <v>6654</v>
      </c>
      <c r="D3864" s="41"/>
      <c r="E3864" s="41" t="s">
        <v>557</v>
      </c>
      <c r="F3864" s="41" t="str">
        <f>IFERROR(__xludf.DUMMYFUNCTION("if(REGEXMATCH(C3864,""x.com"")=TRUE,""Twitter"",if(REGEXMATCH(C3864,""facebook"")=TRUE,""Facebook"",if(REGEXMATCH(C3864,""instagram"")=TRUE,""Instagram"",if(REGEXMATCH(C3864,""youtube"")=TRUE,""Youtube"",if(REGEXMATCH(C3864,""tiktok"")=TRUE,""Tiktok"",if("&amp;"REGEXMATCH(C3864,""threads"")=TRUE,""Threads""))))))"),"Tiktok")</f>
        <v>Tiktok</v>
      </c>
      <c r="G3864" s="41" t="s">
        <v>6655</v>
      </c>
      <c r="H3864" s="36"/>
      <c r="I3864" s="41"/>
      <c r="J3864" s="41" t="s">
        <v>188</v>
      </c>
      <c r="K3864" s="41" t="s">
        <v>1611</v>
      </c>
      <c r="L3864" s="42"/>
    </row>
    <row r="3865">
      <c r="A3865" s="18">
        <v>3864.0</v>
      </c>
      <c r="B3865" s="45">
        <v>46004.0</v>
      </c>
      <c r="C3865" s="40" t="s">
        <v>6656</v>
      </c>
      <c r="D3865" s="41"/>
      <c r="E3865" s="41" t="s">
        <v>197</v>
      </c>
      <c r="F3865" s="41" t="str">
        <f>IFERROR(__xludf.DUMMYFUNCTION("if(REGEXMATCH(C3865,""x.com"")=TRUE,""Twitter"",if(REGEXMATCH(C3865,""facebook"")=TRUE,""Facebook"",if(REGEXMATCH(C3865,""instagram"")=TRUE,""Instagram"",if(REGEXMATCH(C3865,""youtube"")=TRUE,""Youtube"",if(REGEXMATCH(C3865,""tiktok"")=TRUE,""Tiktok"",if("&amp;"REGEXMATCH(C3865,""threads"")=TRUE,""Threads""))))))"),"Twitter")</f>
        <v>Twitter</v>
      </c>
      <c r="G3865" s="41" t="s">
        <v>6657</v>
      </c>
      <c r="H3865" s="36"/>
      <c r="I3865" s="41"/>
      <c r="J3865" s="41" t="s">
        <v>188</v>
      </c>
      <c r="K3865" s="41" t="s">
        <v>1611</v>
      </c>
      <c r="L3865" s="42"/>
    </row>
    <row r="3866">
      <c r="A3866" s="18">
        <v>3865.0</v>
      </c>
      <c r="B3866" s="45">
        <v>46004.0</v>
      </c>
      <c r="C3866" s="40" t="s">
        <v>6658</v>
      </c>
      <c r="D3866" s="41"/>
      <c r="E3866" s="41" t="s">
        <v>230</v>
      </c>
      <c r="F3866" s="41" t="str">
        <f>IFERROR(__xludf.DUMMYFUNCTION("if(REGEXMATCH(C3866,""x.com"")=TRUE,""Twitter"",if(REGEXMATCH(C3866,""facebook"")=TRUE,""Facebook"",if(REGEXMATCH(C3866,""instagram"")=TRUE,""Instagram"",if(REGEXMATCH(C3866,""youtube"")=TRUE,""Youtube"",if(REGEXMATCH(C3866,""tiktok"")=TRUE,""Tiktok"",if("&amp;"REGEXMATCH(C3866,""threads"")=TRUE,""Threads""))))))"),"Twitter")</f>
        <v>Twitter</v>
      </c>
      <c r="G3866" s="41" t="s">
        <v>6659</v>
      </c>
      <c r="H3866" s="36"/>
      <c r="I3866" s="41"/>
      <c r="J3866" s="41" t="s">
        <v>188</v>
      </c>
      <c r="K3866" s="41" t="s">
        <v>1611</v>
      </c>
      <c r="L3866" s="42"/>
    </row>
    <row r="3867">
      <c r="A3867" s="18">
        <v>3866.0</v>
      </c>
      <c r="B3867" s="45">
        <v>46004.0</v>
      </c>
      <c r="C3867" s="40" t="s">
        <v>6660</v>
      </c>
      <c r="D3867" s="41"/>
      <c r="E3867" s="41" t="s">
        <v>230</v>
      </c>
      <c r="F3867" s="41" t="str">
        <f>IFERROR(__xludf.DUMMYFUNCTION("if(REGEXMATCH(C3867,""x.com"")=TRUE,""Twitter"",if(REGEXMATCH(C3867,""facebook"")=TRUE,""Facebook"",if(REGEXMATCH(C3867,""instagram"")=TRUE,""Instagram"",if(REGEXMATCH(C3867,""youtube"")=TRUE,""Youtube"",if(REGEXMATCH(C3867,""tiktok"")=TRUE,""Tiktok"",if("&amp;"REGEXMATCH(C3867,""threads"")=TRUE,""Threads""))))))"),"Twitter")</f>
        <v>Twitter</v>
      </c>
      <c r="G3867" s="41" t="s">
        <v>6661</v>
      </c>
      <c r="H3867" s="36"/>
      <c r="I3867" s="41"/>
      <c r="J3867" s="41" t="s">
        <v>188</v>
      </c>
      <c r="K3867" s="41" t="s">
        <v>1611</v>
      </c>
      <c r="L3867" s="42"/>
    </row>
    <row r="3868">
      <c r="A3868" s="18">
        <v>3867.0</v>
      </c>
      <c r="B3868" s="45">
        <v>46004.0</v>
      </c>
      <c r="C3868" s="40" t="s">
        <v>6662</v>
      </c>
      <c r="D3868" s="41"/>
      <c r="E3868" s="41" t="s">
        <v>557</v>
      </c>
      <c r="F3868" s="41" t="str">
        <f>IFERROR(__xludf.DUMMYFUNCTION("if(REGEXMATCH(C3868,""x.com"")=TRUE,""Twitter"",if(REGEXMATCH(C3868,""facebook"")=TRUE,""Facebook"",if(REGEXMATCH(C3868,""instagram"")=TRUE,""Instagram"",if(REGEXMATCH(C3868,""youtube"")=TRUE,""Youtube"",if(REGEXMATCH(C3868,""tiktok"")=TRUE,""Tiktok"",if("&amp;"REGEXMATCH(C3868,""threads"")=TRUE,""Threads""))))))"),"Tiktok")</f>
        <v>Tiktok</v>
      </c>
      <c r="G3868" s="41" t="s">
        <v>6663</v>
      </c>
      <c r="H3868" s="36"/>
      <c r="I3868" s="41"/>
      <c r="J3868" s="41" t="s">
        <v>188</v>
      </c>
      <c r="K3868" s="41" t="s">
        <v>1611</v>
      </c>
      <c r="L3868" s="42"/>
    </row>
    <row r="3869">
      <c r="A3869" s="18">
        <v>3868.0</v>
      </c>
      <c r="B3869" s="45">
        <v>46004.0</v>
      </c>
      <c r="C3869" s="40" t="s">
        <v>6664</v>
      </c>
      <c r="D3869" s="41"/>
      <c r="E3869" s="41" t="s">
        <v>557</v>
      </c>
      <c r="F3869" s="41" t="str">
        <f>IFERROR(__xludf.DUMMYFUNCTION("if(REGEXMATCH(C3869,""x.com"")=TRUE,""Twitter"",if(REGEXMATCH(C3869,""facebook"")=TRUE,""Facebook"",if(REGEXMATCH(C3869,""instagram"")=TRUE,""Instagram"",if(REGEXMATCH(C3869,""youtube"")=TRUE,""Youtube"",if(REGEXMATCH(C3869,""tiktok"")=TRUE,""Tiktok"",if("&amp;"REGEXMATCH(C3869,""threads"")=TRUE,""Threads""))))))"),"Tiktok")</f>
        <v>Tiktok</v>
      </c>
      <c r="G3869" s="41" t="s">
        <v>6663</v>
      </c>
      <c r="H3869" s="36"/>
      <c r="I3869" s="41"/>
      <c r="J3869" s="41" t="s">
        <v>188</v>
      </c>
      <c r="K3869" s="41" t="s">
        <v>1611</v>
      </c>
      <c r="L3869" s="42"/>
    </row>
    <row r="3870">
      <c r="A3870" s="18">
        <v>3869.0</v>
      </c>
      <c r="B3870" s="45">
        <v>46004.0</v>
      </c>
      <c r="C3870" s="40" t="s">
        <v>6665</v>
      </c>
      <c r="D3870" s="41"/>
      <c r="E3870" s="41" t="s">
        <v>197</v>
      </c>
      <c r="F3870" s="41" t="str">
        <f>IFERROR(__xludf.DUMMYFUNCTION("if(REGEXMATCH(C3870,""x.com"")=TRUE,""Twitter"",if(REGEXMATCH(C3870,""facebook"")=TRUE,""Facebook"",if(REGEXMATCH(C3870,""instagram"")=TRUE,""Instagram"",if(REGEXMATCH(C3870,""youtube"")=TRUE,""Youtube"",if(REGEXMATCH(C3870,""tiktok"")=TRUE,""Tiktok"",if("&amp;"REGEXMATCH(C3870,""threads"")=TRUE,""Threads""))))))"),"Twitter")</f>
        <v>Twitter</v>
      </c>
      <c r="G3870" s="41" t="s">
        <v>6666</v>
      </c>
      <c r="H3870" s="36"/>
      <c r="I3870" s="41"/>
      <c r="J3870" s="41" t="s">
        <v>188</v>
      </c>
      <c r="K3870" s="41"/>
      <c r="L3870" s="42"/>
    </row>
    <row r="3871">
      <c r="A3871" s="18">
        <v>3870.0</v>
      </c>
      <c r="B3871" s="45">
        <v>46004.0</v>
      </c>
      <c r="C3871" s="40" t="s">
        <v>6667</v>
      </c>
      <c r="D3871" s="41"/>
      <c r="E3871" s="41" t="s">
        <v>197</v>
      </c>
      <c r="F3871" s="41" t="str">
        <f>IFERROR(__xludf.DUMMYFUNCTION("if(REGEXMATCH(C3871,""x.com"")=TRUE,""Twitter"",if(REGEXMATCH(C3871,""facebook"")=TRUE,""Facebook"",if(REGEXMATCH(C3871,""instagram"")=TRUE,""Instagram"",if(REGEXMATCH(C3871,""youtube"")=TRUE,""Youtube"",if(REGEXMATCH(C3871,""tiktok"")=TRUE,""Tiktok"",if("&amp;"REGEXMATCH(C3871,""threads"")=TRUE,""Threads""))))))"),"Facebook")</f>
        <v>Facebook</v>
      </c>
      <c r="G3871" s="41" t="s">
        <v>6668</v>
      </c>
      <c r="H3871" s="36"/>
      <c r="I3871" s="41"/>
      <c r="J3871" s="41" t="s">
        <v>188</v>
      </c>
      <c r="K3871" s="41"/>
      <c r="L3871" s="42"/>
    </row>
    <row r="3872">
      <c r="A3872" s="18">
        <v>3871.0</v>
      </c>
      <c r="B3872" s="45">
        <v>46004.0</v>
      </c>
      <c r="C3872" s="40" t="s">
        <v>6669</v>
      </c>
      <c r="D3872" s="41"/>
      <c r="E3872" s="41" t="s">
        <v>197</v>
      </c>
      <c r="F3872" s="41" t="str">
        <f>IFERROR(__xludf.DUMMYFUNCTION("if(REGEXMATCH(C3872,""x.com"")=TRUE,""Twitter"",if(REGEXMATCH(C3872,""facebook"")=TRUE,""Facebook"",if(REGEXMATCH(C3872,""instagram"")=TRUE,""Instagram"",if(REGEXMATCH(C3872,""youtube"")=TRUE,""Youtube"",if(REGEXMATCH(C3872,""tiktok"")=TRUE,""Tiktok"",if("&amp;"REGEXMATCH(C3872,""threads"")=TRUE,""Threads""))))))"),"Facebook")</f>
        <v>Facebook</v>
      </c>
      <c r="G3872" s="41" t="s">
        <v>6670</v>
      </c>
      <c r="H3872" s="36"/>
      <c r="I3872" s="41"/>
      <c r="J3872" s="41" t="s">
        <v>188</v>
      </c>
      <c r="K3872" s="41"/>
      <c r="L3872" s="42"/>
    </row>
    <row r="3873">
      <c r="A3873" s="18">
        <v>3872.0</v>
      </c>
      <c r="B3873" s="45">
        <v>46004.0</v>
      </c>
      <c r="C3873" s="40" t="s">
        <v>6671</v>
      </c>
      <c r="D3873" s="41"/>
      <c r="E3873" s="41" t="s">
        <v>197</v>
      </c>
      <c r="F3873" s="41" t="str">
        <f>IFERROR(__xludf.DUMMYFUNCTION("if(REGEXMATCH(C3873,""x.com"")=TRUE,""Twitter"",if(REGEXMATCH(C3873,""facebook"")=TRUE,""Facebook"",if(REGEXMATCH(C3873,""instagram"")=TRUE,""Instagram"",if(REGEXMATCH(C3873,""youtube"")=TRUE,""Youtube"",if(REGEXMATCH(C3873,""tiktok"")=TRUE,""Tiktok"",if("&amp;"REGEXMATCH(C3873,""threads"")=TRUE,""Threads""))))))"),"Facebook")</f>
        <v>Facebook</v>
      </c>
      <c r="G3873" s="41" t="s">
        <v>6672</v>
      </c>
      <c r="H3873" s="36"/>
      <c r="I3873" s="41"/>
      <c r="J3873" s="41" t="s">
        <v>188</v>
      </c>
      <c r="K3873" s="41"/>
      <c r="L3873" s="42"/>
    </row>
    <row r="3874">
      <c r="A3874" s="18">
        <v>3873.0</v>
      </c>
      <c r="B3874" s="45">
        <v>46004.0</v>
      </c>
      <c r="C3874" s="40" t="s">
        <v>6673</v>
      </c>
      <c r="D3874" s="41"/>
      <c r="E3874" s="41" t="s">
        <v>557</v>
      </c>
      <c r="F3874" s="41" t="str">
        <f>IFERROR(__xludf.DUMMYFUNCTION("if(REGEXMATCH(C3874,""x.com"")=TRUE,""Twitter"",if(REGEXMATCH(C3874,""facebook"")=TRUE,""Facebook"",if(REGEXMATCH(C3874,""instagram"")=TRUE,""Instagram"",if(REGEXMATCH(C3874,""youtube"")=TRUE,""Youtube"",if(REGEXMATCH(C3874,""tiktok"")=TRUE,""Tiktok"",if("&amp;"REGEXMATCH(C3874,""threads"")=TRUE,""Threads""))))))"),"Facebook")</f>
        <v>Facebook</v>
      </c>
      <c r="G3874" s="41" t="s">
        <v>6674</v>
      </c>
      <c r="H3874" s="36"/>
      <c r="I3874" s="41"/>
      <c r="J3874" s="41" t="s">
        <v>188</v>
      </c>
      <c r="K3874" s="41"/>
      <c r="L3874" s="42"/>
    </row>
    <row r="3875">
      <c r="A3875" s="18">
        <v>3874.0</v>
      </c>
      <c r="B3875" s="45">
        <v>46004.0</v>
      </c>
      <c r="C3875" s="40" t="s">
        <v>6675</v>
      </c>
      <c r="D3875" s="41"/>
      <c r="E3875" s="41" t="s">
        <v>557</v>
      </c>
      <c r="F3875" s="41" t="str">
        <f>IFERROR(__xludf.DUMMYFUNCTION("if(REGEXMATCH(C3875,""x.com"")=TRUE,""Twitter"",if(REGEXMATCH(C3875,""facebook"")=TRUE,""Facebook"",if(REGEXMATCH(C3875,""instagram"")=TRUE,""Instagram"",if(REGEXMATCH(C3875,""youtube"")=TRUE,""Youtube"",if(REGEXMATCH(C3875,""tiktok"")=TRUE,""Tiktok"",if("&amp;"REGEXMATCH(C3875,""threads"")=TRUE,""Threads""))))))"),"Facebook")</f>
        <v>Facebook</v>
      </c>
      <c r="G3875" s="41" t="s">
        <v>6676</v>
      </c>
      <c r="H3875" s="36"/>
      <c r="I3875" s="41"/>
      <c r="J3875" s="41" t="s">
        <v>188</v>
      </c>
      <c r="K3875" s="41"/>
      <c r="L3875" s="42"/>
    </row>
    <row r="3876">
      <c r="A3876" s="18">
        <v>3875.0</v>
      </c>
      <c r="B3876" s="45">
        <v>46004.0</v>
      </c>
      <c r="C3876" s="40" t="s">
        <v>6677</v>
      </c>
      <c r="D3876" s="41"/>
      <c r="E3876" s="41" t="s">
        <v>557</v>
      </c>
      <c r="F3876" s="41" t="str">
        <f>IFERROR(__xludf.DUMMYFUNCTION("if(REGEXMATCH(C3876,""x.com"")=TRUE,""Twitter"",if(REGEXMATCH(C3876,""facebook"")=TRUE,""Facebook"",if(REGEXMATCH(C3876,""instagram"")=TRUE,""Instagram"",if(REGEXMATCH(C3876,""youtube"")=TRUE,""Youtube"",if(REGEXMATCH(C3876,""tiktok"")=TRUE,""Tiktok"",if("&amp;"REGEXMATCH(C3876,""threads"")=TRUE,""Threads""))))))"),"Facebook")</f>
        <v>Facebook</v>
      </c>
      <c r="G3876" s="41" t="s">
        <v>6678</v>
      </c>
      <c r="H3876" s="35"/>
      <c r="I3876" s="41"/>
      <c r="J3876" s="41" t="s">
        <v>188</v>
      </c>
      <c r="K3876" s="41"/>
      <c r="L3876" s="42"/>
    </row>
    <row r="3877">
      <c r="A3877" s="18">
        <v>3876.0</v>
      </c>
      <c r="B3877" s="45">
        <v>46004.0</v>
      </c>
      <c r="C3877" s="40" t="s">
        <v>6679</v>
      </c>
      <c r="D3877" s="41"/>
      <c r="E3877" s="41" t="s">
        <v>197</v>
      </c>
      <c r="F3877" s="41" t="str">
        <f>IFERROR(__xludf.DUMMYFUNCTION("if(REGEXMATCH(C3877,""x.com"")=TRUE,""Twitter"",if(REGEXMATCH(C3877,""facebook"")=TRUE,""Facebook"",if(REGEXMATCH(C3877,""instagram"")=TRUE,""Instagram"",if(REGEXMATCH(C3877,""youtube"")=TRUE,""Youtube"",if(REGEXMATCH(C3877,""tiktok"")=TRUE,""Tiktok"",if("&amp;"REGEXMATCH(C3877,""threads"")=TRUE,""Threads""))))))"),"Facebook")</f>
        <v>Facebook</v>
      </c>
      <c r="G3877" s="41" t="s">
        <v>6680</v>
      </c>
      <c r="H3877" s="41"/>
      <c r="I3877" s="41"/>
      <c r="J3877" s="41" t="s">
        <v>188</v>
      </c>
      <c r="K3877" s="41"/>
      <c r="L3877" s="42"/>
    </row>
    <row r="3878">
      <c r="A3878" s="18">
        <v>3877.0</v>
      </c>
      <c r="B3878" s="45">
        <v>46004.0</v>
      </c>
      <c r="C3878" s="40" t="s">
        <v>6681</v>
      </c>
      <c r="D3878" s="41"/>
      <c r="E3878" s="41" t="s">
        <v>197</v>
      </c>
      <c r="F3878" s="41" t="str">
        <f>IFERROR(__xludf.DUMMYFUNCTION("if(REGEXMATCH(C3878,""x.com"")=TRUE,""Twitter"",if(REGEXMATCH(C3878,""facebook"")=TRUE,""Facebook"",if(REGEXMATCH(C3878,""instagram"")=TRUE,""Instagram"",if(REGEXMATCH(C3878,""youtube"")=TRUE,""Youtube"",if(REGEXMATCH(C3878,""tiktok"")=TRUE,""Tiktok"",if("&amp;"REGEXMATCH(C3878,""threads"")=TRUE,""Threads""))))))"),"Facebook")</f>
        <v>Facebook</v>
      </c>
      <c r="G3878" s="41" t="s">
        <v>6682</v>
      </c>
      <c r="H3878" s="41"/>
      <c r="I3878" s="41"/>
      <c r="J3878" s="41" t="s">
        <v>188</v>
      </c>
      <c r="K3878" s="41"/>
      <c r="L3878" s="42"/>
    </row>
    <row r="3879">
      <c r="A3879" s="18">
        <v>3878.0</v>
      </c>
      <c r="B3879" s="45">
        <v>46004.0</v>
      </c>
      <c r="C3879" s="40" t="s">
        <v>6683</v>
      </c>
      <c r="D3879" s="41"/>
      <c r="E3879" s="41" t="s">
        <v>197</v>
      </c>
      <c r="F3879" s="41" t="str">
        <f>IFERROR(__xludf.DUMMYFUNCTION("if(REGEXMATCH(C3879,""x.com"")=TRUE,""Twitter"",if(REGEXMATCH(C3879,""facebook"")=TRUE,""Facebook"",if(REGEXMATCH(C3879,""instagram"")=TRUE,""Instagram"",if(REGEXMATCH(C3879,""youtube"")=TRUE,""Youtube"",if(REGEXMATCH(C3879,""tiktok"")=TRUE,""Tiktok"",if("&amp;"REGEXMATCH(C3879,""threads"")=TRUE,""Threads""))))))"),"Facebook")</f>
        <v>Facebook</v>
      </c>
      <c r="G3879" s="41" t="s">
        <v>6684</v>
      </c>
      <c r="H3879" s="41"/>
      <c r="I3879" s="41"/>
      <c r="J3879" s="41" t="s">
        <v>188</v>
      </c>
      <c r="K3879" s="41"/>
      <c r="L3879" s="42"/>
    </row>
    <row r="3880">
      <c r="A3880" s="18">
        <v>3879.0</v>
      </c>
      <c r="B3880" s="45">
        <v>46005.0</v>
      </c>
      <c r="C3880" s="40" t="s">
        <v>6685</v>
      </c>
      <c r="D3880" s="42"/>
      <c r="E3880" s="41" t="s">
        <v>447</v>
      </c>
      <c r="F3880" s="18" t="str">
        <f>IFERROR(__xludf.DUMMYFUNCTION("if(REGEXMATCH(C3880,""x.com"")=TRUE,""Twitter"",if(REGEXMATCH(C3880,""facebook"")=TRUE,""Facebook"",if(REGEXMATCH(C3880,""instagram"")=TRUE,""Instagram"",if(REGEXMATCH(C3880,""youtube"")=TRUE,""Youtube"",if(REGEXMATCH(C3880,""tiktok"")=TRUE,""Tiktok"",if("&amp;"REGEXMATCH(C3880,""threads"")=TRUE,""Threads""))))))"),"Twitter")</f>
        <v>Twitter</v>
      </c>
      <c r="G3880" s="41" t="s">
        <v>6686</v>
      </c>
      <c r="H3880" s="43"/>
      <c r="I3880" s="43"/>
      <c r="J3880" s="41" t="s">
        <v>188</v>
      </c>
      <c r="K3880" s="42"/>
      <c r="L3880" s="42"/>
    </row>
    <row r="3881">
      <c r="A3881" s="18">
        <v>3880.0</v>
      </c>
      <c r="B3881" s="45">
        <v>46005.0</v>
      </c>
      <c r="C3881" s="40" t="s">
        <v>6687</v>
      </c>
      <c r="D3881" s="42"/>
      <c r="E3881" s="41" t="s">
        <v>230</v>
      </c>
      <c r="F3881" s="18" t="str">
        <f>IFERROR(__xludf.DUMMYFUNCTION("if(REGEXMATCH(C3881,""x.com"")=TRUE,""Twitter"",if(REGEXMATCH(C3881,""facebook"")=TRUE,""Facebook"",if(REGEXMATCH(C3881,""instagram"")=TRUE,""Instagram"",if(REGEXMATCH(C3881,""youtube"")=TRUE,""Youtube"",if(REGEXMATCH(C3881,""tiktok"")=TRUE,""Tiktok"",if("&amp;"REGEXMATCH(C3881,""threads"")=TRUE,""Threads""))))))"),"Facebook")</f>
        <v>Facebook</v>
      </c>
      <c r="G3881" s="41" t="s">
        <v>6688</v>
      </c>
      <c r="H3881" s="36"/>
      <c r="I3881" s="36"/>
      <c r="J3881" s="41" t="s">
        <v>188</v>
      </c>
      <c r="K3881" s="42"/>
      <c r="L3881" s="42"/>
    </row>
    <row r="3882">
      <c r="A3882" s="18">
        <v>3881.0</v>
      </c>
      <c r="B3882" s="45">
        <v>46005.0</v>
      </c>
      <c r="C3882" s="40" t="s">
        <v>6689</v>
      </c>
      <c r="D3882" s="42"/>
      <c r="E3882" s="41" t="s">
        <v>557</v>
      </c>
      <c r="F3882" s="18" t="str">
        <f>IFERROR(__xludf.DUMMYFUNCTION("if(REGEXMATCH(C3882,""x.com"")=TRUE,""Twitter"",if(REGEXMATCH(C3882,""facebook"")=TRUE,""Facebook"",if(REGEXMATCH(C3882,""instagram"")=TRUE,""Instagram"",if(REGEXMATCH(C3882,""youtube"")=TRUE,""Youtube"",if(REGEXMATCH(C3882,""tiktok"")=TRUE,""Tiktok"",if("&amp;"REGEXMATCH(C3882,""threads"")=TRUE,""Threads""))))))"),"Facebook")</f>
        <v>Facebook</v>
      </c>
      <c r="G3882" s="41" t="s">
        <v>6690</v>
      </c>
      <c r="H3882" s="36"/>
      <c r="I3882" s="36"/>
      <c r="J3882" s="41" t="s">
        <v>188</v>
      </c>
      <c r="K3882" s="42"/>
      <c r="L3882" s="42"/>
    </row>
    <row r="3883">
      <c r="A3883" s="18">
        <v>3882.0</v>
      </c>
      <c r="B3883" s="45">
        <v>46005.0</v>
      </c>
      <c r="C3883" s="40" t="s">
        <v>6691</v>
      </c>
      <c r="D3883" s="42"/>
      <c r="E3883" s="41" t="s">
        <v>197</v>
      </c>
      <c r="F3883" s="18" t="str">
        <f>IFERROR(__xludf.DUMMYFUNCTION("if(REGEXMATCH(C3883,""x.com"")=TRUE,""Twitter"",if(REGEXMATCH(C3883,""facebook"")=TRUE,""Facebook"",if(REGEXMATCH(C3883,""instagram"")=TRUE,""Instagram"",if(REGEXMATCH(C3883,""youtube"")=TRUE,""Youtube"",if(REGEXMATCH(C3883,""tiktok"")=TRUE,""Tiktok"",if("&amp;"REGEXMATCH(C3883,""threads"")=TRUE,""Threads""))))))"),"Facebook")</f>
        <v>Facebook</v>
      </c>
      <c r="G3883" s="41" t="s">
        <v>6692</v>
      </c>
      <c r="H3883" s="36"/>
      <c r="I3883" s="36"/>
      <c r="J3883" s="41" t="s">
        <v>188</v>
      </c>
      <c r="K3883" s="42"/>
      <c r="L3883" s="42"/>
    </row>
    <row r="3884">
      <c r="A3884" s="18">
        <v>3883.0</v>
      </c>
      <c r="B3884" s="45">
        <v>46005.0</v>
      </c>
      <c r="C3884" s="40" t="s">
        <v>6693</v>
      </c>
      <c r="D3884" s="42"/>
      <c r="E3884" s="41" t="s">
        <v>197</v>
      </c>
      <c r="F3884" s="18" t="str">
        <f>IFERROR(__xludf.DUMMYFUNCTION("if(REGEXMATCH(C3884,""x.com"")=TRUE,""Twitter"",if(REGEXMATCH(C3884,""facebook"")=TRUE,""Facebook"",if(REGEXMATCH(C3884,""instagram"")=TRUE,""Instagram"",if(REGEXMATCH(C3884,""youtube"")=TRUE,""Youtube"",if(REGEXMATCH(C3884,""tiktok"")=TRUE,""Tiktok"",if("&amp;"REGEXMATCH(C3884,""threads"")=TRUE,""Threads""))))))"),"Facebook")</f>
        <v>Facebook</v>
      </c>
      <c r="G3884" s="41" t="s">
        <v>6694</v>
      </c>
      <c r="H3884" s="36"/>
      <c r="I3884" s="36"/>
      <c r="J3884" s="41" t="s">
        <v>188</v>
      </c>
      <c r="K3884" s="42"/>
      <c r="L3884" s="42"/>
    </row>
    <row r="3885">
      <c r="A3885" s="18">
        <v>3884.0</v>
      </c>
      <c r="B3885" s="45">
        <v>46005.0</v>
      </c>
      <c r="C3885" s="40" t="s">
        <v>6695</v>
      </c>
      <c r="D3885" s="42"/>
      <c r="E3885" s="41" t="s">
        <v>197</v>
      </c>
      <c r="F3885" s="18" t="str">
        <f>IFERROR(__xludf.DUMMYFUNCTION("if(REGEXMATCH(C3885,""x.com"")=TRUE,""Twitter"",if(REGEXMATCH(C3885,""facebook"")=TRUE,""Facebook"",if(REGEXMATCH(C3885,""instagram"")=TRUE,""Instagram"",if(REGEXMATCH(C3885,""youtube"")=TRUE,""Youtube"",if(REGEXMATCH(C3885,""tiktok"")=TRUE,""Tiktok"",if("&amp;"REGEXMATCH(C3885,""threads"")=TRUE,""Threads""))))))"),"Twitter")</f>
        <v>Twitter</v>
      </c>
      <c r="G3885" s="41" t="s">
        <v>6696</v>
      </c>
      <c r="H3885" s="36"/>
      <c r="I3885" s="36"/>
      <c r="J3885" s="41" t="s">
        <v>188</v>
      </c>
      <c r="K3885" s="42"/>
      <c r="L3885" s="42"/>
    </row>
    <row r="3886">
      <c r="A3886" s="18">
        <v>3885.0</v>
      </c>
      <c r="B3886" s="45">
        <v>46005.0</v>
      </c>
      <c r="C3886" s="40" t="s">
        <v>6697</v>
      </c>
      <c r="D3886" s="42"/>
      <c r="E3886" s="41" t="s">
        <v>197</v>
      </c>
      <c r="F3886" s="18" t="str">
        <f>IFERROR(__xludf.DUMMYFUNCTION("if(REGEXMATCH(C3886,""x.com"")=TRUE,""Twitter"",if(REGEXMATCH(C3886,""facebook"")=TRUE,""Facebook"",if(REGEXMATCH(C3886,""instagram"")=TRUE,""Instagram"",if(REGEXMATCH(C3886,""youtube"")=TRUE,""Youtube"",if(REGEXMATCH(C3886,""tiktok"")=TRUE,""Tiktok"",if("&amp;"REGEXMATCH(C3886,""threads"")=TRUE,""Threads""))))))"),"Facebook")</f>
        <v>Facebook</v>
      </c>
      <c r="G3886" s="41" t="s">
        <v>6698</v>
      </c>
      <c r="H3886" s="36"/>
      <c r="I3886" s="36"/>
      <c r="J3886" s="41" t="s">
        <v>188</v>
      </c>
      <c r="K3886" s="42"/>
      <c r="L3886" s="42"/>
    </row>
    <row r="3887">
      <c r="A3887" s="18">
        <v>3886.0</v>
      </c>
      <c r="B3887" s="45">
        <v>46005.0</v>
      </c>
      <c r="C3887" s="40" t="s">
        <v>6699</v>
      </c>
      <c r="D3887" s="42"/>
      <c r="E3887" s="41" t="s">
        <v>197</v>
      </c>
      <c r="F3887" s="18" t="str">
        <f>IFERROR(__xludf.DUMMYFUNCTION("if(REGEXMATCH(C3887,""x.com"")=TRUE,""Twitter"",if(REGEXMATCH(C3887,""facebook"")=TRUE,""Facebook"",if(REGEXMATCH(C3887,""instagram"")=TRUE,""Instagram"",if(REGEXMATCH(C3887,""youtube"")=TRUE,""Youtube"",if(REGEXMATCH(C3887,""tiktok"")=TRUE,""Tiktok"",if("&amp;"REGEXMATCH(C3887,""threads"")=TRUE,""Threads""))))))"),"Facebook")</f>
        <v>Facebook</v>
      </c>
      <c r="G3887" s="41" t="s">
        <v>6700</v>
      </c>
      <c r="H3887" s="36"/>
      <c r="I3887" s="36"/>
      <c r="J3887" s="41" t="s">
        <v>188</v>
      </c>
      <c r="K3887" s="42"/>
      <c r="L3887" s="42"/>
    </row>
    <row r="3888">
      <c r="A3888" s="18">
        <v>3887.0</v>
      </c>
      <c r="B3888" s="45">
        <v>46005.0</v>
      </c>
      <c r="C3888" s="40" t="s">
        <v>6701</v>
      </c>
      <c r="D3888" s="42"/>
      <c r="E3888" s="41" t="s">
        <v>197</v>
      </c>
      <c r="F3888" s="18" t="str">
        <f>IFERROR(__xludf.DUMMYFUNCTION("if(REGEXMATCH(C3888,""x.com"")=TRUE,""Twitter"",if(REGEXMATCH(C3888,""facebook"")=TRUE,""Facebook"",if(REGEXMATCH(C3888,""instagram"")=TRUE,""Instagram"",if(REGEXMATCH(C3888,""youtube"")=TRUE,""Youtube"",if(REGEXMATCH(C3888,""tiktok"")=TRUE,""Tiktok"",if("&amp;"REGEXMATCH(C3888,""threads"")=TRUE,""Threads""))))))"),"Facebook")</f>
        <v>Facebook</v>
      </c>
      <c r="G3888" s="41" t="s">
        <v>6702</v>
      </c>
      <c r="H3888" s="36"/>
      <c r="I3888" s="36"/>
      <c r="J3888" s="41" t="s">
        <v>188</v>
      </c>
      <c r="K3888" s="42"/>
      <c r="L3888" s="42"/>
    </row>
    <row r="3889">
      <c r="A3889" s="18">
        <v>3888.0</v>
      </c>
      <c r="B3889" s="45">
        <v>46005.0</v>
      </c>
      <c r="C3889" s="40" t="s">
        <v>6703</v>
      </c>
      <c r="D3889" s="42"/>
      <c r="E3889" s="41" t="s">
        <v>197</v>
      </c>
      <c r="F3889" s="18" t="str">
        <f>IFERROR(__xludf.DUMMYFUNCTION("if(REGEXMATCH(C3889,""x.com"")=TRUE,""Twitter"",if(REGEXMATCH(C3889,""facebook"")=TRUE,""Facebook"",if(REGEXMATCH(C3889,""instagram"")=TRUE,""Instagram"",if(REGEXMATCH(C3889,""youtube"")=TRUE,""Youtube"",if(REGEXMATCH(C3889,""tiktok"")=TRUE,""Tiktok"",if("&amp;"REGEXMATCH(C3889,""threads"")=TRUE,""Threads""))))))"),"Facebook")</f>
        <v>Facebook</v>
      </c>
      <c r="G3889" s="41" t="s">
        <v>6704</v>
      </c>
      <c r="H3889" s="36"/>
      <c r="I3889" s="36"/>
      <c r="J3889" s="41" t="s">
        <v>188</v>
      </c>
      <c r="K3889" s="42"/>
      <c r="L3889" s="42"/>
    </row>
    <row r="3890">
      <c r="A3890" s="18">
        <v>3889.0</v>
      </c>
      <c r="B3890" s="45">
        <v>46005.0</v>
      </c>
      <c r="C3890" s="40" t="s">
        <v>6705</v>
      </c>
      <c r="D3890" s="42"/>
      <c r="E3890" s="41" t="s">
        <v>197</v>
      </c>
      <c r="F3890" s="18" t="str">
        <f>IFERROR(__xludf.DUMMYFUNCTION("if(REGEXMATCH(C3890,""x.com"")=TRUE,""Twitter"",if(REGEXMATCH(C3890,""facebook"")=TRUE,""Facebook"",if(REGEXMATCH(C3890,""instagram"")=TRUE,""Instagram"",if(REGEXMATCH(C3890,""youtube"")=TRUE,""Youtube"",if(REGEXMATCH(C3890,""tiktok"")=TRUE,""Tiktok"",if("&amp;"REGEXMATCH(C3890,""threads"")=TRUE,""Threads""))))))"),"Facebook")</f>
        <v>Facebook</v>
      </c>
      <c r="G3890" s="41" t="s">
        <v>6706</v>
      </c>
      <c r="H3890" s="36"/>
      <c r="I3890" s="36"/>
      <c r="J3890" s="41" t="s">
        <v>188</v>
      </c>
      <c r="K3890" s="42"/>
      <c r="L3890" s="42"/>
    </row>
    <row r="3891">
      <c r="A3891" s="18">
        <v>3890.0</v>
      </c>
      <c r="B3891" s="45">
        <v>46005.0</v>
      </c>
      <c r="C3891" s="40" t="s">
        <v>6707</v>
      </c>
      <c r="D3891" s="42"/>
      <c r="E3891" s="41" t="s">
        <v>197</v>
      </c>
      <c r="F3891" s="18" t="str">
        <f>IFERROR(__xludf.DUMMYFUNCTION("if(REGEXMATCH(C3891,""x.com"")=TRUE,""Twitter"",if(REGEXMATCH(C3891,""facebook"")=TRUE,""Facebook"",if(REGEXMATCH(C3891,""instagram"")=TRUE,""Instagram"",if(REGEXMATCH(C3891,""youtube"")=TRUE,""Youtube"",if(REGEXMATCH(C3891,""tiktok"")=TRUE,""Tiktok"",if("&amp;"REGEXMATCH(C3891,""threads"")=TRUE,""Threads""))))))"),"Facebook")</f>
        <v>Facebook</v>
      </c>
      <c r="G3891" s="41" t="s">
        <v>6708</v>
      </c>
      <c r="H3891" s="36"/>
      <c r="I3891" s="36"/>
      <c r="J3891" s="41" t="s">
        <v>188</v>
      </c>
      <c r="K3891" s="42"/>
      <c r="L3891" s="42"/>
    </row>
    <row r="3892">
      <c r="A3892" s="18">
        <v>3891.0</v>
      </c>
      <c r="B3892" s="45">
        <v>46005.0</v>
      </c>
      <c r="C3892" s="40" t="s">
        <v>6709</v>
      </c>
      <c r="D3892" s="42"/>
      <c r="E3892" s="41" t="s">
        <v>197</v>
      </c>
      <c r="F3892" s="18" t="str">
        <f>IFERROR(__xludf.DUMMYFUNCTION("if(REGEXMATCH(C3892,""x.com"")=TRUE,""Twitter"",if(REGEXMATCH(C3892,""facebook"")=TRUE,""Facebook"",if(REGEXMATCH(C3892,""instagram"")=TRUE,""Instagram"",if(REGEXMATCH(C3892,""youtube"")=TRUE,""Youtube"",if(REGEXMATCH(C3892,""tiktok"")=TRUE,""Tiktok"",if("&amp;"REGEXMATCH(C3892,""threads"")=TRUE,""Threads""))))))"),"Twitter")</f>
        <v>Twitter</v>
      </c>
      <c r="G3892" s="41" t="s">
        <v>6710</v>
      </c>
      <c r="H3892" s="36"/>
      <c r="I3892" s="36"/>
      <c r="J3892" s="41" t="s">
        <v>188</v>
      </c>
      <c r="K3892" s="42"/>
      <c r="L3892" s="42"/>
    </row>
    <row r="3893">
      <c r="A3893" s="18">
        <v>3892.0</v>
      </c>
      <c r="B3893" s="45">
        <v>46005.0</v>
      </c>
      <c r="C3893" s="40" t="s">
        <v>6711</v>
      </c>
      <c r="D3893" s="42"/>
      <c r="E3893" s="41" t="s">
        <v>197</v>
      </c>
      <c r="F3893" s="18" t="str">
        <f>IFERROR(__xludf.DUMMYFUNCTION("if(REGEXMATCH(C3893,""x.com"")=TRUE,""Twitter"",if(REGEXMATCH(C3893,""facebook"")=TRUE,""Facebook"",if(REGEXMATCH(C3893,""instagram"")=TRUE,""Instagram"",if(REGEXMATCH(C3893,""youtube"")=TRUE,""Youtube"",if(REGEXMATCH(C3893,""tiktok"")=TRUE,""Tiktok"",if("&amp;"REGEXMATCH(C3893,""threads"")=TRUE,""Threads""))))))"),"Twitter")</f>
        <v>Twitter</v>
      </c>
      <c r="G3893" s="41" t="s">
        <v>6712</v>
      </c>
      <c r="H3893" s="35"/>
      <c r="I3893" s="35"/>
      <c r="J3893" s="41" t="s">
        <v>188</v>
      </c>
      <c r="K3893" s="42"/>
      <c r="L3893" s="42"/>
    </row>
    <row r="3894">
      <c r="A3894" s="18">
        <v>3893.0</v>
      </c>
      <c r="B3894" s="45">
        <v>46006.0</v>
      </c>
      <c r="C3894" s="40" t="s">
        <v>6713</v>
      </c>
      <c r="D3894" s="42"/>
      <c r="E3894" s="41" t="s">
        <v>401</v>
      </c>
      <c r="F3894" s="18" t="str">
        <f>IFERROR(__xludf.DUMMYFUNCTION("if(REGEXMATCH(C3894,""x.com"")=TRUE,""Twitter"",if(REGEXMATCH(C3894,""facebook"")=TRUE,""Facebook"",if(REGEXMATCH(C3894,""instagram"")=TRUE,""Instagram"",if(REGEXMATCH(C3894,""youtube"")=TRUE,""Youtube"",if(REGEXMATCH(C3894,""tiktok"")=TRUE,""Tiktok"",if("&amp;"REGEXMATCH(C3894,""threads"")=TRUE,""Threads""))))))"),"Facebook")</f>
        <v>Facebook</v>
      </c>
      <c r="G3894" s="41" t="s">
        <v>937</v>
      </c>
      <c r="H3894" s="41" t="s">
        <v>1542</v>
      </c>
      <c r="I3894" s="41" t="s">
        <v>939</v>
      </c>
      <c r="J3894" s="41" t="s">
        <v>188</v>
      </c>
      <c r="K3894" s="41"/>
      <c r="L3894" s="42"/>
    </row>
    <row r="3895">
      <c r="A3895" s="18">
        <v>3894.0</v>
      </c>
      <c r="B3895" s="45">
        <v>46006.0</v>
      </c>
      <c r="C3895" s="44" t="s">
        <v>6714</v>
      </c>
      <c r="D3895" s="42"/>
      <c r="E3895" s="41" t="s">
        <v>401</v>
      </c>
      <c r="F3895" s="18" t="str">
        <f>IFERROR(__xludf.DUMMYFUNCTION("if(REGEXMATCH(C3895,""x.com"")=TRUE,""Twitter"",if(REGEXMATCH(C3895,""facebook"")=TRUE,""Facebook"",if(REGEXMATCH(C3895,""instagram"")=TRUE,""Instagram"",if(REGEXMATCH(C3895,""youtube"")=TRUE,""Youtube"",if(REGEXMATCH(C3895,""tiktok"")=TRUE,""Tiktok"",if("&amp;"REGEXMATCH(C3895,""threads"")=TRUE,""Threads""))))))"),"Facebook")</f>
        <v>Facebook</v>
      </c>
      <c r="G3895" s="41" t="s">
        <v>937</v>
      </c>
      <c r="H3895" s="41" t="s">
        <v>1542</v>
      </c>
      <c r="I3895" s="41" t="s">
        <v>939</v>
      </c>
      <c r="J3895" s="41" t="s">
        <v>188</v>
      </c>
      <c r="K3895" s="41"/>
      <c r="L3895" s="42"/>
    </row>
    <row r="3896">
      <c r="A3896" s="18">
        <v>3895.0</v>
      </c>
      <c r="B3896" s="45">
        <v>46006.0</v>
      </c>
      <c r="C3896" s="48" t="s">
        <v>6715</v>
      </c>
      <c r="D3896" s="42"/>
      <c r="E3896" s="41" t="s">
        <v>401</v>
      </c>
      <c r="F3896" s="18" t="str">
        <f>IFERROR(__xludf.DUMMYFUNCTION("if(REGEXMATCH(C3896,""x.com"")=TRUE,""Twitter"",if(REGEXMATCH(C3896,""facebook"")=TRUE,""Facebook"",if(REGEXMATCH(C3896,""instagram"")=TRUE,""Instagram"",if(REGEXMATCH(C3896,""youtube"")=TRUE,""Youtube"",if(REGEXMATCH(C3896,""tiktok"")=TRUE,""Tiktok"",if("&amp;"REGEXMATCH(C3896,""threads"")=TRUE,""Threads""))))))"),"Facebook")</f>
        <v>Facebook</v>
      </c>
      <c r="G3896" s="41" t="s">
        <v>937</v>
      </c>
      <c r="H3896" s="41" t="s">
        <v>1542</v>
      </c>
      <c r="I3896" s="41" t="s">
        <v>939</v>
      </c>
      <c r="J3896" s="41" t="s">
        <v>188</v>
      </c>
      <c r="K3896" s="41"/>
      <c r="L3896" s="42"/>
    </row>
    <row r="3897">
      <c r="A3897" s="18">
        <v>3896.0</v>
      </c>
      <c r="B3897" s="45">
        <v>46006.0</v>
      </c>
      <c r="C3897" s="40" t="s">
        <v>6716</v>
      </c>
      <c r="D3897" s="42"/>
      <c r="E3897" s="41" t="s">
        <v>401</v>
      </c>
      <c r="F3897" s="18" t="str">
        <f>IFERROR(__xludf.DUMMYFUNCTION("if(REGEXMATCH(C3897,""x.com"")=TRUE,""Twitter"",if(REGEXMATCH(C3897,""facebook"")=TRUE,""Facebook"",if(REGEXMATCH(C3897,""instagram"")=TRUE,""Instagram"",if(REGEXMATCH(C3897,""youtube"")=TRUE,""Youtube"",if(REGEXMATCH(C3897,""tiktok"")=TRUE,""Tiktok"",if("&amp;"REGEXMATCH(C3897,""threads"")=TRUE,""Threads""))))))"),"Facebook")</f>
        <v>Facebook</v>
      </c>
      <c r="G3897" s="41" t="s">
        <v>937</v>
      </c>
      <c r="H3897" s="41" t="s">
        <v>1542</v>
      </c>
      <c r="I3897" s="41" t="s">
        <v>939</v>
      </c>
      <c r="J3897" s="41" t="s">
        <v>188</v>
      </c>
      <c r="K3897" s="41"/>
      <c r="L3897" s="42"/>
    </row>
    <row r="3898">
      <c r="A3898" s="18">
        <v>3897.0</v>
      </c>
      <c r="B3898" s="45">
        <v>46006.0</v>
      </c>
      <c r="C3898" s="56" t="s">
        <v>6717</v>
      </c>
      <c r="D3898" s="42"/>
      <c r="E3898" s="41" t="s">
        <v>401</v>
      </c>
      <c r="F3898" s="18" t="str">
        <f>IFERROR(__xludf.DUMMYFUNCTION("if(REGEXMATCH(C3898,""x.com"")=TRUE,""Twitter"",if(REGEXMATCH(C3898,""facebook"")=TRUE,""Facebook"",if(REGEXMATCH(C3898,""instagram"")=TRUE,""Instagram"",if(REGEXMATCH(C3898,""youtube"")=TRUE,""Youtube"",if(REGEXMATCH(C3898,""tiktok"")=TRUE,""Tiktok"",if("&amp;"REGEXMATCH(C3898,""threads"")=TRUE,""Threads""))))))"),"Facebook")</f>
        <v>Facebook</v>
      </c>
      <c r="G3898" s="41" t="s">
        <v>937</v>
      </c>
      <c r="H3898" s="41" t="s">
        <v>1542</v>
      </c>
      <c r="I3898" s="41" t="s">
        <v>939</v>
      </c>
      <c r="J3898" s="41" t="s">
        <v>188</v>
      </c>
      <c r="K3898" s="41"/>
      <c r="L3898" s="42"/>
    </row>
    <row r="3899">
      <c r="A3899" s="18">
        <v>3898.0</v>
      </c>
      <c r="B3899" s="45">
        <v>46006.0</v>
      </c>
      <c r="C3899" s="89" t="s">
        <v>6718</v>
      </c>
      <c r="D3899" s="42"/>
      <c r="E3899" s="18" t="s">
        <v>6719</v>
      </c>
      <c r="F3899" s="18" t="str">
        <f>IFERROR(__xludf.DUMMYFUNCTION("if(REGEXMATCH(C3899,""x.com"")=TRUE,""Twitter"",if(REGEXMATCH(C3899,""facebook"")=TRUE,""Facebook"",if(REGEXMATCH(C3899,""instagram"")=TRUE,""Instagram"",if(REGEXMATCH(C3899,""youtube"")=TRUE,""Youtube"",if(REGEXMATCH(C3899,""tiktok"")=TRUE,""Tiktok"",if("&amp;"REGEXMATCH(C3899,""threads"")=TRUE,""Threads""))))))"),"Facebook")</f>
        <v>Facebook</v>
      </c>
      <c r="G3899" s="41" t="s">
        <v>6720</v>
      </c>
      <c r="H3899" s="76" t="s">
        <v>6721</v>
      </c>
      <c r="I3899" s="42"/>
      <c r="J3899" s="41" t="s">
        <v>188</v>
      </c>
      <c r="K3899" s="42"/>
      <c r="L3899" s="42"/>
    </row>
    <row r="3900">
      <c r="A3900" s="18">
        <v>3899.0</v>
      </c>
      <c r="B3900" s="45">
        <v>46006.0</v>
      </c>
      <c r="C3900" s="40" t="s">
        <v>6722</v>
      </c>
      <c r="D3900" s="41"/>
      <c r="E3900" s="41" t="s">
        <v>557</v>
      </c>
      <c r="F3900" s="41" t="str">
        <f>IFERROR(__xludf.DUMMYFUNCTION("if(REGEXMATCH(C3900,""x.com"")=TRUE,""Twitter"",if(REGEXMATCH(C3900,""facebook"")=TRUE,""Facebook"",if(REGEXMATCH(C3900,""instagram"")=TRUE,""Instagram"",if(REGEXMATCH(C3900,""youtube"")=TRUE,""Youtube"",if(REGEXMATCH(C3900,""tiktok"")=TRUE,""Tiktok"",if("&amp;"REGEXMATCH(C3900,""threads"")=TRUE,""Threads""))))))"),"Youtube")</f>
        <v>Youtube</v>
      </c>
      <c r="G3900" s="41" t="s">
        <v>6723</v>
      </c>
      <c r="H3900" s="43" t="s">
        <v>779</v>
      </c>
      <c r="I3900" s="43" t="s">
        <v>535</v>
      </c>
      <c r="J3900" s="41" t="s">
        <v>188</v>
      </c>
      <c r="K3900" s="42"/>
      <c r="L3900" s="42"/>
    </row>
    <row r="3901">
      <c r="A3901" s="18">
        <v>3900.0</v>
      </c>
      <c r="B3901" s="45">
        <v>46006.0</v>
      </c>
      <c r="C3901" s="40" t="s">
        <v>6724</v>
      </c>
      <c r="D3901" s="41"/>
      <c r="E3901" s="41" t="s">
        <v>197</v>
      </c>
      <c r="F3901" s="41" t="str">
        <f>IFERROR(__xludf.DUMMYFUNCTION("if(REGEXMATCH(C3901,""x.com"")=TRUE,""Twitter"",if(REGEXMATCH(C3901,""facebook"")=TRUE,""Facebook"",if(REGEXMATCH(C3901,""instagram"")=TRUE,""Instagram"",if(REGEXMATCH(C3901,""youtube"")=TRUE,""Youtube"",if(REGEXMATCH(C3901,""tiktok"")=TRUE,""Tiktok"",if("&amp;"REGEXMATCH(C3901,""threads"")=TRUE,""Threads""))))))"),"Facebook")</f>
        <v>Facebook</v>
      </c>
      <c r="G3901" s="41" t="s">
        <v>6725</v>
      </c>
      <c r="H3901" s="36"/>
      <c r="I3901" s="36"/>
      <c r="J3901" s="41" t="s">
        <v>188</v>
      </c>
      <c r="K3901" s="42"/>
      <c r="L3901" s="42"/>
    </row>
    <row r="3902">
      <c r="A3902" s="18">
        <v>3901.0</v>
      </c>
      <c r="B3902" s="45">
        <v>46006.0</v>
      </c>
      <c r="C3902" s="40" t="s">
        <v>6726</v>
      </c>
      <c r="D3902" s="41"/>
      <c r="E3902" s="41" t="s">
        <v>447</v>
      </c>
      <c r="F3902" s="41" t="str">
        <f>IFERROR(__xludf.DUMMYFUNCTION("if(REGEXMATCH(C3902,""x.com"")=TRUE,""Twitter"",if(REGEXMATCH(C3902,""facebook"")=TRUE,""Facebook"",if(REGEXMATCH(C3902,""instagram"")=TRUE,""Instagram"",if(REGEXMATCH(C3902,""youtube"")=TRUE,""Youtube"",if(REGEXMATCH(C3902,""tiktok"")=TRUE,""Tiktok"",if("&amp;"REGEXMATCH(C3902,""threads"")=TRUE,""Threads""))))))"),"Facebook")</f>
        <v>Facebook</v>
      </c>
      <c r="G3902" s="41" t="s">
        <v>6727</v>
      </c>
      <c r="H3902" s="36"/>
      <c r="I3902" s="36"/>
      <c r="J3902" s="41" t="s">
        <v>188</v>
      </c>
      <c r="K3902" s="42"/>
      <c r="L3902" s="42"/>
    </row>
    <row r="3903">
      <c r="A3903" s="18">
        <v>3902.0</v>
      </c>
      <c r="B3903" s="45">
        <v>46006.0</v>
      </c>
      <c r="C3903" s="40" t="s">
        <v>6728</v>
      </c>
      <c r="D3903" s="41"/>
      <c r="E3903" s="41" t="s">
        <v>447</v>
      </c>
      <c r="F3903" s="41" t="str">
        <f>IFERROR(__xludf.DUMMYFUNCTION("if(REGEXMATCH(C3903,""x.com"")=TRUE,""Twitter"",if(REGEXMATCH(C3903,""facebook"")=TRUE,""Facebook"",if(REGEXMATCH(C3903,""instagram"")=TRUE,""Instagram"",if(REGEXMATCH(C3903,""youtube"")=TRUE,""Youtube"",if(REGEXMATCH(C3903,""tiktok"")=TRUE,""Tiktok"",if("&amp;"REGEXMATCH(C3903,""threads"")=TRUE,""Threads""))))))"),"Facebook")</f>
        <v>Facebook</v>
      </c>
      <c r="G3903" s="41" t="s">
        <v>6729</v>
      </c>
      <c r="H3903" s="36"/>
      <c r="I3903" s="36"/>
      <c r="J3903" s="41" t="s">
        <v>188</v>
      </c>
      <c r="K3903" s="42"/>
      <c r="L3903" s="42"/>
    </row>
    <row r="3904">
      <c r="A3904" s="18">
        <v>3903.0</v>
      </c>
      <c r="B3904" s="45">
        <v>46006.0</v>
      </c>
      <c r="C3904" s="40" t="s">
        <v>6730</v>
      </c>
      <c r="D3904" s="41"/>
      <c r="E3904" s="41" t="s">
        <v>557</v>
      </c>
      <c r="F3904" s="41" t="str">
        <f>IFERROR(__xludf.DUMMYFUNCTION("if(REGEXMATCH(C3904,""x.com"")=TRUE,""Twitter"",if(REGEXMATCH(C3904,""facebook"")=TRUE,""Facebook"",if(REGEXMATCH(C3904,""instagram"")=TRUE,""Instagram"",if(REGEXMATCH(C3904,""youtube"")=TRUE,""Youtube"",if(REGEXMATCH(C3904,""tiktok"")=TRUE,""Tiktok"",if("&amp;"REGEXMATCH(C3904,""threads"")=TRUE,""Threads""))))))"),"Facebook")</f>
        <v>Facebook</v>
      </c>
      <c r="G3904" s="41" t="s">
        <v>6731</v>
      </c>
      <c r="H3904" s="36"/>
      <c r="I3904" s="36"/>
      <c r="J3904" s="41" t="s">
        <v>188</v>
      </c>
      <c r="K3904" s="42"/>
      <c r="L3904" s="42"/>
    </row>
    <row r="3905">
      <c r="A3905" s="18">
        <v>3904.0</v>
      </c>
      <c r="B3905" s="45">
        <v>46006.0</v>
      </c>
      <c r="C3905" s="40" t="s">
        <v>6732</v>
      </c>
      <c r="D3905" s="41"/>
      <c r="E3905" s="41" t="s">
        <v>557</v>
      </c>
      <c r="F3905" s="41" t="str">
        <f>IFERROR(__xludf.DUMMYFUNCTION("if(REGEXMATCH(C3905,""x.com"")=TRUE,""Twitter"",if(REGEXMATCH(C3905,""facebook"")=TRUE,""Facebook"",if(REGEXMATCH(C3905,""instagram"")=TRUE,""Instagram"",if(REGEXMATCH(C3905,""youtube"")=TRUE,""Youtube"",if(REGEXMATCH(C3905,""tiktok"")=TRUE,""Tiktok"",if("&amp;"REGEXMATCH(C3905,""threads"")=TRUE,""Threads""))))))"),"Facebook")</f>
        <v>Facebook</v>
      </c>
      <c r="G3905" s="41" t="s">
        <v>6733</v>
      </c>
      <c r="H3905" s="36"/>
      <c r="I3905" s="36"/>
      <c r="J3905" s="41" t="s">
        <v>188</v>
      </c>
      <c r="K3905" s="42"/>
      <c r="L3905" s="42"/>
    </row>
    <row r="3906">
      <c r="A3906" s="18">
        <v>3905.0</v>
      </c>
      <c r="B3906" s="45">
        <v>46006.0</v>
      </c>
      <c r="C3906" s="40" t="s">
        <v>6734</v>
      </c>
      <c r="D3906" s="41"/>
      <c r="E3906" s="41" t="s">
        <v>372</v>
      </c>
      <c r="F3906" s="41" t="str">
        <f>IFERROR(__xludf.DUMMYFUNCTION("if(REGEXMATCH(C3906,""x.com"")=TRUE,""Twitter"",if(REGEXMATCH(C3906,""facebook"")=TRUE,""Facebook"",if(REGEXMATCH(C3906,""instagram"")=TRUE,""Instagram"",if(REGEXMATCH(C3906,""youtube"")=TRUE,""Youtube"",if(REGEXMATCH(C3906,""tiktok"")=TRUE,""Tiktok"",if("&amp;"REGEXMATCH(C3906,""threads"")=TRUE,""Threads""))))))"),"Tiktok")</f>
        <v>Tiktok</v>
      </c>
      <c r="G3906" s="44" t="s">
        <v>6735</v>
      </c>
      <c r="H3906" s="36"/>
      <c r="I3906" s="36"/>
      <c r="J3906" s="41" t="s">
        <v>188</v>
      </c>
      <c r="K3906" s="42"/>
      <c r="L3906" s="42"/>
    </row>
    <row r="3907">
      <c r="A3907" s="18">
        <v>3906.0</v>
      </c>
      <c r="B3907" s="45">
        <v>46006.0</v>
      </c>
      <c r="C3907" s="73" t="s">
        <v>6736</v>
      </c>
      <c r="D3907" s="41"/>
      <c r="E3907" s="41" t="s">
        <v>4703</v>
      </c>
      <c r="F3907" s="41" t="str">
        <f>IFERROR(__xludf.DUMMYFUNCTION("if(REGEXMATCH(C3907,""x.com"")=TRUE,""Twitter"",if(REGEXMATCH(C3907,""facebook"")=TRUE,""Facebook"",if(REGEXMATCH(C3907,""instagram"")=TRUE,""Instagram"",if(REGEXMATCH(C3907,""youtube"")=TRUE,""Youtube"",if(REGEXMATCH(C3907,""tiktok"")=TRUE,""Tiktok"",if("&amp;"REGEXMATCH(C3907,""threads"")=TRUE,""Threads""))))))"),"Tiktok")</f>
        <v>Tiktok</v>
      </c>
      <c r="G3907" s="41" t="s">
        <v>6737</v>
      </c>
      <c r="H3907" s="36"/>
      <c r="I3907" s="36"/>
      <c r="J3907" s="41" t="s">
        <v>188</v>
      </c>
      <c r="K3907" s="42"/>
      <c r="L3907" s="42"/>
    </row>
    <row r="3908">
      <c r="A3908" s="18">
        <v>3907.0</v>
      </c>
      <c r="B3908" s="45">
        <v>46006.0</v>
      </c>
      <c r="C3908" s="73" t="s">
        <v>6738</v>
      </c>
      <c r="D3908" s="41"/>
      <c r="E3908" s="41" t="s">
        <v>372</v>
      </c>
      <c r="F3908" s="41" t="str">
        <f>IFERROR(__xludf.DUMMYFUNCTION("if(REGEXMATCH(C3908,""x.com"")=TRUE,""Twitter"",if(REGEXMATCH(C3908,""facebook"")=TRUE,""Facebook"",if(REGEXMATCH(C3908,""instagram"")=TRUE,""Instagram"",if(REGEXMATCH(C3908,""youtube"")=TRUE,""Youtube"",if(REGEXMATCH(C3908,""tiktok"")=TRUE,""Tiktok"",if("&amp;"REGEXMATCH(C3908,""threads"")=TRUE,""Threads""))))))"),"Tiktok")</f>
        <v>Tiktok</v>
      </c>
      <c r="G3908" s="44" t="s">
        <v>6739</v>
      </c>
      <c r="H3908" s="36"/>
      <c r="I3908" s="36"/>
      <c r="J3908" s="41" t="s">
        <v>188</v>
      </c>
      <c r="K3908" s="42"/>
      <c r="L3908" s="42"/>
    </row>
    <row r="3909">
      <c r="A3909" s="18">
        <v>3908.0</v>
      </c>
      <c r="B3909" s="45">
        <v>46006.0</v>
      </c>
      <c r="C3909" s="73" t="s">
        <v>6740</v>
      </c>
      <c r="D3909" s="41"/>
      <c r="E3909" s="41" t="s">
        <v>4703</v>
      </c>
      <c r="F3909" s="41" t="str">
        <f>IFERROR(__xludf.DUMMYFUNCTION("if(REGEXMATCH(C3909,""x.com"")=TRUE,""Twitter"",if(REGEXMATCH(C3909,""facebook"")=TRUE,""Facebook"",if(REGEXMATCH(C3909,""instagram"")=TRUE,""Instagram"",if(REGEXMATCH(C3909,""youtube"")=TRUE,""Youtube"",if(REGEXMATCH(C3909,""tiktok"")=TRUE,""Tiktok"",if("&amp;"REGEXMATCH(C3909,""threads"")=TRUE,""Threads""))))))"),"Tiktok")</f>
        <v>Tiktok</v>
      </c>
      <c r="G3909" s="41" t="s">
        <v>6737</v>
      </c>
      <c r="H3909" s="35"/>
      <c r="I3909" s="35"/>
      <c r="J3909" s="41" t="s">
        <v>188</v>
      </c>
      <c r="K3909" s="42"/>
      <c r="L3909" s="42"/>
    </row>
    <row r="3910">
      <c r="A3910" s="18">
        <v>3909.0</v>
      </c>
      <c r="B3910" s="45">
        <v>46006.0</v>
      </c>
      <c r="C3910" s="73" t="s">
        <v>6741</v>
      </c>
      <c r="D3910" s="41"/>
      <c r="E3910" s="41" t="s">
        <v>4213</v>
      </c>
      <c r="F3910" s="41" t="str">
        <f>IFERROR(__xludf.DUMMYFUNCTION("if(REGEXMATCH(C3910,""x.com"")=TRUE,""Twitter"",if(REGEXMATCH(C3910,""facebook"")=TRUE,""Facebook"",if(REGEXMATCH(C3910,""instagram"")=TRUE,""Instagram"",if(REGEXMATCH(C3910,""youtube"")=TRUE,""Youtube"",if(REGEXMATCH(C3910,""tiktok"")=TRUE,""Tiktok"",if("&amp;"REGEXMATCH(C3910,""threads"")=TRUE,""Threads""))))))"),"Tiktok")</f>
        <v>Tiktok</v>
      </c>
      <c r="G3910" s="41" t="s">
        <v>6742</v>
      </c>
      <c r="H3910" s="41"/>
      <c r="I3910" s="41"/>
      <c r="J3910" s="41" t="s">
        <v>188</v>
      </c>
      <c r="K3910" s="42"/>
      <c r="L3910" s="42"/>
    </row>
    <row r="3911">
      <c r="A3911" s="18">
        <v>3910.0</v>
      </c>
      <c r="B3911" s="45">
        <v>46006.0</v>
      </c>
      <c r="C3911" s="73" t="s">
        <v>6743</v>
      </c>
      <c r="D3911" s="41"/>
      <c r="E3911" s="41" t="s">
        <v>557</v>
      </c>
      <c r="F3911" s="41" t="str">
        <f>IFERROR(__xludf.DUMMYFUNCTION("if(REGEXMATCH(C3911,""x.com"")=TRUE,""Twitter"",if(REGEXMATCH(C3911,""facebook"")=TRUE,""Facebook"",if(REGEXMATCH(C3911,""instagram"")=TRUE,""Instagram"",if(REGEXMATCH(C3911,""youtube"")=TRUE,""Youtube"",if(REGEXMATCH(C3911,""tiktok"")=TRUE,""Tiktok"",if("&amp;"REGEXMATCH(C3911,""threads"")=TRUE,""Threads""))))))"),"Tiktok")</f>
        <v>Tiktok</v>
      </c>
      <c r="G3911" s="41" t="s">
        <v>6744</v>
      </c>
      <c r="H3911" s="41"/>
      <c r="I3911" s="41"/>
      <c r="J3911" s="41" t="s">
        <v>188</v>
      </c>
      <c r="K3911" s="42"/>
      <c r="L3911" s="42"/>
    </row>
    <row r="3912">
      <c r="A3912" s="18">
        <v>3911.0</v>
      </c>
      <c r="B3912" s="45">
        <v>46006.0</v>
      </c>
      <c r="C3912" s="73" t="s">
        <v>6745</v>
      </c>
      <c r="D3912" s="41"/>
      <c r="E3912" s="41" t="s">
        <v>447</v>
      </c>
      <c r="F3912" s="41" t="str">
        <f>IFERROR(__xludf.DUMMYFUNCTION("if(REGEXMATCH(C3912,""x.com"")=TRUE,""Twitter"",if(REGEXMATCH(C3912,""facebook"")=TRUE,""Facebook"",if(REGEXMATCH(C3912,""instagram"")=TRUE,""Instagram"",if(REGEXMATCH(C3912,""youtube"")=TRUE,""Youtube"",if(REGEXMATCH(C3912,""tiktok"")=TRUE,""Tiktok"",if("&amp;"REGEXMATCH(C3912,""threads"")=TRUE,""Threads""))))))"),"Facebook")</f>
        <v>Facebook</v>
      </c>
      <c r="G3912" s="41" t="s">
        <v>6746</v>
      </c>
      <c r="H3912" s="41"/>
      <c r="I3912" s="41"/>
      <c r="J3912" s="41" t="s">
        <v>188</v>
      </c>
      <c r="K3912" s="42"/>
      <c r="L3912" s="42"/>
    </row>
    <row r="3913">
      <c r="A3913" s="18">
        <v>3912.0</v>
      </c>
      <c r="B3913" s="45">
        <v>46006.0</v>
      </c>
      <c r="C3913" s="73" t="s">
        <v>6747</v>
      </c>
      <c r="D3913" s="41"/>
      <c r="E3913" s="41" t="s">
        <v>447</v>
      </c>
      <c r="F3913" s="41" t="str">
        <f>IFERROR(__xludf.DUMMYFUNCTION("if(REGEXMATCH(C3913,""x.com"")=TRUE,""Twitter"",if(REGEXMATCH(C3913,""facebook"")=TRUE,""Facebook"",if(REGEXMATCH(C3913,""instagram"")=TRUE,""Instagram"",if(REGEXMATCH(C3913,""youtube"")=TRUE,""Youtube"",if(REGEXMATCH(C3913,""tiktok"")=TRUE,""Tiktok"",if("&amp;"REGEXMATCH(C3913,""threads"")=TRUE,""Threads""))))))"),"Facebook")</f>
        <v>Facebook</v>
      </c>
      <c r="G3913" s="41" t="s">
        <v>6748</v>
      </c>
      <c r="H3913" s="41"/>
      <c r="I3913" s="41"/>
      <c r="J3913" s="41" t="s">
        <v>188</v>
      </c>
      <c r="K3913" s="42"/>
      <c r="L3913" s="42"/>
    </row>
    <row r="3914">
      <c r="A3914" s="18">
        <v>3913.0</v>
      </c>
      <c r="B3914" s="45">
        <v>46006.0</v>
      </c>
      <c r="C3914" s="73" t="s">
        <v>6749</v>
      </c>
      <c r="D3914" s="41"/>
      <c r="E3914" s="41" t="s">
        <v>447</v>
      </c>
      <c r="F3914" s="41" t="str">
        <f>IFERROR(__xludf.DUMMYFUNCTION("if(REGEXMATCH(C3914,""x.com"")=TRUE,""Twitter"",if(REGEXMATCH(C3914,""facebook"")=TRUE,""Facebook"",if(REGEXMATCH(C3914,""instagram"")=TRUE,""Instagram"",if(REGEXMATCH(C3914,""youtube"")=TRUE,""Youtube"",if(REGEXMATCH(C3914,""tiktok"")=TRUE,""Tiktok"",if("&amp;"REGEXMATCH(C3914,""threads"")=TRUE,""Threads""))))))"),"Facebook")</f>
        <v>Facebook</v>
      </c>
      <c r="G3914" s="41" t="s">
        <v>6748</v>
      </c>
      <c r="H3914" s="41"/>
      <c r="I3914" s="41"/>
      <c r="J3914" s="41" t="s">
        <v>188</v>
      </c>
      <c r="K3914" s="42"/>
      <c r="L3914" s="42"/>
    </row>
    <row r="3915">
      <c r="A3915" s="18">
        <v>3914.0</v>
      </c>
      <c r="B3915" s="45">
        <v>46006.0</v>
      </c>
      <c r="C3915" s="73" t="s">
        <v>6750</v>
      </c>
      <c r="D3915" s="41"/>
      <c r="E3915" s="41" t="s">
        <v>447</v>
      </c>
      <c r="F3915" s="41" t="str">
        <f>IFERROR(__xludf.DUMMYFUNCTION("if(REGEXMATCH(C3915,""x.com"")=TRUE,""Twitter"",if(REGEXMATCH(C3915,""facebook"")=TRUE,""Facebook"",if(REGEXMATCH(C3915,""instagram"")=TRUE,""Instagram"",if(REGEXMATCH(C3915,""youtube"")=TRUE,""Youtube"",if(REGEXMATCH(C3915,""tiktok"")=TRUE,""Tiktok"",if("&amp;"REGEXMATCH(C3915,""threads"")=TRUE,""Threads""))))))"),"Facebook")</f>
        <v>Facebook</v>
      </c>
      <c r="G3915" s="41" t="s">
        <v>6751</v>
      </c>
      <c r="H3915" s="41"/>
      <c r="I3915" s="41"/>
      <c r="J3915" s="41" t="s">
        <v>188</v>
      </c>
      <c r="K3915" s="42"/>
      <c r="L3915" s="42"/>
    </row>
    <row r="3916">
      <c r="A3916" s="18">
        <v>3915.0</v>
      </c>
      <c r="B3916" s="45">
        <v>46006.0</v>
      </c>
      <c r="C3916" s="73" t="s">
        <v>6752</v>
      </c>
      <c r="D3916" s="41"/>
      <c r="E3916" s="41" t="s">
        <v>447</v>
      </c>
      <c r="F3916" s="41" t="str">
        <f>IFERROR(__xludf.DUMMYFUNCTION("if(REGEXMATCH(C3916,""x.com"")=TRUE,""Twitter"",if(REGEXMATCH(C3916,""facebook"")=TRUE,""Facebook"",if(REGEXMATCH(C3916,""instagram"")=TRUE,""Instagram"",if(REGEXMATCH(C3916,""youtube"")=TRUE,""Youtube"",if(REGEXMATCH(C3916,""tiktok"")=TRUE,""Tiktok"",if("&amp;"REGEXMATCH(C3916,""threads"")=TRUE,""Threads""))))))"),"Facebook")</f>
        <v>Facebook</v>
      </c>
      <c r="G3916" s="44" t="s">
        <v>6753</v>
      </c>
      <c r="H3916" s="41"/>
      <c r="I3916" s="41"/>
      <c r="J3916" s="41" t="s">
        <v>188</v>
      </c>
      <c r="K3916" s="42"/>
      <c r="L3916" s="42"/>
    </row>
    <row r="3917">
      <c r="A3917" s="18">
        <v>3916.0</v>
      </c>
      <c r="B3917" s="45">
        <v>46006.0</v>
      </c>
      <c r="C3917" s="73" t="s">
        <v>6754</v>
      </c>
      <c r="D3917" s="41"/>
      <c r="E3917" s="41" t="s">
        <v>447</v>
      </c>
      <c r="F3917" s="41" t="str">
        <f>IFERROR(__xludf.DUMMYFUNCTION("if(REGEXMATCH(C3917,""x.com"")=TRUE,""Twitter"",if(REGEXMATCH(C3917,""facebook"")=TRUE,""Facebook"",if(REGEXMATCH(C3917,""instagram"")=TRUE,""Instagram"",if(REGEXMATCH(C3917,""youtube"")=TRUE,""Youtube"",if(REGEXMATCH(C3917,""tiktok"")=TRUE,""Tiktok"",if("&amp;"REGEXMATCH(C3917,""threads"")=TRUE,""Threads""))))))"),"Facebook")</f>
        <v>Facebook</v>
      </c>
      <c r="G3917" s="44" t="s">
        <v>6755</v>
      </c>
      <c r="H3917" s="41"/>
      <c r="I3917" s="41"/>
      <c r="J3917" s="41" t="s">
        <v>188</v>
      </c>
      <c r="K3917" s="42"/>
      <c r="L3917" s="42"/>
    </row>
    <row r="3918">
      <c r="A3918" s="18">
        <v>3917.0</v>
      </c>
      <c r="B3918" s="45">
        <v>46006.0</v>
      </c>
      <c r="C3918" s="73" t="s">
        <v>6756</v>
      </c>
      <c r="D3918" s="41"/>
      <c r="E3918" s="41" t="s">
        <v>447</v>
      </c>
      <c r="F3918" s="41" t="str">
        <f>IFERROR(__xludf.DUMMYFUNCTION("if(REGEXMATCH(C3918,""x.com"")=TRUE,""Twitter"",if(REGEXMATCH(C3918,""facebook"")=TRUE,""Facebook"",if(REGEXMATCH(C3918,""instagram"")=TRUE,""Instagram"",if(REGEXMATCH(C3918,""youtube"")=TRUE,""Youtube"",if(REGEXMATCH(C3918,""tiktok"")=TRUE,""Tiktok"",if("&amp;"REGEXMATCH(C3918,""threads"")=TRUE,""Threads""))))))"),"Facebook")</f>
        <v>Facebook</v>
      </c>
      <c r="G3918" s="41" t="s">
        <v>6757</v>
      </c>
      <c r="H3918" s="41"/>
      <c r="I3918" s="41"/>
      <c r="J3918" s="41" t="s">
        <v>188</v>
      </c>
      <c r="K3918" s="42"/>
      <c r="L3918" s="42"/>
    </row>
    <row r="3919">
      <c r="A3919" s="18">
        <v>3918.0</v>
      </c>
      <c r="B3919" s="45">
        <v>46006.0</v>
      </c>
      <c r="C3919" s="73" t="s">
        <v>6758</v>
      </c>
      <c r="D3919" s="41"/>
      <c r="E3919" s="41" t="s">
        <v>447</v>
      </c>
      <c r="F3919" s="41" t="str">
        <f>IFERROR(__xludf.DUMMYFUNCTION("if(REGEXMATCH(C3919,""x.com"")=TRUE,""Twitter"",if(REGEXMATCH(C3919,""facebook"")=TRUE,""Facebook"",if(REGEXMATCH(C3919,""instagram"")=TRUE,""Instagram"",if(REGEXMATCH(C3919,""youtube"")=TRUE,""Youtube"",if(REGEXMATCH(C3919,""tiktok"")=TRUE,""Tiktok"",if("&amp;"REGEXMATCH(C3919,""threads"")=TRUE,""Threads""))))))"),"Facebook")</f>
        <v>Facebook</v>
      </c>
      <c r="G3919" s="41" t="s">
        <v>6759</v>
      </c>
      <c r="H3919" s="41"/>
      <c r="I3919" s="41"/>
      <c r="J3919" s="41" t="s">
        <v>188</v>
      </c>
      <c r="K3919" s="42"/>
      <c r="L3919" s="42"/>
    </row>
    <row r="3920">
      <c r="A3920" s="18">
        <v>3919.0</v>
      </c>
      <c r="B3920" s="45">
        <v>46006.0</v>
      </c>
      <c r="C3920" s="73" t="s">
        <v>6760</v>
      </c>
      <c r="D3920" s="41"/>
      <c r="E3920" s="41" t="s">
        <v>447</v>
      </c>
      <c r="F3920" s="41" t="str">
        <f>IFERROR(__xludf.DUMMYFUNCTION("if(REGEXMATCH(C3920,""x.com"")=TRUE,""Twitter"",if(REGEXMATCH(C3920,""facebook"")=TRUE,""Facebook"",if(REGEXMATCH(C3920,""instagram"")=TRUE,""Instagram"",if(REGEXMATCH(C3920,""youtube"")=TRUE,""Youtube"",if(REGEXMATCH(C3920,""tiktok"")=TRUE,""Tiktok"",if("&amp;"REGEXMATCH(C3920,""threads"")=TRUE,""Threads""))))))"),"Facebook")</f>
        <v>Facebook</v>
      </c>
      <c r="G3920" s="41" t="s">
        <v>6761</v>
      </c>
      <c r="H3920" s="41"/>
      <c r="I3920" s="41"/>
      <c r="J3920" s="41" t="s">
        <v>188</v>
      </c>
      <c r="K3920" s="42"/>
      <c r="L3920" s="42"/>
    </row>
    <row r="3921">
      <c r="A3921" s="18">
        <v>3920.0</v>
      </c>
      <c r="B3921" s="45">
        <v>46006.0</v>
      </c>
      <c r="C3921" s="73" t="s">
        <v>6762</v>
      </c>
      <c r="D3921" s="41"/>
      <c r="E3921" s="41" t="s">
        <v>447</v>
      </c>
      <c r="F3921" s="41" t="str">
        <f>IFERROR(__xludf.DUMMYFUNCTION("if(REGEXMATCH(C3921,""x.com"")=TRUE,""Twitter"",if(REGEXMATCH(C3921,""facebook"")=TRUE,""Facebook"",if(REGEXMATCH(C3921,""instagram"")=TRUE,""Instagram"",if(REGEXMATCH(C3921,""youtube"")=TRUE,""Youtube"",if(REGEXMATCH(C3921,""tiktok"")=TRUE,""Tiktok"",if("&amp;"REGEXMATCH(C3921,""threads"")=TRUE,""Threads""))))))"),"Facebook")</f>
        <v>Facebook</v>
      </c>
      <c r="G3921" s="41" t="s">
        <v>6763</v>
      </c>
      <c r="H3921" s="41"/>
      <c r="I3921" s="41"/>
      <c r="J3921" s="41" t="s">
        <v>188</v>
      </c>
      <c r="K3921" s="42"/>
      <c r="L3921" s="42"/>
    </row>
    <row r="3922">
      <c r="A3922" s="18">
        <v>3921.0</v>
      </c>
      <c r="B3922" s="45">
        <v>46006.0</v>
      </c>
      <c r="C3922" s="73" t="s">
        <v>6764</v>
      </c>
      <c r="D3922" s="41"/>
      <c r="E3922" s="41" t="s">
        <v>447</v>
      </c>
      <c r="F3922" s="41" t="str">
        <f>IFERROR(__xludf.DUMMYFUNCTION("if(REGEXMATCH(C3922,""x.com"")=TRUE,""Twitter"",if(REGEXMATCH(C3922,""facebook"")=TRUE,""Facebook"",if(REGEXMATCH(C3922,""instagram"")=TRUE,""Instagram"",if(REGEXMATCH(C3922,""youtube"")=TRUE,""Youtube"",if(REGEXMATCH(C3922,""tiktok"")=TRUE,""Tiktok"",if("&amp;"REGEXMATCH(C3922,""threads"")=TRUE,""Threads""))))))"),"Facebook")</f>
        <v>Facebook</v>
      </c>
      <c r="G3922" s="44" t="s">
        <v>6765</v>
      </c>
      <c r="H3922" s="41"/>
      <c r="I3922" s="41"/>
      <c r="J3922" s="41" t="s">
        <v>188</v>
      </c>
      <c r="K3922" s="42"/>
      <c r="L3922" s="42"/>
    </row>
    <row r="3923">
      <c r="A3923" s="18">
        <v>3922.0</v>
      </c>
      <c r="B3923" s="45">
        <v>46006.0</v>
      </c>
      <c r="C3923" s="73" t="s">
        <v>6766</v>
      </c>
      <c r="D3923" s="41"/>
      <c r="E3923" s="41" t="s">
        <v>447</v>
      </c>
      <c r="F3923" s="41" t="str">
        <f>IFERROR(__xludf.DUMMYFUNCTION("if(REGEXMATCH(C3923,""x.com"")=TRUE,""Twitter"",if(REGEXMATCH(C3923,""facebook"")=TRUE,""Facebook"",if(REGEXMATCH(C3923,""instagram"")=TRUE,""Instagram"",if(REGEXMATCH(C3923,""youtube"")=TRUE,""Youtube"",if(REGEXMATCH(C3923,""tiktok"")=TRUE,""Tiktok"",if("&amp;"REGEXMATCH(C3923,""threads"")=TRUE,""Threads""))))))"),"Facebook")</f>
        <v>Facebook</v>
      </c>
      <c r="G3923" s="41" t="s">
        <v>6767</v>
      </c>
      <c r="H3923" s="41"/>
      <c r="I3923" s="41"/>
      <c r="J3923" s="41" t="s">
        <v>188</v>
      </c>
      <c r="K3923" s="42"/>
      <c r="L3923" s="42"/>
    </row>
    <row r="3924">
      <c r="A3924" s="18">
        <v>3923.0</v>
      </c>
      <c r="B3924" s="45">
        <v>46006.0</v>
      </c>
      <c r="C3924" s="73" t="s">
        <v>6768</v>
      </c>
      <c r="D3924" s="41"/>
      <c r="E3924" s="41" t="s">
        <v>447</v>
      </c>
      <c r="F3924" s="41" t="str">
        <f>IFERROR(__xludf.DUMMYFUNCTION("if(REGEXMATCH(C3924,""x.com"")=TRUE,""Twitter"",if(REGEXMATCH(C3924,""facebook"")=TRUE,""Facebook"",if(REGEXMATCH(C3924,""instagram"")=TRUE,""Instagram"",if(REGEXMATCH(C3924,""youtube"")=TRUE,""Youtube"",if(REGEXMATCH(C3924,""tiktok"")=TRUE,""Tiktok"",if("&amp;"REGEXMATCH(C3924,""threads"")=TRUE,""Threads""))))))"),"Facebook")</f>
        <v>Facebook</v>
      </c>
      <c r="G3924" s="41" t="s">
        <v>6769</v>
      </c>
      <c r="H3924" s="41"/>
      <c r="I3924" s="41"/>
      <c r="J3924" s="41" t="s">
        <v>188</v>
      </c>
      <c r="K3924" s="42"/>
      <c r="L3924" s="42"/>
    </row>
    <row r="3925">
      <c r="A3925" s="18">
        <v>3924.0</v>
      </c>
      <c r="B3925" s="45">
        <v>46006.0</v>
      </c>
      <c r="C3925" s="73" t="s">
        <v>6770</v>
      </c>
      <c r="D3925" s="41"/>
      <c r="E3925" s="41" t="s">
        <v>447</v>
      </c>
      <c r="F3925" s="41" t="str">
        <f>IFERROR(__xludf.DUMMYFUNCTION("if(REGEXMATCH(C3925,""x.com"")=TRUE,""Twitter"",if(REGEXMATCH(C3925,""facebook"")=TRUE,""Facebook"",if(REGEXMATCH(C3925,""instagram"")=TRUE,""Instagram"",if(REGEXMATCH(C3925,""youtube"")=TRUE,""Youtube"",if(REGEXMATCH(C3925,""tiktok"")=TRUE,""Tiktok"",if("&amp;"REGEXMATCH(C3925,""threads"")=TRUE,""Threads""))))))"),"Facebook")</f>
        <v>Facebook</v>
      </c>
      <c r="G3925" s="41" t="s">
        <v>6769</v>
      </c>
      <c r="H3925" s="41"/>
      <c r="I3925" s="41"/>
      <c r="J3925" s="41" t="s">
        <v>188</v>
      </c>
      <c r="K3925" s="42"/>
      <c r="L3925" s="42"/>
    </row>
    <row r="3926">
      <c r="A3926" s="18">
        <v>3925.0</v>
      </c>
      <c r="B3926" s="45">
        <v>46006.0</v>
      </c>
      <c r="C3926" s="73" t="s">
        <v>6771</v>
      </c>
      <c r="D3926" s="41"/>
      <c r="E3926" s="41" t="s">
        <v>447</v>
      </c>
      <c r="F3926" s="41" t="str">
        <f>IFERROR(__xludf.DUMMYFUNCTION("if(REGEXMATCH(C3926,""x.com"")=TRUE,""Twitter"",if(REGEXMATCH(C3926,""facebook"")=TRUE,""Facebook"",if(REGEXMATCH(C3926,""instagram"")=TRUE,""Instagram"",if(REGEXMATCH(C3926,""youtube"")=TRUE,""Youtube"",if(REGEXMATCH(C3926,""tiktok"")=TRUE,""Tiktok"",if("&amp;"REGEXMATCH(C3926,""threads"")=TRUE,""Threads""))))))"),"Facebook")</f>
        <v>Facebook</v>
      </c>
      <c r="G3926" s="41" t="s">
        <v>6748</v>
      </c>
      <c r="H3926" s="41"/>
      <c r="I3926" s="41"/>
      <c r="J3926" s="41" t="s">
        <v>188</v>
      </c>
      <c r="K3926" s="42"/>
      <c r="L3926" s="42"/>
    </row>
    <row r="3927">
      <c r="A3927" s="18">
        <v>3926.0</v>
      </c>
      <c r="B3927" s="45">
        <v>46006.0</v>
      </c>
      <c r="C3927" s="73" t="s">
        <v>6772</v>
      </c>
      <c r="D3927" s="41"/>
      <c r="E3927" s="41" t="s">
        <v>447</v>
      </c>
      <c r="F3927" s="41" t="str">
        <f>IFERROR(__xludf.DUMMYFUNCTION("if(REGEXMATCH(C3927,""x.com"")=TRUE,""Twitter"",if(REGEXMATCH(C3927,""facebook"")=TRUE,""Facebook"",if(REGEXMATCH(C3927,""instagram"")=TRUE,""Instagram"",if(REGEXMATCH(C3927,""youtube"")=TRUE,""Youtube"",if(REGEXMATCH(C3927,""tiktok"")=TRUE,""Tiktok"",if("&amp;"REGEXMATCH(C3927,""threads"")=TRUE,""Threads""))))))"),"Facebook")</f>
        <v>Facebook</v>
      </c>
      <c r="G3927" s="41" t="s">
        <v>6773</v>
      </c>
      <c r="H3927" s="41"/>
      <c r="I3927" s="41"/>
      <c r="J3927" s="41" t="s">
        <v>188</v>
      </c>
      <c r="K3927" s="42"/>
      <c r="L3927" s="42"/>
    </row>
    <row r="3928">
      <c r="A3928" s="18">
        <v>3927.0</v>
      </c>
      <c r="B3928" s="45">
        <v>46006.0</v>
      </c>
      <c r="C3928" s="73" t="s">
        <v>6774</v>
      </c>
      <c r="D3928" s="41"/>
      <c r="E3928" s="41" t="s">
        <v>447</v>
      </c>
      <c r="F3928" s="41" t="str">
        <f>IFERROR(__xludf.DUMMYFUNCTION("if(REGEXMATCH(C3928,""x.com"")=TRUE,""Twitter"",if(REGEXMATCH(C3928,""facebook"")=TRUE,""Facebook"",if(REGEXMATCH(C3928,""instagram"")=TRUE,""Instagram"",if(REGEXMATCH(C3928,""youtube"")=TRUE,""Youtube"",if(REGEXMATCH(C3928,""tiktok"")=TRUE,""Tiktok"",if("&amp;"REGEXMATCH(C3928,""threads"")=TRUE,""Threads""))))))"),"Facebook")</f>
        <v>Facebook</v>
      </c>
      <c r="G3928" s="41" t="s">
        <v>6769</v>
      </c>
      <c r="H3928" s="41"/>
      <c r="I3928" s="41"/>
      <c r="J3928" s="41" t="s">
        <v>188</v>
      </c>
      <c r="K3928" s="42"/>
      <c r="L3928" s="42"/>
    </row>
    <row r="3929">
      <c r="A3929" s="18">
        <v>3928.0</v>
      </c>
      <c r="B3929" s="45">
        <v>46006.0</v>
      </c>
      <c r="C3929" s="73" t="s">
        <v>6775</v>
      </c>
      <c r="D3929" s="41"/>
      <c r="E3929" s="41" t="s">
        <v>447</v>
      </c>
      <c r="F3929" s="41" t="str">
        <f>IFERROR(__xludf.DUMMYFUNCTION("if(REGEXMATCH(C3929,""x.com"")=TRUE,""Twitter"",if(REGEXMATCH(C3929,""facebook"")=TRUE,""Facebook"",if(REGEXMATCH(C3929,""instagram"")=TRUE,""Instagram"",if(REGEXMATCH(C3929,""youtube"")=TRUE,""Youtube"",if(REGEXMATCH(C3929,""tiktok"")=TRUE,""Tiktok"",if("&amp;"REGEXMATCH(C3929,""threads"")=TRUE,""Threads""))))))"),"Facebook")</f>
        <v>Facebook</v>
      </c>
      <c r="G3929" s="41" t="s">
        <v>6776</v>
      </c>
      <c r="H3929" s="41"/>
      <c r="I3929" s="41"/>
      <c r="J3929" s="41" t="s">
        <v>188</v>
      </c>
      <c r="K3929" s="42"/>
      <c r="L3929" s="42"/>
    </row>
    <row r="3930">
      <c r="A3930" s="18">
        <v>3929.0</v>
      </c>
      <c r="B3930" s="45">
        <v>46006.0</v>
      </c>
      <c r="C3930" s="73" t="s">
        <v>6777</v>
      </c>
      <c r="D3930" s="41"/>
      <c r="E3930" s="41" t="s">
        <v>447</v>
      </c>
      <c r="F3930" s="41" t="str">
        <f>IFERROR(__xludf.DUMMYFUNCTION("if(REGEXMATCH(C3930,""x.com"")=TRUE,""Twitter"",if(REGEXMATCH(C3930,""facebook"")=TRUE,""Facebook"",if(REGEXMATCH(C3930,""instagram"")=TRUE,""Instagram"",if(REGEXMATCH(C3930,""youtube"")=TRUE,""Youtube"",if(REGEXMATCH(C3930,""tiktok"")=TRUE,""Tiktok"",if("&amp;"REGEXMATCH(C3930,""threads"")=TRUE,""Threads""))))))"),"Facebook")</f>
        <v>Facebook</v>
      </c>
      <c r="G3930" s="41" t="s">
        <v>6748</v>
      </c>
      <c r="H3930" s="41"/>
      <c r="I3930" s="41"/>
      <c r="J3930" s="41" t="s">
        <v>188</v>
      </c>
      <c r="K3930" s="42"/>
      <c r="L3930" s="42"/>
    </row>
    <row r="3931">
      <c r="A3931" s="18">
        <v>3930.0</v>
      </c>
      <c r="B3931" s="45">
        <v>46006.0</v>
      </c>
      <c r="C3931" s="73" t="s">
        <v>6778</v>
      </c>
      <c r="D3931" s="41"/>
      <c r="E3931" s="41" t="s">
        <v>447</v>
      </c>
      <c r="F3931" s="41" t="str">
        <f>IFERROR(__xludf.DUMMYFUNCTION("if(REGEXMATCH(C3931,""x.com"")=TRUE,""Twitter"",if(REGEXMATCH(C3931,""facebook"")=TRUE,""Facebook"",if(REGEXMATCH(C3931,""instagram"")=TRUE,""Instagram"",if(REGEXMATCH(C3931,""youtube"")=TRUE,""Youtube"",if(REGEXMATCH(C3931,""tiktok"")=TRUE,""Tiktok"",if("&amp;"REGEXMATCH(C3931,""threads"")=TRUE,""Threads""))))))"),"Facebook")</f>
        <v>Facebook</v>
      </c>
      <c r="G3931" s="44" t="s">
        <v>6779</v>
      </c>
      <c r="H3931" s="41"/>
      <c r="I3931" s="41"/>
      <c r="J3931" s="41" t="s">
        <v>188</v>
      </c>
      <c r="K3931" s="42"/>
      <c r="L3931" s="42"/>
    </row>
    <row r="3932">
      <c r="A3932" s="18">
        <v>3931.0</v>
      </c>
      <c r="B3932" s="45">
        <v>46006.0</v>
      </c>
      <c r="C3932" s="73" t="s">
        <v>6780</v>
      </c>
      <c r="D3932" s="41"/>
      <c r="E3932" s="41" t="s">
        <v>447</v>
      </c>
      <c r="F3932" s="41" t="str">
        <f>IFERROR(__xludf.DUMMYFUNCTION("if(REGEXMATCH(C3932,""x.com"")=TRUE,""Twitter"",if(REGEXMATCH(C3932,""facebook"")=TRUE,""Facebook"",if(REGEXMATCH(C3932,""instagram"")=TRUE,""Instagram"",if(REGEXMATCH(C3932,""youtube"")=TRUE,""Youtube"",if(REGEXMATCH(C3932,""tiktok"")=TRUE,""Tiktok"",if("&amp;"REGEXMATCH(C3932,""threads"")=TRUE,""Threads""))))))"),"Facebook")</f>
        <v>Facebook</v>
      </c>
      <c r="G3932" s="41" t="s">
        <v>6776</v>
      </c>
      <c r="H3932" s="41"/>
      <c r="I3932" s="41"/>
      <c r="J3932" s="41" t="s">
        <v>188</v>
      </c>
      <c r="K3932" s="42"/>
      <c r="L3932" s="42"/>
    </row>
    <row r="3933">
      <c r="A3933" s="18">
        <v>3932.0</v>
      </c>
      <c r="B3933" s="45">
        <v>46006.0</v>
      </c>
      <c r="C3933" s="73" t="s">
        <v>6781</v>
      </c>
      <c r="D3933" s="41"/>
      <c r="E3933" s="41" t="s">
        <v>447</v>
      </c>
      <c r="F3933" s="41" t="str">
        <f>IFERROR(__xludf.DUMMYFUNCTION("if(REGEXMATCH(C3933,""x.com"")=TRUE,""Twitter"",if(REGEXMATCH(C3933,""facebook"")=TRUE,""Facebook"",if(REGEXMATCH(C3933,""instagram"")=TRUE,""Instagram"",if(REGEXMATCH(C3933,""youtube"")=TRUE,""Youtube"",if(REGEXMATCH(C3933,""tiktok"")=TRUE,""Tiktok"",if("&amp;"REGEXMATCH(C3933,""threads"")=TRUE,""Threads""))))))"),"Facebook")</f>
        <v>Facebook</v>
      </c>
      <c r="G3933" s="41" t="s">
        <v>6769</v>
      </c>
      <c r="H3933" s="41"/>
      <c r="I3933" s="41"/>
      <c r="J3933" s="41" t="s">
        <v>188</v>
      </c>
      <c r="K3933" s="42"/>
      <c r="L3933" s="42"/>
    </row>
    <row r="3934">
      <c r="A3934" s="18">
        <v>3933.0</v>
      </c>
      <c r="B3934" s="45">
        <v>46006.0</v>
      </c>
      <c r="C3934" s="73" t="s">
        <v>6782</v>
      </c>
      <c r="D3934" s="41"/>
      <c r="E3934" s="41" t="s">
        <v>447</v>
      </c>
      <c r="F3934" s="41" t="str">
        <f>IFERROR(__xludf.DUMMYFUNCTION("if(REGEXMATCH(C3934,""x.com"")=TRUE,""Twitter"",if(REGEXMATCH(C3934,""facebook"")=TRUE,""Facebook"",if(REGEXMATCH(C3934,""instagram"")=TRUE,""Instagram"",if(REGEXMATCH(C3934,""youtube"")=TRUE,""Youtube"",if(REGEXMATCH(C3934,""tiktok"")=TRUE,""Tiktok"",if("&amp;"REGEXMATCH(C3934,""threads"")=TRUE,""Threads""))))))"),"Facebook")</f>
        <v>Facebook</v>
      </c>
      <c r="G3934" s="44" t="s">
        <v>6783</v>
      </c>
      <c r="H3934" s="41"/>
      <c r="I3934" s="41"/>
      <c r="J3934" s="41" t="s">
        <v>188</v>
      </c>
      <c r="K3934" s="42"/>
      <c r="L3934" s="42"/>
    </row>
    <row r="3935">
      <c r="A3935" s="18">
        <v>3934.0</v>
      </c>
      <c r="B3935" s="45">
        <v>46006.0</v>
      </c>
      <c r="C3935" s="73" t="s">
        <v>6784</v>
      </c>
      <c r="D3935" s="41"/>
      <c r="E3935" s="41" t="s">
        <v>197</v>
      </c>
      <c r="F3935" s="41" t="str">
        <f>IFERROR(__xludf.DUMMYFUNCTION("if(REGEXMATCH(C3935,""x.com"")=TRUE,""Twitter"",if(REGEXMATCH(C3935,""facebook"")=TRUE,""Facebook"",if(REGEXMATCH(C3935,""instagram"")=TRUE,""Instagram"",if(REGEXMATCH(C3935,""youtube"")=TRUE,""Youtube"",if(REGEXMATCH(C3935,""tiktok"")=TRUE,""Tiktok"",if("&amp;"REGEXMATCH(C3935,""threads"")=TRUE,""Threads""))))))"),"Facebook")</f>
        <v>Facebook</v>
      </c>
      <c r="G3935" s="41" t="s">
        <v>6785</v>
      </c>
      <c r="H3935" s="41"/>
      <c r="I3935" s="41"/>
      <c r="J3935" s="41" t="s">
        <v>188</v>
      </c>
      <c r="K3935" s="42"/>
      <c r="L3935" s="42"/>
    </row>
    <row r="3936">
      <c r="A3936" s="18">
        <v>3935.0</v>
      </c>
      <c r="B3936" s="45">
        <v>46006.0</v>
      </c>
      <c r="C3936" s="73" t="s">
        <v>6786</v>
      </c>
      <c r="D3936" s="41"/>
      <c r="E3936" s="41" t="s">
        <v>447</v>
      </c>
      <c r="F3936" s="41" t="str">
        <f>IFERROR(__xludf.DUMMYFUNCTION("if(REGEXMATCH(C3936,""x.com"")=TRUE,""Twitter"",if(REGEXMATCH(C3936,""facebook"")=TRUE,""Facebook"",if(REGEXMATCH(C3936,""instagram"")=TRUE,""Instagram"",if(REGEXMATCH(C3936,""youtube"")=TRUE,""Youtube"",if(REGEXMATCH(C3936,""tiktok"")=TRUE,""Tiktok"",if("&amp;"REGEXMATCH(C3936,""threads"")=TRUE,""Threads""))))))"),"Facebook")</f>
        <v>Facebook</v>
      </c>
      <c r="G3936" s="41" t="s">
        <v>6787</v>
      </c>
      <c r="H3936" s="41"/>
      <c r="I3936" s="41"/>
      <c r="J3936" s="41" t="s">
        <v>188</v>
      </c>
      <c r="K3936" s="42"/>
      <c r="L3936" s="42"/>
    </row>
    <row r="3937">
      <c r="A3937" s="18">
        <v>3936.0</v>
      </c>
      <c r="B3937" s="45">
        <v>46006.0</v>
      </c>
      <c r="C3937" s="73" t="s">
        <v>6788</v>
      </c>
      <c r="D3937" s="41"/>
      <c r="E3937" s="41" t="s">
        <v>798</v>
      </c>
      <c r="F3937" s="41" t="str">
        <f>IFERROR(__xludf.DUMMYFUNCTION("if(REGEXMATCH(C3937,""x.com"")=TRUE,""Twitter"",if(REGEXMATCH(C3937,""facebook"")=TRUE,""Facebook"",if(REGEXMATCH(C3937,""instagram"")=TRUE,""Instagram"",if(REGEXMATCH(C3937,""youtube"")=TRUE,""Youtube"",if(REGEXMATCH(C3937,""tiktok"")=TRUE,""Tiktok"",if("&amp;"REGEXMATCH(C3937,""threads"")=TRUE,""Threads""))))))"),"Facebook")</f>
        <v>Facebook</v>
      </c>
      <c r="G3937" s="41" t="s">
        <v>6789</v>
      </c>
      <c r="H3937" s="41"/>
      <c r="I3937" s="41"/>
      <c r="J3937" s="41" t="s">
        <v>188</v>
      </c>
      <c r="K3937" s="42"/>
      <c r="L3937" s="42"/>
    </row>
    <row r="3938">
      <c r="A3938" s="18">
        <v>3937.0</v>
      </c>
      <c r="B3938" s="45">
        <v>46006.0</v>
      </c>
      <c r="C3938" s="73" t="s">
        <v>6790</v>
      </c>
      <c r="D3938" s="41"/>
      <c r="E3938" s="41" t="s">
        <v>447</v>
      </c>
      <c r="F3938" s="41" t="str">
        <f>IFERROR(__xludf.DUMMYFUNCTION("if(REGEXMATCH(C3938,""x.com"")=TRUE,""Twitter"",if(REGEXMATCH(C3938,""facebook"")=TRUE,""Facebook"",if(REGEXMATCH(C3938,""instagram"")=TRUE,""Instagram"",if(REGEXMATCH(C3938,""youtube"")=TRUE,""Youtube"",if(REGEXMATCH(C3938,""tiktok"")=TRUE,""Tiktok"",if("&amp;"REGEXMATCH(C3938,""threads"")=TRUE,""Threads""))))))"),"Facebook")</f>
        <v>Facebook</v>
      </c>
      <c r="G3938" s="41" t="s">
        <v>6791</v>
      </c>
      <c r="H3938" s="41"/>
      <c r="I3938" s="41"/>
      <c r="J3938" s="41" t="s">
        <v>188</v>
      </c>
      <c r="K3938" s="42"/>
      <c r="L3938" s="42"/>
    </row>
    <row r="3939">
      <c r="A3939" s="18">
        <v>3938.0</v>
      </c>
      <c r="B3939" s="45">
        <v>46006.0</v>
      </c>
      <c r="C3939" s="73" t="s">
        <v>6792</v>
      </c>
      <c r="D3939" s="41"/>
      <c r="E3939" s="41" t="s">
        <v>372</v>
      </c>
      <c r="F3939" s="41" t="str">
        <f>IFERROR(__xludf.DUMMYFUNCTION("if(REGEXMATCH(C3939,""x.com"")=TRUE,""Twitter"",if(REGEXMATCH(C3939,""facebook"")=TRUE,""Facebook"",if(REGEXMATCH(C3939,""instagram"")=TRUE,""Instagram"",if(REGEXMATCH(C3939,""youtube"")=TRUE,""Youtube"",if(REGEXMATCH(C3939,""tiktok"")=TRUE,""Tiktok"",if("&amp;"REGEXMATCH(C3939,""threads"")=TRUE,""Threads""))))))"),"Facebook")</f>
        <v>Facebook</v>
      </c>
      <c r="G3939" s="41" t="s">
        <v>6793</v>
      </c>
      <c r="H3939" s="41"/>
      <c r="I3939" s="41"/>
      <c r="J3939" s="41" t="s">
        <v>188</v>
      </c>
      <c r="K3939" s="42"/>
      <c r="L3939" s="42"/>
    </row>
    <row r="3940">
      <c r="A3940" s="18">
        <v>3939.0</v>
      </c>
      <c r="B3940" s="45">
        <v>46006.0</v>
      </c>
      <c r="C3940" s="73" t="s">
        <v>6794</v>
      </c>
      <c r="D3940" s="41"/>
      <c r="E3940" s="41" t="s">
        <v>197</v>
      </c>
      <c r="F3940" s="41" t="str">
        <f>IFERROR(__xludf.DUMMYFUNCTION("if(REGEXMATCH(C3940,""x.com"")=TRUE,""Twitter"",if(REGEXMATCH(C3940,""facebook"")=TRUE,""Facebook"",if(REGEXMATCH(C3940,""instagram"")=TRUE,""Instagram"",if(REGEXMATCH(C3940,""youtube"")=TRUE,""Youtube"",if(REGEXMATCH(C3940,""tiktok"")=TRUE,""Tiktok"",if("&amp;"REGEXMATCH(C3940,""threads"")=TRUE,""Threads""))))))"),"Facebook")</f>
        <v>Facebook</v>
      </c>
      <c r="G3940" s="41" t="s">
        <v>6795</v>
      </c>
      <c r="H3940" s="41"/>
      <c r="I3940" s="41"/>
      <c r="J3940" s="41" t="s">
        <v>188</v>
      </c>
      <c r="K3940" s="42"/>
      <c r="L3940" s="42"/>
    </row>
    <row r="3941">
      <c r="A3941" s="18">
        <v>3940.0</v>
      </c>
      <c r="B3941" s="45">
        <v>46006.0</v>
      </c>
      <c r="C3941" s="73" t="s">
        <v>6796</v>
      </c>
      <c r="D3941" s="41"/>
      <c r="E3941" s="41" t="s">
        <v>4703</v>
      </c>
      <c r="F3941" s="41" t="str">
        <f>IFERROR(__xludf.DUMMYFUNCTION("if(REGEXMATCH(C3941,""x.com"")=TRUE,""Twitter"",if(REGEXMATCH(C3941,""facebook"")=TRUE,""Facebook"",if(REGEXMATCH(C3941,""instagram"")=TRUE,""Instagram"",if(REGEXMATCH(C3941,""youtube"")=TRUE,""Youtube"",if(REGEXMATCH(C3941,""tiktok"")=TRUE,""Tiktok"",if("&amp;"REGEXMATCH(C3941,""threads"")=TRUE,""Threads""))))))"),"Twitter")</f>
        <v>Twitter</v>
      </c>
      <c r="G3941" s="41" t="s">
        <v>6797</v>
      </c>
      <c r="H3941" s="41"/>
      <c r="I3941" s="41"/>
      <c r="J3941" s="41" t="s">
        <v>188</v>
      </c>
      <c r="K3941" s="42"/>
      <c r="L3941" s="42"/>
    </row>
    <row r="3942">
      <c r="A3942" s="18">
        <v>3941.0</v>
      </c>
      <c r="B3942" s="45">
        <v>46006.0</v>
      </c>
      <c r="C3942" s="73" t="s">
        <v>6798</v>
      </c>
      <c r="D3942" s="41"/>
      <c r="E3942" s="41" t="s">
        <v>4703</v>
      </c>
      <c r="F3942" s="41" t="str">
        <f>IFERROR(__xludf.DUMMYFUNCTION("if(REGEXMATCH(C3942,""x.com"")=TRUE,""Twitter"",if(REGEXMATCH(C3942,""facebook"")=TRUE,""Facebook"",if(REGEXMATCH(C3942,""instagram"")=TRUE,""Instagram"",if(REGEXMATCH(C3942,""youtube"")=TRUE,""Youtube"",if(REGEXMATCH(C3942,""tiktok"")=TRUE,""Tiktok"",if("&amp;"REGEXMATCH(C3942,""threads"")=TRUE,""Threads""))))))"),"Twitter")</f>
        <v>Twitter</v>
      </c>
      <c r="G3942" s="41" t="s">
        <v>6799</v>
      </c>
      <c r="H3942" s="41"/>
      <c r="I3942" s="41"/>
      <c r="J3942" s="41" t="s">
        <v>188</v>
      </c>
      <c r="K3942" s="42"/>
      <c r="L3942" s="42"/>
    </row>
    <row r="3943">
      <c r="A3943" s="18">
        <v>3942.0</v>
      </c>
      <c r="B3943" s="90">
        <v>46007.0</v>
      </c>
      <c r="C3943" s="40" t="s">
        <v>6800</v>
      </c>
      <c r="D3943" s="41"/>
      <c r="E3943" s="41" t="s">
        <v>557</v>
      </c>
      <c r="F3943" s="18" t="str">
        <f>IFERROR(__xludf.DUMMYFUNCTION("if(REGEXMATCH(C3943,""x.com"")=TRUE,""Twitter"",if(REGEXMATCH(C3943,""facebook"")=TRUE,""Facebook"",if(REGEXMATCH(C3943,""instagram"")=TRUE,""Instagram"",if(REGEXMATCH(C3943,""youtube"")=TRUE,""Youtube"",if(REGEXMATCH(C3943,""tiktok"")=TRUE,""Tiktok"",if("&amp;"REGEXMATCH(C3943,""threads"")=TRUE,""Threads""))))))"),"Facebook")</f>
        <v>Facebook</v>
      </c>
      <c r="G3943" s="41" t="s">
        <v>6801</v>
      </c>
      <c r="H3943" s="18"/>
      <c r="I3943" s="41"/>
      <c r="J3943" s="41" t="s">
        <v>188</v>
      </c>
      <c r="K3943" s="41"/>
      <c r="L3943" s="42"/>
    </row>
    <row r="3944">
      <c r="A3944" s="18">
        <v>3943.0</v>
      </c>
      <c r="B3944" s="90">
        <v>46007.0</v>
      </c>
      <c r="C3944" s="40" t="s">
        <v>6802</v>
      </c>
      <c r="D3944" s="41"/>
      <c r="E3944" s="41" t="s">
        <v>557</v>
      </c>
      <c r="F3944" s="18" t="str">
        <f>IFERROR(__xludf.DUMMYFUNCTION("if(REGEXMATCH(C3944,""x.com"")=TRUE,""Twitter"",if(REGEXMATCH(C3944,""facebook"")=TRUE,""Facebook"",if(REGEXMATCH(C3944,""instagram"")=TRUE,""Instagram"",if(REGEXMATCH(C3944,""youtube"")=TRUE,""Youtube"",if(REGEXMATCH(C3944,""tiktok"")=TRUE,""Tiktok"",if("&amp;"REGEXMATCH(C3944,""threads"")=TRUE,""Threads""))))))"),"Facebook")</f>
        <v>Facebook</v>
      </c>
      <c r="G3944" s="41" t="s">
        <v>6803</v>
      </c>
      <c r="H3944" s="18"/>
      <c r="I3944" s="41"/>
      <c r="J3944" s="41" t="s">
        <v>188</v>
      </c>
      <c r="K3944" s="41"/>
      <c r="L3944" s="42"/>
    </row>
    <row r="3945">
      <c r="A3945" s="18">
        <v>3944.0</v>
      </c>
      <c r="B3945" s="90">
        <v>46007.0</v>
      </c>
      <c r="C3945" s="40" t="s">
        <v>6804</v>
      </c>
      <c r="D3945" s="41"/>
      <c r="E3945" s="41" t="s">
        <v>557</v>
      </c>
      <c r="F3945" s="18" t="str">
        <f>IFERROR(__xludf.DUMMYFUNCTION("if(REGEXMATCH(C3945,""x.com"")=TRUE,""Twitter"",if(REGEXMATCH(C3945,""facebook"")=TRUE,""Facebook"",if(REGEXMATCH(C3945,""instagram"")=TRUE,""Instagram"",if(REGEXMATCH(C3945,""youtube"")=TRUE,""Youtube"",if(REGEXMATCH(C3945,""tiktok"")=TRUE,""Tiktok"",if("&amp;"REGEXMATCH(C3945,""threads"")=TRUE,""Threads""))))))"),"Facebook")</f>
        <v>Facebook</v>
      </c>
      <c r="G3945" s="41" t="s">
        <v>6805</v>
      </c>
      <c r="H3945" s="18"/>
      <c r="I3945" s="18"/>
      <c r="J3945" s="41" t="s">
        <v>188</v>
      </c>
      <c r="K3945" s="41"/>
      <c r="L3945" s="42"/>
    </row>
    <row r="3946">
      <c r="A3946" s="18">
        <v>3945.0</v>
      </c>
      <c r="B3946" s="90">
        <v>46007.0</v>
      </c>
      <c r="C3946" s="40" t="s">
        <v>6806</v>
      </c>
      <c r="D3946" s="41"/>
      <c r="E3946" s="41" t="s">
        <v>557</v>
      </c>
      <c r="F3946" s="18" t="str">
        <f>IFERROR(__xludf.DUMMYFUNCTION("if(REGEXMATCH(C3946,""x.com"")=TRUE,""Twitter"",if(REGEXMATCH(C3946,""facebook"")=TRUE,""Facebook"",if(REGEXMATCH(C3946,""instagram"")=TRUE,""Instagram"",if(REGEXMATCH(C3946,""youtube"")=TRUE,""Youtube"",if(REGEXMATCH(C3946,""tiktok"")=TRUE,""Tiktok"",if("&amp;"REGEXMATCH(C3946,""threads"")=TRUE,""Threads""))))))"),"Facebook")</f>
        <v>Facebook</v>
      </c>
      <c r="G3946" s="41" t="s">
        <v>6807</v>
      </c>
      <c r="H3946" s="18"/>
      <c r="I3946" s="18"/>
      <c r="J3946" s="41" t="s">
        <v>188</v>
      </c>
      <c r="K3946" s="41"/>
      <c r="L3946" s="42"/>
    </row>
    <row r="3947">
      <c r="A3947" s="18">
        <v>3946.0</v>
      </c>
      <c r="B3947" s="90">
        <v>46007.0</v>
      </c>
      <c r="C3947" s="40" t="s">
        <v>6808</v>
      </c>
      <c r="D3947" s="41"/>
      <c r="E3947" s="41" t="s">
        <v>557</v>
      </c>
      <c r="F3947" s="18" t="str">
        <f>IFERROR(__xludf.DUMMYFUNCTION("if(REGEXMATCH(C3947,""x.com"")=TRUE,""Twitter"",if(REGEXMATCH(C3947,""facebook"")=TRUE,""Facebook"",if(REGEXMATCH(C3947,""instagram"")=TRUE,""Instagram"",if(REGEXMATCH(C3947,""youtube"")=TRUE,""Youtube"",if(REGEXMATCH(C3947,""tiktok"")=TRUE,""Tiktok"",if("&amp;"REGEXMATCH(C3947,""threads"")=TRUE,""Threads""))))))"),"Facebook")</f>
        <v>Facebook</v>
      </c>
      <c r="G3947" s="41" t="s">
        <v>6809</v>
      </c>
      <c r="H3947" s="18"/>
      <c r="I3947" s="18"/>
      <c r="J3947" s="41" t="s">
        <v>188</v>
      </c>
      <c r="K3947" s="41"/>
      <c r="L3947" s="42"/>
    </row>
    <row r="3948">
      <c r="A3948" s="18">
        <v>3947.0</v>
      </c>
      <c r="B3948" s="90">
        <v>46007.0</v>
      </c>
      <c r="C3948" s="40" t="s">
        <v>6810</v>
      </c>
      <c r="D3948" s="41"/>
      <c r="E3948" s="41" t="s">
        <v>557</v>
      </c>
      <c r="F3948" s="18" t="str">
        <f>IFERROR(__xludf.DUMMYFUNCTION("if(REGEXMATCH(C3948,""x.com"")=TRUE,""Twitter"",if(REGEXMATCH(C3948,""facebook"")=TRUE,""Facebook"",if(REGEXMATCH(C3948,""instagram"")=TRUE,""Instagram"",if(REGEXMATCH(C3948,""youtube"")=TRUE,""Youtube"",if(REGEXMATCH(C3948,""tiktok"")=TRUE,""Tiktok"",if("&amp;"REGEXMATCH(C3948,""threads"")=TRUE,""Threads""))))))"),"Facebook")</f>
        <v>Facebook</v>
      </c>
      <c r="G3948" s="41" t="s">
        <v>6811</v>
      </c>
      <c r="H3948" s="18"/>
      <c r="I3948" s="18"/>
      <c r="J3948" s="41" t="s">
        <v>188</v>
      </c>
      <c r="K3948" s="41"/>
      <c r="L3948" s="42"/>
    </row>
    <row r="3949">
      <c r="A3949" s="18">
        <v>3948.0</v>
      </c>
      <c r="B3949" s="90">
        <v>46007.0</v>
      </c>
      <c r="C3949" s="40" t="s">
        <v>6812</v>
      </c>
      <c r="D3949" s="41"/>
      <c r="E3949" s="41" t="s">
        <v>197</v>
      </c>
      <c r="F3949" s="18" t="str">
        <f>IFERROR(__xludf.DUMMYFUNCTION("if(REGEXMATCH(C3949,""x.com"")=TRUE,""Twitter"",if(REGEXMATCH(C3949,""facebook"")=TRUE,""Facebook"",if(REGEXMATCH(C3949,""instagram"")=TRUE,""Instagram"",if(REGEXMATCH(C3949,""youtube"")=TRUE,""Youtube"",if(REGEXMATCH(C3949,""tiktok"")=TRUE,""Tiktok"",if("&amp;"REGEXMATCH(C3949,""threads"")=TRUE,""Threads""))))))"),"Twitter")</f>
        <v>Twitter</v>
      </c>
      <c r="G3949" s="41" t="s">
        <v>6813</v>
      </c>
      <c r="H3949" s="18"/>
      <c r="I3949" s="18"/>
      <c r="J3949" s="41" t="s">
        <v>188</v>
      </c>
      <c r="K3949" s="41"/>
      <c r="L3949" s="42"/>
    </row>
    <row r="3950">
      <c r="A3950" s="18">
        <v>3949.0</v>
      </c>
      <c r="B3950" s="90">
        <v>46007.0</v>
      </c>
      <c r="C3950" s="40" t="s">
        <v>6814</v>
      </c>
      <c r="D3950" s="41"/>
      <c r="E3950" s="41" t="s">
        <v>197</v>
      </c>
      <c r="F3950" s="18" t="str">
        <f>IFERROR(__xludf.DUMMYFUNCTION("if(REGEXMATCH(C3950,""x.com"")=TRUE,""Twitter"",if(REGEXMATCH(C3950,""facebook"")=TRUE,""Facebook"",if(REGEXMATCH(C3950,""instagram"")=TRUE,""Instagram"",if(REGEXMATCH(C3950,""youtube"")=TRUE,""Youtube"",if(REGEXMATCH(C3950,""tiktok"")=TRUE,""Tiktok"",if("&amp;"REGEXMATCH(C3950,""threads"")=TRUE,""Threads""))))))"),"Twitter")</f>
        <v>Twitter</v>
      </c>
      <c r="G3950" s="41" t="s">
        <v>6815</v>
      </c>
      <c r="H3950" s="41"/>
      <c r="I3950" s="41"/>
      <c r="J3950" s="41" t="s">
        <v>188</v>
      </c>
      <c r="K3950" s="41"/>
      <c r="L3950" s="42"/>
    </row>
    <row r="3951">
      <c r="A3951" s="18">
        <v>3950.0</v>
      </c>
      <c r="B3951" s="90">
        <v>46007.0</v>
      </c>
      <c r="C3951" s="44" t="s">
        <v>6816</v>
      </c>
      <c r="D3951" s="41"/>
      <c r="E3951" s="18" t="s">
        <v>401</v>
      </c>
      <c r="F3951" s="18" t="str">
        <f>IFERROR(__xludf.DUMMYFUNCTION("if(REGEXMATCH(C3951,""x.com"")=TRUE,""Twitter"",if(REGEXMATCH(C3951,""facebook"")=TRUE,""Facebook"",if(REGEXMATCH(C3951,""instagram"")=TRUE,""Instagram"",if(REGEXMATCH(C3951,""youtube"")=TRUE,""Youtube"",if(REGEXMATCH(C3951,""tiktok"")=TRUE,""Tiktok"",if("&amp;"REGEXMATCH(C3951,""threads"")=TRUE,""Threads""))))))"),"Facebook")</f>
        <v>Facebook</v>
      </c>
      <c r="G3951" s="70" t="s">
        <v>6613</v>
      </c>
      <c r="H3951" s="41"/>
      <c r="I3951" s="41"/>
      <c r="J3951" s="41" t="s">
        <v>188</v>
      </c>
      <c r="K3951" s="41"/>
      <c r="L3951" s="42"/>
    </row>
    <row r="3952">
      <c r="A3952" s="18">
        <v>3951.0</v>
      </c>
      <c r="B3952" s="90">
        <v>46007.0</v>
      </c>
      <c r="C3952" s="44" t="s">
        <v>6817</v>
      </c>
      <c r="D3952" s="41"/>
      <c r="E3952" s="41" t="s">
        <v>372</v>
      </c>
      <c r="F3952" s="18" t="str">
        <f>IFERROR(__xludf.DUMMYFUNCTION("if(REGEXMATCH(C3952,""x.com"")=TRUE,""Twitter"",if(REGEXMATCH(C3952,""facebook"")=TRUE,""Facebook"",if(REGEXMATCH(C3952,""instagram"")=TRUE,""Instagram"",if(REGEXMATCH(C3952,""youtube"")=TRUE,""Youtube"",if(REGEXMATCH(C3952,""tiktok"")=TRUE,""Tiktok"",if("&amp;"REGEXMATCH(C3952,""threads"")=TRUE,""Threads""))))))"),"Facebook")</f>
        <v>Facebook</v>
      </c>
      <c r="G3952" s="41" t="s">
        <v>6818</v>
      </c>
      <c r="H3952" s="41"/>
      <c r="I3952" s="41"/>
      <c r="J3952" s="41" t="s">
        <v>188</v>
      </c>
      <c r="K3952" s="41"/>
      <c r="L3952" s="42"/>
    </row>
    <row r="3953">
      <c r="A3953" s="18">
        <v>3952.0</v>
      </c>
      <c r="B3953" s="90">
        <v>46007.0</v>
      </c>
      <c r="C3953" s="44" t="s">
        <v>6819</v>
      </c>
      <c r="D3953" s="41"/>
      <c r="E3953" s="41" t="s">
        <v>372</v>
      </c>
      <c r="F3953" s="18" t="str">
        <f>IFERROR(__xludf.DUMMYFUNCTION("if(REGEXMATCH(C3953,""x.com"")=TRUE,""Twitter"",if(REGEXMATCH(C3953,""facebook"")=TRUE,""Facebook"",if(REGEXMATCH(C3953,""instagram"")=TRUE,""Instagram"",if(REGEXMATCH(C3953,""youtube"")=TRUE,""Youtube"",if(REGEXMATCH(C3953,""tiktok"")=TRUE,""Tiktok"",if("&amp;"REGEXMATCH(C3953,""threads"")=TRUE,""Threads""))))))"),"Facebook")</f>
        <v>Facebook</v>
      </c>
      <c r="G3953" s="41" t="s">
        <v>6820</v>
      </c>
      <c r="H3953" s="41"/>
      <c r="I3953" s="41"/>
      <c r="J3953" s="41" t="s">
        <v>188</v>
      </c>
      <c r="K3953" s="41"/>
      <c r="L3953" s="42"/>
    </row>
    <row r="3954">
      <c r="A3954" s="18">
        <v>3953.0</v>
      </c>
      <c r="B3954" s="90">
        <v>46007.0</v>
      </c>
      <c r="C3954" s="44" t="s">
        <v>6821</v>
      </c>
      <c r="D3954" s="41"/>
      <c r="E3954" s="41" t="s">
        <v>557</v>
      </c>
      <c r="F3954" s="18" t="str">
        <f>IFERROR(__xludf.DUMMYFUNCTION("if(REGEXMATCH(C3954,""x.com"")=TRUE,""Twitter"",if(REGEXMATCH(C3954,""facebook"")=TRUE,""Facebook"",if(REGEXMATCH(C3954,""instagram"")=TRUE,""Instagram"",if(REGEXMATCH(C3954,""youtube"")=TRUE,""Youtube"",if(REGEXMATCH(C3954,""tiktok"")=TRUE,""Tiktok"",if("&amp;"REGEXMATCH(C3954,""threads"")=TRUE,""Threads""))))))"),"Facebook")</f>
        <v>Facebook</v>
      </c>
      <c r="G3954" s="41" t="s">
        <v>6822</v>
      </c>
      <c r="H3954" s="41"/>
      <c r="I3954" s="41"/>
      <c r="J3954" s="41" t="s">
        <v>188</v>
      </c>
      <c r="K3954" s="41"/>
      <c r="L3954" s="42"/>
    </row>
    <row r="3955">
      <c r="A3955" s="18">
        <v>3954.0</v>
      </c>
      <c r="B3955" s="90">
        <v>46007.0</v>
      </c>
      <c r="C3955" s="44" t="s">
        <v>6823</v>
      </c>
      <c r="D3955" s="41"/>
      <c r="E3955" s="41" t="s">
        <v>557</v>
      </c>
      <c r="F3955" s="18" t="str">
        <f>IFERROR(__xludf.DUMMYFUNCTION("if(REGEXMATCH(C3955,""x.com"")=TRUE,""Twitter"",if(REGEXMATCH(C3955,""facebook"")=TRUE,""Facebook"",if(REGEXMATCH(C3955,""instagram"")=TRUE,""Instagram"",if(REGEXMATCH(C3955,""youtube"")=TRUE,""Youtube"",if(REGEXMATCH(C3955,""tiktok"")=TRUE,""Tiktok"",if("&amp;"REGEXMATCH(C3955,""threads"")=TRUE,""Threads""))))))"),"Facebook")</f>
        <v>Facebook</v>
      </c>
      <c r="G3955" s="41" t="s">
        <v>6824</v>
      </c>
      <c r="H3955" s="41"/>
      <c r="I3955" s="41"/>
      <c r="J3955" s="41" t="s">
        <v>188</v>
      </c>
      <c r="K3955" s="41"/>
      <c r="L3955" s="42"/>
    </row>
    <row r="3956">
      <c r="A3956" s="18">
        <v>3955.0</v>
      </c>
      <c r="B3956" s="90">
        <v>46007.0</v>
      </c>
      <c r="C3956" s="44" t="s">
        <v>6825</v>
      </c>
      <c r="D3956" s="41"/>
      <c r="E3956" s="41" t="s">
        <v>557</v>
      </c>
      <c r="F3956" s="18" t="str">
        <f>IFERROR(__xludf.DUMMYFUNCTION("if(REGEXMATCH(C3956,""x.com"")=TRUE,""Twitter"",if(REGEXMATCH(C3956,""facebook"")=TRUE,""Facebook"",if(REGEXMATCH(C3956,""instagram"")=TRUE,""Instagram"",if(REGEXMATCH(C3956,""youtube"")=TRUE,""Youtube"",if(REGEXMATCH(C3956,""tiktok"")=TRUE,""Tiktok"",if("&amp;"REGEXMATCH(C3956,""threads"")=TRUE,""Threads""))))))"),"Twitter")</f>
        <v>Twitter</v>
      </c>
      <c r="G3956" s="41" t="s">
        <v>6826</v>
      </c>
      <c r="H3956" s="41"/>
      <c r="I3956" s="41"/>
      <c r="J3956" s="41" t="s">
        <v>188</v>
      </c>
      <c r="K3956" s="41"/>
      <c r="L3956" s="42"/>
    </row>
    <row r="3957">
      <c r="A3957" s="18">
        <v>3956.0</v>
      </c>
      <c r="B3957" s="90">
        <v>46007.0</v>
      </c>
      <c r="C3957" s="60" t="s">
        <v>6827</v>
      </c>
      <c r="D3957" s="41"/>
      <c r="E3957" s="61" t="s">
        <v>401</v>
      </c>
      <c r="F3957" s="18" t="str">
        <f>IFERROR(__xludf.DUMMYFUNCTION("if(REGEXMATCH(C3957,""x.com"")=TRUE,""Twitter"",if(REGEXMATCH(C3957,""facebook"")=TRUE,""Facebook"",if(REGEXMATCH(C3957,""instagram"")=TRUE,""Instagram"",if(REGEXMATCH(C3957,""youtube"")=TRUE,""Youtube"",if(REGEXMATCH(C3957,""tiktok"")=TRUE,""Tiktok"",if("&amp;"REGEXMATCH(C3957,""threads"")=TRUE,""Threads""))))))"),"Facebook")</f>
        <v>Facebook</v>
      </c>
      <c r="G3957" s="61" t="s">
        <v>6613</v>
      </c>
      <c r="H3957" s="61"/>
      <c r="I3957" s="61"/>
      <c r="J3957" s="41" t="s">
        <v>422</v>
      </c>
      <c r="K3957" s="61" t="s">
        <v>6828</v>
      </c>
      <c r="L3957" s="42"/>
    </row>
    <row r="3958">
      <c r="A3958" s="18">
        <v>3957.0</v>
      </c>
      <c r="B3958" s="90">
        <v>46007.0</v>
      </c>
      <c r="C3958" s="44" t="s">
        <v>6829</v>
      </c>
      <c r="D3958" s="41"/>
      <c r="E3958" s="41" t="s">
        <v>401</v>
      </c>
      <c r="F3958" s="18" t="str">
        <f>IFERROR(__xludf.DUMMYFUNCTION("if(REGEXMATCH(C3958,""x.com"")=TRUE,""Twitter"",if(REGEXMATCH(C3958,""facebook"")=TRUE,""Facebook"",if(REGEXMATCH(C3958,""instagram"")=TRUE,""Instagram"",if(REGEXMATCH(C3958,""youtube"")=TRUE,""Youtube"",if(REGEXMATCH(C3958,""tiktok"")=TRUE,""Tiktok"",if("&amp;"REGEXMATCH(C3958,""threads"")=TRUE,""Threads""))))))"),"Facebook")</f>
        <v>Facebook</v>
      </c>
      <c r="G3958" s="70" t="s">
        <v>6613</v>
      </c>
      <c r="H3958" s="41"/>
      <c r="I3958" s="41"/>
      <c r="J3958" s="41" t="s">
        <v>188</v>
      </c>
      <c r="K3958" s="41"/>
      <c r="L3958" s="42"/>
    </row>
    <row r="3959">
      <c r="A3959" s="18">
        <v>3958.0</v>
      </c>
      <c r="B3959" s="90">
        <v>46007.0</v>
      </c>
      <c r="C3959" s="44" t="s">
        <v>6830</v>
      </c>
      <c r="D3959" s="41"/>
      <c r="E3959" s="41" t="s">
        <v>401</v>
      </c>
      <c r="F3959" s="18" t="str">
        <f>IFERROR(__xludf.DUMMYFUNCTION("if(REGEXMATCH(C3959,""x.com"")=TRUE,""Twitter"",if(REGEXMATCH(C3959,""facebook"")=TRUE,""Facebook"",if(REGEXMATCH(C3959,""instagram"")=TRUE,""Instagram"",if(REGEXMATCH(C3959,""youtube"")=TRUE,""Youtube"",if(REGEXMATCH(C3959,""tiktok"")=TRUE,""Tiktok"",if("&amp;"REGEXMATCH(C3959,""threads"")=TRUE,""Threads""))))))"),"Facebook")</f>
        <v>Facebook</v>
      </c>
      <c r="G3959" s="70" t="s">
        <v>6613</v>
      </c>
      <c r="H3959" s="41"/>
      <c r="I3959" s="41"/>
      <c r="J3959" s="41" t="s">
        <v>188</v>
      </c>
      <c r="K3959" s="41"/>
      <c r="L3959" s="42"/>
    </row>
    <row r="3960">
      <c r="A3960" s="18">
        <v>3959.0</v>
      </c>
      <c r="B3960" s="90">
        <v>46007.0</v>
      </c>
      <c r="C3960" s="40" t="s">
        <v>6831</v>
      </c>
      <c r="D3960" s="41"/>
      <c r="E3960" s="41" t="s">
        <v>401</v>
      </c>
      <c r="F3960" s="18" t="str">
        <f>IFERROR(__xludf.DUMMYFUNCTION("if(REGEXMATCH(C3960,""x.com"")=TRUE,""Twitter"",if(REGEXMATCH(C3960,""facebook"")=TRUE,""Facebook"",if(REGEXMATCH(C3960,""instagram"")=TRUE,""Instagram"",if(REGEXMATCH(C3960,""youtube"")=TRUE,""Youtube"",if(REGEXMATCH(C3960,""tiktok"")=TRUE,""Tiktok"",if("&amp;"REGEXMATCH(C3960,""threads"")=TRUE,""Threads""))))))"),"Facebook")</f>
        <v>Facebook</v>
      </c>
      <c r="G3960" s="41" t="s">
        <v>937</v>
      </c>
      <c r="H3960" s="41" t="s">
        <v>1542</v>
      </c>
      <c r="I3960" s="41" t="s">
        <v>939</v>
      </c>
      <c r="J3960" s="41" t="s">
        <v>188</v>
      </c>
      <c r="K3960" s="41"/>
      <c r="L3960" s="41" t="str">
        <f t="shared" ref="L3960:L3971" si="4">G3960&amp;" Aanalisis Dampak: "&amp;I3960</f>
        <v>Pernyataan yang dapat menimbulkan sikap permusuhan kebencian berdasarkan SARA dan penistaan agama. Aanalisis Dampak: Dapat menimbulkan kericuhan antar umat beragama di Indonesia</v>
      </c>
    </row>
    <row r="3961">
      <c r="A3961" s="18">
        <v>3960.0</v>
      </c>
      <c r="B3961" s="90">
        <v>46007.0</v>
      </c>
      <c r="C3961" s="40" t="s">
        <v>6832</v>
      </c>
      <c r="D3961" s="41"/>
      <c r="E3961" s="41" t="s">
        <v>401</v>
      </c>
      <c r="F3961" s="18" t="str">
        <f>IFERROR(__xludf.DUMMYFUNCTION("if(REGEXMATCH(C3961,""x.com"")=TRUE,""Twitter"",if(REGEXMATCH(C3961,""facebook"")=TRUE,""Facebook"",if(REGEXMATCH(C3961,""instagram"")=TRUE,""Instagram"",if(REGEXMATCH(C3961,""youtube"")=TRUE,""Youtube"",if(REGEXMATCH(C3961,""tiktok"")=TRUE,""Tiktok"",if("&amp;"REGEXMATCH(C3961,""threads"")=TRUE,""Threads""))))))"),"Facebook")</f>
        <v>Facebook</v>
      </c>
      <c r="G3961" s="41" t="s">
        <v>937</v>
      </c>
      <c r="H3961" s="41" t="s">
        <v>1542</v>
      </c>
      <c r="I3961" s="41" t="s">
        <v>939</v>
      </c>
      <c r="J3961" s="41" t="s">
        <v>188</v>
      </c>
      <c r="K3961" s="41"/>
      <c r="L3961" s="41" t="str">
        <f t="shared" si="4"/>
        <v>Pernyataan yang dapat menimbulkan sikap permusuhan kebencian berdasarkan SARA dan penistaan agama. Aanalisis Dampak: Dapat menimbulkan kericuhan antar umat beragama di Indonesia</v>
      </c>
    </row>
    <row r="3962">
      <c r="A3962" s="18">
        <v>3961.0</v>
      </c>
      <c r="B3962" s="90">
        <v>46007.0</v>
      </c>
      <c r="C3962" s="40" t="s">
        <v>6833</v>
      </c>
      <c r="D3962" s="41"/>
      <c r="E3962" s="41" t="s">
        <v>401</v>
      </c>
      <c r="F3962" s="18" t="str">
        <f>IFERROR(__xludf.DUMMYFUNCTION("if(REGEXMATCH(C3962,""x.com"")=TRUE,""Twitter"",if(REGEXMATCH(C3962,""facebook"")=TRUE,""Facebook"",if(REGEXMATCH(C3962,""instagram"")=TRUE,""Instagram"",if(REGEXMATCH(C3962,""youtube"")=TRUE,""Youtube"",if(REGEXMATCH(C3962,""tiktok"")=TRUE,""Tiktok"",if("&amp;"REGEXMATCH(C3962,""threads"")=TRUE,""Threads""))))))"),"Facebook")</f>
        <v>Facebook</v>
      </c>
      <c r="G3962" s="41" t="s">
        <v>937</v>
      </c>
      <c r="H3962" s="41" t="s">
        <v>1542</v>
      </c>
      <c r="I3962" s="41" t="s">
        <v>939</v>
      </c>
      <c r="J3962" s="41" t="s">
        <v>188</v>
      </c>
      <c r="K3962" s="41"/>
      <c r="L3962" s="41" t="str">
        <f t="shared" si="4"/>
        <v>Pernyataan yang dapat menimbulkan sikap permusuhan kebencian berdasarkan SARA dan penistaan agama. Aanalisis Dampak: Dapat menimbulkan kericuhan antar umat beragama di Indonesia</v>
      </c>
    </row>
    <row r="3963">
      <c r="A3963" s="18">
        <v>3962.0</v>
      </c>
      <c r="B3963" s="90">
        <v>46007.0</v>
      </c>
      <c r="C3963" s="40" t="s">
        <v>6834</v>
      </c>
      <c r="D3963" s="41"/>
      <c r="E3963" s="41" t="s">
        <v>401</v>
      </c>
      <c r="F3963" s="18" t="str">
        <f>IFERROR(__xludf.DUMMYFUNCTION("if(REGEXMATCH(C3963,""x.com"")=TRUE,""Twitter"",if(REGEXMATCH(C3963,""facebook"")=TRUE,""Facebook"",if(REGEXMATCH(C3963,""instagram"")=TRUE,""Instagram"",if(REGEXMATCH(C3963,""youtube"")=TRUE,""Youtube"",if(REGEXMATCH(C3963,""tiktok"")=TRUE,""Tiktok"",if("&amp;"REGEXMATCH(C3963,""threads"")=TRUE,""Threads""))))))"),"Facebook")</f>
        <v>Facebook</v>
      </c>
      <c r="G3963" s="41" t="s">
        <v>937</v>
      </c>
      <c r="H3963" s="41" t="s">
        <v>1542</v>
      </c>
      <c r="I3963" s="41" t="s">
        <v>939</v>
      </c>
      <c r="J3963" s="41" t="s">
        <v>188</v>
      </c>
      <c r="K3963" s="41"/>
      <c r="L3963" s="41" t="str">
        <f t="shared" si="4"/>
        <v>Pernyataan yang dapat menimbulkan sikap permusuhan kebencian berdasarkan SARA dan penistaan agama. Aanalisis Dampak: Dapat menimbulkan kericuhan antar umat beragama di Indonesia</v>
      </c>
    </row>
    <row r="3964">
      <c r="A3964" s="18">
        <v>3963.0</v>
      </c>
      <c r="B3964" s="90">
        <v>46007.0</v>
      </c>
      <c r="C3964" s="40" t="s">
        <v>6835</v>
      </c>
      <c r="D3964" s="41"/>
      <c r="E3964" s="41" t="s">
        <v>401</v>
      </c>
      <c r="F3964" s="18" t="str">
        <f>IFERROR(__xludf.DUMMYFUNCTION("if(REGEXMATCH(C3964,""x.com"")=TRUE,""Twitter"",if(REGEXMATCH(C3964,""facebook"")=TRUE,""Facebook"",if(REGEXMATCH(C3964,""instagram"")=TRUE,""Instagram"",if(REGEXMATCH(C3964,""youtube"")=TRUE,""Youtube"",if(REGEXMATCH(C3964,""tiktok"")=TRUE,""Tiktok"",if("&amp;"REGEXMATCH(C3964,""threads"")=TRUE,""Threads""))))))"),"Facebook")</f>
        <v>Facebook</v>
      </c>
      <c r="G3964" s="41" t="s">
        <v>937</v>
      </c>
      <c r="H3964" s="41" t="s">
        <v>1542</v>
      </c>
      <c r="I3964" s="41" t="s">
        <v>939</v>
      </c>
      <c r="J3964" s="41" t="s">
        <v>188</v>
      </c>
      <c r="K3964" s="41"/>
      <c r="L3964" s="41" t="str">
        <f t="shared" si="4"/>
        <v>Pernyataan yang dapat menimbulkan sikap permusuhan kebencian berdasarkan SARA dan penistaan agama. Aanalisis Dampak: Dapat menimbulkan kericuhan antar umat beragama di Indonesia</v>
      </c>
    </row>
    <row r="3965">
      <c r="A3965" s="18">
        <v>3964.0</v>
      </c>
      <c r="B3965" s="90">
        <v>46007.0</v>
      </c>
      <c r="C3965" s="40" t="s">
        <v>6836</v>
      </c>
      <c r="D3965" s="41"/>
      <c r="E3965" s="41" t="s">
        <v>401</v>
      </c>
      <c r="F3965" s="18" t="str">
        <f>IFERROR(__xludf.DUMMYFUNCTION("if(REGEXMATCH(C3965,""x.com"")=TRUE,""Twitter"",if(REGEXMATCH(C3965,""facebook"")=TRUE,""Facebook"",if(REGEXMATCH(C3965,""instagram"")=TRUE,""Instagram"",if(REGEXMATCH(C3965,""youtube"")=TRUE,""Youtube"",if(REGEXMATCH(C3965,""tiktok"")=TRUE,""Tiktok"",if("&amp;"REGEXMATCH(C3965,""threads"")=TRUE,""Threads""))))))"),"Facebook")</f>
        <v>Facebook</v>
      </c>
      <c r="G3965" s="41" t="s">
        <v>937</v>
      </c>
      <c r="H3965" s="41" t="s">
        <v>1542</v>
      </c>
      <c r="I3965" s="41" t="s">
        <v>939</v>
      </c>
      <c r="J3965" s="41" t="s">
        <v>188</v>
      </c>
      <c r="K3965" s="41"/>
      <c r="L3965" s="41" t="str">
        <f t="shared" si="4"/>
        <v>Pernyataan yang dapat menimbulkan sikap permusuhan kebencian berdasarkan SARA dan penistaan agama. Aanalisis Dampak: Dapat menimbulkan kericuhan antar umat beragama di Indonesia</v>
      </c>
    </row>
    <row r="3966">
      <c r="A3966" s="18">
        <v>3965.0</v>
      </c>
      <c r="B3966" s="90">
        <v>46007.0</v>
      </c>
      <c r="C3966" s="40" t="s">
        <v>6837</v>
      </c>
      <c r="D3966" s="41"/>
      <c r="E3966" s="41" t="s">
        <v>401</v>
      </c>
      <c r="F3966" s="18" t="str">
        <f>IFERROR(__xludf.DUMMYFUNCTION("if(REGEXMATCH(C3966,""x.com"")=TRUE,""Twitter"",if(REGEXMATCH(C3966,""facebook"")=TRUE,""Facebook"",if(REGEXMATCH(C3966,""instagram"")=TRUE,""Instagram"",if(REGEXMATCH(C3966,""youtube"")=TRUE,""Youtube"",if(REGEXMATCH(C3966,""tiktok"")=TRUE,""Tiktok"",if("&amp;"REGEXMATCH(C3966,""threads"")=TRUE,""Threads""))))))"),"Facebook")</f>
        <v>Facebook</v>
      </c>
      <c r="G3966" s="41" t="s">
        <v>937</v>
      </c>
      <c r="H3966" s="41" t="s">
        <v>1542</v>
      </c>
      <c r="I3966" s="41" t="s">
        <v>939</v>
      </c>
      <c r="J3966" s="41" t="s">
        <v>188</v>
      </c>
      <c r="K3966" s="18"/>
      <c r="L3966" s="41" t="str">
        <f t="shared" si="4"/>
        <v>Pernyataan yang dapat menimbulkan sikap permusuhan kebencian berdasarkan SARA dan penistaan agama. Aanalisis Dampak: Dapat menimbulkan kericuhan antar umat beragama di Indonesia</v>
      </c>
    </row>
    <row r="3967">
      <c r="A3967" s="18">
        <v>3966.0</v>
      </c>
      <c r="B3967" s="90">
        <v>46007.0</v>
      </c>
      <c r="C3967" s="40" t="s">
        <v>6838</v>
      </c>
      <c r="D3967" s="41"/>
      <c r="E3967" s="41" t="s">
        <v>401</v>
      </c>
      <c r="F3967" s="18" t="str">
        <f>IFERROR(__xludf.DUMMYFUNCTION("if(REGEXMATCH(C3967,""x.com"")=TRUE,""Twitter"",if(REGEXMATCH(C3967,""facebook"")=TRUE,""Facebook"",if(REGEXMATCH(C3967,""instagram"")=TRUE,""Instagram"",if(REGEXMATCH(C3967,""youtube"")=TRUE,""Youtube"",if(REGEXMATCH(C3967,""tiktok"")=TRUE,""Tiktok"",if("&amp;"REGEXMATCH(C3967,""threads"")=TRUE,""Threads""))))))"),"Facebook")</f>
        <v>Facebook</v>
      </c>
      <c r="G3967" s="41" t="s">
        <v>937</v>
      </c>
      <c r="H3967" s="41" t="s">
        <v>1542</v>
      </c>
      <c r="I3967" s="41" t="s">
        <v>939</v>
      </c>
      <c r="J3967" s="41" t="s">
        <v>188</v>
      </c>
      <c r="K3967" s="41"/>
      <c r="L3967" s="41" t="str">
        <f t="shared" si="4"/>
        <v>Pernyataan yang dapat menimbulkan sikap permusuhan kebencian berdasarkan SARA dan penistaan agama. Aanalisis Dampak: Dapat menimbulkan kericuhan antar umat beragama di Indonesia</v>
      </c>
    </row>
    <row r="3968">
      <c r="A3968" s="18">
        <v>3967.0</v>
      </c>
      <c r="B3968" s="90">
        <v>46007.0</v>
      </c>
      <c r="C3968" s="40" t="s">
        <v>6839</v>
      </c>
      <c r="D3968" s="41"/>
      <c r="E3968" s="41" t="s">
        <v>401</v>
      </c>
      <c r="F3968" s="18" t="str">
        <f>IFERROR(__xludf.DUMMYFUNCTION("if(REGEXMATCH(C3968,""x.com"")=TRUE,""Twitter"",if(REGEXMATCH(C3968,""facebook"")=TRUE,""Facebook"",if(REGEXMATCH(C3968,""instagram"")=TRUE,""Instagram"",if(REGEXMATCH(C3968,""youtube"")=TRUE,""Youtube"",if(REGEXMATCH(C3968,""tiktok"")=TRUE,""Tiktok"",if("&amp;"REGEXMATCH(C3968,""threads"")=TRUE,""Threads""))))))"),"Facebook")</f>
        <v>Facebook</v>
      </c>
      <c r="G3968" s="41" t="s">
        <v>937</v>
      </c>
      <c r="H3968" s="41" t="s">
        <v>1542</v>
      </c>
      <c r="I3968" s="41" t="s">
        <v>939</v>
      </c>
      <c r="J3968" s="41" t="s">
        <v>188</v>
      </c>
      <c r="K3968" s="41"/>
      <c r="L3968" s="41" t="str">
        <f t="shared" si="4"/>
        <v>Pernyataan yang dapat menimbulkan sikap permusuhan kebencian berdasarkan SARA dan penistaan agama. Aanalisis Dampak: Dapat menimbulkan kericuhan antar umat beragama di Indonesia</v>
      </c>
    </row>
    <row r="3969">
      <c r="A3969" s="18">
        <v>3968.0</v>
      </c>
      <c r="B3969" s="90">
        <v>46007.0</v>
      </c>
      <c r="C3969" s="40" t="s">
        <v>6840</v>
      </c>
      <c r="D3969" s="41"/>
      <c r="E3969" s="41" t="s">
        <v>401</v>
      </c>
      <c r="F3969" s="18" t="str">
        <f>IFERROR(__xludf.DUMMYFUNCTION("if(REGEXMATCH(C3969,""x.com"")=TRUE,""Twitter"",if(REGEXMATCH(C3969,""facebook"")=TRUE,""Facebook"",if(REGEXMATCH(C3969,""instagram"")=TRUE,""Instagram"",if(REGEXMATCH(C3969,""youtube"")=TRUE,""Youtube"",if(REGEXMATCH(C3969,""tiktok"")=TRUE,""Tiktok"",if("&amp;"REGEXMATCH(C3969,""threads"")=TRUE,""Threads""))))))"),"Facebook")</f>
        <v>Facebook</v>
      </c>
      <c r="G3969" s="41" t="s">
        <v>937</v>
      </c>
      <c r="H3969" s="41" t="s">
        <v>1542</v>
      </c>
      <c r="I3969" s="41" t="s">
        <v>939</v>
      </c>
      <c r="J3969" s="41" t="s">
        <v>188</v>
      </c>
      <c r="K3969" s="41"/>
      <c r="L3969" s="41" t="str">
        <f t="shared" si="4"/>
        <v>Pernyataan yang dapat menimbulkan sikap permusuhan kebencian berdasarkan SARA dan penistaan agama. Aanalisis Dampak: Dapat menimbulkan kericuhan antar umat beragama di Indonesia</v>
      </c>
    </row>
    <row r="3970">
      <c r="A3970" s="18">
        <v>3969.0</v>
      </c>
      <c r="B3970" s="90">
        <v>46007.0</v>
      </c>
      <c r="C3970" s="40" t="s">
        <v>6841</v>
      </c>
      <c r="D3970" s="41"/>
      <c r="E3970" s="41" t="s">
        <v>401</v>
      </c>
      <c r="F3970" s="18" t="str">
        <f>IFERROR(__xludf.DUMMYFUNCTION("if(REGEXMATCH(C3970,""x.com"")=TRUE,""Twitter"",if(REGEXMATCH(C3970,""facebook"")=TRUE,""Facebook"",if(REGEXMATCH(C3970,""instagram"")=TRUE,""Instagram"",if(REGEXMATCH(C3970,""youtube"")=TRUE,""Youtube"",if(REGEXMATCH(C3970,""tiktok"")=TRUE,""Tiktok"",if("&amp;"REGEXMATCH(C3970,""threads"")=TRUE,""Threads""))))))"),"Facebook")</f>
        <v>Facebook</v>
      </c>
      <c r="G3970" s="41" t="s">
        <v>937</v>
      </c>
      <c r="H3970" s="41" t="s">
        <v>1542</v>
      </c>
      <c r="I3970" s="41" t="s">
        <v>939</v>
      </c>
      <c r="J3970" s="41" t="s">
        <v>188</v>
      </c>
      <c r="K3970" s="41"/>
      <c r="L3970" s="41" t="str">
        <f t="shared" si="4"/>
        <v>Pernyataan yang dapat menimbulkan sikap permusuhan kebencian berdasarkan SARA dan penistaan agama. Aanalisis Dampak: Dapat menimbulkan kericuhan antar umat beragama di Indonesia</v>
      </c>
    </row>
    <row r="3971">
      <c r="A3971" s="18">
        <v>3970.0</v>
      </c>
      <c r="B3971" s="90">
        <v>46007.0</v>
      </c>
      <c r="C3971" s="40" t="s">
        <v>6842</v>
      </c>
      <c r="D3971" s="41"/>
      <c r="E3971" s="41" t="s">
        <v>401</v>
      </c>
      <c r="F3971" s="18" t="str">
        <f>IFERROR(__xludf.DUMMYFUNCTION("if(REGEXMATCH(C3971,""x.com"")=TRUE,""Twitter"",if(REGEXMATCH(C3971,""facebook"")=TRUE,""Facebook"",if(REGEXMATCH(C3971,""instagram"")=TRUE,""Instagram"",if(REGEXMATCH(C3971,""youtube"")=TRUE,""Youtube"",if(REGEXMATCH(C3971,""tiktok"")=TRUE,""Tiktok"",if("&amp;"REGEXMATCH(C3971,""threads"")=TRUE,""Threads""))))))"),"Facebook")</f>
        <v>Facebook</v>
      </c>
      <c r="G3971" s="41" t="s">
        <v>937</v>
      </c>
      <c r="H3971" s="41" t="s">
        <v>1542</v>
      </c>
      <c r="I3971" s="41" t="s">
        <v>939</v>
      </c>
      <c r="J3971" s="41" t="s">
        <v>188</v>
      </c>
      <c r="K3971" s="41"/>
      <c r="L3971" s="41" t="str">
        <f t="shared" si="4"/>
        <v>Pernyataan yang dapat menimbulkan sikap permusuhan kebencian berdasarkan SARA dan penistaan agama. Aanalisis Dampak: Dapat menimbulkan kericuhan antar umat beragama di Indonesia</v>
      </c>
    </row>
    <row r="3972">
      <c r="A3972" s="18">
        <v>3971.0</v>
      </c>
      <c r="B3972" s="91">
        <v>46007.0</v>
      </c>
      <c r="C3972" s="92" t="s">
        <v>6843</v>
      </c>
      <c r="D3972" s="43"/>
      <c r="E3972" s="93" t="s">
        <v>184</v>
      </c>
      <c r="F3972" s="34" t="str">
        <f>IFERROR(__xludf.DUMMYFUNCTION("if(REGEXMATCH(C3972,""x.com"")=TRUE,""Twitter"",if(REGEXMATCH(C3972,""facebook"")=TRUE,""Facebook"",if(REGEXMATCH(C3972,""instagram"")=TRUE,""Instagram"",if(REGEXMATCH(C3972,""youtube"")=TRUE,""Youtube"",if(REGEXMATCH(C3972,""tiktok"")=TRUE,""Tiktok"",if("&amp;"REGEXMATCH(C3972,""threads"")=TRUE,""Threads""))))))"),"Facebook")</f>
        <v>Facebook</v>
      </c>
      <c r="G3972" s="43" t="s">
        <v>4116</v>
      </c>
      <c r="H3972" s="18" t="s">
        <v>6047</v>
      </c>
      <c r="I3972" s="43"/>
      <c r="J3972" s="43" t="s">
        <v>188</v>
      </c>
      <c r="K3972" s="43"/>
      <c r="L3972" s="42"/>
    </row>
    <row r="3973">
      <c r="A3973" s="18">
        <v>3972.0</v>
      </c>
      <c r="B3973" s="35"/>
      <c r="C3973" s="35"/>
      <c r="D3973" s="35"/>
      <c r="E3973" s="35"/>
      <c r="F3973" s="35"/>
      <c r="G3973" s="35"/>
      <c r="H3973" s="18" t="s">
        <v>6844</v>
      </c>
      <c r="I3973" s="35"/>
      <c r="J3973" s="35"/>
      <c r="K3973" s="35"/>
      <c r="L3973" s="42"/>
    </row>
    <row r="3974">
      <c r="A3974" s="18">
        <v>3973.0</v>
      </c>
      <c r="B3974" s="90">
        <v>46008.0</v>
      </c>
      <c r="C3974" s="40" t="s">
        <v>6845</v>
      </c>
      <c r="D3974" s="41"/>
      <c r="E3974" s="41" t="s">
        <v>197</v>
      </c>
      <c r="F3974" s="18" t="str">
        <f>IFERROR(__xludf.DUMMYFUNCTION("if(REGEXMATCH(C3974,""x.com"")=TRUE,""Twitter"",if(REGEXMATCH(C3974,""facebook"")=TRUE,""Facebook"",if(REGEXMATCH(C3974,""instagram"")=TRUE,""Instagram"",if(REGEXMATCH(C3974,""youtube"")=TRUE,""Youtube"",if(REGEXMATCH(C3974,""tiktok"")=TRUE,""Tiktok"",if("&amp;"REGEXMATCH(C3974,""threads"")=TRUE,""Threads""))))))"),"Facebook")</f>
        <v>Facebook</v>
      </c>
      <c r="G3974" s="41" t="s">
        <v>6846</v>
      </c>
      <c r="H3974" s="43" t="s">
        <v>2057</v>
      </c>
      <c r="I3974" s="43" t="s">
        <v>535</v>
      </c>
      <c r="J3974" s="41" t="s">
        <v>188</v>
      </c>
      <c r="K3974" s="41" t="s">
        <v>1611</v>
      </c>
      <c r="L3974" s="41" t="str">
        <f t="shared" ref="L3974:L3989" si="5">G3974&amp;" Analisis Dampak: "&amp;I3974</f>
        <v>Ditemukan konten pada media sosial Facebook yang diduga memuat unsur provokatif untuk melakukan tindakan anarkis dengan narasi "Nepalkan" Mantan Presiden Joko Widodo karena dianggap telah memainkan hukum yang ada di Indonesia dan mengajak untuk mengepung Polda Metro Jaya.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Munculnya akun dan/atau konten provokatif, ujaran kebencian, SARA menyebabkan meningkatkan persebaran manipulasi dan disinformasi, menimbulkan kegaduhan di publik, ruang menciptakan polarisasi sosial, meningkatkan ketegangan sosial yang berdampak pada gangguan keamanan dan ketertiban masyarakat serta mengganggu stabilitas dan integrasi nasional.</v>
      </c>
    </row>
    <row r="3975">
      <c r="A3975" s="18">
        <v>3974.0</v>
      </c>
      <c r="B3975" s="90">
        <v>46008.0</v>
      </c>
      <c r="C3975" s="40" t="s">
        <v>6847</v>
      </c>
      <c r="D3975" s="41"/>
      <c r="E3975" s="41" t="s">
        <v>197</v>
      </c>
      <c r="F3975" s="18" t="str">
        <f>IFERROR(__xludf.DUMMYFUNCTION("if(REGEXMATCH(C3975,""x.com"")=TRUE,""Twitter"",if(REGEXMATCH(C3975,""facebook"")=TRUE,""Facebook"",if(REGEXMATCH(C3975,""instagram"")=TRUE,""Instagram"",if(REGEXMATCH(C3975,""youtube"")=TRUE,""Youtube"",if(REGEXMATCH(C3975,""tiktok"")=TRUE,""Tiktok"",if("&amp;"REGEXMATCH(C3975,""threads"")=TRUE,""Threads""))))))"),"Facebook")</f>
        <v>Facebook</v>
      </c>
      <c r="G3975" s="41" t="s">
        <v>6848</v>
      </c>
      <c r="H3975" s="36"/>
      <c r="I3975" s="36"/>
      <c r="J3975" s="41" t="s">
        <v>188</v>
      </c>
      <c r="K3975" s="41" t="s">
        <v>1611</v>
      </c>
      <c r="L3975" s="41" t="str">
        <f t="shared" si="5"/>
        <v>Ditemukan konten pada media sosial Facebook yang diduga memuat unsur provokatif untuk melakukan tindakan anarkis dengan narasi "Nepalkan" DPR RI karena dianggap mempercepat pembahasan RUU Penyadapan dan menyepelekan rakyat.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76">
      <c r="A3976" s="18">
        <v>3975.0</v>
      </c>
      <c r="B3976" s="90">
        <v>46008.0</v>
      </c>
      <c r="C3976" s="40" t="s">
        <v>6849</v>
      </c>
      <c r="D3976" s="41"/>
      <c r="E3976" s="41" t="s">
        <v>197</v>
      </c>
      <c r="F3976" s="18" t="str">
        <f>IFERROR(__xludf.DUMMYFUNCTION("if(REGEXMATCH(C3976,""x.com"")=TRUE,""Twitter"",if(REGEXMATCH(C3976,""facebook"")=TRUE,""Facebook"",if(REGEXMATCH(C3976,""instagram"")=TRUE,""Instagram"",if(REGEXMATCH(C3976,""youtube"")=TRUE,""Youtube"",if(REGEXMATCH(C3976,""tiktok"")=TRUE,""Tiktok"",if("&amp;"REGEXMATCH(C3976,""threads"")=TRUE,""Threads""))))))"),"Facebook")</f>
        <v>Facebook</v>
      </c>
      <c r="G3976" s="41" t="s">
        <v>6850</v>
      </c>
      <c r="H3976" s="36"/>
      <c r="I3976" s="36"/>
      <c r="J3976" s="41" t="s">
        <v>188</v>
      </c>
      <c r="K3976" s="41" t="s">
        <v>1611</v>
      </c>
      <c r="L3976" s="41" t="str">
        <f t="shared" si="5"/>
        <v>Ditemukan konten pada media sosial Facebook yang diduga memuat unsur provokatif untuk melakukan tindakan anarkis dengan narasi "Nepalkan" Menteri Sosial, Saifullah Yusuf karena mengatakan bahwa untuk mengumpulkan donasi harus memiliki izin terlebih dahulu dan jika tidak memiliki izin maka dapat di denda.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77">
      <c r="A3977" s="18">
        <v>3976.0</v>
      </c>
      <c r="B3977" s="90">
        <v>46008.0</v>
      </c>
      <c r="C3977" s="40" t="s">
        <v>6851</v>
      </c>
      <c r="D3977" s="41"/>
      <c r="E3977" s="41" t="s">
        <v>197</v>
      </c>
      <c r="F3977" s="18" t="str">
        <f>IFERROR(__xludf.DUMMYFUNCTION("if(REGEXMATCH(C3977,""x.com"")=TRUE,""Twitter"",if(REGEXMATCH(C3977,""facebook"")=TRUE,""Facebook"",if(REGEXMATCH(C3977,""instagram"")=TRUE,""Instagram"",if(REGEXMATCH(C3977,""youtube"")=TRUE,""Youtube"",if(REGEXMATCH(C3977,""tiktok"")=TRUE,""Tiktok"",if("&amp;"REGEXMATCH(C3977,""threads"")=TRUE,""Threads""))))))"),"Facebook")</f>
        <v>Facebook</v>
      </c>
      <c r="G3977" s="41" t="s">
        <v>6852</v>
      </c>
      <c r="H3977" s="36"/>
      <c r="I3977" s="36"/>
      <c r="J3977" s="41" t="s">
        <v>188</v>
      </c>
      <c r="K3977" s="41" t="s">
        <v>1611</v>
      </c>
      <c r="L3977" s="41" t="str">
        <f t="shared" si="5"/>
        <v>Ditemukan konten pada media sosial Facebook yang diduga memuat unsur provokatif untuk melakukan tindakan anarkis dengan narasi "Nepalkan" Luhut Binsar Panjaitan karena dianggap telah memberikan izin bagi negara china untuk mengelola bandara morowali.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78">
      <c r="A3978" s="18">
        <v>3977.0</v>
      </c>
      <c r="B3978" s="90">
        <v>46008.0</v>
      </c>
      <c r="C3978" s="40" t="s">
        <v>6853</v>
      </c>
      <c r="D3978" s="41"/>
      <c r="E3978" s="41" t="s">
        <v>197</v>
      </c>
      <c r="F3978" s="18" t="str">
        <f>IFERROR(__xludf.DUMMYFUNCTION("if(REGEXMATCH(C3978,""x.com"")=TRUE,""Twitter"",if(REGEXMATCH(C3978,""facebook"")=TRUE,""Facebook"",if(REGEXMATCH(C3978,""instagram"")=TRUE,""Instagram"",if(REGEXMATCH(C3978,""youtube"")=TRUE,""Youtube"",if(REGEXMATCH(C3978,""tiktok"")=TRUE,""Tiktok"",if("&amp;"REGEXMATCH(C3978,""threads"")=TRUE,""Threads""))))))"),"Facebook")</f>
        <v>Facebook</v>
      </c>
      <c r="G3978" s="41" t="s">
        <v>6854</v>
      </c>
      <c r="H3978" s="36"/>
      <c r="I3978" s="36"/>
      <c r="J3978" s="41" t="s">
        <v>188</v>
      </c>
      <c r="K3978" s="41" t="s">
        <v>1611</v>
      </c>
      <c r="L3978" s="41" t="str">
        <f t="shared" si="5"/>
        <v>Ditemukan konten pada media sosial Facebook yang diduga memuat unsur provokatif untuk melakukan tindakan anarkis dengan narasi "Bubarkan" DPR mengikuti langkah yang diambil oleh negara Thailand dan dianggap merugikan rakyat dan beban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79">
      <c r="A3979" s="18">
        <v>3978.0</v>
      </c>
      <c r="B3979" s="90">
        <v>46008.0</v>
      </c>
      <c r="C3979" s="40" t="s">
        <v>6855</v>
      </c>
      <c r="D3979" s="41"/>
      <c r="E3979" s="41" t="s">
        <v>197</v>
      </c>
      <c r="F3979" s="18" t="str">
        <f>IFERROR(__xludf.DUMMYFUNCTION("if(REGEXMATCH(C3979,""x.com"")=TRUE,""Twitter"",if(REGEXMATCH(C3979,""facebook"")=TRUE,""Facebook"",if(REGEXMATCH(C3979,""instagram"")=TRUE,""Instagram"",if(REGEXMATCH(C3979,""youtube"")=TRUE,""Youtube"",if(REGEXMATCH(C3979,""tiktok"")=TRUE,""Tiktok"",if("&amp;"REGEXMATCH(C3979,""threads"")=TRUE,""Threads""))))))"),"Facebook")</f>
        <v>Facebook</v>
      </c>
      <c r="G3979" s="41" t="s">
        <v>6856</v>
      </c>
      <c r="H3979" s="36"/>
      <c r="I3979" s="36"/>
      <c r="J3979" s="41" t="s">
        <v>188</v>
      </c>
      <c r="K3979" s="41" t="s">
        <v>1611</v>
      </c>
      <c r="L3979" s="41" t="str">
        <f t="shared" si="5"/>
        <v>Ditemukan konten pada media sosial Facebook yang diduga memuat unsur provokatif untuk melakukan tindakan anarkis dengan narasi "Nepalkan" Mantan Presiden Joko Widodo yang dianggap sebagai pelindung para koruptor dan menyebutkan juga bahwa Joko Widodo merupakan PKI.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80">
      <c r="A3980" s="18">
        <v>3979.0</v>
      </c>
      <c r="B3980" s="90">
        <v>46008.0</v>
      </c>
      <c r="C3980" s="40" t="s">
        <v>6857</v>
      </c>
      <c r="D3980" s="41"/>
      <c r="E3980" s="41" t="s">
        <v>197</v>
      </c>
      <c r="F3980" s="18" t="str">
        <f>IFERROR(__xludf.DUMMYFUNCTION("if(REGEXMATCH(C3980,""x.com"")=TRUE,""Twitter"",if(REGEXMATCH(C3980,""facebook"")=TRUE,""Facebook"",if(REGEXMATCH(C3980,""instagram"")=TRUE,""Instagram"",if(REGEXMATCH(C3980,""youtube"")=TRUE,""Youtube"",if(REGEXMATCH(C3980,""tiktok"")=TRUE,""Tiktok"",if("&amp;"REGEXMATCH(C3980,""threads"")=TRUE,""Threads""))))))"),"Facebook")</f>
        <v>Facebook</v>
      </c>
      <c r="G3980" s="41" t="s">
        <v>6858</v>
      </c>
      <c r="H3980" s="36"/>
      <c r="I3980" s="36"/>
      <c r="J3980" s="41" t="s">
        <v>188</v>
      </c>
      <c r="K3980" s="41" t="s">
        <v>1611</v>
      </c>
      <c r="L3980" s="41" t="str">
        <f t="shared" si="5"/>
        <v>Ditemukan konten pada media sosial Facebook yang diduga memuat unsur provokatif untuk melakukan tindakan anarkis dengan narasi "Nepalkan" Menteri ESDM, Bahlil Lahadalia karena menolak UU Perampasan Aset bersama dengan anggota partainya sehingga dianggap hanya mementingkan diri sendiri dan kelompoknya.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81">
      <c r="A3981" s="18">
        <v>3980.0</v>
      </c>
      <c r="B3981" s="90">
        <v>46008.0</v>
      </c>
      <c r="C3981" s="40" t="s">
        <v>6859</v>
      </c>
      <c r="D3981" s="41"/>
      <c r="E3981" s="41" t="s">
        <v>197</v>
      </c>
      <c r="F3981" s="18" t="str">
        <f>IFERROR(__xludf.DUMMYFUNCTION("if(REGEXMATCH(C3981,""x.com"")=TRUE,""Twitter"",if(REGEXMATCH(C3981,""facebook"")=TRUE,""Facebook"",if(REGEXMATCH(C3981,""instagram"")=TRUE,""Instagram"",if(REGEXMATCH(C3981,""youtube"")=TRUE,""Youtube"",if(REGEXMATCH(C3981,""tiktok"")=TRUE,""Tiktok"",if("&amp;"REGEXMATCH(C3981,""threads"")=TRUE,""Threads""))))))"),"Facebook")</f>
        <v>Facebook</v>
      </c>
      <c r="G3981" s="41" t="s">
        <v>6860</v>
      </c>
      <c r="H3981" s="36"/>
      <c r="I3981" s="36"/>
      <c r="J3981" s="41" t="s">
        <v>188</v>
      </c>
      <c r="K3981" s="41" t="s">
        <v>1611</v>
      </c>
      <c r="L3981" s="41" t="str">
        <f t="shared" si="5"/>
        <v>Ditemukan konten pada media sosial Facebook yang diduga memuat unsur provokatif untuk melakukan tindakan anarkis dengan narasi "Nepalkan" Luhut Binsar Panjaitan yang dianggap sebagai pengkhianat karena melarang KPK untuk melakukan OTT terhadap para koruptor.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82">
      <c r="A3982" s="18">
        <v>3981.0</v>
      </c>
      <c r="B3982" s="90">
        <v>46008.0</v>
      </c>
      <c r="C3982" s="40" t="s">
        <v>6861</v>
      </c>
      <c r="D3982" s="41"/>
      <c r="E3982" s="41" t="s">
        <v>6862</v>
      </c>
      <c r="F3982" s="18" t="str">
        <f>IFERROR(__xludf.DUMMYFUNCTION("if(REGEXMATCH(C3982,""x.com"")=TRUE,""Twitter"",if(REGEXMATCH(C3982,""facebook"")=TRUE,""Facebook"",if(REGEXMATCH(C3982,""instagram"")=TRUE,""Instagram"",if(REGEXMATCH(C3982,""youtube"")=TRUE,""Youtube"",if(REGEXMATCH(C3982,""tiktok"")=TRUE,""Tiktok"",if("&amp;"REGEXMATCH(C3982,""threads"")=TRUE,""Threads""))))))"),"Tiktok")</f>
        <v>Tiktok</v>
      </c>
      <c r="G3982" s="41" t="s">
        <v>6863</v>
      </c>
      <c r="H3982" s="36"/>
      <c r="I3982" s="36"/>
      <c r="J3982" s="41" t="s">
        <v>188</v>
      </c>
      <c r="K3982" s="41"/>
      <c r="L3982" s="41" t="str">
        <f t="shared" si="5"/>
        <v>Ditemukan konten pada media sosial Tiktok yang diduga memuat unsur provokatif, ujaran kebencian, dan gerakan separatisme dengan mengamplifikasi tagar #SumateraMerdeka.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83">
      <c r="A3983" s="18">
        <v>3982.0</v>
      </c>
      <c r="B3983" s="90">
        <v>46008.0</v>
      </c>
      <c r="C3983" s="40" t="s">
        <v>6864</v>
      </c>
      <c r="D3983" s="41"/>
      <c r="E3983" s="41" t="s">
        <v>197</v>
      </c>
      <c r="F3983" s="18" t="str">
        <f>IFERROR(__xludf.DUMMYFUNCTION("if(REGEXMATCH(C3983,""x.com"")=TRUE,""Twitter"",if(REGEXMATCH(C3983,""facebook"")=TRUE,""Facebook"",if(REGEXMATCH(C3983,""instagram"")=TRUE,""Instagram"",if(REGEXMATCH(C3983,""youtube"")=TRUE,""Youtube"",if(REGEXMATCH(C3983,""tiktok"")=TRUE,""Tiktok"",if("&amp;"REGEXMATCH(C3983,""threads"")=TRUE,""Threads""))))))"),"Tiktok")</f>
        <v>Tiktok</v>
      </c>
      <c r="G3983" s="44" t="s">
        <v>6865</v>
      </c>
      <c r="H3983" s="36"/>
      <c r="I3983" s="36"/>
      <c r="J3983" s="41" t="s">
        <v>188</v>
      </c>
      <c r="K3983" s="41"/>
      <c r="L3983" s="41" t="str">
        <f t="shared" si="5"/>
        <v>Ditemukan akun media sosial Tiktok yang diduga menyebarkan konten- konten yang memuat unsur provokatif dengan narasi tuntutan bubarkan institusi Polri.
Adapun beberapa contoh tautan konten provokatif dari akun tersebut:
https://www.tiktok.com/@bubarkan_polri/video/7197745127308168475?_r=1&amp;_t=ZS-92J1r7WM7aG
https://www.tiktok.com/@bubarkan_polri/video/7204863834497109274?_r=1&amp;_t=ZS-92J1r7WM7aG
https://www.tiktok.com/@bubarkan_polri/video/7185392460384800027?_r=1&amp;_t=ZS-92J1r7WM7aG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84">
      <c r="A3984" s="18">
        <v>3983.0</v>
      </c>
      <c r="B3984" s="90">
        <v>46008.0</v>
      </c>
      <c r="C3984" s="40" t="s">
        <v>6866</v>
      </c>
      <c r="D3984" s="41"/>
      <c r="E3984" s="41" t="s">
        <v>197</v>
      </c>
      <c r="F3984" s="18" t="str">
        <f>IFERROR(__xludf.DUMMYFUNCTION("if(REGEXMATCH(C3984,""x.com"")=TRUE,""Twitter"",if(REGEXMATCH(C3984,""facebook"")=TRUE,""Facebook"",if(REGEXMATCH(C3984,""instagram"")=TRUE,""Instagram"",if(REGEXMATCH(C3984,""youtube"")=TRUE,""Youtube"",if(REGEXMATCH(C3984,""tiktok"")=TRUE,""Tiktok"",if("&amp;"REGEXMATCH(C3984,""threads"")=TRUE,""Threads""))))))"),"Facebook")</f>
        <v>Facebook</v>
      </c>
      <c r="G3984" s="41" t="s">
        <v>6867</v>
      </c>
      <c r="H3984" s="36"/>
      <c r="I3984" s="36"/>
      <c r="J3984" s="41" t="s">
        <v>188</v>
      </c>
      <c r="K3984" s="41"/>
      <c r="L3984" s="41" t="str">
        <f t="shared" si="5"/>
        <v>Ditemukan konten pada media sosial Facebook yang diduga memuat unsur provokatif untuk melakukan tindak anarkisme dengan narasi “nepalkan” DPR disertai dengan penggiringan opini bahwa DPR kebut pembahasan RUU penyadapan.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85">
      <c r="A3985" s="18">
        <v>3984.0</v>
      </c>
      <c r="B3985" s="90">
        <v>46008.0</v>
      </c>
      <c r="C3985" s="40" t="s">
        <v>6868</v>
      </c>
      <c r="D3985" s="41"/>
      <c r="E3985" s="41" t="s">
        <v>1178</v>
      </c>
      <c r="F3985" s="18" t="str">
        <f>IFERROR(__xludf.DUMMYFUNCTION("if(REGEXMATCH(C3985,""x.com"")=TRUE,""Twitter"",if(REGEXMATCH(C3985,""facebook"")=TRUE,""Facebook"",if(REGEXMATCH(C3985,""instagram"")=TRUE,""Instagram"",if(REGEXMATCH(C3985,""youtube"")=TRUE,""Youtube"",if(REGEXMATCH(C3985,""tiktok"")=TRUE,""Tiktok"",if("&amp;"REGEXMATCH(C3985,""threads"")=TRUE,""Threads""))))))"),"Facebook")</f>
        <v>Facebook</v>
      </c>
      <c r="G3985" s="41" t="s">
        <v>6869</v>
      </c>
      <c r="H3985" s="36"/>
      <c r="I3985" s="36"/>
      <c r="J3985" s="41" t="s">
        <v>188</v>
      </c>
      <c r="K3985" s="41"/>
      <c r="L3985" s="41" t="str">
        <f t="shared" si="5"/>
        <v>Ditemukan konten pada media sosial Facebook yang diduga memuat unsur provokatif untuk melakukan tindak kekerasan terhadap Menko Bidang Pangan Zulkifli Hasan disertai dengan narasi ujaran kebencian.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86">
      <c r="A3986" s="18">
        <v>3985.0</v>
      </c>
      <c r="B3986" s="90">
        <v>46008.0</v>
      </c>
      <c r="C3986" s="40" t="s">
        <v>6870</v>
      </c>
      <c r="D3986" s="41"/>
      <c r="E3986" s="41" t="s">
        <v>197</v>
      </c>
      <c r="F3986" s="18" t="str">
        <f>IFERROR(__xludf.DUMMYFUNCTION("if(REGEXMATCH(C3986,""x.com"")=TRUE,""Twitter"",if(REGEXMATCH(C3986,""facebook"")=TRUE,""Facebook"",if(REGEXMATCH(C3986,""instagram"")=TRUE,""Instagram"",if(REGEXMATCH(C3986,""youtube"")=TRUE,""Youtube"",if(REGEXMATCH(C3986,""tiktok"")=TRUE,""Tiktok"",if("&amp;"REGEXMATCH(C3986,""threads"")=TRUE,""Threads""))))))"),"Twitter")</f>
        <v>Twitter</v>
      </c>
      <c r="G3986" s="41" t="s">
        <v>6871</v>
      </c>
      <c r="H3986" s="36"/>
      <c r="I3986" s="36"/>
      <c r="J3986" s="41" t="s">
        <v>188</v>
      </c>
      <c r="K3986" s="41"/>
      <c r="L3986" s="41" t="str">
        <f t="shared" si="5"/>
        <v>Ditemukan konten pada media sosial Twitter yang diduga memuat unsur provokatif untuk melakukan tindak kekerasan seperti tahun 1998 dengan menepalkan DPR/MPR apabila dua tahun kepemimpinan Presiden Prabowo tidak ada perubahan yang signifikan terhadap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87">
      <c r="A3987" s="18">
        <v>3986.0</v>
      </c>
      <c r="B3987" s="90">
        <v>46008.0</v>
      </c>
      <c r="C3987" s="40" t="s">
        <v>6872</v>
      </c>
      <c r="D3987" s="41"/>
      <c r="E3987" s="41" t="s">
        <v>230</v>
      </c>
      <c r="F3987" s="18" t="str">
        <f>IFERROR(__xludf.DUMMYFUNCTION("if(REGEXMATCH(C3987,""x.com"")=TRUE,""Twitter"",if(REGEXMATCH(C3987,""facebook"")=TRUE,""Facebook"",if(REGEXMATCH(C3987,""instagram"")=TRUE,""Instagram"",if(REGEXMATCH(C3987,""youtube"")=TRUE,""Youtube"",if(REGEXMATCH(C3987,""tiktok"")=TRUE,""Tiktok"",if("&amp;"REGEXMATCH(C3987,""threads"")=TRUE,""Threads""))))))"),"Twitter")</f>
        <v>Twitter</v>
      </c>
      <c r="G3987" s="41" t="s">
        <v>6873</v>
      </c>
      <c r="H3987" s="36"/>
      <c r="I3987" s="36"/>
      <c r="J3987" s="41" t="s">
        <v>188</v>
      </c>
      <c r="K3987" s="41"/>
      <c r="L3987" s="41" t="str">
        <f t="shared" si="5"/>
        <v>Ditemukan konten pada media sosial Twitter yang diduga memuat unsur ujaran kebencian terhadap Presiden Prabowo Subianto dengan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88">
      <c r="A3988" s="18">
        <v>3987.0</v>
      </c>
      <c r="B3988" s="90">
        <v>46008.0</v>
      </c>
      <c r="C3988" s="40" t="s">
        <v>6874</v>
      </c>
      <c r="D3988" s="41"/>
      <c r="E3988" s="41" t="s">
        <v>230</v>
      </c>
      <c r="F3988" s="18" t="str">
        <f>IFERROR(__xludf.DUMMYFUNCTION("if(REGEXMATCH(C3988,""x.com"")=TRUE,""Twitter"",if(REGEXMATCH(C3988,""facebook"")=TRUE,""Facebook"",if(REGEXMATCH(C3988,""instagram"")=TRUE,""Instagram"",if(REGEXMATCH(C3988,""youtube"")=TRUE,""Youtube"",if(REGEXMATCH(C3988,""tiktok"")=TRUE,""Tiktok"",if("&amp;"REGEXMATCH(C3988,""threads"")=TRUE,""Threads""))))))"),"Twitter")</f>
        <v>Twitter</v>
      </c>
      <c r="G3988" s="41" t="s">
        <v>6875</v>
      </c>
      <c r="H3988" s="35"/>
      <c r="I3988" s="35"/>
      <c r="J3988" s="41" t="s">
        <v>188</v>
      </c>
      <c r="K3988" s="41"/>
      <c r="L3988" s="41" t="str">
        <f t="shared" si="5"/>
        <v>Ditemukan konten pada media sosial Twitter yang diduga memuat unsur ujaran kebencian terhadap Presiden Prabowo Subianto dan Wakil Presiden Gibran dengan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89">
      <c r="A3989" s="18">
        <v>3988.0</v>
      </c>
      <c r="B3989" s="90">
        <v>46008.0</v>
      </c>
      <c r="C3989" s="40" t="s">
        <v>6876</v>
      </c>
      <c r="D3989" s="41"/>
      <c r="E3989" s="41" t="s">
        <v>230</v>
      </c>
      <c r="F3989" s="18" t="str">
        <f>IFERROR(__xludf.DUMMYFUNCTION("if(REGEXMATCH(C3989,""x.com"")=TRUE,""Twitter"",if(REGEXMATCH(C3989,""facebook"")=TRUE,""Facebook"",if(REGEXMATCH(C3989,""instagram"")=TRUE,""Instagram"",if(REGEXMATCH(C3989,""youtube"")=TRUE,""Youtube"",if(REGEXMATCH(C3989,""tiktok"")=TRUE,""Tiktok"",if("&amp;"REGEXMATCH(C3989,""threads"")=TRUE,""Threads""))))))"),"Twitter")</f>
        <v>Twitter</v>
      </c>
      <c r="G3989" s="41" t="s">
        <v>6873</v>
      </c>
      <c r="H3989" s="41"/>
      <c r="I3989" s="41"/>
      <c r="J3989" s="41" t="s">
        <v>188</v>
      </c>
      <c r="K3989" s="41"/>
      <c r="L3989" s="41" t="str">
        <f t="shared" si="5"/>
        <v>Ditemukan konten pada media sosial Twitter yang diduga memuat unsur ujaran kebencian terhadap Presiden Prabowo Subianto dengan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90">
      <c r="A3990" s="18">
        <v>3989.0</v>
      </c>
      <c r="B3990" s="91">
        <v>46008.0</v>
      </c>
      <c r="C3990" s="94" t="s">
        <v>6877</v>
      </c>
      <c r="D3990" s="34"/>
      <c r="E3990" s="34" t="s">
        <v>184</v>
      </c>
      <c r="F3990" s="34" t="str">
        <f>IFERROR(__xludf.DUMMYFUNCTION("if(REGEXMATCH(C3990,""x.com"")=TRUE,""Twitter"",if(REGEXMATCH(C3990,""facebook"")=TRUE,""Facebook"",if(REGEXMATCH(C3990,""instagram"")=TRUE,""Instagram"",if(REGEXMATCH(C3990,""youtube"")=TRUE,""Youtube"",if(REGEXMATCH(C3990,""tiktok"")=TRUE,""Tiktok"",if("&amp;"REGEXMATCH(C3990,""threads"")=TRUE,""Threads""))))))"),"Facebook")</f>
        <v>Facebook</v>
      </c>
      <c r="G3990" s="43" t="s">
        <v>4116</v>
      </c>
      <c r="H3990" s="18" t="s">
        <v>6047</v>
      </c>
      <c r="I3990" s="43">
        <v>1.0</v>
      </c>
      <c r="J3990" s="43" t="s">
        <v>188</v>
      </c>
      <c r="K3990" s="43" t="s">
        <v>3490</v>
      </c>
      <c r="L3990" s="95"/>
    </row>
    <row r="3991">
      <c r="A3991" s="18">
        <v>3990.0</v>
      </c>
      <c r="B3991" s="35"/>
      <c r="C3991" s="35"/>
      <c r="D3991" s="35"/>
      <c r="E3991" s="35"/>
      <c r="F3991" s="35"/>
      <c r="G3991" s="35"/>
      <c r="H3991" s="18" t="s">
        <v>6844</v>
      </c>
      <c r="I3991" s="35"/>
      <c r="J3991" s="35"/>
      <c r="K3991" s="35"/>
      <c r="L3991" s="35"/>
    </row>
    <row r="3992">
      <c r="A3992" s="18">
        <v>3991.0</v>
      </c>
      <c r="B3992" s="90">
        <v>46009.0</v>
      </c>
      <c r="C3992" s="44" t="s">
        <v>6878</v>
      </c>
      <c r="D3992" s="41"/>
      <c r="E3992" s="41" t="s">
        <v>447</v>
      </c>
      <c r="F3992" s="18" t="str">
        <f>IFERROR(__xludf.DUMMYFUNCTION("if(REGEXMATCH(C3992,""x.com"")=TRUE,""Twitter"",if(REGEXMATCH(C3992,""facebook"")=TRUE,""Facebook"",if(REGEXMATCH(C3992,""instagram"")=TRUE,""Instagram"",if(REGEXMATCH(C3992,""youtube"")=TRUE,""Youtube"",if(REGEXMATCH(C3992,""tiktok"")=TRUE,""Tiktok"",if("&amp;"REGEXMATCH(C3992,""threads"")=TRUE,""Threads""))))))"),"Tiktok")</f>
        <v>Tiktok</v>
      </c>
      <c r="G3992" s="41" t="s">
        <v>6879</v>
      </c>
      <c r="H3992" s="43" t="s">
        <v>779</v>
      </c>
      <c r="I3992" s="43" t="s">
        <v>535</v>
      </c>
      <c r="J3992" s="41" t="s">
        <v>188</v>
      </c>
      <c r="K3992" s="41" t="s">
        <v>1611</v>
      </c>
      <c r="L3992" s="41" t="str">
        <f t="shared" ref="L3992:L4026" si="6">G3992&amp;" Analisis Dampak: "&amp;I3992</f>
        <v>Ditemukan konten pada media sosial Tiktok yang diduga memuat unsur disinformasi dengan narasi bahwa Indonesia dianggap telah di genosida oleh para petinggi di negeri ini karena lambatnya penanganan bencana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Munculnya akun dan/atau konten provokatif, ujaran kebencian, SARA menyebabkan meningkatkan persebaran manipulasi dan disinformasi, menimbulkan kegaduhan di publik, ruang menciptakan polarisasi sosial, meningkatkan ketegangan sosial yang berdampak pada gangguan keamanan dan ketertiban masyarakat serta mengganggu stabilitas dan integrasi nasional.</v>
      </c>
    </row>
    <row r="3993">
      <c r="A3993" s="18">
        <v>3992.0</v>
      </c>
      <c r="B3993" s="90">
        <v>46009.0</v>
      </c>
      <c r="C3993" s="44" t="s">
        <v>6880</v>
      </c>
      <c r="D3993" s="41"/>
      <c r="E3993" s="41" t="s">
        <v>197</v>
      </c>
      <c r="F3993" s="18" t="str">
        <f>IFERROR(__xludf.DUMMYFUNCTION("if(REGEXMATCH(C3993,""x.com"")=TRUE,""Twitter"",if(REGEXMATCH(C3993,""facebook"")=TRUE,""Facebook"",if(REGEXMATCH(C3993,""instagram"")=TRUE,""Instagram"",if(REGEXMATCH(C3993,""youtube"")=TRUE,""Youtube"",if(REGEXMATCH(C3993,""tiktok"")=TRUE,""Tiktok"",if("&amp;"REGEXMATCH(C3993,""threads"")=TRUE,""Threads""))))))"),"Facebook")</f>
        <v>Facebook</v>
      </c>
      <c r="G3993" s="41" t="s">
        <v>6881</v>
      </c>
      <c r="H3993" s="36"/>
      <c r="I3993" s="36"/>
      <c r="J3993" s="41" t="s">
        <v>188</v>
      </c>
      <c r="K3993" s="41" t="s">
        <v>1611</v>
      </c>
      <c r="L3993" s="41" t="str">
        <f t="shared" si="6"/>
        <v>Ditemukan konten pada media sosial Facebook yang diduga memuat unsur provokatif untuk melakukan tindakan anarkis dengan narasi "Nepalkan" Menteri Koordinator Bidang Pangan, Zulkifli Hasan karena dianggap sebagai pengikut Joko Widodo dan Oligarki serta sumber bencana dan musibah bangsa.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94">
      <c r="A3994" s="18">
        <v>3993.0</v>
      </c>
      <c r="B3994" s="90">
        <v>46009.0</v>
      </c>
      <c r="C3994" s="44" t="s">
        <v>6882</v>
      </c>
      <c r="D3994" s="41"/>
      <c r="E3994" s="41" t="s">
        <v>197</v>
      </c>
      <c r="F3994" s="18" t="str">
        <f>IFERROR(__xludf.DUMMYFUNCTION("if(REGEXMATCH(C3994,""x.com"")=TRUE,""Twitter"",if(REGEXMATCH(C3994,""facebook"")=TRUE,""Facebook"",if(REGEXMATCH(C3994,""instagram"")=TRUE,""Instagram"",if(REGEXMATCH(C3994,""youtube"")=TRUE,""Youtube"",if(REGEXMATCH(C3994,""tiktok"")=TRUE,""Tiktok"",if("&amp;"REGEXMATCH(C3994,""threads"")=TRUE,""Threads""))))))"),"Facebook")</f>
        <v>Facebook</v>
      </c>
      <c r="G3994" s="41" t="s">
        <v>6883</v>
      </c>
      <c r="H3994" s="36"/>
      <c r="I3994" s="36"/>
      <c r="J3994" s="41" t="s">
        <v>188</v>
      </c>
      <c r="K3994" s="41" t="s">
        <v>1611</v>
      </c>
      <c r="L3994" s="41" t="str">
        <f t="shared" si="6"/>
        <v>Ditemukan konten pada media sosial Facebook yang diduga memuat unsur provokatif untuk melakukan tindakan anarkis dengan narasi "Nepalkan" Luhut Binsar Pandjaitan karena mengatakan bahwa jika China tidak diizinkan mengelola bandara Morowali maka akan keluar dari Indonesia.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95">
      <c r="A3995" s="18">
        <v>3994.0</v>
      </c>
      <c r="B3995" s="90">
        <v>46009.0</v>
      </c>
      <c r="C3995" s="44" t="s">
        <v>6884</v>
      </c>
      <c r="D3995" s="41"/>
      <c r="E3995" s="41" t="s">
        <v>372</v>
      </c>
      <c r="F3995" s="18" t="str">
        <f>IFERROR(__xludf.DUMMYFUNCTION("if(REGEXMATCH(C3995,""x.com"")=TRUE,""Twitter"",if(REGEXMATCH(C3995,""facebook"")=TRUE,""Facebook"",if(REGEXMATCH(C3995,""instagram"")=TRUE,""Instagram"",if(REGEXMATCH(C3995,""youtube"")=TRUE,""Youtube"",if(REGEXMATCH(C3995,""tiktok"")=TRUE,""Tiktok"",if("&amp;"REGEXMATCH(C3995,""threads"")=TRUE,""Threads""))))))"),"Facebook")</f>
        <v>Facebook</v>
      </c>
      <c r="G3995" s="41" t="s">
        <v>6885</v>
      </c>
      <c r="H3995" s="36"/>
      <c r="I3995" s="36"/>
      <c r="J3995" s="41" t="s">
        <v>188</v>
      </c>
      <c r="K3995" s="41" t="s">
        <v>1611</v>
      </c>
      <c r="L3995" s="41" t="str">
        <f t="shared" si="6"/>
        <v>Ditemukan konten pada media sosial Facebook yang diduga memuat unsur provokatif dan disinformasi dengan narasi "Nepalkan" Joko Widodo karena dianggap pengkhianat negara disertai dengan penjelasan bahwa ijazah Joko Widodo mengandung minyak babi dan memanipulasi foto yang tidak memiliki rambut.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96">
      <c r="A3996" s="18">
        <v>3995.0</v>
      </c>
      <c r="B3996" s="90">
        <v>46009.0</v>
      </c>
      <c r="C3996" s="44" t="s">
        <v>6886</v>
      </c>
      <c r="D3996" s="41"/>
      <c r="E3996" s="41" t="s">
        <v>197</v>
      </c>
      <c r="F3996" s="18" t="str">
        <f>IFERROR(__xludf.DUMMYFUNCTION("if(REGEXMATCH(C3996,""x.com"")=TRUE,""Twitter"",if(REGEXMATCH(C3996,""facebook"")=TRUE,""Facebook"",if(REGEXMATCH(C3996,""instagram"")=TRUE,""Instagram"",if(REGEXMATCH(C3996,""youtube"")=TRUE,""Youtube"",if(REGEXMATCH(C3996,""tiktok"")=TRUE,""Tiktok"",if("&amp;"REGEXMATCH(C3996,""threads"")=TRUE,""Threads""))))))"),"Facebook")</f>
        <v>Facebook</v>
      </c>
      <c r="G3996" s="41" t="s">
        <v>6887</v>
      </c>
      <c r="H3996" s="36"/>
      <c r="I3996" s="36"/>
      <c r="J3996" s="41" t="s">
        <v>188</v>
      </c>
      <c r="K3996" s="41" t="s">
        <v>1611</v>
      </c>
      <c r="L3996" s="41" t="str">
        <f t="shared" si="6"/>
        <v>Ditemukan konten pada media sosial Facebook yang diduga memuat unsur provokatif untuk melakukan tindakan anarkis dengan narasi “Nepalkan” dan Makzulkan wakil presiden, Gibran Rakabuming Raka dan Joko Widodo karena dianggap pengkhianat dengan menggunakan ijazah palsu.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97">
      <c r="A3997" s="18">
        <v>3996.0</v>
      </c>
      <c r="B3997" s="90">
        <v>46009.0</v>
      </c>
      <c r="C3997" s="44" t="s">
        <v>6888</v>
      </c>
      <c r="D3997" s="41"/>
      <c r="E3997" s="41" t="s">
        <v>197</v>
      </c>
      <c r="F3997" s="18" t="str">
        <f>IFERROR(__xludf.DUMMYFUNCTION("if(REGEXMATCH(C3997,""x.com"")=TRUE,""Twitter"",if(REGEXMATCH(C3997,""facebook"")=TRUE,""Facebook"",if(REGEXMATCH(C3997,""instagram"")=TRUE,""Instagram"",if(REGEXMATCH(C3997,""youtube"")=TRUE,""Youtube"",if(REGEXMATCH(C3997,""tiktok"")=TRUE,""Tiktok"",if("&amp;"REGEXMATCH(C3997,""threads"")=TRUE,""Threads""))))))"),"Facebook")</f>
        <v>Facebook</v>
      </c>
      <c r="G3997" s="41" t="s">
        <v>6889</v>
      </c>
      <c r="H3997" s="36"/>
      <c r="I3997" s="36"/>
      <c r="J3997" s="41" t="s">
        <v>188</v>
      </c>
      <c r="K3997" s="41" t="s">
        <v>1611</v>
      </c>
      <c r="L3997" s="41" t="str">
        <f t="shared" si="6"/>
        <v>Ditemukan konten pada media sosial Facebook yang diduga memuat unsur provokatif untuk melakukan tindakan anarkis dengan narasi makzulkan Gibran Rakabuming Raka dan Joko Widodo yang merupakan pengkhianat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98">
      <c r="A3998" s="18">
        <v>3997.0</v>
      </c>
      <c r="B3998" s="90">
        <v>46009.0</v>
      </c>
      <c r="C3998" s="44" t="s">
        <v>6890</v>
      </c>
      <c r="D3998" s="41"/>
      <c r="E3998" s="41" t="s">
        <v>197</v>
      </c>
      <c r="F3998" s="18" t="str">
        <f>IFERROR(__xludf.DUMMYFUNCTION("if(REGEXMATCH(C3998,""x.com"")=TRUE,""Twitter"",if(REGEXMATCH(C3998,""facebook"")=TRUE,""Facebook"",if(REGEXMATCH(C3998,""instagram"")=TRUE,""Instagram"",if(REGEXMATCH(C3998,""youtube"")=TRUE,""Youtube"",if(REGEXMATCH(C3998,""tiktok"")=TRUE,""Tiktok"",if("&amp;"REGEXMATCH(C3998,""threads"")=TRUE,""Threads""))))))"),"Facebook")</f>
        <v>Facebook</v>
      </c>
      <c r="G3998" s="41" t="s">
        <v>6891</v>
      </c>
      <c r="H3998" s="36"/>
      <c r="I3998" s="36"/>
      <c r="J3998" s="41" t="s">
        <v>188</v>
      </c>
      <c r="K3998" s="41" t="s">
        <v>1611</v>
      </c>
      <c r="L3998" s="41" t="str">
        <f t="shared" si="6"/>
        <v>Ditemukan konten pada media sosial Facebook yang diduga memuat unsur provokatif untuk melakukan tindakan anarkis dengan narasi "Bubarkan” DPR jika tidak segera membahas dan mengesahkan UU Perampasan Aset agar tidak menambah beban negara.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3999">
      <c r="A3999" s="18">
        <v>3998.0</v>
      </c>
      <c r="B3999" s="90">
        <v>46009.0</v>
      </c>
      <c r="C3999" s="44" t="s">
        <v>6892</v>
      </c>
      <c r="D3999" s="41"/>
      <c r="E3999" s="41" t="s">
        <v>197</v>
      </c>
      <c r="F3999" s="18" t="str">
        <f>IFERROR(__xludf.DUMMYFUNCTION("if(REGEXMATCH(C3999,""x.com"")=TRUE,""Twitter"",if(REGEXMATCH(C3999,""facebook"")=TRUE,""Facebook"",if(REGEXMATCH(C3999,""instagram"")=TRUE,""Instagram"",if(REGEXMATCH(C3999,""youtube"")=TRUE,""Youtube"",if(REGEXMATCH(C3999,""tiktok"")=TRUE,""Tiktok"",if("&amp;"REGEXMATCH(C3999,""threads"")=TRUE,""Threads""))))))"),"Facebook")</f>
        <v>Facebook</v>
      </c>
      <c r="G3999" s="41" t="s">
        <v>6893</v>
      </c>
      <c r="H3999" s="36"/>
      <c r="I3999" s="36"/>
      <c r="J3999" s="41" t="s">
        <v>188</v>
      </c>
      <c r="K3999" s="41" t="s">
        <v>1611</v>
      </c>
      <c r="L3999" s="41" t="str">
        <f t="shared" si="6"/>
        <v>Ditemukan konten pada media sosial Facebook yang diduga memuat unsur provokatif untuk melakukan tindakan anarkis dengan narasi "Bubarkan” DPR karena dianggap tidak memiliki manfaat sama sekali dan tidak produktif.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00">
      <c r="A4000" s="18">
        <v>3999.0</v>
      </c>
      <c r="B4000" s="90">
        <v>46009.0</v>
      </c>
      <c r="C4000" s="44" t="s">
        <v>6894</v>
      </c>
      <c r="D4000" s="41"/>
      <c r="E4000" s="41" t="s">
        <v>197</v>
      </c>
      <c r="F4000" s="18" t="str">
        <f>IFERROR(__xludf.DUMMYFUNCTION("if(REGEXMATCH(C4000,""x.com"")=TRUE,""Twitter"",if(REGEXMATCH(C4000,""facebook"")=TRUE,""Facebook"",if(REGEXMATCH(C4000,""instagram"")=TRUE,""Instagram"",if(REGEXMATCH(C4000,""youtube"")=TRUE,""Youtube"",if(REGEXMATCH(C4000,""tiktok"")=TRUE,""Tiktok"",if("&amp;"REGEXMATCH(C4000,""threads"")=TRUE,""Threads""))))))"),"Facebook")</f>
        <v>Facebook</v>
      </c>
      <c r="G4000" s="41" t="s">
        <v>6895</v>
      </c>
      <c r="H4000" s="36"/>
      <c r="I4000" s="36"/>
      <c r="J4000" s="41" t="s">
        <v>188</v>
      </c>
      <c r="K4000" s="41"/>
      <c r="L4000" s="41" t="str">
        <f t="shared" si="6"/>
        <v>Ditemukan konten pada media sosial Facebook yang diduga memuat unsur provokatif untuk melakukan tindakan anarkis dengan narasi "Bubarkan” DPR karena dinilai sudah tidak mampu mewakili rakyat dan hanya mempersulit rakyat.
Penyebaran informasi yang mengandung unsur provokatif dan separatisme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01">
      <c r="A4001" s="18">
        <v>4000.0</v>
      </c>
      <c r="B4001" s="90">
        <v>46009.0</v>
      </c>
      <c r="C4001" s="44" t="s">
        <v>6896</v>
      </c>
      <c r="D4001" s="41"/>
      <c r="E4001" s="41" t="s">
        <v>557</v>
      </c>
      <c r="F4001" s="18" t="str">
        <f>IFERROR(__xludf.DUMMYFUNCTION("if(REGEXMATCH(C4001,""x.com"")=TRUE,""Twitter"",if(REGEXMATCH(C4001,""facebook"")=TRUE,""Facebook"",if(REGEXMATCH(C4001,""instagram"")=TRUE,""Instagram"",if(REGEXMATCH(C4001,""youtube"")=TRUE,""Youtube"",if(REGEXMATCH(C4001,""tiktok"")=TRUE,""Tiktok"",if("&amp;"REGEXMATCH(C4001,""threads"")=TRUE,""Threads""))))))"),"Facebook")</f>
        <v>Facebook</v>
      </c>
      <c r="G4001" s="41" t="s">
        <v>6897</v>
      </c>
      <c r="H4001" s="36"/>
      <c r="I4001" s="36"/>
      <c r="J4001" s="41" t="s">
        <v>188</v>
      </c>
      <c r="K4001" s="41"/>
      <c r="L4001" s="41" t="str">
        <f t="shared" si="6"/>
        <v>Ditemukan konten pada media sosial Facebook yang diduga memuat unsur provokatif dan gerakan separatisme dengan narasi “Sumatera Merdeka” disebabkan oleh pemerintah saat ini yang tidak mendengarkan aspirasi dari rakyat yang seakan-akan tidak peduli.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02">
      <c r="A4002" s="18">
        <v>4001.0</v>
      </c>
      <c r="B4002" s="90">
        <v>46009.0</v>
      </c>
      <c r="C4002" s="44" t="s">
        <v>6898</v>
      </c>
      <c r="D4002" s="41"/>
      <c r="E4002" s="41" t="s">
        <v>557</v>
      </c>
      <c r="F4002" s="18" t="str">
        <f>IFERROR(__xludf.DUMMYFUNCTION("if(REGEXMATCH(C4002,""x.com"")=TRUE,""Twitter"",if(REGEXMATCH(C4002,""facebook"")=TRUE,""Facebook"",if(REGEXMATCH(C4002,""instagram"")=TRUE,""Instagram"",if(REGEXMATCH(C4002,""youtube"")=TRUE,""Youtube"",if(REGEXMATCH(C4002,""tiktok"")=TRUE,""Tiktok"",if("&amp;"REGEXMATCH(C4002,""threads"")=TRUE,""Threads""))))))"),"Facebook")</f>
        <v>Facebook</v>
      </c>
      <c r="G4002" s="41" t="s">
        <v>6899</v>
      </c>
      <c r="H4002" s="36"/>
      <c r="I4002" s="36"/>
      <c r="J4002" s="41" t="s">
        <v>188</v>
      </c>
      <c r="K4002" s="41"/>
      <c r="L4002" s="41" t="str">
        <f t="shared" si="6"/>
        <v>Ditemukan konten pada media sosial Facebook yang diduga memuat unsur provokatif dan gerakan separatisme dengan narasi Aceh merdeka dengan menampilkan beberapa orang yang membawa bendera Gerakan Aceh Merdeka (GAM) dan menuntut banjir Aceh dan Sumatera Utara untuk dijadikan sebagai bencana nasional.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03">
      <c r="A4003" s="18">
        <v>4002.0</v>
      </c>
      <c r="B4003" s="90">
        <v>46009.0</v>
      </c>
      <c r="C4003" s="44" t="s">
        <v>6900</v>
      </c>
      <c r="D4003" s="41"/>
      <c r="E4003" s="41" t="s">
        <v>557</v>
      </c>
      <c r="F4003" s="18" t="str">
        <f>IFERROR(__xludf.DUMMYFUNCTION("if(REGEXMATCH(C4003,""x.com"")=TRUE,""Twitter"",if(REGEXMATCH(C4003,""facebook"")=TRUE,""Facebook"",if(REGEXMATCH(C4003,""instagram"")=TRUE,""Instagram"",if(REGEXMATCH(C4003,""youtube"")=TRUE,""Youtube"",if(REGEXMATCH(C4003,""tiktok"")=TRUE,""Tiktok"",if("&amp;"REGEXMATCH(C4003,""threads"")=TRUE,""Threads""))))))"),"Facebook")</f>
        <v>Facebook</v>
      </c>
      <c r="G4003" s="41" t="s">
        <v>6901</v>
      </c>
      <c r="H4003" s="36"/>
      <c r="I4003" s="36"/>
      <c r="J4003" s="41" t="s">
        <v>188</v>
      </c>
      <c r="K4003" s="41"/>
      <c r="L4003" s="41" t="str">
        <f t="shared" si="6"/>
        <v>Ditemukan konten pada media sosial Facebook yang diduga memuat unsur provokatif dan gerakan separatisme dengan narasi Nias Merdeka jika bencana alam Sumatera tidak ditetapkan sebagai bencana nasional, yang dikatakan oleh salah satu anggota DPRD Sumatera Utara.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04">
      <c r="A4004" s="18">
        <v>4003.0</v>
      </c>
      <c r="B4004" s="90">
        <v>46009.0</v>
      </c>
      <c r="C4004" s="44" t="s">
        <v>6902</v>
      </c>
      <c r="D4004" s="41"/>
      <c r="E4004" s="41" t="s">
        <v>2820</v>
      </c>
      <c r="F4004" s="18" t="str">
        <f>IFERROR(__xludf.DUMMYFUNCTION("if(REGEXMATCH(C4004,""x.com"")=TRUE,""Twitter"",if(REGEXMATCH(C4004,""facebook"")=TRUE,""Facebook"",if(REGEXMATCH(C4004,""instagram"")=TRUE,""Instagram"",if(REGEXMATCH(C4004,""youtube"")=TRUE,""Youtube"",if(REGEXMATCH(C4004,""tiktok"")=TRUE,""Tiktok"",if("&amp;"REGEXMATCH(C4004,""threads"")=TRUE,""Threads""))))))"),"Tiktok")</f>
        <v>Tiktok</v>
      </c>
      <c r="G4004" s="41" t="s">
        <v>6903</v>
      </c>
      <c r="H4004" s="36"/>
      <c r="I4004" s="36"/>
      <c r="J4004" s="41" t="s">
        <v>188</v>
      </c>
      <c r="K4004" s="41"/>
      <c r="L4004" s="41" t="str">
        <f t="shared" si="6"/>
        <v>Ditemukan konten pada media sosial TikTok yang diduga memuat unsur provokatif dan berpotensi mengarah pada narasi separatisme “Sumatera Merdeka”, melalui penggunaan tagar dan narasi #SumateraMerdeka yang mengaitkan bencana di wilayah Aceh dan Sumatera dengan persepsi ketidakmampuan pemerintah dalam penanganan bencana, sehingga berpotensi dimanfaatkan untuk mendorong wacana pemisahan diri dari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05">
      <c r="A4005" s="18">
        <v>4004.0</v>
      </c>
      <c r="B4005" s="90">
        <v>46009.0</v>
      </c>
      <c r="C4005" s="44" t="s">
        <v>6904</v>
      </c>
      <c r="D4005" s="41"/>
      <c r="E4005" s="41" t="s">
        <v>197</v>
      </c>
      <c r="F4005" s="18" t="str">
        <f>IFERROR(__xludf.DUMMYFUNCTION("if(REGEXMATCH(C4005,""x.com"")=TRUE,""Twitter"",if(REGEXMATCH(C4005,""facebook"")=TRUE,""Facebook"",if(REGEXMATCH(C4005,""instagram"")=TRUE,""Instagram"",if(REGEXMATCH(C4005,""youtube"")=TRUE,""Youtube"",if(REGEXMATCH(C4005,""tiktok"")=TRUE,""Tiktok"",if("&amp;"REGEXMATCH(C4005,""threads"")=TRUE,""Threads""))))))"),"Facebook")</f>
        <v>Facebook</v>
      </c>
      <c r="G4005" s="41" t="s">
        <v>6905</v>
      </c>
      <c r="H4005" s="36"/>
      <c r="I4005" s="36"/>
      <c r="J4005" s="41" t="s">
        <v>188</v>
      </c>
      <c r="K4005" s="41"/>
      <c r="L4005" s="41" t="str">
        <f t="shared" si="6"/>
        <v>Ditemukan konten pada media sosial Facebook yang diduga mengandung muatan provokatif berupa ajakan melakukan tindakan kekerasan terhadap Luhut Binsar Pandjaitan dan mantan Presiden Joko Widodo, dengan penggunaan narasi “nepalkan” yang dimaknai sebagai dorongan tindakan kekerasan, disertai ujaran kebencian berupa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06">
      <c r="A4006" s="18">
        <v>4005.0</v>
      </c>
      <c r="B4006" s="90">
        <v>46009.0</v>
      </c>
      <c r="C4006" s="44" t="s">
        <v>6906</v>
      </c>
      <c r="D4006" s="41"/>
      <c r="E4006" s="41" t="s">
        <v>2820</v>
      </c>
      <c r="F4006" s="18" t="str">
        <f>IFERROR(__xludf.DUMMYFUNCTION("if(REGEXMATCH(C4006,""x.com"")=TRUE,""Twitter"",if(REGEXMATCH(C4006,""facebook"")=TRUE,""Facebook"",if(REGEXMATCH(C4006,""instagram"")=TRUE,""Instagram"",if(REGEXMATCH(C4006,""youtube"")=TRUE,""Youtube"",if(REGEXMATCH(C4006,""tiktok"")=TRUE,""Tiktok"",if("&amp;"REGEXMATCH(C4006,""threads"")=TRUE,""Threads""))))))"),"Facebook")</f>
        <v>Facebook</v>
      </c>
      <c r="G4006" s="41" t="s">
        <v>6907</v>
      </c>
      <c r="H4006" s="36"/>
      <c r="I4006" s="36"/>
      <c r="J4006" s="41" t="s">
        <v>188</v>
      </c>
      <c r="K4006" s="41"/>
      <c r="L4006" s="41" t="str">
        <f t="shared" si="6"/>
        <v>Ditemukan konten pada platform media sosial Facebook yang diduga mengandung unsur provokatif dan indikasi separatisme, berupa video hasil rekayasa kecerdasan buatan (AI) yang menampilkan sekelompok prajurit sedang melakukan pertemuan, disertai narasi ajakan untuk membuka akses bantuan dari pihak luar negeri dengan ancaman bahwa masyarakat terdampak bencana akan memisahkan diri dari Negara Kesatuan Republik Indonesia (NKRI).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07">
      <c r="A4007" s="18">
        <v>4006.0</v>
      </c>
      <c r="B4007" s="90">
        <v>46009.0</v>
      </c>
      <c r="C4007" s="44" t="s">
        <v>6908</v>
      </c>
      <c r="D4007" s="41"/>
      <c r="E4007" s="41" t="s">
        <v>197</v>
      </c>
      <c r="F4007" s="18" t="str">
        <f>IFERROR(__xludf.DUMMYFUNCTION("if(REGEXMATCH(C4007,""x.com"")=TRUE,""Twitter"",if(REGEXMATCH(C4007,""facebook"")=TRUE,""Facebook"",if(REGEXMATCH(C4007,""instagram"")=TRUE,""Instagram"",if(REGEXMATCH(C4007,""youtube"")=TRUE,""Youtube"",if(REGEXMATCH(C4007,""tiktok"")=TRUE,""Tiktok"",if("&amp;"REGEXMATCH(C4007,""threads"")=TRUE,""Threads""))))))"),"Facebook")</f>
        <v>Facebook</v>
      </c>
      <c r="G4007" s="41" t="s">
        <v>6909</v>
      </c>
      <c r="H4007" s="36"/>
      <c r="I4007" s="36"/>
      <c r="J4007" s="41" t="s">
        <v>188</v>
      </c>
      <c r="K4007" s="41"/>
      <c r="L4007" s="41" t="str">
        <f t="shared" si="6"/>
        <v>Ditemukan konten pada media sosial Facebook yang diduga mengandung muatan provokatif berupa ajakan melakukan tindakan kekerasan terhadap Presiden Prabowo Subianto dengan narasi “nepalkan” dan dikaitkan dengan narasi bencana di Aceh-Sumatera.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08">
      <c r="A4008" s="18">
        <v>4007.0</v>
      </c>
      <c r="B4008" s="90">
        <v>46009.0</v>
      </c>
      <c r="C4008" s="44" t="s">
        <v>6910</v>
      </c>
      <c r="D4008" s="41"/>
      <c r="E4008" s="41" t="s">
        <v>197</v>
      </c>
      <c r="F4008" s="18" t="str">
        <f>IFERROR(__xludf.DUMMYFUNCTION("if(REGEXMATCH(C4008,""x.com"")=TRUE,""Twitter"",if(REGEXMATCH(C4008,""facebook"")=TRUE,""Facebook"",if(REGEXMATCH(C4008,""instagram"")=TRUE,""Instagram"",if(REGEXMATCH(C4008,""youtube"")=TRUE,""Youtube"",if(REGEXMATCH(C4008,""tiktok"")=TRUE,""Tiktok"",if("&amp;"REGEXMATCH(C4008,""threads"")=TRUE,""Threads""))))))"),"Facebook")</f>
        <v>Facebook</v>
      </c>
      <c r="G4008" s="41" t="s">
        <v>6911</v>
      </c>
      <c r="H4008" s="36"/>
      <c r="I4008" s="36"/>
      <c r="J4008" s="41" t="s">
        <v>188</v>
      </c>
      <c r="K4008" s="41"/>
      <c r="L4008" s="41" t="str">
        <f t="shared" si="6"/>
        <v>Ditemukan konten pada media sosial Facebook yang diduga mengandung muatan provokatif berupa ajakan melakukan tindakan kekerasan terhadap Kepala BGN dengan narasi “nepalkan” yang dikaitkan dengan penggiringan opini aktivitas Kepala BGN yang sedang berolahraga Golf ditengah bencana Aceh - Sumatera.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09">
      <c r="A4009" s="18">
        <v>4008.0</v>
      </c>
      <c r="B4009" s="90">
        <v>46009.0</v>
      </c>
      <c r="C4009" s="44" t="s">
        <v>6912</v>
      </c>
      <c r="D4009" s="41"/>
      <c r="E4009" s="41" t="s">
        <v>197</v>
      </c>
      <c r="F4009" s="18" t="str">
        <f>IFERROR(__xludf.DUMMYFUNCTION("if(REGEXMATCH(C4009,""x.com"")=TRUE,""Twitter"",if(REGEXMATCH(C4009,""facebook"")=TRUE,""Facebook"",if(REGEXMATCH(C4009,""instagram"")=TRUE,""Instagram"",if(REGEXMATCH(C4009,""youtube"")=TRUE,""Youtube"",if(REGEXMATCH(C4009,""tiktok"")=TRUE,""Tiktok"",if("&amp;"REGEXMATCH(C4009,""threads"")=TRUE,""Threads""))))))"),"Facebook")</f>
        <v>Facebook</v>
      </c>
      <c r="G4009" s="41" t="s">
        <v>6913</v>
      </c>
      <c r="H4009" s="36"/>
      <c r="I4009" s="36"/>
      <c r="J4009" s="41" t="s">
        <v>188</v>
      </c>
      <c r="K4009" s="41"/>
      <c r="L4009" s="41" t="str">
        <f t="shared" si="6"/>
        <v>Ditemukan konten pada media sosial Facebook yang diduga mengandung muatan provokatif berupa ajakan melakukan tindakan kekerasan terhadap Presiden Prabowo Subianto dan Wakil Presiden Gibran dengan narasi “nepalkan” dan dikaitkan dengan narasi dugaan pembalakan liar oleh PT. Tusam Hutan Lestari.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10">
      <c r="A4010" s="18">
        <v>4009.0</v>
      </c>
      <c r="B4010" s="90">
        <v>46009.0</v>
      </c>
      <c r="C4010" s="44" t="s">
        <v>6914</v>
      </c>
      <c r="D4010" s="41"/>
      <c r="E4010" s="41" t="s">
        <v>6915</v>
      </c>
      <c r="F4010" s="18" t="str">
        <f>IFERROR(__xludf.DUMMYFUNCTION("if(REGEXMATCH(C4010,""x.com"")=TRUE,""Twitter"",if(REGEXMATCH(C4010,""facebook"")=TRUE,""Facebook"",if(REGEXMATCH(C4010,""instagram"")=TRUE,""Instagram"",if(REGEXMATCH(C4010,""youtube"")=TRUE,""Youtube"",if(REGEXMATCH(C4010,""tiktok"")=TRUE,""Tiktok"",if("&amp;"REGEXMATCH(C4010,""threads"")=TRUE,""Threads""))))))"),"Facebook")</f>
        <v>Facebook</v>
      </c>
      <c r="G4010" s="41" t="s">
        <v>6916</v>
      </c>
      <c r="H4010" s="36"/>
      <c r="I4010" s="36"/>
      <c r="J4010" s="41" t="s">
        <v>188</v>
      </c>
      <c r="K4010" s="41"/>
      <c r="L4010" s="41" t="str">
        <f t="shared" si="6"/>
        <v>Ditemukan konten pada platform media sosial Facebook yang diduga mengandung disinformasi berupa video Presiden Prabowo Subianto dan mantan Presiden Joko Widodo yang diduga merupakan hasil manipulasi menggunakan teknologi kecerdasan buatan (AI), disertai muatan provokatif berupa ajakan melakukan tindak kekerasan dengan narasi “nepakan”, serta ujaran kebencian yang menggunakan kata-kata kasar dan tidak pantas.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v>
      </c>
    </row>
    <row r="4011">
      <c r="A4011" s="18">
        <v>4010.0</v>
      </c>
      <c r="B4011" s="90">
        <v>46009.0</v>
      </c>
      <c r="C4011" s="44" t="s">
        <v>6917</v>
      </c>
      <c r="D4011" s="41"/>
      <c r="E4011" s="41" t="s">
        <v>1178</v>
      </c>
      <c r="F4011" s="18" t="str">
        <f>IFERROR(__xludf.DUMMYFUNCTION("if(REGEXMATCH(C4011,""x.com"")=TRUE,""Twitter"",if(REGEXMATCH(C4011,""facebook"")=TRUE,""Facebook"",if(REGEXMATCH(C4011,""instagram"")=TRUE,""Instagram"",if(REGEXMATCH(C4011,""youtube"")=TRUE,""Youtube"",if(REGEXMATCH(C4011,""tiktok"")=TRUE,""Tiktok"",if("&amp;"REGEXMATCH(C4011,""threads"")=TRUE,""Threads""))))))"),"Facebook")</f>
        <v>Facebook</v>
      </c>
      <c r="G4011" s="41" t="s">
        <v>6918</v>
      </c>
      <c r="H4011" s="35"/>
      <c r="I4011" s="35"/>
      <c r="J4011" s="41" t="s">
        <v>188</v>
      </c>
      <c r="K4011" s="41"/>
      <c r="L4011" s="41" t="str">
        <f t="shared" si="6"/>
        <v>Ditemukan konten pada platform media sosial Facebook yang diduga mengandung disinformasi, berupa video mantan Presiden Joko Widodo yang diduga merupakan hasil manipulasi menggunakan teknologi kecerdasan buatan (AI), disertai muatan provokatif berupa ajakan untuk mengadili mantan Presiden Jokowi dengan tuduhan “raja tega” terkait penggundulan hutan sebagai penyebab bencana, serta narasi yang menuduhnya sebagai pemimpin keturunan PKI. Analisis Dampak: </v>
      </c>
    </row>
    <row r="4012">
      <c r="A4012" s="18">
        <v>4011.0</v>
      </c>
      <c r="B4012" s="90">
        <v>46009.0</v>
      </c>
      <c r="C4012" s="40" t="s">
        <v>6919</v>
      </c>
      <c r="D4012" s="41"/>
      <c r="E4012" s="41" t="s">
        <v>401</v>
      </c>
      <c r="F4012" s="18" t="str">
        <f>IFERROR(__xludf.DUMMYFUNCTION("if(REGEXMATCH(C4012,""x.com"")=TRUE,""Twitter"",if(REGEXMATCH(C4012,""facebook"")=TRUE,""Facebook"",if(REGEXMATCH(C4012,""instagram"")=TRUE,""Instagram"",if(REGEXMATCH(C4012,""youtube"")=TRUE,""Youtube"",if(REGEXMATCH(C4012,""tiktok"")=TRUE,""Tiktok"",if("&amp;"REGEXMATCH(C4012,""threads"")=TRUE,""Threads""))))))"),"Facebook")</f>
        <v>Facebook</v>
      </c>
      <c r="G4012" s="41" t="s">
        <v>937</v>
      </c>
      <c r="H4012" s="41" t="s">
        <v>1542</v>
      </c>
      <c r="I4012" s="41" t="s">
        <v>939</v>
      </c>
      <c r="J4012" s="41" t="s">
        <v>188</v>
      </c>
      <c r="K4012" s="41"/>
      <c r="L4012" s="41" t="str">
        <f t="shared" si="6"/>
        <v>Pernyataan yang dapat menimbulkan sikap permusuhan kebencian berdasarkan SARA dan penistaan agama. Analisis Dampak: Dapat menimbulkan kericuhan antar umat beragama di Indonesia</v>
      </c>
    </row>
    <row r="4013">
      <c r="A4013" s="18">
        <v>4012.0</v>
      </c>
      <c r="B4013" s="90">
        <v>46009.0</v>
      </c>
      <c r="C4013" s="40" t="s">
        <v>6920</v>
      </c>
      <c r="D4013" s="41"/>
      <c r="E4013" s="41" t="s">
        <v>401</v>
      </c>
      <c r="F4013" s="18" t="str">
        <f>IFERROR(__xludf.DUMMYFUNCTION("if(REGEXMATCH(C4013,""x.com"")=TRUE,""Twitter"",if(REGEXMATCH(C4013,""facebook"")=TRUE,""Facebook"",if(REGEXMATCH(C4013,""instagram"")=TRUE,""Instagram"",if(REGEXMATCH(C4013,""youtube"")=TRUE,""Youtube"",if(REGEXMATCH(C4013,""tiktok"")=TRUE,""Tiktok"",if("&amp;"REGEXMATCH(C4013,""threads"")=TRUE,""Threads""))))))"),"Facebook")</f>
        <v>Facebook</v>
      </c>
      <c r="G4013" s="41" t="s">
        <v>937</v>
      </c>
      <c r="H4013" s="41" t="s">
        <v>1542</v>
      </c>
      <c r="I4013" s="41" t="s">
        <v>939</v>
      </c>
      <c r="J4013" s="41" t="s">
        <v>188</v>
      </c>
      <c r="K4013" s="41"/>
      <c r="L4013" s="41" t="str">
        <f t="shared" si="6"/>
        <v>Pernyataan yang dapat menimbulkan sikap permusuhan kebencian berdasarkan SARA dan penistaan agama. Analisis Dampak: Dapat menimbulkan kericuhan antar umat beragama di Indonesia</v>
      </c>
    </row>
    <row r="4014">
      <c r="A4014" s="18">
        <v>4013.0</v>
      </c>
      <c r="B4014" s="90">
        <v>46009.0</v>
      </c>
      <c r="C4014" s="40" t="s">
        <v>6921</v>
      </c>
      <c r="D4014" s="41"/>
      <c r="E4014" s="41" t="s">
        <v>401</v>
      </c>
      <c r="F4014" s="18" t="str">
        <f>IFERROR(__xludf.DUMMYFUNCTION("if(REGEXMATCH(C4014,""x.com"")=TRUE,""Twitter"",if(REGEXMATCH(C4014,""facebook"")=TRUE,""Facebook"",if(REGEXMATCH(C4014,""instagram"")=TRUE,""Instagram"",if(REGEXMATCH(C4014,""youtube"")=TRUE,""Youtube"",if(REGEXMATCH(C4014,""tiktok"")=TRUE,""Tiktok"",if("&amp;"REGEXMATCH(C4014,""threads"")=TRUE,""Threads""))))))"),"Facebook")</f>
        <v>Facebook</v>
      </c>
      <c r="G4014" s="41" t="s">
        <v>937</v>
      </c>
      <c r="H4014" s="41" t="s">
        <v>1542</v>
      </c>
      <c r="I4014" s="41" t="s">
        <v>939</v>
      </c>
      <c r="J4014" s="41" t="s">
        <v>188</v>
      </c>
      <c r="K4014" s="41"/>
      <c r="L4014" s="41" t="str">
        <f t="shared" si="6"/>
        <v>Pernyataan yang dapat menimbulkan sikap permusuhan kebencian berdasarkan SARA dan penistaan agama. Analisis Dampak: Dapat menimbulkan kericuhan antar umat beragama di Indonesia</v>
      </c>
    </row>
    <row r="4015">
      <c r="A4015" s="18">
        <v>4014.0</v>
      </c>
      <c r="B4015" s="90">
        <v>46009.0</v>
      </c>
      <c r="C4015" s="40" t="s">
        <v>6922</v>
      </c>
      <c r="D4015" s="41"/>
      <c r="E4015" s="41" t="s">
        <v>401</v>
      </c>
      <c r="F4015" s="18" t="str">
        <f>IFERROR(__xludf.DUMMYFUNCTION("if(REGEXMATCH(C4015,""x.com"")=TRUE,""Twitter"",if(REGEXMATCH(C4015,""facebook"")=TRUE,""Facebook"",if(REGEXMATCH(C4015,""instagram"")=TRUE,""Instagram"",if(REGEXMATCH(C4015,""youtube"")=TRUE,""Youtube"",if(REGEXMATCH(C4015,""tiktok"")=TRUE,""Tiktok"",if("&amp;"REGEXMATCH(C4015,""threads"")=TRUE,""Threads""))))))"),"Facebook")</f>
        <v>Facebook</v>
      </c>
      <c r="G4015" s="41" t="s">
        <v>937</v>
      </c>
      <c r="H4015" s="41" t="s">
        <v>1542</v>
      </c>
      <c r="I4015" s="41" t="s">
        <v>939</v>
      </c>
      <c r="J4015" s="41" t="s">
        <v>188</v>
      </c>
      <c r="K4015" s="41"/>
      <c r="L4015" s="41" t="str">
        <f t="shared" si="6"/>
        <v>Pernyataan yang dapat menimbulkan sikap permusuhan kebencian berdasarkan SARA dan penistaan agama. Analisis Dampak: Dapat menimbulkan kericuhan antar umat beragama di Indonesia</v>
      </c>
    </row>
    <row r="4016">
      <c r="A4016" s="18">
        <v>4015.0</v>
      </c>
      <c r="B4016" s="90">
        <v>46009.0</v>
      </c>
      <c r="C4016" s="40" t="s">
        <v>6923</v>
      </c>
      <c r="D4016" s="41"/>
      <c r="E4016" s="41" t="s">
        <v>401</v>
      </c>
      <c r="F4016" s="18" t="str">
        <f>IFERROR(__xludf.DUMMYFUNCTION("if(REGEXMATCH(C4016,""x.com"")=TRUE,""Twitter"",if(REGEXMATCH(C4016,""facebook"")=TRUE,""Facebook"",if(REGEXMATCH(C4016,""instagram"")=TRUE,""Instagram"",if(REGEXMATCH(C4016,""youtube"")=TRUE,""Youtube"",if(REGEXMATCH(C4016,""tiktok"")=TRUE,""Tiktok"",if("&amp;"REGEXMATCH(C4016,""threads"")=TRUE,""Threads""))))))"),"Facebook")</f>
        <v>Facebook</v>
      </c>
      <c r="G4016" s="41" t="s">
        <v>937</v>
      </c>
      <c r="H4016" s="41" t="s">
        <v>1542</v>
      </c>
      <c r="I4016" s="41" t="s">
        <v>939</v>
      </c>
      <c r="J4016" s="41" t="s">
        <v>188</v>
      </c>
      <c r="K4016" s="41"/>
      <c r="L4016" s="41" t="str">
        <f t="shared" si="6"/>
        <v>Pernyataan yang dapat menimbulkan sikap permusuhan kebencian berdasarkan SARA dan penistaan agama. Analisis Dampak: Dapat menimbulkan kericuhan antar umat beragama di Indonesia</v>
      </c>
    </row>
    <row r="4017">
      <c r="A4017" s="18">
        <v>4016.0</v>
      </c>
      <c r="B4017" s="90">
        <v>46009.0</v>
      </c>
      <c r="C4017" s="73" t="s">
        <v>6924</v>
      </c>
      <c r="D4017" s="41"/>
      <c r="E4017" s="41" t="s">
        <v>401</v>
      </c>
      <c r="F4017" s="18" t="str">
        <f>IFERROR(__xludf.DUMMYFUNCTION("if(REGEXMATCH(C4017,""x.com"")=TRUE,""Twitter"",if(REGEXMATCH(C4017,""facebook"")=TRUE,""Facebook"",if(REGEXMATCH(C4017,""instagram"")=TRUE,""Instagram"",if(REGEXMATCH(C4017,""youtube"")=TRUE,""Youtube"",if(REGEXMATCH(C4017,""tiktok"")=TRUE,""Tiktok"",if("&amp;"REGEXMATCH(C4017,""threads"")=TRUE,""Threads""))))))"),"Facebook")</f>
        <v>Facebook</v>
      </c>
      <c r="G4017" s="41" t="s">
        <v>937</v>
      </c>
      <c r="H4017" s="41" t="s">
        <v>1542</v>
      </c>
      <c r="I4017" s="41" t="s">
        <v>939</v>
      </c>
      <c r="J4017" s="41" t="s">
        <v>188</v>
      </c>
      <c r="K4017" s="41"/>
      <c r="L4017" s="41" t="str">
        <f t="shared" si="6"/>
        <v>Pernyataan yang dapat menimbulkan sikap permusuhan kebencian berdasarkan SARA dan penistaan agama. Analisis Dampak: Dapat menimbulkan kericuhan antar umat beragama di Indonesia</v>
      </c>
    </row>
    <row r="4018">
      <c r="A4018" s="18">
        <v>4017.0</v>
      </c>
      <c r="B4018" s="90">
        <v>46009.0</v>
      </c>
      <c r="C4018" s="40" t="s">
        <v>6925</v>
      </c>
      <c r="D4018" s="41"/>
      <c r="E4018" s="41" t="s">
        <v>401</v>
      </c>
      <c r="F4018" s="18" t="str">
        <f>IFERROR(__xludf.DUMMYFUNCTION("if(REGEXMATCH(C4018,""x.com"")=TRUE,""Twitter"",if(REGEXMATCH(C4018,""facebook"")=TRUE,""Facebook"",if(REGEXMATCH(C4018,""instagram"")=TRUE,""Instagram"",if(REGEXMATCH(C4018,""youtube"")=TRUE,""Youtube"",if(REGEXMATCH(C4018,""tiktok"")=TRUE,""Tiktok"",if("&amp;"REGEXMATCH(C4018,""threads"")=TRUE,""Threads""))))))"),"Facebook")</f>
        <v>Facebook</v>
      </c>
      <c r="G4018" s="41" t="s">
        <v>937</v>
      </c>
      <c r="H4018" s="41" t="s">
        <v>1542</v>
      </c>
      <c r="I4018" s="41" t="s">
        <v>939</v>
      </c>
      <c r="J4018" s="41" t="s">
        <v>188</v>
      </c>
      <c r="K4018" s="18"/>
      <c r="L4018" s="41" t="str">
        <f t="shared" si="6"/>
        <v>Pernyataan yang dapat menimbulkan sikap permusuhan kebencian berdasarkan SARA dan penistaan agama. Analisis Dampak: Dapat menimbulkan kericuhan antar umat beragama di Indonesia</v>
      </c>
    </row>
    <row r="4019">
      <c r="A4019" s="18">
        <v>4018.0</v>
      </c>
      <c r="B4019" s="90">
        <v>46009.0</v>
      </c>
      <c r="C4019" s="40" t="s">
        <v>6926</v>
      </c>
      <c r="D4019" s="41"/>
      <c r="E4019" s="41" t="s">
        <v>1178</v>
      </c>
      <c r="F4019" s="18" t="str">
        <f>IFERROR(__xludf.DUMMYFUNCTION("if(REGEXMATCH(C4019,""x.com"")=TRUE,""Twitter"",if(REGEXMATCH(C4019,""facebook"")=TRUE,""Facebook"",if(REGEXMATCH(C4019,""instagram"")=TRUE,""Instagram"",if(REGEXMATCH(C4019,""youtube"")=TRUE,""Youtube"",if(REGEXMATCH(C4019,""tiktok"")=TRUE,""Tiktok"",if("&amp;"REGEXMATCH(C4019,""threads"")=TRUE,""Threads""))))))"),"Twitter")</f>
        <v>Twitter</v>
      </c>
      <c r="G4019" s="41" t="s">
        <v>2135</v>
      </c>
      <c r="H4019" s="41" t="s">
        <v>2136</v>
      </c>
      <c r="I4019" s="41" t="s">
        <v>2137</v>
      </c>
      <c r="J4019" s="41" t="s">
        <v>188</v>
      </c>
      <c r="K4019" s="41"/>
      <c r="L4019" s="41" t="str">
        <f t="shared" si="6"/>
        <v>Ditemukan konten pada media sosial yang diduga memiliki muatan provokatif dan ujaran kebencian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Munculnya akun dan/atau konten provokatif, ujaran kebencian, SARA menyebabkan meningkatkan persebaran manipulasi dan disinformasi, Dapat menimbulkan kegaduhan di publik serta ketegangan sosial yang berdampak pada gangguan keamanan dan ketertiban dikalangan masyarakat, mengganggu stabilitas dan integrasi nasional.</v>
      </c>
    </row>
    <row r="4020">
      <c r="A4020" s="18">
        <v>4019.0</v>
      </c>
      <c r="B4020" s="90">
        <v>46009.0</v>
      </c>
      <c r="C4020" s="40" t="s">
        <v>6927</v>
      </c>
      <c r="D4020" s="41"/>
      <c r="E4020" s="41" t="s">
        <v>1178</v>
      </c>
      <c r="F4020" s="18" t="str">
        <f>IFERROR(__xludf.DUMMYFUNCTION("if(REGEXMATCH(C4020,""x.com"")=TRUE,""Twitter"",if(REGEXMATCH(C4020,""facebook"")=TRUE,""Facebook"",if(REGEXMATCH(C4020,""instagram"")=TRUE,""Instagram"",if(REGEXMATCH(C4020,""youtube"")=TRUE,""Youtube"",if(REGEXMATCH(C4020,""tiktok"")=TRUE,""Tiktok"",if("&amp;"REGEXMATCH(C4020,""threads"")=TRUE,""Threads""))))))"),"Twitter")</f>
        <v>Twitter</v>
      </c>
      <c r="G4020" s="41" t="s">
        <v>2135</v>
      </c>
      <c r="H4020" s="41" t="s">
        <v>2136</v>
      </c>
      <c r="I4020" s="41" t="s">
        <v>2137</v>
      </c>
      <c r="J4020" s="41" t="s">
        <v>188</v>
      </c>
      <c r="K4020" s="41"/>
      <c r="L4020" s="41" t="str">
        <f t="shared" si="6"/>
        <v>Ditemukan konten pada media sosial yang diduga memiliki muatan provokatif dan ujaran kebencian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Munculnya akun dan/atau konten provokatif, ujaran kebencian, SARA menyebabkan meningkatkan persebaran manipulasi dan disinformasi, Dapat menimbulkan kegaduhan di publik serta ketegangan sosial yang berdampak pada gangguan keamanan dan ketertiban dikalangan masyarakat, mengganggu stabilitas dan integrasi nasional.</v>
      </c>
    </row>
    <row r="4021">
      <c r="A4021" s="18">
        <v>4020.0</v>
      </c>
      <c r="B4021" s="90">
        <v>46009.0</v>
      </c>
      <c r="C4021" s="40" t="s">
        <v>6928</v>
      </c>
      <c r="D4021" s="41"/>
      <c r="E4021" s="41" t="s">
        <v>1178</v>
      </c>
      <c r="F4021" s="18" t="str">
        <f>IFERROR(__xludf.DUMMYFUNCTION("if(REGEXMATCH(C4021,""x.com"")=TRUE,""Twitter"",if(REGEXMATCH(C4021,""facebook"")=TRUE,""Facebook"",if(REGEXMATCH(C4021,""instagram"")=TRUE,""Instagram"",if(REGEXMATCH(C4021,""youtube"")=TRUE,""Youtube"",if(REGEXMATCH(C4021,""tiktok"")=TRUE,""Tiktok"",if("&amp;"REGEXMATCH(C4021,""threads"")=TRUE,""Threads""))))))"),"Twitter")</f>
        <v>Twitter</v>
      </c>
      <c r="G4021" s="41" t="s">
        <v>2135</v>
      </c>
      <c r="H4021" s="41" t="s">
        <v>2136</v>
      </c>
      <c r="I4021" s="41" t="s">
        <v>2137</v>
      </c>
      <c r="J4021" s="41" t="s">
        <v>188</v>
      </c>
      <c r="K4021" s="41"/>
      <c r="L4021" s="41" t="str">
        <f t="shared" si="6"/>
        <v>Ditemukan konten pada media sosial yang diduga memiliki muatan provokatif dan ujaran kebencian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Munculnya akun dan/atau konten provokatif, ujaran kebencian, SARA menyebabkan meningkatkan persebaran manipulasi dan disinformasi, Dapat menimbulkan kegaduhan di publik serta ketegangan sosial yang berdampak pada gangguan keamanan dan ketertiban dikalangan masyarakat, mengganggu stabilitas dan integrasi nasional.</v>
      </c>
    </row>
    <row r="4022">
      <c r="A4022" s="18">
        <v>4021.0</v>
      </c>
      <c r="B4022" s="90">
        <v>46009.0</v>
      </c>
      <c r="C4022" s="40" t="s">
        <v>6929</v>
      </c>
      <c r="D4022" s="41"/>
      <c r="E4022" s="41" t="s">
        <v>1178</v>
      </c>
      <c r="F4022" s="18" t="str">
        <f>IFERROR(__xludf.DUMMYFUNCTION("if(REGEXMATCH(C4022,""x.com"")=TRUE,""Twitter"",if(REGEXMATCH(C4022,""facebook"")=TRUE,""Facebook"",if(REGEXMATCH(C4022,""instagram"")=TRUE,""Instagram"",if(REGEXMATCH(C4022,""youtube"")=TRUE,""Youtube"",if(REGEXMATCH(C4022,""tiktok"")=TRUE,""Tiktok"",if("&amp;"REGEXMATCH(C4022,""threads"")=TRUE,""Threads""))))))"),"Twitter")</f>
        <v>Twitter</v>
      </c>
      <c r="G4022" s="41" t="s">
        <v>2135</v>
      </c>
      <c r="H4022" s="41" t="s">
        <v>2136</v>
      </c>
      <c r="I4022" s="41" t="s">
        <v>2137</v>
      </c>
      <c r="J4022" s="41" t="s">
        <v>188</v>
      </c>
      <c r="K4022" s="41"/>
      <c r="L4022" s="41" t="str">
        <f t="shared" si="6"/>
        <v>Ditemukan konten pada media sosial yang diduga memiliki muatan provokatif dan ujaran kebencian
Penyebaran informasi yang mengandung unsur provokatif yang berpotensi menimbulkan kegaduhan, mengganggu keamanan, serta mengancam stabilitas negara diatur dalam Undang-Undang Nomor 1 Tahun 2024 tentang Perubahan Kedua Atas Undang-Undang Nomor 11 Tahun 2008 tentang Informasi dan Transaksi Elektronik pada Pasal 28 ayat (3) dan Pasal 45A ayat (3), Pasal 28 ayat (2) dan Pasal 45A ayat (2).
 Analisis Dampak: Munculnya akun dan/atau konten provokatif, ujaran kebencian, SARA menyebabkan meningkatkan persebaran manipulasi dan disinformasi, Dapat menimbulkan kegaduhan di publik serta ketegangan sosial yang berdampak pada gangguan keamanan dan ketertiban dikalangan masyarakat, mengganggu stabilitas dan integrasi nasional.</v>
      </c>
    </row>
    <row r="4023">
      <c r="A4023" s="18">
        <v>4022.0</v>
      </c>
      <c r="B4023" s="90">
        <v>46009.0</v>
      </c>
      <c r="C4023" s="40" t="s">
        <v>6930</v>
      </c>
      <c r="D4023" s="41"/>
      <c r="E4023" s="41" t="s">
        <v>6931</v>
      </c>
      <c r="F4023" s="18" t="str">
        <f>IFERROR(__xludf.DUMMYFUNCTION("if(REGEXMATCH(C4023,""x.com"")=TRUE,""Twitter"",if(REGEXMATCH(C4023,""facebook"")=TRUE,""Facebook"",if(REGEXMATCH(C4023,""instagram"")=TRUE,""Instagram"",if(REGEXMATCH(C4023,""youtube"")=TRUE,""Youtube"",if(REGEXMATCH(C4023,""tiktok"")=TRUE,""Tiktok"",if("&amp;"REGEXMATCH(C4023,""threads"")=TRUE,""Threads""))))))"),"Instagram")</f>
        <v>Instagram</v>
      </c>
      <c r="G4023" s="41" t="s">
        <v>6932</v>
      </c>
      <c r="H4023" s="41" t="s">
        <v>6933</v>
      </c>
      <c r="I4023" s="41" t="s">
        <v>6934</v>
      </c>
      <c r="J4023" s="41" t="s">
        <v>422</v>
      </c>
      <c r="K4023" s="41" t="s">
        <v>3532</v>
      </c>
      <c r="L4023" s="41" t="str">
        <f t="shared" si="6"/>
        <v>Ditemukan akun pada media sosial instagram yang diduga memiliki muatan Disinformasi dan berita bohong
Penyebaran informasi yang mengandung unsur hoax yang berpotensi menimbulkan kegaduhan, mengganggu keamanan, serta mengancam stabilitas negara diatur dalam Undang-Undang Nomor 1 Tahun 2024 tentang Perubahan Kedua Atas Undang-Undang Nomor 11 Tahun 2008 tentang Informasi dan Transaksi Elektronik pada Pasal 28 ayat (3) UU 1/2024 Setiap Orang dengan sengaja menyebarkan Informasi Elektronik dan/atau Dokumen Elektronik yang diketahuinya memuat pemberitahuan bohong yang menimbulkan kerusuhan di masyarakat dipidana penjara paling lama 6 tahun dan/atau denda paling banyak Rp1 miliar, sebagaimana diatur dalam Pasal 45A ayat (3) UU 1/2024
 Analisis Dampak: Munculnya akun dan/atau konten Disinformasi berita bohong, Dapat menimbulkan kegaduhan di publik serta ketegangan sosial yang berdampak pada gangguan keamanan dan ketertiban dikalangan masyarakat, mengganggu stabilitas dan integrasi nasional.</v>
      </c>
    </row>
    <row r="4024">
      <c r="A4024" s="18">
        <v>4023.0</v>
      </c>
      <c r="B4024" s="90">
        <v>46009.0</v>
      </c>
      <c r="C4024" s="46" t="s">
        <v>6935</v>
      </c>
      <c r="D4024" s="41"/>
      <c r="E4024" s="41" t="s">
        <v>401</v>
      </c>
      <c r="F4024" s="18" t="str">
        <f>IFERROR(__xludf.DUMMYFUNCTION("if(REGEXMATCH(C4024,""x.com"")=TRUE,""Twitter"",if(REGEXMATCH(C4024,""facebook"")=TRUE,""Facebook"",if(REGEXMATCH(C4024,""instagram"")=TRUE,""Instagram"",if(REGEXMATCH(C4024,""youtube"")=TRUE,""Youtube"",if(REGEXMATCH(C4024,""tiktok"")=TRUE,""Tiktok"",if("&amp;"REGEXMATCH(C4024,""threads"")=TRUE,""Threads""))))))"),"Facebook")</f>
        <v>Facebook</v>
      </c>
      <c r="G4024" s="41" t="s">
        <v>937</v>
      </c>
      <c r="H4024" s="41" t="s">
        <v>1542</v>
      </c>
      <c r="I4024" s="41" t="s">
        <v>939</v>
      </c>
      <c r="J4024" s="41" t="s">
        <v>188</v>
      </c>
      <c r="K4024" s="41"/>
      <c r="L4024" s="41" t="str">
        <f t="shared" si="6"/>
        <v>Pernyataan yang dapat menimbulkan sikap permusuhan kebencian berdasarkan SARA dan penistaan agama. Analisis Dampak: Dapat menimbulkan kericuhan antar umat beragama di Indonesia</v>
      </c>
    </row>
    <row r="4025">
      <c r="A4025" s="18">
        <v>4024.0</v>
      </c>
      <c r="B4025" s="90">
        <v>46009.0</v>
      </c>
      <c r="C4025" s="46" t="s">
        <v>6936</v>
      </c>
      <c r="D4025" s="41"/>
      <c r="E4025" s="41" t="s">
        <v>401</v>
      </c>
      <c r="F4025" s="18" t="str">
        <f>IFERROR(__xludf.DUMMYFUNCTION("if(REGEXMATCH(C4025,""x.com"")=TRUE,""Twitter"",if(REGEXMATCH(C4025,""facebook"")=TRUE,""Facebook"",if(REGEXMATCH(C4025,""instagram"")=TRUE,""Instagram"",if(REGEXMATCH(C4025,""youtube"")=TRUE,""Youtube"",if(REGEXMATCH(C4025,""tiktok"")=TRUE,""Tiktok"",if("&amp;"REGEXMATCH(C4025,""threads"")=TRUE,""Threads""))))))"),"Facebook")</f>
        <v>Facebook</v>
      </c>
      <c r="G4025" s="41" t="s">
        <v>937</v>
      </c>
      <c r="H4025" s="41" t="s">
        <v>1542</v>
      </c>
      <c r="I4025" s="41" t="s">
        <v>939</v>
      </c>
      <c r="J4025" s="41" t="s">
        <v>188</v>
      </c>
      <c r="K4025" s="41"/>
      <c r="L4025" s="41" t="str">
        <f t="shared" si="6"/>
        <v>Pernyataan yang dapat menimbulkan sikap permusuhan kebencian berdasarkan SARA dan penistaan agama. Analisis Dampak: Dapat menimbulkan kericuhan antar umat beragama di Indonesia</v>
      </c>
    </row>
    <row r="4026">
      <c r="A4026" s="18">
        <v>4025.0</v>
      </c>
      <c r="B4026" s="90">
        <v>46009.0</v>
      </c>
      <c r="C4026" s="46" t="s">
        <v>6937</v>
      </c>
      <c r="D4026" s="41"/>
      <c r="E4026" s="41" t="s">
        <v>401</v>
      </c>
      <c r="F4026" s="18" t="str">
        <f>IFERROR(__xludf.DUMMYFUNCTION("if(REGEXMATCH(C4026,""x.com"")=TRUE,""Twitter"",if(REGEXMATCH(C4026,""facebook"")=TRUE,""Facebook"",if(REGEXMATCH(C4026,""instagram"")=TRUE,""Instagram"",if(REGEXMATCH(C4026,""youtube"")=TRUE,""Youtube"",if(REGEXMATCH(C4026,""tiktok"")=TRUE,""Tiktok"",if("&amp;"REGEXMATCH(C4026,""threads"")=TRUE,""Threads""))))))"),"Facebook")</f>
        <v>Facebook</v>
      </c>
      <c r="G4026" s="41" t="s">
        <v>937</v>
      </c>
      <c r="H4026" s="41" t="s">
        <v>1542</v>
      </c>
      <c r="I4026" s="41" t="s">
        <v>939</v>
      </c>
      <c r="J4026" s="41" t="s">
        <v>188</v>
      </c>
      <c r="K4026" s="18"/>
      <c r="L4026" s="41" t="str">
        <f t="shared" si="6"/>
        <v>Pernyataan yang dapat menimbulkan sikap permusuhan kebencian berdasarkan SARA dan penistaan agama. Analisis Dampak: Dapat menimbulkan kericuhan antar umat beragama di Indonesia</v>
      </c>
    </row>
    <row r="4027">
      <c r="A4027" s="18">
        <v>4026.0</v>
      </c>
      <c r="B4027" s="91">
        <v>46009.0</v>
      </c>
      <c r="C4027" s="94" t="s">
        <v>6938</v>
      </c>
      <c r="D4027" s="34"/>
      <c r="E4027" s="34" t="s">
        <v>184</v>
      </c>
      <c r="F4027" s="18" t="str">
        <f>IFERROR(__xludf.DUMMYFUNCTION("if(REGEXMATCH(C4027,""x.com"")=TRUE,""Twitter"",if(REGEXMATCH(C4027,""facebook"")=TRUE,""Facebook"",if(REGEXMATCH(C4027,""instagram"")=TRUE,""Instagram"",if(REGEXMATCH(C4027,""youtube"")=TRUE,""Youtube"",if(REGEXMATCH(C4027,""tiktok"")=TRUE,""Tiktok"",if("&amp;"REGEXMATCH(C4027,""threads"")=TRUE,""Threads""))))))"),"Facebook")</f>
        <v>Facebook</v>
      </c>
      <c r="G4027" s="43" t="s">
        <v>4116</v>
      </c>
      <c r="H4027" s="18" t="s">
        <v>6047</v>
      </c>
      <c r="I4027" s="43"/>
      <c r="J4027" s="43" t="s">
        <v>188</v>
      </c>
      <c r="K4027" s="43"/>
      <c r="L4027" s="42"/>
    </row>
    <row r="4028">
      <c r="A4028" s="18">
        <v>4027.0</v>
      </c>
      <c r="B4028" s="35"/>
      <c r="C4028" s="35"/>
      <c r="D4028" s="35"/>
      <c r="E4028" s="35"/>
      <c r="F4028" s="41"/>
      <c r="G4028" s="35"/>
      <c r="H4028" s="18" t="s">
        <v>6844</v>
      </c>
      <c r="I4028" s="35"/>
      <c r="J4028" s="35"/>
      <c r="K4028" s="35"/>
      <c r="L4028" s="42"/>
    </row>
    <row r="4029">
      <c r="A4029" s="18">
        <v>4028.0</v>
      </c>
      <c r="B4029" s="90">
        <v>46010.0</v>
      </c>
      <c r="C4029" s="47" t="s">
        <v>6939</v>
      </c>
      <c r="D4029" s="41"/>
      <c r="E4029" s="41" t="s">
        <v>4703</v>
      </c>
      <c r="F4029" s="18" t="str">
        <f>IFERROR(__xludf.DUMMYFUNCTION("if(REGEXMATCH(C4029,""x.com"")=TRUE,""Twitter"",if(REGEXMATCH(C4029,""facebook"")=TRUE,""Facebook"",if(REGEXMATCH(C4029,""instagram"")=TRUE,""Instagram"",if(REGEXMATCH(C4029,""youtube"")=TRUE,""Youtube"",if(REGEXMATCH(C4029,""tiktok"")=TRUE,""Tiktok"",if("&amp;"REGEXMATCH(C4029,""threads"")=TRUE,""Threads""))))))"),"Facebook")</f>
        <v>Facebook</v>
      </c>
      <c r="G4029" s="70" t="s">
        <v>6940</v>
      </c>
      <c r="H4029" s="43"/>
      <c r="I4029" s="43"/>
      <c r="J4029" s="41" t="s">
        <v>188</v>
      </c>
      <c r="K4029" s="41" t="s">
        <v>1611</v>
      </c>
      <c r="L4029" s="42"/>
    </row>
    <row r="4030">
      <c r="A4030" s="18">
        <v>4029.0</v>
      </c>
      <c r="B4030" s="96">
        <v>46010.0</v>
      </c>
      <c r="C4030" s="97"/>
      <c r="D4030" s="97"/>
      <c r="E4030" s="97" t="s">
        <v>4703</v>
      </c>
      <c r="F4030" s="18" t="b">
        <f>IFERROR(__xludf.DUMMYFUNCTION("if(REGEXMATCH(C4030,""x.com"")=TRUE,""Twitter"",if(REGEXMATCH(C4030,""facebook"")=TRUE,""Facebook"",if(REGEXMATCH(C4030,""instagram"")=TRUE,""Instagram"",if(REGEXMATCH(C4030,""youtube"")=TRUE,""Youtube"",if(REGEXMATCH(C4030,""tiktok"")=TRUE,""Tiktok"",if("&amp;"REGEXMATCH(C4030,""threads"")=TRUE,""Threads""))))))"),FALSE)</f>
        <v>0</v>
      </c>
      <c r="G4030" s="98" t="s">
        <v>6941</v>
      </c>
      <c r="H4030" s="36"/>
      <c r="I4030" s="36"/>
      <c r="J4030" s="41" t="s">
        <v>422</v>
      </c>
      <c r="K4030" s="97" t="s">
        <v>6942</v>
      </c>
      <c r="L4030" s="42"/>
    </row>
    <row r="4031">
      <c r="A4031" s="18">
        <v>4030.0</v>
      </c>
      <c r="B4031" s="90">
        <v>46010.0</v>
      </c>
      <c r="C4031" s="47" t="s">
        <v>6943</v>
      </c>
      <c r="D4031" s="41"/>
      <c r="E4031" s="41" t="s">
        <v>197</v>
      </c>
      <c r="F4031" s="18" t="str">
        <f>IFERROR(__xludf.DUMMYFUNCTION("if(REGEXMATCH(C4031,""x.com"")=TRUE,""Twitter"",if(REGEXMATCH(C4031,""facebook"")=TRUE,""Facebook"",if(REGEXMATCH(C4031,""instagram"")=TRUE,""Instagram"",if(REGEXMATCH(C4031,""youtube"")=TRUE,""Youtube"",if(REGEXMATCH(C4031,""tiktok"")=TRUE,""Tiktok"",if("&amp;"REGEXMATCH(C4031,""threads"")=TRUE,""Threads""))))))"),"Facebook")</f>
        <v>Facebook</v>
      </c>
      <c r="G4031" s="70" t="s">
        <v>6944</v>
      </c>
      <c r="H4031" s="36"/>
      <c r="I4031" s="36"/>
      <c r="J4031" s="41" t="s">
        <v>188</v>
      </c>
      <c r="K4031" s="41" t="s">
        <v>1611</v>
      </c>
      <c r="L4031" s="42"/>
    </row>
    <row r="4032">
      <c r="A4032" s="18">
        <v>4031.0</v>
      </c>
      <c r="B4032" s="90">
        <v>46010.0</v>
      </c>
      <c r="C4032" s="47" t="s">
        <v>6945</v>
      </c>
      <c r="D4032" s="41"/>
      <c r="E4032" s="41" t="s">
        <v>401</v>
      </c>
      <c r="F4032" s="18" t="str">
        <f>IFERROR(__xludf.DUMMYFUNCTION("if(REGEXMATCH(C4032,""x.com"")=TRUE,""Twitter"",if(REGEXMATCH(C4032,""facebook"")=TRUE,""Facebook"",if(REGEXMATCH(C4032,""instagram"")=TRUE,""Instagram"",if(REGEXMATCH(C4032,""youtube"")=TRUE,""Youtube"",if(REGEXMATCH(C4032,""tiktok"")=TRUE,""Tiktok"",if("&amp;"REGEXMATCH(C4032,""threads"")=TRUE,""Threads""))))))"),"Facebook")</f>
        <v>Facebook</v>
      </c>
      <c r="G4032" s="70" t="s">
        <v>6946</v>
      </c>
      <c r="H4032" s="36"/>
      <c r="I4032" s="36"/>
      <c r="J4032" s="41" t="s">
        <v>188</v>
      </c>
      <c r="K4032" s="41" t="s">
        <v>1611</v>
      </c>
      <c r="L4032" s="42"/>
    </row>
    <row r="4033">
      <c r="A4033" s="18">
        <v>4032.0</v>
      </c>
      <c r="B4033" s="90">
        <v>46010.0</v>
      </c>
      <c r="C4033" s="47" t="s">
        <v>6947</v>
      </c>
      <c r="D4033" s="41"/>
      <c r="E4033" s="41" t="s">
        <v>4703</v>
      </c>
      <c r="F4033" s="18" t="str">
        <f>IFERROR(__xludf.DUMMYFUNCTION("if(REGEXMATCH(C4033,""x.com"")=TRUE,""Twitter"",if(REGEXMATCH(C4033,""facebook"")=TRUE,""Facebook"",if(REGEXMATCH(C4033,""instagram"")=TRUE,""Instagram"",if(REGEXMATCH(C4033,""youtube"")=TRUE,""Youtube"",if(REGEXMATCH(C4033,""tiktok"")=TRUE,""Tiktok"",if("&amp;"REGEXMATCH(C4033,""threads"")=TRUE,""Threads""))))))"),"Threads")</f>
        <v>Threads</v>
      </c>
      <c r="G4033" s="70" t="s">
        <v>6948</v>
      </c>
      <c r="H4033" s="36"/>
      <c r="I4033" s="36"/>
      <c r="J4033" s="41" t="s">
        <v>188</v>
      </c>
      <c r="K4033" s="41" t="s">
        <v>1611</v>
      </c>
      <c r="L4033" s="42"/>
    </row>
    <row r="4034">
      <c r="A4034" s="18">
        <v>4033.0</v>
      </c>
      <c r="B4034" s="90">
        <v>46010.0</v>
      </c>
      <c r="C4034" s="47" t="s">
        <v>6949</v>
      </c>
      <c r="D4034" s="41"/>
      <c r="E4034" s="41" t="s">
        <v>4703</v>
      </c>
      <c r="F4034" s="18" t="str">
        <f>IFERROR(__xludf.DUMMYFUNCTION("if(REGEXMATCH(C4034,""x.com"")=TRUE,""Twitter"",if(REGEXMATCH(C4034,""facebook"")=TRUE,""Facebook"",if(REGEXMATCH(C4034,""instagram"")=TRUE,""Instagram"",if(REGEXMATCH(C4034,""youtube"")=TRUE,""Youtube"",if(REGEXMATCH(C4034,""tiktok"")=TRUE,""Tiktok"",if("&amp;"REGEXMATCH(C4034,""threads"")=TRUE,""Threads""))))))"),"Tiktok")</f>
        <v>Tiktok</v>
      </c>
      <c r="G4034" s="70" t="s">
        <v>6950</v>
      </c>
      <c r="H4034" s="36"/>
      <c r="I4034" s="36"/>
      <c r="J4034" s="41" t="s">
        <v>188</v>
      </c>
      <c r="K4034" s="41" t="s">
        <v>1611</v>
      </c>
      <c r="L4034" s="42"/>
    </row>
    <row r="4035">
      <c r="A4035" s="18">
        <v>4034.0</v>
      </c>
      <c r="B4035" s="90">
        <v>46010.0</v>
      </c>
      <c r="C4035" s="47" t="s">
        <v>6951</v>
      </c>
      <c r="D4035" s="41"/>
      <c r="E4035" s="41" t="s">
        <v>4703</v>
      </c>
      <c r="F4035" s="18" t="str">
        <f>IFERROR(__xludf.DUMMYFUNCTION("if(REGEXMATCH(C4035,""x.com"")=TRUE,""Twitter"",if(REGEXMATCH(C4035,""facebook"")=TRUE,""Facebook"",if(REGEXMATCH(C4035,""instagram"")=TRUE,""Instagram"",if(REGEXMATCH(C4035,""youtube"")=TRUE,""Youtube"",if(REGEXMATCH(C4035,""tiktok"")=TRUE,""Tiktok"",if("&amp;"REGEXMATCH(C4035,""threads"")=TRUE,""Threads""))))))"),"Tiktok")</f>
        <v>Tiktok</v>
      </c>
      <c r="G4035" s="70" t="s">
        <v>6952</v>
      </c>
      <c r="H4035" s="36"/>
      <c r="I4035" s="36"/>
      <c r="J4035" s="41" t="s">
        <v>188</v>
      </c>
      <c r="K4035" s="41" t="s">
        <v>1611</v>
      </c>
      <c r="L4035" s="42"/>
    </row>
    <row r="4036">
      <c r="A4036" s="18">
        <v>4035.0</v>
      </c>
      <c r="B4036" s="90">
        <v>46010.0</v>
      </c>
      <c r="C4036" s="47" t="s">
        <v>6953</v>
      </c>
      <c r="D4036" s="41"/>
      <c r="E4036" s="41" t="s">
        <v>4703</v>
      </c>
      <c r="F4036" s="18" t="str">
        <f>IFERROR(__xludf.DUMMYFUNCTION("if(REGEXMATCH(C4036,""x.com"")=TRUE,""Twitter"",if(REGEXMATCH(C4036,""facebook"")=TRUE,""Facebook"",if(REGEXMATCH(C4036,""instagram"")=TRUE,""Instagram"",if(REGEXMATCH(C4036,""youtube"")=TRUE,""Youtube"",if(REGEXMATCH(C4036,""tiktok"")=TRUE,""Tiktok"",if("&amp;"REGEXMATCH(C4036,""threads"")=TRUE,""Threads""))))))"),"Tiktok")</f>
        <v>Tiktok</v>
      </c>
      <c r="G4036" s="70" t="s">
        <v>6623</v>
      </c>
      <c r="H4036" s="36"/>
      <c r="I4036" s="36"/>
      <c r="J4036" s="41" t="s">
        <v>188</v>
      </c>
      <c r="K4036" s="41" t="s">
        <v>1611</v>
      </c>
      <c r="L4036" s="42"/>
    </row>
    <row r="4037">
      <c r="A4037" s="18">
        <v>4036.0</v>
      </c>
      <c r="B4037" s="90">
        <v>46010.0</v>
      </c>
      <c r="C4037" s="47" t="s">
        <v>6954</v>
      </c>
      <c r="D4037" s="41"/>
      <c r="E4037" s="41" t="s">
        <v>447</v>
      </c>
      <c r="F4037" s="18" t="str">
        <f>IFERROR(__xludf.DUMMYFUNCTION("if(REGEXMATCH(C4037,""x.com"")=TRUE,""Twitter"",if(REGEXMATCH(C4037,""facebook"")=TRUE,""Facebook"",if(REGEXMATCH(C4037,""instagram"")=TRUE,""Instagram"",if(REGEXMATCH(C4037,""youtube"")=TRUE,""Youtube"",if(REGEXMATCH(C4037,""tiktok"")=TRUE,""Tiktok"",if("&amp;"REGEXMATCH(C4037,""threads"")=TRUE,""Threads""))))))"),"Tiktok")</f>
        <v>Tiktok</v>
      </c>
      <c r="G4037" s="41" t="s">
        <v>6955</v>
      </c>
      <c r="H4037" s="36"/>
      <c r="I4037" s="36"/>
      <c r="J4037" s="41" t="s">
        <v>188</v>
      </c>
      <c r="K4037" s="41"/>
      <c r="L4037" s="42"/>
    </row>
    <row r="4038">
      <c r="A4038" s="18">
        <v>4037.0</v>
      </c>
      <c r="B4038" s="90">
        <v>46010.0</v>
      </c>
      <c r="C4038" s="47" t="s">
        <v>6956</v>
      </c>
      <c r="D4038" s="41"/>
      <c r="E4038" s="41" t="s">
        <v>447</v>
      </c>
      <c r="F4038" s="18" t="str">
        <f>IFERROR(__xludf.DUMMYFUNCTION("if(REGEXMATCH(C4038,""x.com"")=TRUE,""Twitter"",if(REGEXMATCH(C4038,""facebook"")=TRUE,""Facebook"",if(REGEXMATCH(C4038,""instagram"")=TRUE,""Instagram"",if(REGEXMATCH(C4038,""youtube"")=TRUE,""Youtube"",if(REGEXMATCH(C4038,""tiktok"")=TRUE,""Tiktok"",if("&amp;"REGEXMATCH(C4038,""threads"")=TRUE,""Threads""))))))"),"Tiktok")</f>
        <v>Tiktok</v>
      </c>
      <c r="G4038" s="41" t="s">
        <v>6957</v>
      </c>
      <c r="H4038" s="36"/>
      <c r="I4038" s="36"/>
      <c r="J4038" s="41" t="s">
        <v>188</v>
      </c>
      <c r="K4038" s="41"/>
      <c r="L4038" s="42"/>
    </row>
    <row r="4039">
      <c r="A4039" s="18">
        <v>4038.0</v>
      </c>
      <c r="B4039" s="90">
        <v>46010.0</v>
      </c>
      <c r="C4039" s="47" t="s">
        <v>6958</v>
      </c>
      <c r="D4039" s="41"/>
      <c r="E4039" s="41" t="s">
        <v>447</v>
      </c>
      <c r="F4039" s="18" t="str">
        <f>IFERROR(__xludf.DUMMYFUNCTION("if(REGEXMATCH(C4039,""x.com"")=TRUE,""Twitter"",if(REGEXMATCH(C4039,""facebook"")=TRUE,""Facebook"",if(REGEXMATCH(C4039,""instagram"")=TRUE,""Instagram"",if(REGEXMATCH(C4039,""youtube"")=TRUE,""Youtube"",if(REGEXMATCH(C4039,""tiktok"")=TRUE,""Tiktok"",if("&amp;"REGEXMATCH(C4039,""threads"")=TRUE,""Threads""))))))"),"Youtube")</f>
        <v>Youtube</v>
      </c>
      <c r="G4039" s="70" t="s">
        <v>6959</v>
      </c>
      <c r="H4039" s="36"/>
      <c r="I4039" s="36"/>
      <c r="J4039" s="41" t="s">
        <v>188</v>
      </c>
      <c r="K4039" s="41"/>
      <c r="L4039" s="42"/>
    </row>
    <row r="4040">
      <c r="A4040" s="18">
        <v>4039.0</v>
      </c>
      <c r="B4040" s="90">
        <v>46010.0</v>
      </c>
      <c r="C4040" s="40" t="s">
        <v>6960</v>
      </c>
      <c r="D4040" s="41"/>
      <c r="E4040" s="41" t="s">
        <v>372</v>
      </c>
      <c r="F4040" s="18" t="str">
        <f>IFERROR(__xludf.DUMMYFUNCTION("if(REGEXMATCH(C4040,""x.com"")=TRUE,""Twitter"",if(REGEXMATCH(C4040,""facebook"")=TRUE,""Facebook"",if(REGEXMATCH(C4040,""instagram"")=TRUE,""Instagram"",if(REGEXMATCH(C4040,""youtube"")=TRUE,""Youtube"",if(REGEXMATCH(C4040,""tiktok"")=TRUE,""Tiktok"",if("&amp;"REGEXMATCH(C4040,""threads"")=TRUE,""Threads""))))))"),"Facebook")</f>
        <v>Facebook</v>
      </c>
      <c r="G4040" s="70" t="s">
        <v>6961</v>
      </c>
      <c r="H4040" s="36"/>
      <c r="I4040" s="36"/>
      <c r="J4040" s="41" t="s">
        <v>188</v>
      </c>
      <c r="K4040" s="41"/>
      <c r="L4040" s="42"/>
    </row>
    <row r="4041">
      <c r="A4041" s="18">
        <v>4040.0</v>
      </c>
      <c r="B4041" s="90">
        <v>46010.0</v>
      </c>
      <c r="C4041" s="40" t="s">
        <v>6962</v>
      </c>
      <c r="D4041" s="41"/>
      <c r="E4041" s="41" t="s">
        <v>557</v>
      </c>
      <c r="F4041" s="18" t="str">
        <f>IFERROR(__xludf.DUMMYFUNCTION("if(REGEXMATCH(C4041,""x.com"")=TRUE,""Twitter"",if(REGEXMATCH(C4041,""facebook"")=TRUE,""Facebook"",if(REGEXMATCH(C4041,""instagram"")=TRUE,""Instagram"",if(REGEXMATCH(C4041,""youtube"")=TRUE,""Youtube"",if(REGEXMATCH(C4041,""tiktok"")=TRUE,""Tiktok"",if("&amp;"REGEXMATCH(C4041,""threads"")=TRUE,""Threads""))))))"),"Facebook")</f>
        <v>Facebook</v>
      </c>
      <c r="G4041" s="70" t="s">
        <v>6963</v>
      </c>
      <c r="H4041" s="36"/>
      <c r="I4041" s="36"/>
      <c r="J4041" s="41" t="s">
        <v>188</v>
      </c>
      <c r="K4041" s="41"/>
      <c r="L4041" s="42"/>
    </row>
    <row r="4042">
      <c r="A4042" s="18">
        <v>4041.0</v>
      </c>
      <c r="B4042" s="90">
        <v>46010.0</v>
      </c>
      <c r="C4042" s="40" t="s">
        <v>6964</v>
      </c>
      <c r="D4042" s="41"/>
      <c r="E4042" s="41" t="s">
        <v>197</v>
      </c>
      <c r="F4042" s="18" t="str">
        <f>IFERROR(__xludf.DUMMYFUNCTION("if(REGEXMATCH(C4042,""x.com"")=TRUE,""Twitter"",if(REGEXMATCH(C4042,""facebook"")=TRUE,""Facebook"",if(REGEXMATCH(C4042,""instagram"")=TRUE,""Instagram"",if(REGEXMATCH(C4042,""youtube"")=TRUE,""Youtube"",if(REGEXMATCH(C4042,""tiktok"")=TRUE,""Tiktok"",if("&amp;"REGEXMATCH(C4042,""threads"")=TRUE,""Threads""))))))"),"Facebook")</f>
        <v>Facebook</v>
      </c>
      <c r="G4042" s="70" t="s">
        <v>6965</v>
      </c>
      <c r="H4042" s="36"/>
      <c r="I4042" s="36"/>
      <c r="J4042" s="41" t="s">
        <v>188</v>
      </c>
      <c r="K4042" s="41"/>
      <c r="L4042" s="42"/>
    </row>
    <row r="4043">
      <c r="A4043" s="18">
        <v>4042.0</v>
      </c>
      <c r="B4043" s="90">
        <v>46010.0</v>
      </c>
      <c r="C4043" s="40" t="s">
        <v>6966</v>
      </c>
      <c r="D4043" s="41"/>
      <c r="E4043" s="41" t="s">
        <v>197</v>
      </c>
      <c r="F4043" s="18" t="str">
        <f>IFERROR(__xludf.DUMMYFUNCTION("if(REGEXMATCH(C4043,""x.com"")=TRUE,""Twitter"",if(REGEXMATCH(C4043,""facebook"")=TRUE,""Facebook"",if(REGEXMATCH(C4043,""instagram"")=TRUE,""Instagram"",if(REGEXMATCH(C4043,""youtube"")=TRUE,""Youtube"",if(REGEXMATCH(C4043,""tiktok"")=TRUE,""Tiktok"",if("&amp;"REGEXMATCH(C4043,""threads"")=TRUE,""Threads""))))))"),"Facebook")</f>
        <v>Facebook</v>
      </c>
      <c r="G4043" s="70" t="s">
        <v>6967</v>
      </c>
      <c r="H4043" s="35"/>
      <c r="I4043" s="35"/>
      <c r="J4043" s="41" t="s">
        <v>188</v>
      </c>
      <c r="K4043" s="41"/>
      <c r="L4043" s="42"/>
    </row>
    <row r="4044">
      <c r="A4044" s="18">
        <v>4043.0</v>
      </c>
      <c r="B4044" s="90">
        <v>46010.0</v>
      </c>
      <c r="C4044" s="41">
        <v>16.0</v>
      </c>
      <c r="D4044" s="41"/>
      <c r="E4044" s="41" t="s">
        <v>557</v>
      </c>
      <c r="F4044" s="18" t="str">
        <f>IFERROR(__xludf.DUMMYFUNCTION("if(REGEXMATCH(C4044,""x.com"")=TRUE,""Twitter"",if(REGEXMATCH(C4044,""facebook"")=TRUE,""Facebook"",if(REGEXMATCH(C4044,""instagram"")=TRUE,""Instagram"",if(REGEXMATCH(C4044,""youtube"")=TRUE,""Youtube"",if(REGEXMATCH(C4044,""tiktok"")=TRUE,""Tiktok"",if("&amp;"REGEXMATCH(C4044,""threads"")=TRUE,""Threads""))))))"),"#VALUE!")</f>
        <v>#VALUE!</v>
      </c>
      <c r="G4044" s="70" t="s">
        <v>6968</v>
      </c>
      <c r="H4044" s="41"/>
      <c r="I4044" s="41"/>
      <c r="J4044" s="41" t="s">
        <v>188</v>
      </c>
      <c r="K4044" s="41"/>
      <c r="L4044" s="42"/>
    </row>
    <row r="4045">
      <c r="A4045" s="18">
        <v>4044.0</v>
      </c>
      <c r="B4045" s="90">
        <v>46010.0</v>
      </c>
      <c r="C4045" s="40" t="s">
        <v>6969</v>
      </c>
      <c r="D4045" s="41"/>
      <c r="E4045" s="41" t="s">
        <v>372</v>
      </c>
      <c r="F4045" s="18" t="str">
        <f>IFERROR(__xludf.DUMMYFUNCTION("if(REGEXMATCH(C4045,""x.com"")=TRUE,""Twitter"",if(REGEXMATCH(C4045,""facebook"")=TRUE,""Facebook"",if(REGEXMATCH(C4045,""instagram"")=TRUE,""Instagram"",if(REGEXMATCH(C4045,""youtube"")=TRUE,""Youtube"",if(REGEXMATCH(C4045,""tiktok"")=TRUE,""Tiktok"",if("&amp;"REGEXMATCH(C4045,""threads"")=TRUE,""Threads""))))))"),"Tiktok")</f>
        <v>Tiktok</v>
      </c>
      <c r="G4045" s="44" t="s">
        <v>6970</v>
      </c>
      <c r="H4045" s="41"/>
      <c r="I4045" s="41"/>
      <c r="J4045" s="41" t="s">
        <v>188</v>
      </c>
      <c r="K4045" s="41"/>
      <c r="L4045" s="42"/>
    </row>
    <row r="4046">
      <c r="A4046" s="18">
        <v>4045.0</v>
      </c>
      <c r="B4046" s="90">
        <v>46010.0</v>
      </c>
      <c r="C4046" s="40" t="s">
        <v>6971</v>
      </c>
      <c r="D4046" s="41"/>
      <c r="E4046" s="41" t="s">
        <v>372</v>
      </c>
      <c r="F4046" s="18" t="str">
        <f>IFERROR(__xludf.DUMMYFUNCTION("if(REGEXMATCH(C4046,""x.com"")=TRUE,""Twitter"",if(REGEXMATCH(C4046,""facebook"")=TRUE,""Facebook"",if(REGEXMATCH(C4046,""instagram"")=TRUE,""Instagram"",if(REGEXMATCH(C4046,""youtube"")=TRUE,""Youtube"",if(REGEXMATCH(C4046,""tiktok"")=TRUE,""Tiktok"",if("&amp;"REGEXMATCH(C4046,""threads"")=TRUE,""Threads""))))))"),"Tiktok")</f>
        <v>Tiktok</v>
      </c>
      <c r="G4046" s="70" t="s">
        <v>6972</v>
      </c>
      <c r="H4046" s="41"/>
      <c r="I4046" s="41"/>
      <c r="J4046" s="41" t="s">
        <v>188</v>
      </c>
      <c r="K4046" s="41"/>
      <c r="L4046" s="42"/>
    </row>
    <row r="4047">
      <c r="A4047" s="18">
        <v>4046.0</v>
      </c>
      <c r="B4047" s="91">
        <v>46010.0</v>
      </c>
      <c r="C4047" s="94" t="s">
        <v>6973</v>
      </c>
      <c r="D4047" s="43"/>
      <c r="E4047" s="34" t="s">
        <v>184</v>
      </c>
      <c r="F4047" s="34" t="str">
        <f>IFERROR(__xludf.DUMMYFUNCTION("if(REGEXMATCH(C4047,""x.com"")=TRUE,""Twitter"",if(REGEXMATCH(C4047,""facebook"")=TRUE,""Facebook"",if(REGEXMATCH(C4047,""instagram"")=TRUE,""Instagram"",if(REGEXMATCH(C4047,""youtube"")=TRUE,""Youtube"",if(REGEXMATCH(C4047,""tiktok"")=TRUE,""Tiktok"",if("&amp;"REGEXMATCH(C4047,""threads"")=TRUE,""Threads""))))))"),"Facebook")</f>
        <v>Facebook</v>
      </c>
      <c r="G4047" s="41"/>
      <c r="H4047" s="34" t="s">
        <v>1974</v>
      </c>
      <c r="I4047" s="43"/>
      <c r="J4047" s="43" t="s">
        <v>422</v>
      </c>
      <c r="K4047" s="43" t="s">
        <v>6974</v>
      </c>
      <c r="L4047" s="42"/>
    </row>
    <row r="4048">
      <c r="A4048" s="18">
        <v>4047.0</v>
      </c>
      <c r="B4048" s="35"/>
      <c r="C4048" s="35"/>
      <c r="D4048" s="35"/>
      <c r="E4048" s="35"/>
      <c r="F4048" s="35"/>
      <c r="G4048" s="41" t="s">
        <v>4116</v>
      </c>
      <c r="H4048" s="35"/>
      <c r="I4048" s="35"/>
      <c r="J4048" s="35"/>
      <c r="K4048" s="35"/>
      <c r="L4048" s="42"/>
    </row>
    <row r="4049">
      <c r="A4049" s="18">
        <v>4048.0</v>
      </c>
      <c r="B4049" s="90">
        <v>46011.0</v>
      </c>
      <c r="C4049" s="44" t="s">
        <v>6975</v>
      </c>
      <c r="D4049" s="41"/>
      <c r="E4049" s="41" t="s">
        <v>6976</v>
      </c>
      <c r="F4049" s="18" t="str">
        <f>IFERROR(__xludf.DUMMYFUNCTION("if(REGEXMATCH(C4049,""x.com"")=TRUE,""Twitter"",if(REGEXMATCH(C4049,""facebook"")=TRUE,""Facebook"",if(REGEXMATCH(C4049,""instagram"")=TRUE,""Instagram"",if(REGEXMATCH(C4049,""youtube"")=TRUE,""Youtube"",if(REGEXMATCH(C4049,""tiktok"")=TRUE,""Tiktok"",if("&amp;"REGEXMATCH(C4049,""threads"")=TRUE,""Threads""))))))"),"Facebook")</f>
        <v>Facebook</v>
      </c>
      <c r="G4049" s="41" t="s">
        <v>6977</v>
      </c>
      <c r="H4049" s="43"/>
      <c r="I4049" s="43"/>
      <c r="J4049" s="41" t="s">
        <v>188</v>
      </c>
      <c r="K4049" s="41" t="s">
        <v>1611</v>
      </c>
      <c r="L4049" s="42"/>
    </row>
    <row r="4050">
      <c r="A4050" s="18">
        <v>4049.0</v>
      </c>
      <c r="B4050" s="90">
        <v>46011.0</v>
      </c>
      <c r="C4050" s="44" t="s">
        <v>6978</v>
      </c>
      <c r="D4050" s="41"/>
      <c r="E4050" s="41" t="s">
        <v>222</v>
      </c>
      <c r="F4050" s="18" t="str">
        <f>IFERROR(__xludf.DUMMYFUNCTION("if(REGEXMATCH(C4050,""x.com"")=TRUE,""Twitter"",if(REGEXMATCH(C4050,""facebook"")=TRUE,""Facebook"",if(REGEXMATCH(C4050,""instagram"")=TRUE,""Instagram"",if(REGEXMATCH(C4050,""youtube"")=TRUE,""Youtube"",if(REGEXMATCH(C4050,""tiktok"")=TRUE,""Tiktok"",if("&amp;"REGEXMATCH(C4050,""threads"")=TRUE,""Threads""))))))"),"Facebook")</f>
        <v>Facebook</v>
      </c>
      <c r="G4050" s="70" t="s">
        <v>6979</v>
      </c>
      <c r="H4050" s="36"/>
      <c r="I4050" s="36"/>
      <c r="J4050" s="41" t="s">
        <v>188</v>
      </c>
      <c r="K4050" s="41" t="s">
        <v>1611</v>
      </c>
      <c r="L4050" s="42"/>
    </row>
    <row r="4051">
      <c r="A4051" s="18">
        <v>4050.0</v>
      </c>
      <c r="B4051" s="90">
        <v>46011.0</v>
      </c>
      <c r="C4051" s="44" t="s">
        <v>6980</v>
      </c>
      <c r="D4051" s="41"/>
      <c r="E4051" s="41" t="s">
        <v>197</v>
      </c>
      <c r="F4051" s="18" t="str">
        <f>IFERROR(__xludf.DUMMYFUNCTION("if(REGEXMATCH(C4051,""x.com"")=TRUE,""Twitter"",if(REGEXMATCH(C4051,""facebook"")=TRUE,""Facebook"",if(REGEXMATCH(C4051,""instagram"")=TRUE,""Instagram"",if(REGEXMATCH(C4051,""youtube"")=TRUE,""Youtube"",if(REGEXMATCH(C4051,""tiktok"")=TRUE,""Tiktok"",if("&amp;"REGEXMATCH(C4051,""threads"")=TRUE,""Threads""))))))"),"Tiktok")</f>
        <v>Tiktok</v>
      </c>
      <c r="G4051" s="70" t="s">
        <v>6981</v>
      </c>
      <c r="H4051" s="36"/>
      <c r="I4051" s="36"/>
      <c r="J4051" s="41" t="s">
        <v>422</v>
      </c>
      <c r="K4051" s="41" t="s">
        <v>6982</v>
      </c>
      <c r="L4051" s="42"/>
    </row>
    <row r="4052">
      <c r="A4052" s="18">
        <v>4051.0</v>
      </c>
      <c r="B4052" s="90">
        <v>46011.0</v>
      </c>
      <c r="C4052" s="44" t="s">
        <v>6983</v>
      </c>
      <c r="D4052" s="41"/>
      <c r="E4052" s="41" t="s">
        <v>401</v>
      </c>
      <c r="F4052" s="18" t="str">
        <f>IFERROR(__xludf.DUMMYFUNCTION("if(REGEXMATCH(C4052,""x.com"")=TRUE,""Twitter"",if(REGEXMATCH(C4052,""facebook"")=TRUE,""Facebook"",if(REGEXMATCH(C4052,""instagram"")=TRUE,""Instagram"",if(REGEXMATCH(C4052,""youtube"")=TRUE,""Youtube"",if(REGEXMATCH(C4052,""tiktok"")=TRUE,""Tiktok"",if("&amp;"REGEXMATCH(C4052,""threads"")=TRUE,""Threads""))))))"),"Tiktok")</f>
        <v>Tiktok</v>
      </c>
      <c r="G4052" s="70" t="s">
        <v>6984</v>
      </c>
      <c r="H4052" s="36"/>
      <c r="I4052" s="36"/>
      <c r="J4052" s="41" t="s">
        <v>188</v>
      </c>
      <c r="K4052" s="41" t="s">
        <v>1611</v>
      </c>
      <c r="L4052" s="42"/>
    </row>
    <row r="4053">
      <c r="A4053" s="18">
        <v>4052.0</v>
      </c>
      <c r="B4053" s="90">
        <v>46011.0</v>
      </c>
      <c r="C4053" s="44" t="s">
        <v>6985</v>
      </c>
      <c r="D4053" s="41"/>
      <c r="E4053" s="41" t="s">
        <v>222</v>
      </c>
      <c r="F4053" s="18" t="str">
        <f>IFERROR(__xludf.DUMMYFUNCTION("if(REGEXMATCH(C4053,""x.com"")=TRUE,""Twitter"",if(REGEXMATCH(C4053,""facebook"")=TRUE,""Facebook"",if(REGEXMATCH(C4053,""instagram"")=TRUE,""Instagram"",if(REGEXMATCH(C4053,""youtube"")=TRUE,""Youtube"",if(REGEXMATCH(C4053,""tiktok"")=TRUE,""Tiktok"",if("&amp;"REGEXMATCH(C4053,""threads"")=TRUE,""Threads""))))))"),"Tiktok")</f>
        <v>Tiktok</v>
      </c>
      <c r="G4053" s="70" t="s">
        <v>6986</v>
      </c>
      <c r="H4053" s="36"/>
      <c r="I4053" s="36"/>
      <c r="J4053" s="41" t="s">
        <v>188</v>
      </c>
      <c r="K4053" s="41" t="s">
        <v>1611</v>
      </c>
      <c r="L4053" s="42"/>
    </row>
    <row r="4054">
      <c r="A4054" s="18">
        <v>4053.0</v>
      </c>
      <c r="B4054" s="90">
        <v>46011.0</v>
      </c>
      <c r="C4054" s="44" t="s">
        <v>6987</v>
      </c>
      <c r="D4054" s="41"/>
      <c r="E4054" s="41" t="s">
        <v>6988</v>
      </c>
      <c r="F4054" s="18" t="str">
        <f>IFERROR(__xludf.DUMMYFUNCTION("if(REGEXMATCH(C4054,""x.com"")=TRUE,""Twitter"",if(REGEXMATCH(C4054,""facebook"")=TRUE,""Facebook"",if(REGEXMATCH(C4054,""instagram"")=TRUE,""Instagram"",if(REGEXMATCH(C4054,""youtube"")=TRUE,""Youtube"",if(REGEXMATCH(C4054,""tiktok"")=TRUE,""Tiktok"",if("&amp;"REGEXMATCH(C4054,""threads"")=TRUE,""Threads""))))))"),"Facebook")</f>
        <v>Facebook</v>
      </c>
      <c r="G4054" s="70" t="s">
        <v>6989</v>
      </c>
      <c r="H4054" s="36"/>
      <c r="I4054" s="36"/>
      <c r="J4054" s="41" t="s">
        <v>422</v>
      </c>
      <c r="K4054" s="41" t="s">
        <v>6990</v>
      </c>
      <c r="L4054" s="42"/>
    </row>
    <row r="4055">
      <c r="A4055" s="18">
        <v>4054.0</v>
      </c>
      <c r="B4055" s="90">
        <v>46011.0</v>
      </c>
      <c r="C4055" s="44" t="s">
        <v>6991</v>
      </c>
      <c r="D4055" s="41"/>
      <c r="E4055" s="41" t="s">
        <v>222</v>
      </c>
      <c r="F4055" s="18" t="str">
        <f>IFERROR(__xludf.DUMMYFUNCTION("if(REGEXMATCH(C4055,""x.com"")=TRUE,""Twitter"",if(REGEXMATCH(C4055,""facebook"")=TRUE,""Facebook"",if(REGEXMATCH(C4055,""instagram"")=TRUE,""Instagram"",if(REGEXMATCH(C4055,""youtube"")=TRUE,""Youtube"",if(REGEXMATCH(C4055,""tiktok"")=TRUE,""Tiktok"",if("&amp;"REGEXMATCH(C4055,""threads"")=TRUE,""Threads""))))))"),"Facebook")</f>
        <v>Facebook</v>
      </c>
      <c r="G4055" s="70" t="s">
        <v>6992</v>
      </c>
      <c r="H4055" s="36"/>
      <c r="I4055" s="36"/>
      <c r="J4055" s="41" t="s">
        <v>188</v>
      </c>
      <c r="K4055" s="41" t="s">
        <v>1611</v>
      </c>
      <c r="L4055" s="42"/>
    </row>
    <row r="4056">
      <c r="A4056" s="18">
        <v>4055.0</v>
      </c>
      <c r="B4056" s="90">
        <v>46011.0</v>
      </c>
      <c r="C4056" s="44" t="s">
        <v>6993</v>
      </c>
      <c r="D4056" s="41"/>
      <c r="E4056" s="41" t="s">
        <v>197</v>
      </c>
      <c r="F4056" s="18" t="str">
        <f>IFERROR(__xludf.DUMMYFUNCTION("if(REGEXMATCH(C4056,""x.com"")=TRUE,""Twitter"",if(REGEXMATCH(C4056,""facebook"")=TRUE,""Facebook"",if(REGEXMATCH(C4056,""instagram"")=TRUE,""Instagram"",if(REGEXMATCH(C4056,""youtube"")=TRUE,""Youtube"",if(REGEXMATCH(C4056,""tiktok"")=TRUE,""Tiktok"",if("&amp;"REGEXMATCH(C4056,""threads"")=TRUE,""Threads""))))))"),"Facebook")</f>
        <v>Facebook</v>
      </c>
      <c r="G4056" s="70" t="s">
        <v>6994</v>
      </c>
      <c r="H4056" s="36"/>
      <c r="I4056" s="36"/>
      <c r="J4056" s="41" t="s">
        <v>188</v>
      </c>
      <c r="K4056" s="41" t="s">
        <v>1611</v>
      </c>
      <c r="L4056" s="42"/>
    </row>
    <row r="4057">
      <c r="A4057" s="18">
        <v>4056.0</v>
      </c>
      <c r="B4057" s="90">
        <v>46011.0</v>
      </c>
      <c r="C4057" s="44" t="s">
        <v>6995</v>
      </c>
      <c r="D4057" s="41"/>
      <c r="E4057" s="41" t="s">
        <v>447</v>
      </c>
      <c r="F4057" s="18" t="str">
        <f>IFERROR(__xludf.DUMMYFUNCTION("if(REGEXMATCH(C4057,""x.com"")=TRUE,""Twitter"",if(REGEXMATCH(C4057,""facebook"")=TRUE,""Facebook"",if(REGEXMATCH(C4057,""instagram"")=TRUE,""Instagram"",if(REGEXMATCH(C4057,""youtube"")=TRUE,""Youtube"",if(REGEXMATCH(C4057,""tiktok"")=TRUE,""Tiktok"",if("&amp;"REGEXMATCH(C4057,""threads"")=TRUE,""Threads""))))))"),"Facebook")</f>
        <v>Facebook</v>
      </c>
      <c r="G4057" s="41" t="s">
        <v>6996</v>
      </c>
      <c r="H4057" s="36"/>
      <c r="I4057" s="36"/>
      <c r="J4057" s="41" t="s">
        <v>188</v>
      </c>
      <c r="K4057" s="41"/>
      <c r="L4057" s="42"/>
    </row>
    <row r="4058">
      <c r="A4058" s="18">
        <v>4057.0</v>
      </c>
      <c r="B4058" s="90">
        <v>46011.0</v>
      </c>
      <c r="C4058" s="40" t="s">
        <v>6997</v>
      </c>
      <c r="D4058" s="41"/>
      <c r="E4058" s="41" t="s">
        <v>447</v>
      </c>
      <c r="F4058" s="18" t="str">
        <f>IFERROR(__xludf.DUMMYFUNCTION("if(REGEXMATCH(C4058,""x.com"")=TRUE,""Twitter"",if(REGEXMATCH(C4058,""facebook"")=TRUE,""Facebook"",if(REGEXMATCH(C4058,""instagram"")=TRUE,""Instagram"",if(REGEXMATCH(C4058,""youtube"")=TRUE,""Youtube"",if(REGEXMATCH(C4058,""tiktok"")=TRUE,""Tiktok"",if("&amp;"REGEXMATCH(C4058,""threads"")=TRUE,""Threads""))))))"),"Twitter")</f>
        <v>Twitter</v>
      </c>
      <c r="G4058" s="70" t="s">
        <v>6998</v>
      </c>
      <c r="H4058" s="36"/>
      <c r="I4058" s="36"/>
      <c r="J4058" s="41" t="s">
        <v>422</v>
      </c>
      <c r="K4058" s="41" t="s">
        <v>6999</v>
      </c>
      <c r="L4058" s="42"/>
    </row>
    <row r="4059">
      <c r="A4059" s="18">
        <v>4058.0</v>
      </c>
      <c r="B4059" s="90">
        <v>46011.0</v>
      </c>
      <c r="C4059" s="40" t="s">
        <v>7000</v>
      </c>
      <c r="D4059" s="41"/>
      <c r="E4059" s="41" t="s">
        <v>447</v>
      </c>
      <c r="F4059" s="18" t="str">
        <f>IFERROR(__xludf.DUMMYFUNCTION("if(REGEXMATCH(C4059,""x.com"")=TRUE,""Twitter"",if(REGEXMATCH(C4059,""facebook"")=TRUE,""Facebook"",if(REGEXMATCH(C4059,""instagram"")=TRUE,""Instagram"",if(REGEXMATCH(C4059,""youtube"")=TRUE,""Youtube"",if(REGEXMATCH(C4059,""tiktok"")=TRUE,""Tiktok"",if("&amp;"REGEXMATCH(C4059,""threads"")=TRUE,""Threads""))))))"),"Facebook")</f>
        <v>Facebook</v>
      </c>
      <c r="G4059" s="70" t="s">
        <v>7001</v>
      </c>
      <c r="H4059" s="36"/>
      <c r="I4059" s="36"/>
      <c r="J4059" s="41" t="s">
        <v>422</v>
      </c>
      <c r="K4059" s="41" t="s">
        <v>6999</v>
      </c>
      <c r="L4059" s="42"/>
    </row>
    <row r="4060">
      <c r="A4060" s="18">
        <v>4059.0</v>
      </c>
      <c r="B4060" s="90">
        <v>46011.0</v>
      </c>
      <c r="C4060" s="40" t="s">
        <v>7002</v>
      </c>
      <c r="D4060" s="41"/>
      <c r="E4060" s="41" t="s">
        <v>372</v>
      </c>
      <c r="F4060" s="18" t="str">
        <f>IFERROR(__xludf.DUMMYFUNCTION("if(REGEXMATCH(C4060,""x.com"")=TRUE,""Twitter"",if(REGEXMATCH(C4060,""facebook"")=TRUE,""Facebook"",if(REGEXMATCH(C4060,""instagram"")=TRUE,""Instagram"",if(REGEXMATCH(C4060,""youtube"")=TRUE,""Youtube"",if(REGEXMATCH(C4060,""tiktok"")=TRUE,""Tiktok"",if("&amp;"REGEXMATCH(C4060,""threads"")=TRUE,""Threads""))))))"),"Facebook")</f>
        <v>Facebook</v>
      </c>
      <c r="G4060" s="70" t="s">
        <v>7003</v>
      </c>
      <c r="H4060" s="36"/>
      <c r="I4060" s="36"/>
      <c r="J4060" s="41" t="s">
        <v>422</v>
      </c>
      <c r="K4060" s="41" t="s">
        <v>6999</v>
      </c>
      <c r="L4060" s="42"/>
    </row>
    <row r="4061">
      <c r="A4061" s="18">
        <v>4060.0</v>
      </c>
      <c r="B4061" s="90">
        <v>46011.0</v>
      </c>
      <c r="C4061" s="40" t="s">
        <v>7004</v>
      </c>
      <c r="D4061" s="41"/>
      <c r="E4061" s="41" t="s">
        <v>372</v>
      </c>
      <c r="F4061" s="18" t="str">
        <f>IFERROR(__xludf.DUMMYFUNCTION("if(REGEXMATCH(C4061,""x.com"")=TRUE,""Twitter"",if(REGEXMATCH(C4061,""facebook"")=TRUE,""Facebook"",if(REGEXMATCH(C4061,""instagram"")=TRUE,""Instagram"",if(REGEXMATCH(C4061,""youtube"")=TRUE,""Youtube"",if(REGEXMATCH(C4061,""tiktok"")=TRUE,""Tiktok"",if("&amp;"REGEXMATCH(C4061,""threads"")=TRUE,""Threads""))))))"),"Facebook")</f>
        <v>Facebook</v>
      </c>
      <c r="G4061" s="70" t="s">
        <v>7005</v>
      </c>
      <c r="H4061" s="36"/>
      <c r="I4061" s="36"/>
      <c r="J4061" s="41" t="s">
        <v>422</v>
      </c>
      <c r="K4061" s="41" t="s">
        <v>6999</v>
      </c>
      <c r="L4061" s="42"/>
    </row>
    <row r="4062">
      <c r="A4062" s="18">
        <v>4061.0</v>
      </c>
      <c r="B4062" s="90">
        <v>46011.0</v>
      </c>
      <c r="C4062" s="40" t="s">
        <v>7006</v>
      </c>
      <c r="D4062" s="41"/>
      <c r="E4062" s="41" t="s">
        <v>372</v>
      </c>
      <c r="F4062" s="18" t="str">
        <f>IFERROR(__xludf.DUMMYFUNCTION("if(REGEXMATCH(C4062,""x.com"")=TRUE,""Twitter"",if(REGEXMATCH(C4062,""facebook"")=TRUE,""Facebook"",if(REGEXMATCH(C4062,""instagram"")=TRUE,""Instagram"",if(REGEXMATCH(C4062,""youtube"")=TRUE,""Youtube"",if(REGEXMATCH(C4062,""tiktok"")=TRUE,""Tiktok"",if("&amp;"REGEXMATCH(C4062,""threads"")=TRUE,""Threads""))))))"),"Facebook")</f>
        <v>Facebook</v>
      </c>
      <c r="G4062" s="70" t="s">
        <v>7007</v>
      </c>
      <c r="H4062" s="36"/>
      <c r="I4062" s="36"/>
      <c r="J4062" s="41" t="s">
        <v>422</v>
      </c>
      <c r="K4062" s="41" t="s">
        <v>6999</v>
      </c>
      <c r="L4062" s="42"/>
    </row>
    <row r="4063">
      <c r="A4063" s="18">
        <v>4062.0</v>
      </c>
      <c r="B4063" s="90">
        <v>46011.0</v>
      </c>
      <c r="C4063" s="40" t="s">
        <v>7008</v>
      </c>
      <c r="D4063" s="41"/>
      <c r="E4063" s="41" t="s">
        <v>557</v>
      </c>
      <c r="F4063" s="18" t="str">
        <f>IFERROR(__xludf.DUMMYFUNCTION("if(REGEXMATCH(C4063,""x.com"")=TRUE,""Twitter"",if(REGEXMATCH(C4063,""facebook"")=TRUE,""Facebook"",if(REGEXMATCH(C4063,""instagram"")=TRUE,""Instagram"",if(REGEXMATCH(C4063,""youtube"")=TRUE,""Youtube"",if(REGEXMATCH(C4063,""tiktok"")=TRUE,""Tiktok"",if("&amp;"REGEXMATCH(C4063,""threads"")=TRUE,""Threads""))))))"),"Tiktok")</f>
        <v>Tiktok</v>
      </c>
      <c r="G4063" s="70" t="s">
        <v>7009</v>
      </c>
      <c r="H4063" s="35"/>
      <c r="I4063" s="35"/>
      <c r="J4063" s="41" t="s">
        <v>422</v>
      </c>
      <c r="K4063" s="41" t="s">
        <v>6999</v>
      </c>
      <c r="L4063" s="42"/>
    </row>
    <row r="4064">
      <c r="A4064" s="18">
        <v>4063.0</v>
      </c>
      <c r="B4064" s="90">
        <v>46011.0</v>
      </c>
      <c r="C4064" s="40" t="s">
        <v>7010</v>
      </c>
      <c r="D4064" s="41"/>
      <c r="E4064" s="41" t="s">
        <v>372</v>
      </c>
      <c r="F4064" s="18" t="str">
        <f>IFERROR(__xludf.DUMMYFUNCTION("if(REGEXMATCH(C4064,""x.com"")=TRUE,""Twitter"",if(REGEXMATCH(C4064,""facebook"")=TRUE,""Facebook"",if(REGEXMATCH(C4064,""instagram"")=TRUE,""Instagram"",if(REGEXMATCH(C4064,""youtube"")=TRUE,""Youtube"",if(REGEXMATCH(C4064,""tiktok"")=TRUE,""Tiktok"",if("&amp;"REGEXMATCH(C4064,""threads"")=TRUE,""Threads""))))))"),"Tiktok")</f>
        <v>Tiktok</v>
      </c>
      <c r="G4064" s="70" t="s">
        <v>7011</v>
      </c>
      <c r="H4064" s="41"/>
      <c r="I4064" s="41"/>
      <c r="J4064" s="41" t="s">
        <v>422</v>
      </c>
      <c r="K4064" s="41" t="s">
        <v>6999</v>
      </c>
      <c r="L4064" s="42"/>
    </row>
    <row r="4065">
      <c r="A4065" s="18">
        <v>4064.0</v>
      </c>
      <c r="B4065" s="90">
        <v>46011.0</v>
      </c>
      <c r="C4065" s="40" t="s">
        <v>7012</v>
      </c>
      <c r="D4065" s="41"/>
      <c r="E4065" s="41" t="s">
        <v>557</v>
      </c>
      <c r="F4065" s="18" t="str">
        <f>IFERROR(__xludf.DUMMYFUNCTION("if(REGEXMATCH(C4065,""x.com"")=TRUE,""Twitter"",if(REGEXMATCH(C4065,""facebook"")=TRUE,""Facebook"",if(REGEXMATCH(C4065,""instagram"")=TRUE,""Instagram"",if(REGEXMATCH(C4065,""youtube"")=TRUE,""Youtube"",if(REGEXMATCH(C4065,""tiktok"")=TRUE,""Tiktok"",if("&amp;"REGEXMATCH(C4065,""threads"")=TRUE,""Threads""))))))"),"Tiktok")</f>
        <v>Tiktok</v>
      </c>
      <c r="G4065" s="70" t="s">
        <v>7013</v>
      </c>
      <c r="H4065" s="41"/>
      <c r="I4065" s="41"/>
      <c r="J4065" s="41" t="s">
        <v>422</v>
      </c>
      <c r="K4065" s="41" t="s">
        <v>6999</v>
      </c>
      <c r="L4065" s="42"/>
    </row>
    <row r="4066">
      <c r="A4066" s="18">
        <v>4065.0</v>
      </c>
      <c r="B4066" s="90">
        <v>46011.0</v>
      </c>
      <c r="C4066" s="40" t="s">
        <v>7014</v>
      </c>
      <c r="D4066" s="41"/>
      <c r="E4066" s="41" t="s">
        <v>401</v>
      </c>
      <c r="F4066" s="18" t="str">
        <f>IFERROR(__xludf.DUMMYFUNCTION("if(REGEXMATCH(C4066,""x.com"")=TRUE,""Twitter"",if(REGEXMATCH(C4066,""facebook"")=TRUE,""Facebook"",if(REGEXMATCH(C4066,""instagram"")=TRUE,""Instagram"",if(REGEXMATCH(C4066,""youtube"")=TRUE,""Youtube"",if(REGEXMATCH(C4066,""tiktok"")=TRUE,""Tiktok"",if("&amp;"REGEXMATCH(C4066,""threads"")=TRUE,""Threads""))))))"),"Twitter")</f>
        <v>Twitter</v>
      </c>
      <c r="G4066" s="41" t="s">
        <v>937</v>
      </c>
      <c r="H4066" s="41" t="s">
        <v>1542</v>
      </c>
      <c r="I4066" s="41" t="s">
        <v>939</v>
      </c>
      <c r="J4066" s="41" t="s">
        <v>188</v>
      </c>
      <c r="K4066" s="41"/>
      <c r="L4066" s="42"/>
    </row>
    <row r="4067">
      <c r="A4067" s="18">
        <v>4066.0</v>
      </c>
      <c r="B4067" s="90">
        <v>46011.0</v>
      </c>
      <c r="C4067" s="44" t="s">
        <v>7015</v>
      </c>
      <c r="D4067" s="41"/>
      <c r="E4067" s="41" t="s">
        <v>401</v>
      </c>
      <c r="F4067" s="18" t="str">
        <f>IFERROR(__xludf.DUMMYFUNCTION("if(REGEXMATCH(C4067,""x.com"")=TRUE,""Twitter"",if(REGEXMATCH(C4067,""facebook"")=TRUE,""Facebook"",if(REGEXMATCH(C4067,""instagram"")=TRUE,""Instagram"",if(REGEXMATCH(C4067,""youtube"")=TRUE,""Youtube"",if(REGEXMATCH(C4067,""tiktok"")=TRUE,""Tiktok"",if("&amp;"REGEXMATCH(C4067,""threads"")=TRUE,""Threads""))))))"),"Twitter")</f>
        <v>Twitter</v>
      </c>
      <c r="G4067" s="41" t="s">
        <v>937</v>
      </c>
      <c r="H4067" s="41" t="s">
        <v>1542</v>
      </c>
      <c r="I4067" s="41" t="s">
        <v>939</v>
      </c>
      <c r="J4067" s="41" t="s">
        <v>188</v>
      </c>
      <c r="K4067" s="41"/>
      <c r="L4067" s="42"/>
    </row>
    <row r="4068">
      <c r="A4068" s="18">
        <v>4067.0</v>
      </c>
      <c r="B4068" s="90">
        <v>46011.0</v>
      </c>
      <c r="C4068" s="40" t="s">
        <v>7016</v>
      </c>
      <c r="D4068" s="41"/>
      <c r="E4068" s="41" t="s">
        <v>401</v>
      </c>
      <c r="F4068" s="18" t="str">
        <f>IFERROR(__xludf.DUMMYFUNCTION("if(REGEXMATCH(C4068,""x.com"")=TRUE,""Twitter"",if(REGEXMATCH(C4068,""facebook"")=TRUE,""Facebook"",if(REGEXMATCH(C4068,""instagram"")=TRUE,""Instagram"",if(REGEXMATCH(C4068,""youtube"")=TRUE,""Youtube"",if(REGEXMATCH(C4068,""tiktok"")=TRUE,""Tiktok"",if("&amp;"REGEXMATCH(C4068,""threads"")=TRUE,""Threads""))))))"),"Twitter")</f>
        <v>Twitter</v>
      </c>
      <c r="G4068" s="41" t="s">
        <v>937</v>
      </c>
      <c r="H4068" s="41" t="s">
        <v>1542</v>
      </c>
      <c r="I4068" s="41" t="s">
        <v>939</v>
      </c>
      <c r="J4068" s="41" t="s">
        <v>188</v>
      </c>
      <c r="K4068" s="41"/>
      <c r="L4068" s="42"/>
    </row>
    <row r="4069">
      <c r="A4069" s="18">
        <v>4068.0</v>
      </c>
      <c r="B4069" s="90">
        <v>46011.0</v>
      </c>
      <c r="C4069" s="40" t="s">
        <v>7017</v>
      </c>
      <c r="D4069" s="41"/>
      <c r="E4069" s="41" t="s">
        <v>401</v>
      </c>
      <c r="F4069" s="18" t="str">
        <f>IFERROR(__xludf.DUMMYFUNCTION("if(REGEXMATCH(C4069,""x.com"")=TRUE,""Twitter"",if(REGEXMATCH(C4069,""facebook"")=TRUE,""Facebook"",if(REGEXMATCH(C4069,""instagram"")=TRUE,""Instagram"",if(REGEXMATCH(C4069,""youtube"")=TRUE,""Youtube"",if(REGEXMATCH(C4069,""tiktok"")=TRUE,""Tiktok"",if("&amp;"REGEXMATCH(C4069,""threads"")=TRUE,""Threads""))))))"),"Twitter")</f>
        <v>Twitter</v>
      </c>
      <c r="G4069" s="41" t="s">
        <v>937</v>
      </c>
      <c r="H4069" s="41" t="s">
        <v>1542</v>
      </c>
      <c r="I4069" s="41" t="s">
        <v>939</v>
      </c>
      <c r="J4069" s="41" t="s">
        <v>188</v>
      </c>
      <c r="K4069" s="41"/>
      <c r="L4069" s="42"/>
    </row>
    <row r="4070">
      <c r="A4070" s="18">
        <v>4069.0</v>
      </c>
      <c r="B4070" s="90">
        <v>46011.0</v>
      </c>
      <c r="C4070" s="44" t="s">
        <v>7018</v>
      </c>
      <c r="D4070" s="41"/>
      <c r="E4070" s="41" t="s">
        <v>401</v>
      </c>
      <c r="F4070" s="18" t="str">
        <f>IFERROR(__xludf.DUMMYFUNCTION("if(REGEXMATCH(C4070,""x.com"")=TRUE,""Twitter"",if(REGEXMATCH(C4070,""facebook"")=TRUE,""Facebook"",if(REGEXMATCH(C4070,""instagram"")=TRUE,""Instagram"",if(REGEXMATCH(C4070,""youtube"")=TRUE,""Youtube"",if(REGEXMATCH(C4070,""tiktok"")=TRUE,""Tiktok"",if("&amp;"REGEXMATCH(C4070,""threads"")=TRUE,""Threads""))))))"),"Twitter")</f>
        <v>Twitter</v>
      </c>
      <c r="G4070" s="41" t="s">
        <v>937</v>
      </c>
      <c r="H4070" s="41" t="s">
        <v>1542</v>
      </c>
      <c r="I4070" s="41" t="s">
        <v>939</v>
      </c>
      <c r="J4070" s="41" t="s">
        <v>188</v>
      </c>
      <c r="K4070" s="41"/>
      <c r="L4070" s="42"/>
    </row>
    <row r="4071">
      <c r="A4071" s="18">
        <v>4070.0</v>
      </c>
      <c r="B4071" s="90">
        <v>46011.0</v>
      </c>
      <c r="C4071" s="47" t="s">
        <v>7019</v>
      </c>
      <c r="D4071" s="41"/>
      <c r="E4071" s="41" t="s">
        <v>401</v>
      </c>
      <c r="F4071" s="18" t="str">
        <f>IFERROR(__xludf.DUMMYFUNCTION("if(REGEXMATCH(C4071,""x.com"")=TRUE,""Twitter"",if(REGEXMATCH(C4071,""facebook"")=TRUE,""Facebook"",if(REGEXMATCH(C4071,""instagram"")=TRUE,""Instagram"",if(REGEXMATCH(C4071,""youtube"")=TRUE,""Youtube"",if(REGEXMATCH(C4071,""tiktok"")=TRUE,""Tiktok"",if("&amp;"REGEXMATCH(C4071,""threads"")=TRUE,""Threads""))))))"),"Twitter")</f>
        <v>Twitter</v>
      </c>
      <c r="G4071" s="41" t="s">
        <v>937</v>
      </c>
      <c r="H4071" s="41" t="s">
        <v>1542</v>
      </c>
      <c r="I4071" s="41" t="s">
        <v>939</v>
      </c>
      <c r="J4071" s="41" t="s">
        <v>188</v>
      </c>
      <c r="K4071" s="41"/>
      <c r="L4071" s="42"/>
    </row>
    <row r="4072">
      <c r="A4072" s="18">
        <v>4071.0</v>
      </c>
      <c r="B4072" s="90">
        <v>46011.0</v>
      </c>
      <c r="C4072" s="40" t="s">
        <v>7020</v>
      </c>
      <c r="D4072" s="41"/>
      <c r="E4072" s="41" t="s">
        <v>401</v>
      </c>
      <c r="F4072" s="18" t="str">
        <f>IFERROR(__xludf.DUMMYFUNCTION("if(REGEXMATCH(C4072,""x.com"")=TRUE,""Twitter"",if(REGEXMATCH(C4072,""facebook"")=TRUE,""Facebook"",if(REGEXMATCH(C4072,""instagram"")=TRUE,""Instagram"",if(REGEXMATCH(C4072,""youtube"")=TRUE,""Youtube"",if(REGEXMATCH(C4072,""tiktok"")=TRUE,""Tiktok"",if("&amp;"REGEXMATCH(C4072,""threads"")=TRUE,""Threads""))))))"),"Twitter")</f>
        <v>Twitter</v>
      </c>
      <c r="G4072" s="41" t="s">
        <v>937</v>
      </c>
      <c r="H4072" s="41" t="s">
        <v>1542</v>
      </c>
      <c r="I4072" s="41" t="s">
        <v>939</v>
      </c>
      <c r="J4072" s="41" t="s">
        <v>188</v>
      </c>
      <c r="K4072" s="41"/>
      <c r="L4072" s="42"/>
    </row>
    <row r="4073">
      <c r="A4073" s="18">
        <v>4072.0</v>
      </c>
      <c r="B4073" s="90">
        <v>46011.0</v>
      </c>
      <c r="C4073" s="40" t="s">
        <v>7021</v>
      </c>
      <c r="D4073" s="41"/>
      <c r="E4073" s="41" t="s">
        <v>401</v>
      </c>
      <c r="F4073" s="18" t="str">
        <f>IFERROR(__xludf.DUMMYFUNCTION("if(REGEXMATCH(C4073,""x.com"")=TRUE,""Twitter"",if(REGEXMATCH(C4073,""facebook"")=TRUE,""Facebook"",if(REGEXMATCH(C4073,""instagram"")=TRUE,""Instagram"",if(REGEXMATCH(C4073,""youtube"")=TRUE,""Youtube"",if(REGEXMATCH(C4073,""tiktok"")=TRUE,""Tiktok"",if("&amp;"REGEXMATCH(C4073,""threads"")=TRUE,""Threads""))))))"),"Twitter")</f>
        <v>Twitter</v>
      </c>
      <c r="G4073" s="41" t="s">
        <v>937</v>
      </c>
      <c r="H4073" s="41" t="s">
        <v>1542</v>
      </c>
      <c r="I4073" s="41" t="s">
        <v>939</v>
      </c>
      <c r="J4073" s="41" t="s">
        <v>188</v>
      </c>
      <c r="K4073" s="41"/>
      <c r="L4073" s="42"/>
    </row>
    <row r="4074">
      <c r="A4074" s="18">
        <v>4073.0</v>
      </c>
      <c r="B4074" s="90">
        <v>46011.0</v>
      </c>
      <c r="C4074" s="40" t="s">
        <v>7022</v>
      </c>
      <c r="D4074" s="41"/>
      <c r="E4074" s="41" t="s">
        <v>401</v>
      </c>
      <c r="F4074" s="18" t="str">
        <f>IFERROR(__xludf.DUMMYFUNCTION("if(REGEXMATCH(C4074,""x.com"")=TRUE,""Twitter"",if(REGEXMATCH(C4074,""facebook"")=TRUE,""Facebook"",if(REGEXMATCH(C4074,""instagram"")=TRUE,""Instagram"",if(REGEXMATCH(C4074,""youtube"")=TRUE,""Youtube"",if(REGEXMATCH(C4074,""tiktok"")=TRUE,""Tiktok"",if("&amp;"REGEXMATCH(C4074,""threads"")=TRUE,""Threads""))))))"),"Twitter")</f>
        <v>Twitter</v>
      </c>
      <c r="G4074" s="41" t="s">
        <v>937</v>
      </c>
      <c r="H4074" s="41" t="s">
        <v>1542</v>
      </c>
      <c r="I4074" s="41" t="s">
        <v>939</v>
      </c>
      <c r="J4074" s="41" t="s">
        <v>188</v>
      </c>
      <c r="K4074" s="41"/>
      <c r="L4074" s="42"/>
    </row>
    <row r="4075">
      <c r="A4075" s="18">
        <v>4074.0</v>
      </c>
      <c r="B4075" s="90">
        <v>46011.0</v>
      </c>
      <c r="C4075" s="40" t="s">
        <v>7023</v>
      </c>
      <c r="D4075" s="41"/>
      <c r="E4075" s="41" t="s">
        <v>401</v>
      </c>
      <c r="F4075" s="18" t="str">
        <f>IFERROR(__xludf.DUMMYFUNCTION("if(REGEXMATCH(C4075,""x.com"")=TRUE,""Twitter"",if(REGEXMATCH(C4075,""facebook"")=TRUE,""Facebook"",if(REGEXMATCH(C4075,""instagram"")=TRUE,""Instagram"",if(REGEXMATCH(C4075,""youtube"")=TRUE,""Youtube"",if(REGEXMATCH(C4075,""tiktok"")=TRUE,""Tiktok"",if("&amp;"REGEXMATCH(C4075,""threads"")=TRUE,""Threads""))))))"),"Twitter")</f>
        <v>Twitter</v>
      </c>
      <c r="G4075" s="41" t="s">
        <v>937</v>
      </c>
      <c r="H4075" s="41" t="s">
        <v>1542</v>
      </c>
      <c r="I4075" s="41" t="s">
        <v>939</v>
      </c>
      <c r="J4075" s="41" t="s">
        <v>188</v>
      </c>
      <c r="K4075" s="41"/>
      <c r="L4075" s="42"/>
    </row>
    <row r="4076">
      <c r="A4076" s="18">
        <v>4075.0</v>
      </c>
      <c r="B4076" s="90">
        <v>46011.0</v>
      </c>
      <c r="C4076" s="40" t="s">
        <v>7024</v>
      </c>
      <c r="D4076" s="41"/>
      <c r="E4076" s="41" t="s">
        <v>401</v>
      </c>
      <c r="F4076" s="18" t="str">
        <f>IFERROR(__xludf.DUMMYFUNCTION("if(REGEXMATCH(C4076,""x.com"")=TRUE,""Twitter"",if(REGEXMATCH(C4076,""facebook"")=TRUE,""Facebook"",if(REGEXMATCH(C4076,""instagram"")=TRUE,""Instagram"",if(REGEXMATCH(C4076,""youtube"")=TRUE,""Youtube"",if(REGEXMATCH(C4076,""tiktok"")=TRUE,""Tiktok"",if("&amp;"REGEXMATCH(C4076,""threads"")=TRUE,""Threads""))))))"),"Twitter")</f>
        <v>Twitter</v>
      </c>
      <c r="G4076" s="41" t="s">
        <v>937</v>
      </c>
      <c r="H4076" s="41" t="s">
        <v>1542</v>
      </c>
      <c r="I4076" s="41" t="s">
        <v>939</v>
      </c>
      <c r="J4076" s="41" t="s">
        <v>188</v>
      </c>
      <c r="K4076" s="41"/>
      <c r="L4076" s="42"/>
    </row>
    <row r="4077">
      <c r="A4077" s="18">
        <v>4076.0</v>
      </c>
      <c r="B4077" s="90">
        <v>46011.0</v>
      </c>
      <c r="C4077" s="40" t="s">
        <v>7025</v>
      </c>
      <c r="D4077" s="41"/>
      <c r="E4077" s="41" t="s">
        <v>401</v>
      </c>
      <c r="F4077" s="18" t="str">
        <f>IFERROR(__xludf.DUMMYFUNCTION("if(REGEXMATCH(C4077,""x.com"")=TRUE,""Twitter"",if(REGEXMATCH(C4077,""facebook"")=TRUE,""Facebook"",if(REGEXMATCH(C4077,""instagram"")=TRUE,""Instagram"",if(REGEXMATCH(C4077,""youtube"")=TRUE,""Youtube"",if(REGEXMATCH(C4077,""tiktok"")=TRUE,""Tiktok"",if("&amp;"REGEXMATCH(C4077,""threads"")=TRUE,""Threads""))))))"),"Twitter")</f>
        <v>Twitter</v>
      </c>
      <c r="G4077" s="41" t="s">
        <v>937</v>
      </c>
      <c r="H4077" s="41" t="s">
        <v>1542</v>
      </c>
      <c r="I4077" s="41" t="s">
        <v>939</v>
      </c>
      <c r="J4077" s="41" t="s">
        <v>188</v>
      </c>
      <c r="K4077" s="41"/>
      <c r="L4077" s="42"/>
    </row>
    <row r="4078">
      <c r="A4078" s="18">
        <v>4077.0</v>
      </c>
      <c r="B4078" s="90">
        <v>46011.0</v>
      </c>
      <c r="C4078" s="40" t="s">
        <v>7026</v>
      </c>
      <c r="D4078" s="41"/>
      <c r="E4078" s="41" t="s">
        <v>401</v>
      </c>
      <c r="F4078" s="18" t="str">
        <f>IFERROR(__xludf.DUMMYFUNCTION("if(REGEXMATCH(C4078,""x.com"")=TRUE,""Twitter"",if(REGEXMATCH(C4078,""facebook"")=TRUE,""Facebook"",if(REGEXMATCH(C4078,""instagram"")=TRUE,""Instagram"",if(REGEXMATCH(C4078,""youtube"")=TRUE,""Youtube"",if(REGEXMATCH(C4078,""tiktok"")=TRUE,""Tiktok"",if("&amp;"REGEXMATCH(C4078,""threads"")=TRUE,""Threads""))))))"),"Twitter")</f>
        <v>Twitter</v>
      </c>
      <c r="G4078" s="41" t="s">
        <v>937</v>
      </c>
      <c r="H4078" s="41" t="s">
        <v>1542</v>
      </c>
      <c r="I4078" s="41" t="s">
        <v>939</v>
      </c>
      <c r="J4078" s="41" t="s">
        <v>188</v>
      </c>
      <c r="K4078" s="41"/>
      <c r="L4078" s="42"/>
    </row>
    <row r="4079">
      <c r="A4079" s="18">
        <v>4078.0</v>
      </c>
      <c r="B4079" s="90">
        <v>46011.0</v>
      </c>
      <c r="C4079" s="40" t="s">
        <v>7027</v>
      </c>
      <c r="D4079" s="41"/>
      <c r="E4079" s="41" t="s">
        <v>401</v>
      </c>
      <c r="F4079" s="18" t="str">
        <f>IFERROR(__xludf.DUMMYFUNCTION("if(REGEXMATCH(C4079,""x.com"")=TRUE,""Twitter"",if(REGEXMATCH(C4079,""facebook"")=TRUE,""Facebook"",if(REGEXMATCH(C4079,""instagram"")=TRUE,""Instagram"",if(REGEXMATCH(C4079,""youtube"")=TRUE,""Youtube"",if(REGEXMATCH(C4079,""tiktok"")=TRUE,""Tiktok"",if("&amp;"REGEXMATCH(C4079,""threads"")=TRUE,""Threads""))))))"),"Twitter")</f>
        <v>Twitter</v>
      </c>
      <c r="G4079" s="41" t="s">
        <v>937</v>
      </c>
      <c r="H4079" s="41" t="s">
        <v>1542</v>
      </c>
      <c r="I4079" s="41" t="s">
        <v>939</v>
      </c>
      <c r="J4079" s="41" t="s">
        <v>188</v>
      </c>
      <c r="K4079" s="41"/>
      <c r="L4079" s="42"/>
    </row>
    <row r="4080">
      <c r="A4080" s="18">
        <v>4079.0</v>
      </c>
      <c r="B4080" s="90">
        <v>46011.0</v>
      </c>
      <c r="C4080" s="40" t="s">
        <v>7028</v>
      </c>
      <c r="D4080" s="41"/>
      <c r="E4080" s="41" t="s">
        <v>401</v>
      </c>
      <c r="F4080" s="18" t="str">
        <f>IFERROR(__xludf.DUMMYFUNCTION("if(REGEXMATCH(C4080,""x.com"")=TRUE,""Twitter"",if(REGEXMATCH(C4080,""facebook"")=TRUE,""Facebook"",if(REGEXMATCH(C4080,""instagram"")=TRUE,""Instagram"",if(REGEXMATCH(C4080,""youtube"")=TRUE,""Youtube"",if(REGEXMATCH(C4080,""tiktok"")=TRUE,""Tiktok"",if("&amp;"REGEXMATCH(C4080,""threads"")=TRUE,""Threads""))))))"),"Twitter")</f>
        <v>Twitter</v>
      </c>
      <c r="G4080" s="41" t="s">
        <v>937</v>
      </c>
      <c r="H4080" s="41" t="s">
        <v>1542</v>
      </c>
      <c r="I4080" s="41" t="s">
        <v>939</v>
      </c>
      <c r="J4080" s="41" t="s">
        <v>188</v>
      </c>
      <c r="K4080" s="41"/>
      <c r="L4080" s="42"/>
    </row>
    <row r="4081">
      <c r="A4081" s="18">
        <v>4080.0</v>
      </c>
      <c r="B4081" s="90">
        <v>46011.0</v>
      </c>
      <c r="C4081" s="40" t="s">
        <v>7029</v>
      </c>
      <c r="D4081" s="41"/>
      <c r="E4081" s="41" t="s">
        <v>401</v>
      </c>
      <c r="F4081" s="18" t="str">
        <f>IFERROR(__xludf.DUMMYFUNCTION("if(REGEXMATCH(C4081,""x.com"")=TRUE,""Twitter"",if(REGEXMATCH(C4081,""facebook"")=TRUE,""Facebook"",if(REGEXMATCH(C4081,""instagram"")=TRUE,""Instagram"",if(REGEXMATCH(C4081,""youtube"")=TRUE,""Youtube"",if(REGEXMATCH(C4081,""tiktok"")=TRUE,""Tiktok"",if("&amp;"REGEXMATCH(C4081,""threads"")=TRUE,""Threads""))))))"),"Twitter")</f>
        <v>Twitter</v>
      </c>
      <c r="G4081" s="41" t="s">
        <v>937</v>
      </c>
      <c r="H4081" s="41" t="s">
        <v>1542</v>
      </c>
      <c r="I4081" s="41" t="s">
        <v>939</v>
      </c>
      <c r="J4081" s="41" t="s">
        <v>188</v>
      </c>
      <c r="K4081" s="41"/>
      <c r="L4081" s="42"/>
    </row>
    <row r="4082">
      <c r="A4082" s="18">
        <v>4081.0</v>
      </c>
      <c r="B4082" s="90">
        <v>46011.0</v>
      </c>
      <c r="C4082" s="40" t="s">
        <v>7030</v>
      </c>
      <c r="D4082" s="41"/>
      <c r="E4082" s="41" t="s">
        <v>401</v>
      </c>
      <c r="F4082" s="18" t="str">
        <f>IFERROR(__xludf.DUMMYFUNCTION("if(REGEXMATCH(C4082,""x.com"")=TRUE,""Twitter"",if(REGEXMATCH(C4082,""facebook"")=TRUE,""Facebook"",if(REGEXMATCH(C4082,""instagram"")=TRUE,""Instagram"",if(REGEXMATCH(C4082,""youtube"")=TRUE,""Youtube"",if(REGEXMATCH(C4082,""tiktok"")=TRUE,""Tiktok"",if("&amp;"REGEXMATCH(C4082,""threads"")=TRUE,""Threads""))))))"),"Twitter")</f>
        <v>Twitter</v>
      </c>
      <c r="G4082" s="41" t="s">
        <v>937</v>
      </c>
      <c r="H4082" s="41" t="s">
        <v>1542</v>
      </c>
      <c r="I4082" s="41" t="s">
        <v>939</v>
      </c>
      <c r="J4082" s="41" t="s">
        <v>188</v>
      </c>
      <c r="K4082" s="41"/>
      <c r="L4082" s="42"/>
    </row>
    <row r="4083">
      <c r="A4083" s="18">
        <v>4082.0</v>
      </c>
      <c r="B4083" s="90">
        <v>46011.0</v>
      </c>
      <c r="C4083" s="44" t="s">
        <v>7031</v>
      </c>
      <c r="D4083" s="18"/>
      <c r="E4083" s="18" t="s">
        <v>184</v>
      </c>
      <c r="F4083" s="18" t="str">
        <f>IFERROR(__xludf.DUMMYFUNCTION("if(REGEXMATCH(C4083,""x.com"")=TRUE,""Twitter"",if(REGEXMATCH(C4083,""facebook"")=TRUE,""Facebook"",if(REGEXMATCH(C4083,""instagram"")=TRUE,""Instagram"",if(REGEXMATCH(C4083,""youtube"")=TRUE,""Youtube"",if(REGEXMATCH(C4083,""tiktok"")=TRUE,""Tiktok"",if("&amp;"REGEXMATCH(C4083,""threads"")=TRUE,""Threads""))))))"),"Facebook")</f>
        <v>Facebook</v>
      </c>
      <c r="G4083" s="41" t="s">
        <v>4116</v>
      </c>
      <c r="H4083" s="65" t="s">
        <v>6554</v>
      </c>
      <c r="I4083" s="41"/>
      <c r="J4083" s="41" t="s">
        <v>188</v>
      </c>
      <c r="K4083" s="41"/>
      <c r="L4083" s="42"/>
    </row>
    <row r="4084">
      <c r="A4084" s="99"/>
      <c r="B4084" s="100"/>
      <c r="C4084" s="101"/>
      <c r="D4084" s="102"/>
      <c r="E4084" s="103"/>
      <c r="F4084" s="104"/>
      <c r="G4084" s="105"/>
      <c r="H4084" s="106"/>
      <c r="I4084" s="107"/>
      <c r="J4084" s="105"/>
      <c r="K4084" s="107"/>
      <c r="L4084" s="108"/>
    </row>
  </sheetData>
  <autoFilter ref="$J$1:$J$554"/>
  <mergeCells count="165">
    <mergeCell ref="L855:L856"/>
    <mergeCell ref="H896:H915"/>
    <mergeCell ref="I896:I915"/>
    <mergeCell ref="H958:H972"/>
    <mergeCell ref="H989:H1002"/>
    <mergeCell ref="H1108:H1113"/>
    <mergeCell ref="I1108:I1113"/>
    <mergeCell ref="H1127:H1136"/>
    <mergeCell ref="I1127:I1136"/>
    <mergeCell ref="H1137:H1149"/>
    <mergeCell ref="I1137:I1149"/>
    <mergeCell ref="H1164:H1172"/>
    <mergeCell ref="I1164:I1172"/>
    <mergeCell ref="I1218:I1227"/>
    <mergeCell ref="H1218:H1227"/>
    <mergeCell ref="H1263:H1276"/>
    <mergeCell ref="I1263:I1276"/>
    <mergeCell ref="H1289:H1302"/>
    <mergeCell ref="I1289:I1302"/>
    <mergeCell ref="I1322:I1334"/>
    <mergeCell ref="I1335:I1343"/>
    <mergeCell ref="H1387:H1395"/>
    <mergeCell ref="I1387:I1399"/>
    <mergeCell ref="H1400:H1412"/>
    <mergeCell ref="I1400:I1412"/>
    <mergeCell ref="H2191:H2199"/>
    <mergeCell ref="I2191:I2205"/>
    <mergeCell ref="I2233:I2243"/>
    <mergeCell ref="H2233:H2243"/>
    <mergeCell ref="H2251:H2261"/>
    <mergeCell ref="I2251:I2261"/>
    <mergeCell ref="H2270:H2279"/>
    <mergeCell ref="I2270:I2279"/>
    <mergeCell ref="H2590:H2599"/>
    <mergeCell ref="I2590:I2599"/>
    <mergeCell ref="H2600:H2609"/>
    <mergeCell ref="I2600:I2609"/>
    <mergeCell ref="H2610:H2618"/>
    <mergeCell ref="I2610:I2618"/>
    <mergeCell ref="H2627:H2636"/>
    <mergeCell ref="I2627:I2636"/>
    <mergeCell ref="I2637:I2646"/>
    <mergeCell ref="I2647:I2655"/>
    <mergeCell ref="H2780:H2792"/>
    <mergeCell ref="I2780:I2792"/>
    <mergeCell ref="H3287:H3299"/>
    <mergeCell ref="I3287:I3299"/>
    <mergeCell ref="H3317:H3328"/>
    <mergeCell ref="I3317:I3328"/>
    <mergeCell ref="H3340:H3351"/>
    <mergeCell ref="I3340:I3351"/>
    <mergeCell ref="I3354:I3369"/>
    <mergeCell ref="H3354:H3369"/>
    <mergeCell ref="H3395:H3409"/>
    <mergeCell ref="I3395:I3409"/>
    <mergeCell ref="H3421:H3432"/>
    <mergeCell ref="I3421:I3432"/>
    <mergeCell ref="H3433:H3443"/>
    <mergeCell ref="I3433:I3443"/>
    <mergeCell ref="H2637:H2646"/>
    <mergeCell ref="H2647:H2655"/>
    <mergeCell ref="H2671:H2680"/>
    <mergeCell ref="I2671:I2680"/>
    <mergeCell ref="H2681:H2695"/>
    <mergeCell ref="I2681:I2695"/>
    <mergeCell ref="I2696:I2705"/>
    <mergeCell ref="H2696:H2705"/>
    <mergeCell ref="H2730:H2739"/>
    <mergeCell ref="I2730:I2739"/>
    <mergeCell ref="H2740:H2754"/>
    <mergeCell ref="I2740:I2754"/>
    <mergeCell ref="H2770:H2779"/>
    <mergeCell ref="I2770:I2779"/>
    <mergeCell ref="H2816:H2828"/>
    <mergeCell ref="I2816:I2828"/>
    <mergeCell ref="H2829:H2841"/>
    <mergeCell ref="I2829:I2841"/>
    <mergeCell ref="H2842:H2854"/>
    <mergeCell ref="I2842:I2854"/>
    <mergeCell ref="I2861:I2874"/>
    <mergeCell ref="H2861:H2874"/>
    <mergeCell ref="H2903:H2914"/>
    <mergeCell ref="I2903:I2914"/>
    <mergeCell ref="H2941:H2957"/>
    <mergeCell ref="I2941:I2957"/>
    <mergeCell ref="H3006:H3019"/>
    <mergeCell ref="I3006:I3019"/>
    <mergeCell ref="H3053:H3063"/>
    <mergeCell ref="I3053:I3063"/>
    <mergeCell ref="H3068:H3079"/>
    <mergeCell ref="I3068:I3079"/>
    <mergeCell ref="H3086:H3097"/>
    <mergeCell ref="I3086:I3097"/>
    <mergeCell ref="I3111:I3124"/>
    <mergeCell ref="H3111:H3124"/>
    <mergeCell ref="H3159:H3171"/>
    <mergeCell ref="I3159:I3171"/>
    <mergeCell ref="H3259:H3270"/>
    <mergeCell ref="I3259:I3270"/>
    <mergeCell ref="H3273:H3284"/>
    <mergeCell ref="I3273:I3284"/>
    <mergeCell ref="H3461:H3475"/>
    <mergeCell ref="I3461:I3475"/>
    <mergeCell ref="H3477:H3491"/>
    <mergeCell ref="I3477:I3491"/>
    <mergeCell ref="H3492:H3501"/>
    <mergeCell ref="I3492:I3501"/>
    <mergeCell ref="I3512:I3521"/>
    <mergeCell ref="H4029:H4043"/>
    <mergeCell ref="I4029:I4043"/>
    <mergeCell ref="H4049:H4063"/>
    <mergeCell ref="I4049:I4063"/>
    <mergeCell ref="I3974:I3988"/>
    <mergeCell ref="I3990:I3991"/>
    <mergeCell ref="H3992:H4011"/>
    <mergeCell ref="I3992:I4011"/>
    <mergeCell ref="I4027:I4028"/>
    <mergeCell ref="J4027:J4028"/>
    <mergeCell ref="K4027:K4028"/>
    <mergeCell ref="J4047:J4048"/>
    <mergeCell ref="K4047:K4048"/>
    <mergeCell ref="B4047:B4048"/>
    <mergeCell ref="C4047:C4048"/>
    <mergeCell ref="D4047:D4048"/>
    <mergeCell ref="E4047:E4048"/>
    <mergeCell ref="F4047:F4048"/>
    <mergeCell ref="H4047:H4048"/>
    <mergeCell ref="I4047:I4048"/>
    <mergeCell ref="H3815:H3829"/>
    <mergeCell ref="H3862:H3876"/>
    <mergeCell ref="H3880:H3893"/>
    <mergeCell ref="H3900:H3909"/>
    <mergeCell ref="H3512:H3521"/>
    <mergeCell ref="H3642:H3655"/>
    <mergeCell ref="I3642:I3655"/>
    <mergeCell ref="H3658:H3671"/>
    <mergeCell ref="I3658:I3671"/>
    <mergeCell ref="I3815:I3829"/>
    <mergeCell ref="I3841:I3855"/>
    <mergeCell ref="I3880:I3893"/>
    <mergeCell ref="I3900:I3909"/>
    <mergeCell ref="B3972:B3973"/>
    <mergeCell ref="C3972:C3973"/>
    <mergeCell ref="D3972:D3973"/>
    <mergeCell ref="E3972:E3973"/>
    <mergeCell ref="F3972:F3973"/>
    <mergeCell ref="E3990:E3991"/>
    <mergeCell ref="F3990:F3991"/>
    <mergeCell ref="J3990:J3991"/>
    <mergeCell ref="K3990:K3991"/>
    <mergeCell ref="L3990:L3991"/>
    <mergeCell ref="G3972:G3973"/>
    <mergeCell ref="I3972:I3973"/>
    <mergeCell ref="J3972:J3973"/>
    <mergeCell ref="K3972:K3973"/>
    <mergeCell ref="H3974:H3988"/>
    <mergeCell ref="B3990:B3991"/>
    <mergeCell ref="G3990:G3991"/>
    <mergeCell ref="C3990:C3991"/>
    <mergeCell ref="D3990:D3991"/>
    <mergeCell ref="B4027:B4028"/>
    <mergeCell ref="C4027:C4028"/>
    <mergeCell ref="D4027:D4028"/>
    <mergeCell ref="E4027:E4028"/>
    <mergeCell ref="G4027:G4028"/>
  </mergeCells>
  <dataValidations>
    <dataValidation type="list" allowBlank="1" showErrorMessage="1" sqref="F597:F601 F604:F631 F797:F839 F2385:F2404 F2408:F2424 F2440:F2484 F2490:F2527">
      <formula1>"Tiktok,Instagram,Twitter,Facebook,Threads"</formula1>
    </dataValidation>
    <dataValidation type="list" allowBlank="1" showErrorMessage="1" sqref="J840:J843">
      <formula1>"Sudah Verifikasi,Belum Verifikasi"</formula1>
    </dataValidation>
    <dataValidation type="list" allowBlank="1" showErrorMessage="1" sqref="J2:J207 J210:J246 I247:J248 J249:J287 J308:J323 J340:J353 J377:J401 J558:J654 J691 J693:J715 J721:J729 J731:J758 J797:J839 J864:J893 J916:J929 J945:J957 J976:J997 J999:J1020 J1037:J1039 J1050:J3571 J3584:J3723 J3725:J3972 J3974:J3990 J3992:J4027 J4029:J4047 J4049:J4084">
      <formula1>"Sudah Verifikasi,Belum Verifikasi"</formula1>
    </dataValidation>
    <dataValidation type="list" allowBlank="1" showErrorMessage="1" sqref="F2656:F2657 F2716:F2723">
      <formula1>"Tiktok,Facebook"</formula1>
    </dataValidation>
    <dataValidation type="custom" allowBlank="1" showDropDown="1" showInputMessage="1" showErrorMessage="1" prompt="Link Duplikat" sqref="C114:C116 C139:C141 C199:D201">
      <formula1>COUNTIF($D$208:$D4084, C114)&lt;=1</formula1>
    </dataValidation>
    <dataValidation type="list" allowBlank="1" showErrorMessage="1" sqref="J895">
      <formula1>"Sudah Verifikasi,Belum Verifikasi"</formula1>
    </dataValidation>
    <dataValidation type="list" allowBlank="1" showErrorMessage="1" sqref="F2730:F2753 F2760:F2763 F2767:F2769">
      <formula1>"Url,Facebook,X (twitter),Youtube,Instagram,Tiktok,Thread,Snapchat,Telegram,Whatsapp,Pinterest,Line,Skype,Medium,Play Store,Linkedin"</formula1>
    </dataValidation>
    <dataValidation type="list" allowBlank="1" showErrorMessage="1" sqref="J896:J903 J905 J907:J915 J958:J975 J998">
      <formula1>"Sudah Verifikasi,Belum Verifikasi"</formula1>
    </dataValidation>
    <dataValidation type="list" allowBlank="1" showErrorMessage="1" sqref="J288:J307 J324:J339 J716:J720 J894">
      <formula1>"Sudah Verifikasi,Belum Verifikasi"</formula1>
    </dataValidation>
    <dataValidation type="list" allowBlank="1" showErrorMessage="1" sqref="J692 J730 J904 J906">
      <formula1>"Sudah Verifikasi,Belum Verifikasi"</formula1>
    </dataValidation>
    <dataValidation type="list" allowBlank="1" showErrorMessage="1" sqref="F558:F596 F602:F603 F1150:F1286 F3714:F3724 F3746:F3762 F3974:F3990 F3992:F4027 F4029:F4047 F4049:F4084">
      <formula1>"Tiktok,Instagram,Twitter"</formula1>
    </dataValidation>
    <dataValidation type="custom" allowBlank="1" showDropDown="1" showInputMessage="1" showErrorMessage="1" prompt="Link Duplikat" sqref="C250 C658 C933 C1043 C3540 C3589 C3605 C3700 C3767 C3800">
      <formula1>COUNTIF($C$2:$C4084, #REF!)&lt;=1</formula1>
    </dataValidation>
    <dataValidation type="custom" allowBlank="1" showDropDown="1" showInputMessage="1" showErrorMessage="1" prompt="Link Duplikat" sqref="C291 C327 C561 C609 C635 C694 C728 C762 C800 C867 C899 C961 C992 C1053 C1076 C1111 C1266 C1292 C1305 C1315 C1325:D1325 C1338:D1338 C1361:D1361 C1384:D1384 C1390:D1390 C1403 C2194 C2236 C2273 C2305:D2305 C2324 C2338:C2339 C2373 C2395 C2412 C2443 C2471 C2493 C2531 C2556 C2863:D2863 C3645:D3645 C3661 C3680:D3680 C3717 C3728 C3749 C3818 C3844 C3865 C3882 C3903 C3977 C3995 C4033 C4052">
      <formula1>COUNTIF($D$2:$D4084, #REF!)&lt;=1</formula1>
    </dataValidation>
    <dataValidation type="list" allowBlank="1" showErrorMessage="1" sqref="F2405:F2407">
      <formula1>"Tiktok,Facebook,Twitter"</formula1>
    </dataValidation>
    <dataValidation type="custom" allowBlank="1" showDropDown="1" showInputMessage="1" showErrorMessage="1" prompt="Link Duplikat" sqref="C288:C290 C300:C305 C324:C326 C558:E560 D561:E576 C606:C608 C632:C634 C691:C693 C725:C727 C759:C761 C797:C799 C864:C866 C896:C898 C958:C960 C989:C991 C1050:C1052 C1073:C1075 C1091:C1095 C1108:C1110 C1127:C1129 C1137:C1161 C1164:D1173 C1205:C1209 C1218:C1227 C1263:C1265 C1289:C1291 C1303:C1304 C1307:C1314 C1317:C1321 C1322:D1324 C1335:D1337 C1358:D1360 C1364:D1368 C1383:D1383 C1387:D1389 C1400:C1402 C1408:C2193 C2195:C2235 C2237:C2272 C2274:C2301 C2302:D2304 C2306:C2323 C2325:C2337 C2340:C2366 C2368:C2372 C2374:C2394 C2396:C2411 C2413:C2442 C2444:C2470 C2472:C2492 C2494:C2530 C2532:C2555 C2557:C2580 C2740:C2743 C2780:C2783 C2816:C2819 C2829:C2832 C2842:D2845 C2861:D2862 C2864:D2864 C2870:D2870 C2871:C2874 C2903:C2906 C2941:C2944 C3006:C3009 C3068:C3071 C3086:C3088 C3111:C3114 C3118:C3124 C3159:C3162 C3169:C3173 C3259:D3263 C3273:D3276 C3287:D3290 C3317:C3320 C3326:C3330 C3340:C3343 C3354:C3357 C3395:C3398 C3421:C3426 C3433:C3436 C3461:C3464 C3477:C3480 C3492:C3495 C3512:C3515 C3519:C3521 C3642:D3644 C3658:C3660 C3677:D3679 C3714:C3716 C3725:C3727 C3746:C3748 C3815:C3817 C3841:C3843 C3862:C3864 C3880:C3881 C3900:C3902 C3974:C3976 C3992:C3994 C4029 C4031:C4032 C4049:C4051">
      <formula1>COUNTIF($D$2:$D4084, C288)&lt;=1</formula1>
    </dataValidation>
    <dataValidation type="custom" allowBlank="1" showDropDown="1" showInputMessage="1" showErrorMessage="1" prompt="Link Duplikat" sqref="C247:C249 C655:C657 C930:C932 C1021:C1025 C1040:C1042 C3187:C3190 C3204:C3207 C3221:C3228 C3243:C3246 C3537:C3539 C3558:C3561 C3572:C3575 C3586:C3588 C3602:C3604 C3697:C3699 C3764:C3766 C3797:C3799">
      <formula1>COUNTIF($C$2:$C4084, C247)&lt;=1</formula1>
    </dataValidation>
    <dataValidation type="list" allowBlank="1" showErrorMessage="1" sqref="F2:F14 F655:F690 F759:F796 F840:F863 F930:F957 F1021:F1149 F1287:F1321 F1400:F2384 F2425:F2439 F2485:F2489 F2528:F2655 F2658:F2715 F2724:F2729 F2754:F2759 F2764:F2766 F2770:F3337 F3537:F3713 F3764:F3814 F3880:F3899 F3943:F3972">
      <formula1>"Tiktok"</formula1>
    </dataValidation>
    <dataValidation type="custom" allowBlank="1" showDropDown="1" showInputMessage="1" showErrorMessage="1" prompt="Link Duplikat" sqref="C117 C142 C202:D202">
      <formula1>COUNTIF($D$208:$D4084, #REF!)&lt;=1</formula1>
    </dataValidation>
    <dataValidation type="list" allowBlank="1" showErrorMessage="1" sqref="J655:J690 J759:J796 J844:J863 J930:J944 J1021:J1036 J1040:J1049">
      <formula1>"Sudah Verifikasi,Belum Verifikasi"</formula1>
    </dataValidation>
    <dataValidation type="custom" allowBlank="1" showDropDown="1" sqref="C2581:C2655 C2662:C2715 C2730:C2739 C2770:C2779">
      <formula1>COUNTIF(INDIRECT("DFK!A:A"), #REF!) = 0</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G118"/>
    <hyperlink r:id="rId119" ref="C119"/>
    <hyperlink r:id="rId120" ref="C120"/>
    <hyperlink r:id="rId121" ref="C121"/>
    <hyperlink r:id="rId122" ref="C122"/>
    <hyperlink r:id="rId123" ref="C123"/>
    <hyperlink r:id="rId124" ref="C124"/>
    <hyperlink r:id="rId125" ref="C125"/>
    <hyperlink r:id="rId126" ref="C126"/>
    <hyperlink r:id="rId127" ref="C127"/>
    <hyperlink r:id="rId128" ref="C128"/>
    <hyperlink r:id="rId129" ref="C129"/>
    <hyperlink r:id="rId130" ref="C130"/>
    <hyperlink r:id="rId131" ref="C131"/>
    <hyperlink r:id="rId132" ref="C132"/>
    <hyperlink r:id="rId133" ref="C133"/>
    <hyperlink r:id="rId134" ref="C134"/>
    <hyperlink r:id="rId135" ref="C135"/>
    <hyperlink r:id="rId136" ref="C136"/>
    <hyperlink r:id="rId137" ref="C137"/>
    <hyperlink r:id="rId138" ref="C138"/>
    <hyperlink r:id="rId139" ref="C139"/>
    <hyperlink r:id="rId140" ref="C140"/>
    <hyperlink r:id="rId141" ref="C141"/>
    <hyperlink r:id="rId142" ref="C142"/>
    <hyperlink r:id="rId143" ref="C143"/>
    <hyperlink r:id="rId144" ref="C144"/>
    <hyperlink r:id="rId145" ref="C145"/>
    <hyperlink r:id="rId146" ref="C146"/>
    <hyperlink r:id="rId147" ref="C147"/>
    <hyperlink r:id="rId148" ref="C148"/>
    <hyperlink r:id="rId149" ref="C149"/>
    <hyperlink r:id="rId150" ref="C150"/>
    <hyperlink r:id="rId151" ref="C151"/>
    <hyperlink r:id="rId152" ref="C152"/>
    <hyperlink r:id="rId153" ref="C153"/>
    <hyperlink r:id="rId154" ref="C154"/>
    <hyperlink r:id="rId155" ref="C155"/>
    <hyperlink r:id="rId156" ref="C156"/>
    <hyperlink r:id="rId157" ref="C157"/>
    <hyperlink r:id="rId158" ref="C158"/>
    <hyperlink r:id="rId159" ref="C159"/>
    <hyperlink r:id="rId160" ref="C160"/>
    <hyperlink r:id="rId161" ref="C161"/>
    <hyperlink r:id="rId162" ref="C162"/>
    <hyperlink r:id="rId163" ref="C163"/>
    <hyperlink r:id="rId164" ref="C164"/>
    <hyperlink r:id="rId165" ref="C165"/>
    <hyperlink r:id="rId166" ref="C166"/>
    <hyperlink r:id="rId167" ref="C167"/>
    <hyperlink r:id="rId168" ref="C168"/>
    <hyperlink r:id="rId169" ref="C169"/>
    <hyperlink r:id="rId170" ref="C170"/>
    <hyperlink r:id="rId171" ref="C171"/>
    <hyperlink r:id="rId172" ref="C172"/>
    <hyperlink r:id="rId173" ref="C173"/>
    <hyperlink r:id="rId174" ref="C174"/>
    <hyperlink r:id="rId175" ref="C175"/>
    <hyperlink r:id="rId176" ref="C176"/>
    <hyperlink r:id="rId177" ref="C177"/>
    <hyperlink r:id="rId178" ref="C178"/>
    <hyperlink r:id="rId179" ref="C179"/>
    <hyperlink r:id="rId180" ref="C180"/>
    <hyperlink r:id="rId181" ref="C181"/>
    <hyperlink r:id="rId182" ref="C182"/>
    <hyperlink r:id="rId183" ref="C183"/>
    <hyperlink r:id="rId184" ref="C184"/>
    <hyperlink r:id="rId185" ref="C185"/>
    <hyperlink r:id="rId186" ref="C186"/>
    <hyperlink r:id="rId187" ref="C187"/>
    <hyperlink r:id="rId188" ref="C188"/>
    <hyperlink r:id="rId189" ref="C189"/>
    <hyperlink r:id="rId190" ref="C190"/>
    <hyperlink r:id="rId191" ref="C191"/>
    <hyperlink r:id="rId192" ref="C192"/>
    <hyperlink r:id="rId193" ref="C193"/>
    <hyperlink r:id="rId194" ref="C194"/>
    <hyperlink r:id="rId195" ref="C195"/>
    <hyperlink r:id="rId196" ref="C196"/>
    <hyperlink r:id="rId197" ref="C197"/>
    <hyperlink r:id="rId198" ref="C198"/>
    <hyperlink r:id="rId199" ref="C199"/>
    <hyperlink r:id="rId200" ref="C200"/>
    <hyperlink r:id="rId201" ref="C201"/>
    <hyperlink r:id="rId202" ref="C202"/>
    <hyperlink r:id="rId203" ref="C203"/>
    <hyperlink r:id="rId204" ref="C204"/>
    <hyperlink r:id="rId205" ref="C205"/>
    <hyperlink r:id="rId206" ref="C206"/>
    <hyperlink r:id="rId207" ref="C207"/>
    <hyperlink r:id="rId208" ref="C210"/>
    <hyperlink r:id="rId209" ref="C211"/>
    <hyperlink r:id="rId210" ref="C212"/>
    <hyperlink r:id="rId211" ref="C213"/>
    <hyperlink r:id="rId212" ref="C214"/>
    <hyperlink r:id="rId213" ref="C215"/>
    <hyperlink r:id="rId214" ref="C216"/>
    <hyperlink r:id="rId215" ref="C217"/>
    <hyperlink r:id="rId216" ref="C218"/>
    <hyperlink r:id="rId217" ref="C219"/>
    <hyperlink r:id="rId218" ref="C220"/>
    <hyperlink r:id="rId219" ref="C221"/>
    <hyperlink r:id="rId220" ref="C222"/>
    <hyperlink r:id="rId221" ref="C223"/>
    <hyperlink r:id="rId222" ref="C224"/>
    <hyperlink r:id="rId223" ref="C225"/>
    <hyperlink r:id="rId224" ref="C226"/>
    <hyperlink r:id="rId225" ref="C227"/>
    <hyperlink r:id="rId226" ref="C228"/>
    <hyperlink r:id="rId227" ref="C229"/>
    <hyperlink r:id="rId228" ref="C230"/>
    <hyperlink r:id="rId229" ref="C231"/>
    <hyperlink r:id="rId230" ref="C232"/>
    <hyperlink r:id="rId231" ref="C233"/>
    <hyperlink r:id="rId232" ref="C234"/>
    <hyperlink r:id="rId233" ref="C235"/>
    <hyperlink r:id="rId234" ref="C236"/>
    <hyperlink r:id="rId235" ref="C237"/>
    <hyperlink r:id="rId236" ref="C238"/>
    <hyperlink r:id="rId237" ref="C239"/>
    <hyperlink r:id="rId238" ref="C240"/>
    <hyperlink r:id="rId239" ref="C241"/>
    <hyperlink r:id="rId240" ref="C242"/>
    <hyperlink r:id="rId241" ref="C243"/>
    <hyperlink r:id="rId242" ref="C244"/>
    <hyperlink r:id="rId243" ref="C245"/>
    <hyperlink r:id="rId244" ref="C246"/>
    <hyperlink r:id="rId245" ref="C247"/>
    <hyperlink r:id="rId246" ref="C248"/>
    <hyperlink r:id="rId247" ref="C249"/>
    <hyperlink r:id="rId248" ref="C250"/>
    <hyperlink r:id="rId249" ref="C251"/>
    <hyperlink r:id="rId250" ref="C252"/>
    <hyperlink r:id="rId251" ref="C253"/>
    <hyperlink r:id="rId252" ref="C254"/>
    <hyperlink r:id="rId253" ref="C255"/>
    <hyperlink r:id="rId254" ref="C256"/>
    <hyperlink r:id="rId255" ref="C257"/>
    <hyperlink r:id="rId256" ref="C258"/>
    <hyperlink r:id="rId257" ref="C259"/>
    <hyperlink r:id="rId258" ref="C260"/>
    <hyperlink r:id="rId259" ref="C261"/>
    <hyperlink r:id="rId260" ref="C262"/>
    <hyperlink r:id="rId261" ref="C263"/>
    <hyperlink r:id="rId262" ref="C264"/>
    <hyperlink r:id="rId263" ref="C265"/>
    <hyperlink r:id="rId264" ref="C266"/>
    <hyperlink r:id="rId265" ref="C267"/>
    <hyperlink r:id="rId266" ref="C268"/>
    <hyperlink r:id="rId267" ref="C269"/>
    <hyperlink r:id="rId268" ref="C271"/>
    <hyperlink r:id="rId269" ref="C272"/>
    <hyperlink r:id="rId270" ref="C273"/>
    <hyperlink r:id="rId271" ref="C274"/>
    <hyperlink r:id="rId272" ref="C275"/>
    <hyperlink r:id="rId273" ref="C276"/>
    <hyperlink r:id="rId274" ref="C277"/>
    <hyperlink r:id="rId275" ref="C278"/>
    <hyperlink r:id="rId276" ref="C279"/>
    <hyperlink r:id="rId277" ref="C280"/>
    <hyperlink r:id="rId278" ref="C281"/>
    <hyperlink r:id="rId279" ref="C283"/>
    <hyperlink r:id="rId280" ref="C284"/>
    <hyperlink r:id="rId281" ref="C285"/>
    <hyperlink r:id="rId282" ref="C286"/>
    <hyperlink r:id="rId283" ref="C287"/>
    <hyperlink r:id="rId284" ref="C288"/>
    <hyperlink r:id="rId285" ref="C289"/>
    <hyperlink r:id="rId286" ref="C290"/>
    <hyperlink r:id="rId287" ref="C291"/>
    <hyperlink r:id="rId288" ref="C292"/>
    <hyperlink r:id="rId289" ref="C293"/>
    <hyperlink r:id="rId290" ref="C294"/>
    <hyperlink r:id="rId291" ref="C295"/>
    <hyperlink r:id="rId292" ref="C296"/>
    <hyperlink r:id="rId293" ref="C297"/>
    <hyperlink r:id="rId294" ref="C298"/>
    <hyperlink r:id="rId295" ref="C299"/>
    <hyperlink r:id="rId296" ref="C300"/>
    <hyperlink r:id="rId297" ref="C301"/>
    <hyperlink r:id="rId298" ref="C302"/>
    <hyperlink r:id="rId299" ref="C303"/>
    <hyperlink r:id="rId300" ref="C304"/>
    <hyperlink r:id="rId301" ref="C305"/>
    <hyperlink r:id="rId302" ref="C306"/>
    <hyperlink r:id="rId303" ref="C307"/>
    <hyperlink r:id="rId304" ref="G307"/>
    <hyperlink r:id="rId305" ref="C308"/>
    <hyperlink r:id="rId306" ref="C309"/>
    <hyperlink r:id="rId307" ref="C310"/>
    <hyperlink r:id="rId308" ref="C311"/>
    <hyperlink r:id="rId309" ref="C312"/>
    <hyperlink r:id="rId310" ref="C313"/>
    <hyperlink r:id="rId311" ref="C314"/>
    <hyperlink r:id="rId312" ref="C315"/>
    <hyperlink r:id="rId313" ref="C316"/>
    <hyperlink r:id="rId314" ref="C317"/>
    <hyperlink r:id="rId315" ref="C318"/>
    <hyperlink r:id="rId316" ref="C319"/>
    <hyperlink r:id="rId317" ref="C320"/>
    <hyperlink r:id="rId318" ref="C321"/>
    <hyperlink r:id="rId319" ref="C322"/>
    <hyperlink r:id="rId320" ref="C323"/>
    <hyperlink r:id="rId321" ref="C324"/>
    <hyperlink r:id="rId322" ref="C325"/>
    <hyperlink r:id="rId323" ref="C326"/>
    <hyperlink r:id="rId324" ref="C327"/>
    <hyperlink r:id="rId325" ref="C328"/>
    <hyperlink r:id="rId326" ref="C329"/>
    <hyperlink r:id="rId327" ref="C330"/>
    <hyperlink r:id="rId328" ref="C331"/>
    <hyperlink r:id="rId329" ref="C332"/>
    <hyperlink r:id="rId330" ref="C333"/>
    <hyperlink r:id="rId331" ref="C334"/>
    <hyperlink r:id="rId332" ref="C335"/>
    <hyperlink r:id="rId333" ref="C336"/>
    <hyperlink r:id="rId334" ref="C337"/>
    <hyperlink r:id="rId335" ref="C338"/>
    <hyperlink r:id="rId336" ref="C339"/>
    <hyperlink r:id="rId337" ref="C340"/>
    <hyperlink r:id="rId338" ref="C341"/>
    <hyperlink r:id="rId339" ref="C342"/>
    <hyperlink r:id="rId340" ref="C343"/>
    <hyperlink r:id="rId341" ref="C344"/>
    <hyperlink r:id="rId342" ref="C345"/>
    <hyperlink r:id="rId343" ref="C346"/>
    <hyperlink r:id="rId344" ref="C347"/>
    <hyperlink r:id="rId345" ref="C348"/>
    <hyperlink r:id="rId346" ref="C349"/>
    <hyperlink r:id="rId347" ref="C350"/>
    <hyperlink r:id="rId348" ref="C351"/>
    <hyperlink r:id="rId349" ref="C352"/>
    <hyperlink r:id="rId350" ref="C353"/>
    <hyperlink r:id="rId351" ref="C355"/>
    <hyperlink r:id="rId352" ref="C356"/>
    <hyperlink r:id="rId353" ref="C357"/>
    <hyperlink r:id="rId354" ref="C358"/>
    <hyperlink r:id="rId355" ref="C359"/>
    <hyperlink r:id="rId356" ref="C360"/>
    <hyperlink r:id="rId357" ref="C361"/>
    <hyperlink r:id="rId358" ref="C362"/>
    <hyperlink r:id="rId359" ref="C363"/>
    <hyperlink r:id="rId360" ref="C364"/>
    <hyperlink r:id="rId361" ref="C365"/>
    <hyperlink r:id="rId362" ref="C366"/>
    <hyperlink r:id="rId363" ref="C367"/>
    <hyperlink r:id="rId364" ref="C368"/>
    <hyperlink r:id="rId365" ref="C369"/>
    <hyperlink r:id="rId366" ref="C370"/>
    <hyperlink r:id="rId367" ref="C371"/>
    <hyperlink r:id="rId368" ref="C372"/>
    <hyperlink r:id="rId369" ref="C373"/>
    <hyperlink r:id="rId370" ref="C374"/>
    <hyperlink r:id="rId371" ref="C377"/>
    <hyperlink r:id="rId372" ref="C378"/>
    <hyperlink r:id="rId373" ref="C379"/>
    <hyperlink r:id="rId374" ref="C380"/>
    <hyperlink r:id="rId375" ref="C381"/>
    <hyperlink r:id="rId376" ref="C382"/>
    <hyperlink r:id="rId377" ref="C383"/>
    <hyperlink r:id="rId378" ref="C384"/>
    <hyperlink r:id="rId379" ref="C385"/>
    <hyperlink r:id="rId380" ref="C386"/>
    <hyperlink r:id="rId381" ref="C387"/>
    <hyperlink r:id="rId382" ref="C388"/>
    <hyperlink r:id="rId383" ref="C389"/>
    <hyperlink r:id="rId384" ref="C390"/>
    <hyperlink r:id="rId385" ref="C391"/>
    <hyperlink r:id="rId386" ref="C392"/>
    <hyperlink r:id="rId387" ref="C393"/>
    <hyperlink r:id="rId388" ref="C394"/>
    <hyperlink r:id="rId389" ref="C395"/>
    <hyperlink r:id="rId390" ref="C396"/>
    <hyperlink r:id="rId391" ref="C397"/>
    <hyperlink r:id="rId392" ref="C398"/>
    <hyperlink r:id="rId393" ref="C399"/>
    <hyperlink r:id="rId394" ref="C400"/>
    <hyperlink r:id="rId395" ref="C401"/>
    <hyperlink r:id="rId396" ref="C506"/>
    <hyperlink r:id="rId397" ref="C558"/>
    <hyperlink r:id="rId398" ref="C559"/>
    <hyperlink r:id="rId399" ref="C560"/>
    <hyperlink r:id="rId400" ref="C561"/>
    <hyperlink r:id="rId401" ref="C562"/>
    <hyperlink r:id="rId402" ref="C563"/>
    <hyperlink r:id="rId403" ref="C564"/>
    <hyperlink r:id="rId404" ref="C565"/>
    <hyperlink r:id="rId405" ref="C566"/>
    <hyperlink r:id="rId406" ref="C567"/>
    <hyperlink r:id="rId407" ref="C568"/>
    <hyperlink r:id="rId408" ref="C569"/>
    <hyperlink r:id="rId409" ref="C570"/>
    <hyperlink r:id="rId410" ref="C571"/>
    <hyperlink r:id="rId411" ref="C572"/>
    <hyperlink r:id="rId412" ref="C573"/>
    <hyperlink r:id="rId413" ref="C574"/>
    <hyperlink r:id="rId414" ref="C576"/>
    <hyperlink r:id="rId415" ref="C577"/>
    <hyperlink r:id="rId416" ref="C578"/>
    <hyperlink r:id="rId417" ref="C579"/>
    <hyperlink r:id="rId418" ref="C580"/>
    <hyperlink r:id="rId419" ref="C581"/>
    <hyperlink r:id="rId420" ref="C582"/>
    <hyperlink r:id="rId421" ref="C583"/>
    <hyperlink r:id="rId422" ref="C584"/>
    <hyperlink r:id="rId423" ref="C585"/>
    <hyperlink r:id="rId424" ref="C586"/>
    <hyperlink r:id="rId425" ref="C587"/>
    <hyperlink r:id="rId426" ref="C588"/>
    <hyperlink r:id="rId427" ref="C589"/>
    <hyperlink r:id="rId428" ref="C590"/>
    <hyperlink r:id="rId429" ref="C591"/>
    <hyperlink r:id="rId430" ref="C592"/>
    <hyperlink r:id="rId431" ref="C593"/>
    <hyperlink r:id="rId432" ref="C594"/>
    <hyperlink r:id="rId433" ref="C595"/>
    <hyperlink r:id="rId434" ref="C596"/>
    <hyperlink r:id="rId435" ref="C597"/>
    <hyperlink r:id="rId436" ref="C598"/>
    <hyperlink r:id="rId437" ref="C599"/>
    <hyperlink r:id="rId438" ref="C600"/>
    <hyperlink r:id="rId439" ref="C601"/>
    <hyperlink r:id="rId440" ref="C602"/>
    <hyperlink r:id="rId441" ref="C603"/>
    <hyperlink r:id="rId442" ref="C604"/>
    <hyperlink r:id="rId443" ref="C605"/>
    <hyperlink r:id="rId444" ref="C606"/>
    <hyperlink r:id="rId445" ref="C607"/>
    <hyperlink r:id="rId446" ref="C608"/>
    <hyperlink r:id="rId447" ref="C609"/>
    <hyperlink r:id="rId448" ref="C610"/>
    <hyperlink r:id="rId449" ref="C611"/>
    <hyperlink r:id="rId450" ref="C612"/>
    <hyperlink r:id="rId451" ref="C613"/>
    <hyperlink r:id="rId452" ref="C615"/>
    <hyperlink r:id="rId453" ref="C616"/>
    <hyperlink r:id="rId454" ref="C617"/>
    <hyperlink r:id="rId455" ref="C618"/>
    <hyperlink r:id="rId456" ref="C619"/>
    <hyperlink r:id="rId457" ref="C620"/>
    <hyperlink r:id="rId458" ref="C621"/>
    <hyperlink r:id="rId459" ref="C622"/>
    <hyperlink r:id="rId460" ref="C623"/>
    <hyperlink r:id="rId461" ref="C624"/>
    <hyperlink r:id="rId462" ref="C625"/>
    <hyperlink r:id="rId463" ref="G625"/>
    <hyperlink r:id="rId464" ref="C626"/>
    <hyperlink r:id="rId465" ref="C627"/>
    <hyperlink r:id="rId466" ref="C628"/>
    <hyperlink r:id="rId467" ref="C629"/>
    <hyperlink r:id="rId468" ref="C630"/>
    <hyperlink r:id="rId469" ref="C631"/>
    <hyperlink r:id="rId470" ref="C632"/>
    <hyperlink r:id="rId471" ref="C633"/>
    <hyperlink r:id="rId472" ref="C634"/>
    <hyperlink r:id="rId473" ref="C635"/>
    <hyperlink r:id="rId474" ref="C636"/>
    <hyperlink r:id="rId475" ref="C637"/>
    <hyperlink r:id="rId476" ref="C638"/>
    <hyperlink r:id="rId477" ref="C639"/>
    <hyperlink r:id="rId478" ref="C640"/>
    <hyperlink r:id="rId479" ref="C641"/>
    <hyperlink r:id="rId480" ref="C642"/>
    <hyperlink r:id="rId481" ref="C643"/>
    <hyperlink r:id="rId482" ref="C644"/>
    <hyperlink r:id="rId483" ref="C645"/>
    <hyperlink r:id="rId484" ref="C646"/>
    <hyperlink r:id="rId485" ref="C647"/>
    <hyperlink r:id="rId486" ref="C648"/>
    <hyperlink r:id="rId487" ref="C649"/>
    <hyperlink r:id="rId488" ref="C650"/>
    <hyperlink r:id="rId489" ref="C651"/>
    <hyperlink r:id="rId490" ref="C652"/>
    <hyperlink r:id="rId491" ref="C653"/>
    <hyperlink r:id="rId492" ref="C654"/>
    <hyperlink r:id="rId493" ref="C655"/>
    <hyperlink r:id="rId494" ref="C656"/>
    <hyperlink r:id="rId495" ref="C657"/>
    <hyperlink r:id="rId496" ref="C658"/>
    <hyperlink r:id="rId497" ref="C659"/>
    <hyperlink r:id="rId498" ref="C660"/>
    <hyperlink r:id="rId499" ref="C661"/>
    <hyperlink r:id="rId500" ref="C662"/>
    <hyperlink r:id="rId501" ref="C663"/>
    <hyperlink r:id="rId502" ref="C664"/>
    <hyperlink r:id="rId503" ref="C665"/>
    <hyperlink r:id="rId504" ref="C666"/>
    <hyperlink r:id="rId505" ref="C667"/>
    <hyperlink r:id="rId506" ref="C668"/>
    <hyperlink r:id="rId507" ref="C669"/>
    <hyperlink r:id="rId508" ref="C670"/>
    <hyperlink r:id="rId509" ref="C671"/>
    <hyperlink r:id="rId510" ref="C672"/>
    <hyperlink r:id="rId511" ref="C673"/>
    <hyperlink r:id="rId512" ref="C674"/>
    <hyperlink r:id="rId513" ref="C675"/>
    <hyperlink r:id="rId514" ref="C676"/>
    <hyperlink r:id="rId515" ref="C677"/>
    <hyperlink r:id="rId516" ref="C678"/>
    <hyperlink r:id="rId517" ref="C679"/>
    <hyperlink r:id="rId518" ref="C680"/>
    <hyperlink r:id="rId519" ref="C681"/>
    <hyperlink r:id="rId520" ref="C682"/>
    <hyperlink r:id="rId521" ref="C683"/>
    <hyperlink r:id="rId522" ref="C684"/>
    <hyperlink r:id="rId523" ref="C685"/>
    <hyperlink r:id="rId524" ref="C686"/>
    <hyperlink r:id="rId525" ref="C687"/>
    <hyperlink r:id="rId526" ref="C688"/>
    <hyperlink r:id="rId527" ref="C689"/>
    <hyperlink r:id="rId528" ref="C690"/>
    <hyperlink r:id="rId529" ref="C691"/>
    <hyperlink r:id="rId530" ref="C692"/>
    <hyperlink r:id="rId531" ref="C693"/>
    <hyperlink r:id="rId532" ref="C694"/>
    <hyperlink r:id="rId533" ref="C695"/>
    <hyperlink r:id="rId534" ref="C696"/>
    <hyperlink r:id="rId535" ref="C697"/>
    <hyperlink r:id="rId536" ref="C698"/>
    <hyperlink r:id="rId537" ref="C699"/>
    <hyperlink r:id="rId538" ref="C700"/>
    <hyperlink r:id="rId539" ref="C701"/>
    <hyperlink r:id="rId540" ref="C703"/>
    <hyperlink r:id="rId541" ref="C704"/>
    <hyperlink r:id="rId542" ref="C705"/>
    <hyperlink r:id="rId543" ref="C706"/>
    <hyperlink r:id="rId544" ref="C707"/>
    <hyperlink r:id="rId545" ref="C708"/>
    <hyperlink r:id="rId546" ref="C709"/>
    <hyperlink r:id="rId547" ref="C710"/>
    <hyperlink r:id="rId548" ref="C711"/>
    <hyperlink r:id="rId549" ref="C712"/>
    <hyperlink r:id="rId550" ref="C713"/>
    <hyperlink r:id="rId551" ref="C714"/>
    <hyperlink r:id="rId552" ref="C715"/>
    <hyperlink r:id="rId553" ref="C716"/>
    <hyperlink r:id="rId554" ref="C717"/>
    <hyperlink r:id="rId555" ref="C718"/>
    <hyperlink r:id="rId556" ref="C719"/>
    <hyperlink r:id="rId557" ref="C720"/>
    <hyperlink r:id="rId558" ref="C721"/>
    <hyperlink r:id="rId559" ref="C722"/>
    <hyperlink r:id="rId560" ref="C723"/>
    <hyperlink r:id="rId561" ref="C724"/>
    <hyperlink r:id="rId562" ref="C725"/>
    <hyperlink r:id="rId563" ref="C726"/>
    <hyperlink r:id="rId564" ref="C727"/>
    <hyperlink r:id="rId565" ref="C728"/>
    <hyperlink r:id="rId566" ref="C730"/>
    <hyperlink r:id="rId567" ref="C731"/>
    <hyperlink r:id="rId568" ref="C732"/>
    <hyperlink r:id="rId569" ref="C733"/>
    <hyperlink r:id="rId570" ref="C734"/>
    <hyperlink r:id="rId571" ref="C735"/>
    <hyperlink r:id="rId572" ref="C736"/>
    <hyperlink r:id="rId573" ref="C737"/>
    <hyperlink r:id="rId574" ref="C738"/>
    <hyperlink r:id="rId575" ref="C739"/>
    <hyperlink r:id="rId576" ref="C740"/>
    <hyperlink r:id="rId577" ref="C741"/>
    <hyperlink r:id="rId578" ref="C742"/>
    <hyperlink r:id="rId579" ref="C743"/>
    <hyperlink r:id="rId580" ref="C744"/>
    <hyperlink r:id="rId581" ref="C745"/>
    <hyperlink r:id="rId582" ref="C746"/>
    <hyperlink r:id="rId583" ref="C747"/>
    <hyperlink r:id="rId584" ref="C748"/>
    <hyperlink r:id="rId585" ref="C749"/>
    <hyperlink r:id="rId586" ref="C750"/>
    <hyperlink r:id="rId587" ref="C751"/>
    <hyperlink r:id="rId588" ref="C752"/>
    <hyperlink r:id="rId589" ref="C753"/>
    <hyperlink r:id="rId590" ref="C754"/>
    <hyperlink r:id="rId591" ref="C755"/>
    <hyperlink r:id="rId592" ref="C756"/>
    <hyperlink r:id="rId593" ref="C757"/>
    <hyperlink r:id="rId594" ref="C758"/>
    <hyperlink r:id="rId595" ref="C759"/>
    <hyperlink r:id="rId596" ref="C760"/>
    <hyperlink r:id="rId597" ref="C761"/>
    <hyperlink r:id="rId598" ref="C762"/>
    <hyperlink r:id="rId599" ref="C763"/>
    <hyperlink r:id="rId600" ref="C764"/>
    <hyperlink r:id="rId601" ref="C765"/>
    <hyperlink r:id="rId602" ref="C766"/>
    <hyperlink r:id="rId603" ref="C767"/>
    <hyperlink r:id="rId604" ref="C768"/>
    <hyperlink r:id="rId605" ref="C769"/>
    <hyperlink r:id="rId606" ref="C770"/>
    <hyperlink r:id="rId607" ref="C771"/>
    <hyperlink r:id="rId608" ref="C772"/>
    <hyperlink r:id="rId609" ref="C773"/>
    <hyperlink r:id="rId610" ref="C774"/>
    <hyperlink r:id="rId611" ref="C775"/>
    <hyperlink r:id="rId612" ref="C776"/>
    <hyperlink r:id="rId613" ref="C777"/>
    <hyperlink r:id="rId614" ref="C778"/>
    <hyperlink r:id="rId615" ref="C779"/>
    <hyperlink r:id="rId616" ref="C780"/>
    <hyperlink r:id="rId617" ref="C781"/>
    <hyperlink r:id="rId618" ref="C782"/>
    <hyperlink r:id="rId619" ref="C783"/>
    <hyperlink r:id="rId620" ref="C784"/>
    <hyperlink r:id="rId621" ref="C785"/>
    <hyperlink r:id="rId622" ref="C786"/>
    <hyperlink r:id="rId623" ref="C787"/>
    <hyperlink r:id="rId624" ref="C788"/>
    <hyperlink r:id="rId625" ref="C789"/>
    <hyperlink r:id="rId626" ref="C790"/>
    <hyperlink r:id="rId627" ref="C791"/>
    <hyperlink r:id="rId628" ref="C792"/>
    <hyperlink r:id="rId629" ref="C793"/>
    <hyperlink r:id="rId630" ref="C794"/>
    <hyperlink r:id="rId631" ref="C795"/>
    <hyperlink r:id="rId632" ref="C796"/>
    <hyperlink r:id="rId633" ref="C797"/>
    <hyperlink r:id="rId634" ref="C798"/>
    <hyperlink r:id="rId635" ref="C799"/>
    <hyperlink r:id="rId636" ref="C800"/>
    <hyperlink r:id="rId637" ref="C801"/>
    <hyperlink r:id="rId638" ref="C802"/>
    <hyperlink r:id="rId639" ref="C803"/>
    <hyperlink r:id="rId640" ref="C804"/>
    <hyperlink r:id="rId641" ref="C805"/>
    <hyperlink r:id="rId642" ref="C806"/>
    <hyperlink r:id="rId643" ref="C807"/>
    <hyperlink r:id="rId644" ref="C808"/>
    <hyperlink r:id="rId645" ref="C809"/>
    <hyperlink r:id="rId646" ref="C810"/>
    <hyperlink r:id="rId647" ref="C811"/>
    <hyperlink r:id="rId648" ref="C812"/>
    <hyperlink r:id="rId649" ref="C813"/>
    <hyperlink r:id="rId650" ref="C814"/>
    <hyperlink r:id="rId651" ref="C815"/>
    <hyperlink r:id="rId652" ref="C816"/>
    <hyperlink r:id="rId653" ref="C817"/>
    <hyperlink r:id="rId654" ref="C818"/>
    <hyperlink r:id="rId655" ref="C819"/>
    <hyperlink r:id="rId656" ref="C820"/>
    <hyperlink r:id="rId657" ref="C821"/>
    <hyperlink r:id="rId658" ref="C822"/>
    <hyperlink r:id="rId659" ref="C823"/>
    <hyperlink r:id="rId660" ref="C824"/>
    <hyperlink r:id="rId661" ref="C825"/>
    <hyperlink r:id="rId662" ref="C826"/>
    <hyperlink r:id="rId663" ref="C827"/>
    <hyperlink r:id="rId664" ref="C828"/>
    <hyperlink r:id="rId665" ref="C829"/>
    <hyperlink r:id="rId666" ref="C830"/>
    <hyperlink r:id="rId667" ref="C831"/>
    <hyperlink r:id="rId668" ref="C832"/>
    <hyperlink r:id="rId669" ref="C833"/>
    <hyperlink r:id="rId670" ref="C834"/>
    <hyperlink r:id="rId671" ref="C835"/>
    <hyperlink r:id="rId672" ref="C836"/>
    <hyperlink r:id="rId673" ref="C837"/>
    <hyperlink r:id="rId674" ref="C838"/>
    <hyperlink r:id="rId675" ref="C839"/>
    <hyperlink r:id="rId676" ref="C840"/>
    <hyperlink r:id="rId677" ref="C841"/>
    <hyperlink r:id="rId678" ref="C842"/>
    <hyperlink r:id="rId679" ref="C843"/>
    <hyperlink r:id="rId680" ref="C844"/>
    <hyperlink r:id="rId681" ref="C845"/>
    <hyperlink r:id="rId682" ref="C846"/>
    <hyperlink r:id="rId683" ref="C847"/>
    <hyperlink r:id="rId684" ref="C848"/>
    <hyperlink r:id="rId685" ref="C849"/>
    <hyperlink r:id="rId686" ref="C850"/>
    <hyperlink r:id="rId687" ref="C851"/>
    <hyperlink r:id="rId688" ref="C852"/>
    <hyperlink r:id="rId689" ref="C853"/>
    <hyperlink r:id="rId690" ref="C854"/>
    <hyperlink r:id="rId691" ref="C855"/>
    <hyperlink r:id="rId692" ref="C856"/>
    <hyperlink r:id="rId693" ref="C857"/>
    <hyperlink r:id="rId694" ref="C858"/>
    <hyperlink r:id="rId695" ref="C859"/>
    <hyperlink r:id="rId696" ref="C860"/>
    <hyperlink r:id="rId697" ref="C861"/>
    <hyperlink r:id="rId698" ref="C862"/>
    <hyperlink r:id="rId699" ref="C863"/>
    <hyperlink r:id="rId700" ref="C864"/>
    <hyperlink r:id="rId701" ref="C865"/>
    <hyperlink r:id="rId702" ref="C866"/>
    <hyperlink r:id="rId703" ref="C867"/>
    <hyperlink r:id="rId704" ref="C868"/>
    <hyperlink r:id="rId705" ref="C869"/>
    <hyperlink r:id="rId706" ref="C870"/>
    <hyperlink r:id="rId707" ref="C871"/>
    <hyperlink r:id="rId708" ref="C872"/>
    <hyperlink r:id="rId709" ref="C873"/>
    <hyperlink r:id="rId710" ref="C874"/>
    <hyperlink r:id="rId711" ref="C875"/>
    <hyperlink r:id="rId712" ref="C876"/>
    <hyperlink r:id="rId713" ref="C877"/>
    <hyperlink r:id="rId714" ref="C878"/>
    <hyperlink r:id="rId715" ref="C879"/>
    <hyperlink r:id="rId716" ref="C880"/>
    <hyperlink r:id="rId717" ref="C881"/>
    <hyperlink r:id="rId718" ref="C882"/>
    <hyperlink r:id="rId719" ref="C883"/>
    <hyperlink r:id="rId720" ref="C884"/>
    <hyperlink r:id="rId721" ref="C885"/>
    <hyperlink r:id="rId722" ref="C886"/>
    <hyperlink r:id="rId723" ref="C887"/>
    <hyperlink r:id="rId724" ref="C888"/>
    <hyperlink r:id="rId725" ref="C889"/>
    <hyperlink r:id="rId726" ref="C890"/>
    <hyperlink r:id="rId727" ref="C891"/>
    <hyperlink r:id="rId728" ref="C892"/>
    <hyperlink r:id="rId729" ref="G892"/>
    <hyperlink r:id="rId730" ref="C893"/>
    <hyperlink r:id="rId731" ref="C894"/>
    <hyperlink r:id="rId732" ref="C895"/>
    <hyperlink r:id="rId733" ref="C896"/>
    <hyperlink r:id="rId734" ref="C897"/>
    <hyperlink r:id="rId735" ref="C898"/>
    <hyperlink r:id="rId736" ref="C899"/>
    <hyperlink r:id="rId737" ref="C900"/>
    <hyperlink r:id="rId738" ref="C901"/>
    <hyperlink r:id="rId739" ref="C902"/>
    <hyperlink r:id="rId740" ref="C903"/>
    <hyperlink r:id="rId741" ref="C904"/>
    <hyperlink r:id="rId742" ref="C905"/>
    <hyperlink r:id="rId743" ref="C906"/>
    <hyperlink r:id="rId744" ref="C907"/>
    <hyperlink r:id="rId745" ref="C908"/>
    <hyperlink r:id="rId746" ref="C909"/>
    <hyperlink r:id="rId747" ref="C910"/>
    <hyperlink r:id="rId748" ref="C911"/>
    <hyperlink r:id="rId749" ref="C912"/>
    <hyperlink r:id="rId750" ref="C913"/>
    <hyperlink r:id="rId751" ref="C914"/>
    <hyperlink r:id="rId752" ref="C915"/>
    <hyperlink r:id="rId753" ref="C916"/>
    <hyperlink r:id="rId754" ref="C917"/>
    <hyperlink r:id="rId755" ref="C918"/>
    <hyperlink r:id="rId756" ref="C919"/>
    <hyperlink r:id="rId757" ref="C920"/>
    <hyperlink r:id="rId758" ref="C921"/>
    <hyperlink r:id="rId759" ref="C922"/>
    <hyperlink r:id="rId760" ref="C923"/>
    <hyperlink r:id="rId761" ref="C924"/>
    <hyperlink r:id="rId762" ref="C925"/>
    <hyperlink r:id="rId763" ref="C926"/>
    <hyperlink r:id="rId764" ref="C927"/>
    <hyperlink r:id="rId765" ref="C928"/>
    <hyperlink r:id="rId766" ref="C929"/>
    <hyperlink r:id="rId767" ref="C930"/>
    <hyperlink r:id="rId768" ref="C931"/>
    <hyperlink r:id="rId769" ref="C932"/>
    <hyperlink r:id="rId770" ref="C933"/>
    <hyperlink r:id="rId771" ref="C934"/>
    <hyperlink r:id="rId772" ref="C935"/>
    <hyperlink r:id="rId773" ref="C936"/>
    <hyperlink r:id="rId774" ref="C937"/>
    <hyperlink r:id="rId775" ref="C938"/>
    <hyperlink r:id="rId776" ref="C939"/>
    <hyperlink r:id="rId777" ref="C940"/>
    <hyperlink r:id="rId778" ref="C941"/>
    <hyperlink r:id="rId779" ref="C942"/>
    <hyperlink r:id="rId780" ref="C943"/>
    <hyperlink r:id="rId781" ref="C944"/>
    <hyperlink r:id="rId782" ref="C945"/>
    <hyperlink r:id="rId783" ref="C946"/>
    <hyperlink r:id="rId784" ref="C947"/>
    <hyperlink r:id="rId785" ref="C948"/>
    <hyperlink r:id="rId786" ref="C949"/>
    <hyperlink r:id="rId787" ref="C950"/>
    <hyperlink r:id="rId788" ref="C951"/>
    <hyperlink r:id="rId789" ref="C952"/>
    <hyperlink r:id="rId790" ref="C953"/>
    <hyperlink r:id="rId791" ref="C954"/>
    <hyperlink r:id="rId792" ref="C955"/>
    <hyperlink r:id="rId793" ref="C956"/>
    <hyperlink r:id="rId794" ref="C957"/>
    <hyperlink r:id="rId795" ref="C958"/>
    <hyperlink r:id="rId796" ref="C959"/>
    <hyperlink r:id="rId797" ref="C960"/>
    <hyperlink r:id="rId798" ref="C961"/>
    <hyperlink r:id="rId799" ref="C962"/>
    <hyperlink r:id="rId800" ref="C963"/>
    <hyperlink r:id="rId801" ref="C964"/>
    <hyperlink r:id="rId802" ref="C965"/>
    <hyperlink r:id="rId803" ref="C966"/>
    <hyperlink r:id="rId804" ref="C967"/>
    <hyperlink r:id="rId805" ref="C968"/>
    <hyperlink r:id="rId806" ref="C969"/>
    <hyperlink r:id="rId807" ref="C970"/>
    <hyperlink r:id="rId808" ref="C971"/>
    <hyperlink r:id="rId809" ref="C972"/>
    <hyperlink r:id="rId810" ref="C973"/>
    <hyperlink r:id="rId811" ref="C974"/>
    <hyperlink r:id="rId812" ref="C975"/>
    <hyperlink r:id="rId813" ref="C976"/>
    <hyperlink r:id="rId814" ref="C977"/>
    <hyperlink r:id="rId815" ref="C978"/>
    <hyperlink r:id="rId816" ref="C979"/>
    <hyperlink r:id="rId817" ref="C980"/>
    <hyperlink r:id="rId818" ref="C981"/>
    <hyperlink r:id="rId819" ref="C982"/>
    <hyperlink r:id="rId820" ref="C983"/>
    <hyperlink r:id="rId821" ref="C984"/>
    <hyperlink r:id="rId822" ref="C985"/>
    <hyperlink r:id="rId823" ref="C986"/>
    <hyperlink r:id="rId824" ref="C987"/>
    <hyperlink r:id="rId825" ref="C988"/>
    <hyperlink r:id="rId826" ref="C989"/>
    <hyperlink r:id="rId827" ref="C990"/>
    <hyperlink r:id="rId828" ref="C991"/>
    <hyperlink r:id="rId829" ref="C992"/>
    <hyperlink r:id="rId830" ref="C993"/>
    <hyperlink r:id="rId831" ref="C994"/>
    <hyperlink r:id="rId832" ref="C995"/>
    <hyperlink r:id="rId833" ref="C996"/>
    <hyperlink r:id="rId834" ref="C997"/>
    <hyperlink r:id="rId835" ref="C998"/>
    <hyperlink r:id="rId836" ref="C999"/>
    <hyperlink r:id="rId837" ref="C1000"/>
    <hyperlink r:id="rId838" ref="C1001"/>
    <hyperlink r:id="rId839" ref="C1002"/>
    <hyperlink r:id="rId840" ref="C1003"/>
    <hyperlink r:id="rId841" ref="C1004"/>
    <hyperlink r:id="rId842" ref="C1005"/>
    <hyperlink r:id="rId843" ref="C1006"/>
    <hyperlink r:id="rId844" ref="C1007"/>
    <hyperlink r:id="rId845" ref="G1007"/>
    <hyperlink r:id="rId846" ref="C1008"/>
    <hyperlink r:id="rId847" ref="G1008"/>
    <hyperlink r:id="rId848" ref="C1009"/>
    <hyperlink r:id="rId849" ref="C1010"/>
    <hyperlink r:id="rId850" ref="C1011"/>
    <hyperlink r:id="rId851" ref="C1012"/>
    <hyperlink r:id="rId852" ref="C1013"/>
    <hyperlink r:id="rId853" ref="C1014"/>
    <hyperlink r:id="rId854" ref="C1015"/>
    <hyperlink r:id="rId855" ref="C1016"/>
    <hyperlink r:id="rId856" ref="C1017"/>
    <hyperlink r:id="rId857" ref="C1018"/>
    <hyperlink r:id="rId858" ref="C1019"/>
    <hyperlink r:id="rId859" ref="C1020"/>
    <hyperlink r:id="rId860" ref="C1021"/>
    <hyperlink r:id="rId861" ref="C1022"/>
    <hyperlink r:id="rId862" ref="C1023"/>
    <hyperlink r:id="rId863" ref="C1024"/>
    <hyperlink r:id="rId864" ref="C1025"/>
    <hyperlink r:id="rId865" ref="C1026"/>
    <hyperlink r:id="rId866" ref="C1027"/>
    <hyperlink r:id="rId867" ref="C1028"/>
    <hyperlink r:id="rId868" ref="C1029"/>
    <hyperlink r:id="rId869" ref="C1030"/>
    <hyperlink r:id="rId870" ref="C1031"/>
    <hyperlink r:id="rId871" ref="C1032"/>
    <hyperlink r:id="rId872" ref="C1033"/>
    <hyperlink r:id="rId873" ref="C1034"/>
    <hyperlink r:id="rId874" ref="C1035"/>
    <hyperlink r:id="rId875" ref="C1036"/>
    <hyperlink r:id="rId876" ref="C1037"/>
    <hyperlink r:id="rId877" ref="C1038"/>
    <hyperlink r:id="rId878" ref="C1039"/>
    <hyperlink r:id="rId879" ref="C1040"/>
    <hyperlink r:id="rId880" ref="C1041"/>
    <hyperlink r:id="rId881" ref="C1042"/>
    <hyperlink r:id="rId882" ref="C1043"/>
    <hyperlink r:id="rId883" ref="C1044"/>
    <hyperlink r:id="rId884" ref="C1045"/>
    <hyperlink r:id="rId885" ref="C1046"/>
    <hyperlink r:id="rId886" ref="C1047"/>
    <hyperlink r:id="rId887" ref="C1048"/>
    <hyperlink r:id="rId888" ref="C1049"/>
    <hyperlink r:id="rId889" ref="C1050"/>
    <hyperlink r:id="rId890" ref="C1051"/>
    <hyperlink r:id="rId891" ref="C1052"/>
    <hyperlink r:id="rId892" ref="C1053"/>
    <hyperlink r:id="rId893" ref="C1054"/>
    <hyperlink r:id="rId894" ref="C1055"/>
    <hyperlink r:id="rId895" ref="C1056"/>
    <hyperlink r:id="rId896" ref="C1057"/>
    <hyperlink r:id="rId897" ref="C1058"/>
    <hyperlink r:id="rId898" ref="C1060"/>
    <hyperlink r:id="rId899" ref="C1061"/>
    <hyperlink r:id="rId900" ref="C1062"/>
    <hyperlink r:id="rId901" ref="C1063"/>
    <hyperlink r:id="rId902" ref="C1064"/>
    <hyperlink r:id="rId903" ref="C1065"/>
    <hyperlink r:id="rId904" ref="C1066"/>
    <hyperlink r:id="rId905" ref="C1067"/>
    <hyperlink r:id="rId906" ref="C1068"/>
    <hyperlink r:id="rId907" ref="C1069"/>
    <hyperlink r:id="rId908" ref="C1070"/>
    <hyperlink r:id="rId909" ref="C1071"/>
    <hyperlink r:id="rId910" ref="C1072"/>
    <hyperlink r:id="rId911" ref="C1073"/>
    <hyperlink r:id="rId912" ref="C1074"/>
    <hyperlink r:id="rId913" ref="C1075"/>
    <hyperlink r:id="rId914" ref="C1076"/>
    <hyperlink r:id="rId915" ref="C1077"/>
    <hyperlink r:id="rId916" ref="C1078"/>
    <hyperlink r:id="rId917" ref="C1079"/>
    <hyperlink r:id="rId918" ref="C1080"/>
    <hyperlink r:id="rId919" ref="C1081"/>
    <hyperlink r:id="rId920" ref="C1083"/>
    <hyperlink r:id="rId921" ref="C1084"/>
    <hyperlink r:id="rId922" ref="C1085"/>
    <hyperlink r:id="rId923" ref="C1086"/>
    <hyperlink r:id="rId924" ref="C1087"/>
    <hyperlink r:id="rId925" ref="C1088"/>
    <hyperlink r:id="rId926" ref="C1089"/>
    <hyperlink r:id="rId927" ref="C1090"/>
    <hyperlink r:id="rId928" ref="C1091"/>
    <hyperlink r:id="rId929" ref="C1092"/>
    <hyperlink r:id="rId930" ref="C1093"/>
    <hyperlink r:id="rId931" ref="C1094"/>
    <hyperlink r:id="rId932" ref="C1095"/>
    <hyperlink r:id="rId933" ref="C1096"/>
    <hyperlink r:id="rId934" ref="C1097"/>
    <hyperlink r:id="rId935" ref="C1098"/>
    <hyperlink r:id="rId936" ref="C1099"/>
    <hyperlink r:id="rId937" ref="C1100"/>
    <hyperlink r:id="rId938" ref="C1101"/>
    <hyperlink r:id="rId939" ref="C1102"/>
    <hyperlink r:id="rId940" ref="C1103"/>
    <hyperlink r:id="rId941" ref="C1104"/>
    <hyperlink r:id="rId942" ref="C1105"/>
    <hyperlink r:id="rId943" ref="C1106"/>
    <hyperlink r:id="rId944" ref="C1107"/>
    <hyperlink r:id="rId945" ref="C1108"/>
    <hyperlink r:id="rId946" ref="C1109"/>
    <hyperlink r:id="rId947" ref="C1110"/>
    <hyperlink r:id="rId948" ref="C1111"/>
    <hyperlink r:id="rId949" ref="C1112"/>
    <hyperlink r:id="rId950" ref="C1113"/>
    <hyperlink r:id="rId951" ref="C1114"/>
    <hyperlink r:id="rId952" ref="C1115"/>
    <hyperlink r:id="rId953" ref="G1115"/>
    <hyperlink r:id="rId954" ref="C1116"/>
    <hyperlink r:id="rId955" ref="C1117"/>
    <hyperlink r:id="rId956" ref="C1118"/>
    <hyperlink r:id="rId957" ref="C1119"/>
    <hyperlink r:id="rId958" ref="C1120"/>
    <hyperlink r:id="rId959" ref="C1121"/>
    <hyperlink r:id="rId960" ref="C1122"/>
    <hyperlink r:id="rId961" ref="C1123"/>
    <hyperlink r:id="rId962" ref="C1124"/>
    <hyperlink r:id="rId963" ref="C1125"/>
    <hyperlink r:id="rId964" ref="C1126"/>
    <hyperlink r:id="rId965" ref="C1127"/>
    <hyperlink r:id="rId966" ref="C1128"/>
    <hyperlink r:id="rId967" ref="C1129"/>
    <hyperlink r:id="rId968" ref="C1130"/>
    <hyperlink r:id="rId969" ref="C1131"/>
    <hyperlink r:id="rId970" ref="C1132"/>
    <hyperlink r:id="rId971" ref="C1133"/>
    <hyperlink r:id="rId972" ref="C1134"/>
    <hyperlink r:id="rId973" ref="C1135"/>
    <hyperlink r:id="rId974" ref="C1136"/>
    <hyperlink r:id="rId975" ref="C1137"/>
    <hyperlink r:id="rId976" ref="C1138"/>
    <hyperlink r:id="rId977" ref="C1139"/>
    <hyperlink r:id="rId978" ref="C1140"/>
    <hyperlink r:id="rId979" ref="C1141"/>
    <hyperlink r:id="rId980" ref="C1142"/>
    <hyperlink r:id="rId981" ref="C1143"/>
    <hyperlink r:id="rId982" ref="C1144"/>
    <hyperlink r:id="rId983" ref="C1145"/>
    <hyperlink r:id="rId984" ref="C1146"/>
    <hyperlink r:id="rId985" ref="C1147"/>
    <hyperlink r:id="rId986" ref="C1148"/>
    <hyperlink r:id="rId987" ref="C1149"/>
    <hyperlink r:id="rId988" ref="C1150"/>
    <hyperlink r:id="rId989" ref="C1151"/>
    <hyperlink r:id="rId990" ref="C1152"/>
    <hyperlink r:id="rId991" ref="C1153"/>
    <hyperlink r:id="rId992" ref="C1154"/>
    <hyperlink r:id="rId993" ref="C1155"/>
    <hyperlink r:id="rId994" ref="C1156"/>
    <hyperlink r:id="rId995" ref="C1157"/>
    <hyperlink r:id="rId996" ref="C1158"/>
    <hyperlink r:id="rId997" ref="C1159"/>
    <hyperlink r:id="rId998" ref="C1160"/>
    <hyperlink r:id="rId999" ref="C1161"/>
    <hyperlink r:id="rId1000" ref="C1162"/>
    <hyperlink r:id="rId1001" ref="C1163"/>
    <hyperlink r:id="rId1002" ref="C1164"/>
    <hyperlink r:id="rId1003" ref="C1165"/>
    <hyperlink r:id="rId1004" ref="C1166"/>
    <hyperlink r:id="rId1005" ref="C1167"/>
    <hyperlink r:id="rId1006" ref="C1168"/>
    <hyperlink r:id="rId1007" ref="C1169"/>
    <hyperlink r:id="rId1008" ref="C1170"/>
    <hyperlink r:id="rId1009" ref="C1171"/>
    <hyperlink r:id="rId1010" ref="C1172"/>
    <hyperlink r:id="rId1011" ref="C1173"/>
    <hyperlink r:id="rId1012" ref="C1174"/>
    <hyperlink r:id="rId1013" ref="C1175"/>
    <hyperlink r:id="rId1014" ref="C1176"/>
    <hyperlink r:id="rId1015" ref="C1177"/>
    <hyperlink r:id="rId1016" ref="G1177"/>
    <hyperlink r:id="rId1017" ref="C1178"/>
    <hyperlink r:id="rId1018" ref="C1179"/>
    <hyperlink r:id="rId1019" ref="C1180"/>
    <hyperlink r:id="rId1020" ref="C1181"/>
    <hyperlink r:id="rId1021" ref="C1182"/>
    <hyperlink r:id="rId1022" ref="C1183"/>
    <hyperlink r:id="rId1023" ref="C1184"/>
    <hyperlink r:id="rId1024" ref="C1185"/>
    <hyperlink r:id="rId1025" ref="C1186"/>
    <hyperlink r:id="rId1026" ref="C1187"/>
    <hyperlink r:id="rId1027" ref="C1188"/>
    <hyperlink r:id="rId1028" ref="C1189"/>
    <hyperlink r:id="rId1029" ref="C1190"/>
    <hyperlink r:id="rId1030" ref="C1191"/>
    <hyperlink r:id="rId1031" ref="C1192"/>
    <hyperlink r:id="rId1032" ref="C1193"/>
    <hyperlink r:id="rId1033" ref="C1194"/>
    <hyperlink r:id="rId1034" ref="C1195"/>
    <hyperlink r:id="rId1035" ref="C1196"/>
    <hyperlink r:id="rId1036" ref="C1197"/>
    <hyperlink r:id="rId1037" ref="C1198"/>
    <hyperlink r:id="rId1038" ref="C1199"/>
    <hyperlink r:id="rId1039" ref="C1200"/>
    <hyperlink r:id="rId1040" ref="C1201"/>
    <hyperlink r:id="rId1041" ref="C1202"/>
    <hyperlink r:id="rId1042" ref="C1203"/>
    <hyperlink r:id="rId1043" ref="C1204"/>
    <hyperlink r:id="rId1044" ref="C1205"/>
    <hyperlink r:id="rId1045" ref="C1206"/>
    <hyperlink r:id="rId1046" ref="C1207"/>
    <hyperlink r:id="rId1047" ref="C1208"/>
    <hyperlink r:id="rId1048" ref="C1209"/>
    <hyperlink r:id="rId1049" ref="C1210"/>
    <hyperlink r:id="rId1050" ref="C1211"/>
    <hyperlink r:id="rId1051" ref="C1212"/>
    <hyperlink r:id="rId1052" ref="C1213"/>
    <hyperlink r:id="rId1053" ref="C1214"/>
    <hyperlink r:id="rId1054" ref="C1215"/>
    <hyperlink r:id="rId1055" ref="C1216"/>
    <hyperlink r:id="rId1056" ref="G1216"/>
    <hyperlink r:id="rId1057" ref="C1217"/>
    <hyperlink r:id="rId1058" ref="C1218"/>
    <hyperlink r:id="rId1059" ref="C1219"/>
    <hyperlink r:id="rId1060" ref="C1220"/>
    <hyperlink r:id="rId1061" ref="C1221"/>
    <hyperlink r:id="rId1062" ref="C1222"/>
    <hyperlink r:id="rId1063" ref="C1223"/>
    <hyperlink r:id="rId1064" ref="C1224"/>
    <hyperlink r:id="rId1065" ref="C1225"/>
    <hyperlink r:id="rId1066" ref="C1226"/>
    <hyperlink r:id="rId1067" ref="C1227"/>
    <hyperlink r:id="rId1068" ref="C1228"/>
    <hyperlink r:id="rId1069" ref="C1229"/>
    <hyperlink r:id="rId1070" ref="C1230"/>
    <hyperlink r:id="rId1071" ref="C1231"/>
    <hyperlink r:id="rId1072" ref="C1232"/>
    <hyperlink r:id="rId1073" ref="C1233"/>
    <hyperlink r:id="rId1074" ref="C1234"/>
    <hyperlink r:id="rId1075" ref="C1235"/>
    <hyperlink r:id="rId1076" ref="C1236"/>
    <hyperlink r:id="rId1077" ref="C1237"/>
    <hyperlink r:id="rId1078" ref="C1238"/>
    <hyperlink r:id="rId1079" ref="C1239"/>
    <hyperlink r:id="rId1080" ref="C1240"/>
    <hyperlink r:id="rId1081" ref="C1241"/>
    <hyperlink r:id="rId1082" ref="C1242"/>
    <hyperlink r:id="rId1083" ref="C1243"/>
    <hyperlink r:id="rId1084" ref="C1244"/>
    <hyperlink r:id="rId1085" ref="C1245"/>
    <hyperlink r:id="rId1086" ref="C1246"/>
    <hyperlink r:id="rId1087" ref="C1247"/>
    <hyperlink r:id="rId1088" ref="C1248"/>
    <hyperlink r:id="rId1089" ref="C1249"/>
    <hyperlink r:id="rId1090" ref="C1250"/>
    <hyperlink r:id="rId1091" ref="C1251"/>
    <hyperlink r:id="rId1092" ref="C1252"/>
    <hyperlink r:id="rId1093" ref="C1253"/>
    <hyperlink r:id="rId1094" ref="C1254"/>
    <hyperlink r:id="rId1095" ref="C1255"/>
    <hyperlink r:id="rId1096" ref="C1256"/>
    <hyperlink r:id="rId1097" ref="C1257"/>
    <hyperlink r:id="rId1098" ref="C1258"/>
    <hyperlink r:id="rId1099" ref="C1259"/>
    <hyperlink r:id="rId1100" ref="C1260"/>
    <hyperlink r:id="rId1101" ref="C1261"/>
    <hyperlink r:id="rId1102" ref="C1262"/>
    <hyperlink r:id="rId1103" ref="C1263"/>
    <hyperlink r:id="rId1104" ref="C1264"/>
    <hyperlink r:id="rId1105" ref="C1265"/>
    <hyperlink r:id="rId1106" ref="C1266"/>
    <hyperlink r:id="rId1107" ref="C1267"/>
    <hyperlink r:id="rId1108" ref="C1268"/>
    <hyperlink r:id="rId1109" ref="C1269"/>
    <hyperlink r:id="rId1110" ref="C1270"/>
    <hyperlink r:id="rId1111" ref="C1271"/>
    <hyperlink r:id="rId1112" ref="C1272"/>
    <hyperlink r:id="rId1113" ref="C1273"/>
    <hyperlink r:id="rId1114" ref="C1274"/>
    <hyperlink r:id="rId1115" ref="C1275"/>
    <hyperlink r:id="rId1116" ref="C1276"/>
    <hyperlink r:id="rId1117" ref="C1277"/>
    <hyperlink r:id="rId1118" ref="C1278"/>
    <hyperlink r:id="rId1119" ref="C1279"/>
    <hyperlink r:id="rId1120" ref="C1280"/>
    <hyperlink r:id="rId1121" ref="C1281"/>
    <hyperlink r:id="rId1122" ref="C1282"/>
    <hyperlink r:id="rId1123" ref="C1283"/>
    <hyperlink r:id="rId1124" ref="C1284"/>
    <hyperlink r:id="rId1125" ref="C1285"/>
    <hyperlink r:id="rId1126" ref="C1286"/>
    <hyperlink r:id="rId1127" ref="C1287"/>
    <hyperlink r:id="rId1128" ref="C1288"/>
    <hyperlink r:id="rId1129" ref="C1289"/>
    <hyperlink r:id="rId1130" ref="C1290"/>
    <hyperlink r:id="rId1131" ref="C1291"/>
    <hyperlink r:id="rId1132" ref="C1292"/>
    <hyperlink r:id="rId1133" ref="C1293"/>
    <hyperlink r:id="rId1134" ref="C1294"/>
    <hyperlink r:id="rId1135" ref="C1295"/>
    <hyperlink r:id="rId1136" ref="C1296"/>
    <hyperlink r:id="rId1137" ref="C1297"/>
    <hyperlink r:id="rId1138" ref="C1298"/>
    <hyperlink r:id="rId1139" ref="C1299"/>
    <hyperlink r:id="rId1140" ref="C1300"/>
    <hyperlink r:id="rId1141" ref="C1301"/>
    <hyperlink r:id="rId1142" ref="C1302"/>
    <hyperlink r:id="rId1143" ref="C1303"/>
    <hyperlink r:id="rId1144" ref="C1304"/>
    <hyperlink r:id="rId1145" ref="C1305"/>
    <hyperlink r:id="rId1146" ref="C1306"/>
    <hyperlink r:id="rId1147" ref="C1307"/>
    <hyperlink r:id="rId1148" ref="C1308"/>
    <hyperlink r:id="rId1149" ref="C1309"/>
    <hyperlink r:id="rId1150" ref="C1310"/>
    <hyperlink r:id="rId1151" ref="C1311"/>
    <hyperlink r:id="rId1152" ref="C1312"/>
    <hyperlink r:id="rId1153" ref="C1313"/>
    <hyperlink r:id="rId1154" ref="C1314"/>
    <hyperlink r:id="rId1155" ref="C1315"/>
    <hyperlink r:id="rId1156" ref="C1316"/>
    <hyperlink r:id="rId1157" ref="C1317"/>
    <hyperlink r:id="rId1158" ref="C1318"/>
    <hyperlink r:id="rId1159" ref="C1319"/>
    <hyperlink r:id="rId1160" ref="C1320"/>
    <hyperlink r:id="rId1161" ref="C1321"/>
    <hyperlink r:id="rId1162" ref="C1322"/>
    <hyperlink r:id="rId1163" ref="C1323"/>
    <hyperlink r:id="rId1164" ref="C1324"/>
    <hyperlink r:id="rId1165" ref="C1325"/>
    <hyperlink r:id="rId1166" ref="C1326"/>
    <hyperlink r:id="rId1167" ref="C1327"/>
    <hyperlink r:id="rId1168" ref="C1328"/>
    <hyperlink r:id="rId1169" ref="C1329"/>
    <hyperlink r:id="rId1170" ref="C1330"/>
    <hyperlink r:id="rId1171" ref="C1331"/>
    <hyperlink r:id="rId1172" ref="C1332"/>
    <hyperlink r:id="rId1173" ref="C1333"/>
    <hyperlink r:id="rId1174" ref="C1334"/>
    <hyperlink r:id="rId1175" ref="C1335"/>
    <hyperlink r:id="rId1176" ref="C1336"/>
    <hyperlink r:id="rId1177" ref="C1337"/>
    <hyperlink r:id="rId1178" ref="C1338"/>
    <hyperlink r:id="rId1179" ref="C1339"/>
    <hyperlink r:id="rId1180" ref="C1340"/>
    <hyperlink r:id="rId1181" ref="C1341"/>
    <hyperlink r:id="rId1182" ref="C1342"/>
    <hyperlink r:id="rId1183" ref="C1343"/>
    <hyperlink r:id="rId1184" ref="C1344"/>
    <hyperlink r:id="rId1185" ref="C1345"/>
    <hyperlink r:id="rId1186" ref="C1346"/>
    <hyperlink r:id="rId1187" ref="C1347"/>
    <hyperlink r:id="rId1188" ref="C1348"/>
    <hyperlink r:id="rId1189" ref="C1349"/>
    <hyperlink r:id="rId1190" ref="C1350"/>
    <hyperlink r:id="rId1191" ref="C1351"/>
    <hyperlink r:id="rId1192" ref="C1352"/>
    <hyperlink r:id="rId1193" ref="C1353"/>
    <hyperlink r:id="rId1194" ref="C1354"/>
    <hyperlink r:id="rId1195" ref="C1355"/>
    <hyperlink r:id="rId1196" ref="C1356"/>
    <hyperlink r:id="rId1197" ref="C1357"/>
    <hyperlink r:id="rId1198" ref="C1358"/>
    <hyperlink r:id="rId1199" ref="C1359"/>
    <hyperlink r:id="rId1200" ref="C1360"/>
    <hyperlink r:id="rId1201" ref="C1361"/>
    <hyperlink r:id="rId1202" ref="C1362"/>
    <hyperlink r:id="rId1203" ref="C1363"/>
    <hyperlink r:id="rId1204" ref="C1364"/>
    <hyperlink r:id="rId1205" ref="C1365"/>
    <hyperlink r:id="rId1206" ref="C1366"/>
    <hyperlink r:id="rId1207" ref="C1367"/>
    <hyperlink r:id="rId1208" ref="C1368"/>
    <hyperlink r:id="rId1209" ref="C1369"/>
    <hyperlink r:id="rId1210" ref="C1370"/>
    <hyperlink r:id="rId1211" ref="C1371"/>
    <hyperlink r:id="rId1212" ref="C1372"/>
    <hyperlink r:id="rId1213" ref="C1373"/>
    <hyperlink r:id="rId1214" ref="C1374"/>
    <hyperlink r:id="rId1215" ref="C1375"/>
    <hyperlink r:id="rId1216" ref="C1376"/>
    <hyperlink r:id="rId1217" ref="C1377"/>
    <hyperlink r:id="rId1218" ref="C1378"/>
    <hyperlink r:id="rId1219" ref="C1379"/>
    <hyperlink r:id="rId1220" ref="C1380"/>
    <hyperlink r:id="rId1221" ref="C1381"/>
    <hyperlink r:id="rId1222" ref="C1382"/>
    <hyperlink r:id="rId1223" ref="C1383"/>
    <hyperlink r:id="rId1224" ref="C1384"/>
    <hyperlink r:id="rId1225" ref="C1385"/>
    <hyperlink r:id="rId1226" ref="C1386"/>
    <hyperlink r:id="rId1227" ref="C1387"/>
    <hyperlink r:id="rId1228" ref="C1388"/>
    <hyperlink r:id="rId1229" ref="C1389"/>
    <hyperlink r:id="rId1230" ref="C1390"/>
    <hyperlink r:id="rId1231" ref="C1391"/>
    <hyperlink r:id="rId1232" ref="C1392"/>
    <hyperlink r:id="rId1233" ref="C1393"/>
    <hyperlink r:id="rId1234" ref="C1394"/>
    <hyperlink r:id="rId1235" ref="C1395"/>
    <hyperlink r:id="rId1236" ref="C1396"/>
    <hyperlink r:id="rId1237" ref="C1397"/>
    <hyperlink r:id="rId1238" ref="C1398"/>
    <hyperlink r:id="rId1239" ref="C1399"/>
    <hyperlink r:id="rId1240" ref="C1400"/>
    <hyperlink r:id="rId1241" ref="C1401"/>
    <hyperlink r:id="rId1242" ref="C1402"/>
    <hyperlink r:id="rId1243" ref="C1403"/>
    <hyperlink r:id="rId1244" ref="C1404"/>
    <hyperlink r:id="rId1245" ref="C1405"/>
    <hyperlink r:id="rId1246" ref="C1406"/>
    <hyperlink r:id="rId1247" ref="C1407"/>
    <hyperlink r:id="rId1248" ref="C1408"/>
    <hyperlink r:id="rId1249" ref="C1409"/>
    <hyperlink r:id="rId1250" ref="C1410"/>
    <hyperlink r:id="rId1251" ref="C1411"/>
    <hyperlink r:id="rId1252" ref="C1412"/>
    <hyperlink r:id="rId1253" ref="C2174"/>
    <hyperlink r:id="rId1254" ref="G2174"/>
    <hyperlink r:id="rId1255" ref="C2175"/>
    <hyperlink r:id="rId1256" ref="C2176"/>
    <hyperlink r:id="rId1257" ref="C2177"/>
    <hyperlink r:id="rId1258" ref="C2178"/>
    <hyperlink r:id="rId1259" ref="C2179"/>
    <hyperlink r:id="rId1260" ref="C2180"/>
    <hyperlink r:id="rId1261" ref="C2181"/>
    <hyperlink r:id="rId1262" ref="C2182"/>
    <hyperlink r:id="rId1263" ref="D2182"/>
    <hyperlink r:id="rId1264" ref="C2183"/>
    <hyperlink r:id="rId1265" ref="D2183"/>
    <hyperlink r:id="rId1266" ref="C2184"/>
    <hyperlink r:id="rId1267" ref="C2185"/>
    <hyperlink r:id="rId1268" ref="C2186"/>
    <hyperlink r:id="rId1269" ref="C2187"/>
    <hyperlink r:id="rId1270" ref="C2188"/>
    <hyperlink r:id="rId1271" ref="C2189"/>
    <hyperlink r:id="rId1272" ref="C2190"/>
    <hyperlink r:id="rId1273" ref="C2191"/>
    <hyperlink r:id="rId1274" ref="C2192"/>
    <hyperlink r:id="rId1275" ref="C2193"/>
    <hyperlink r:id="rId1276" ref="C2194"/>
    <hyperlink r:id="rId1277" ref="C2195"/>
    <hyperlink r:id="rId1278" ref="C2196"/>
    <hyperlink r:id="rId1279" ref="C2197"/>
    <hyperlink r:id="rId1280" ref="C2198"/>
    <hyperlink r:id="rId1281" ref="C2199"/>
    <hyperlink r:id="rId1282" ref="C2200"/>
    <hyperlink r:id="rId1283" ref="C2201"/>
    <hyperlink r:id="rId1284" ref="C2202"/>
    <hyperlink r:id="rId1285" ref="C2203"/>
    <hyperlink r:id="rId1286" ref="C2204"/>
    <hyperlink r:id="rId1287" ref="C2205"/>
    <hyperlink r:id="rId1288" ref="C2206"/>
    <hyperlink r:id="rId1289" ref="C2207"/>
    <hyperlink r:id="rId1290" ref="C2208"/>
    <hyperlink r:id="rId1291" ref="C2209"/>
    <hyperlink r:id="rId1292" ref="C2210"/>
    <hyperlink r:id="rId1293" ref="C2211"/>
    <hyperlink r:id="rId1294" ref="C2212"/>
    <hyperlink r:id="rId1295" ref="C2213"/>
    <hyperlink r:id="rId1296" ref="C2214"/>
    <hyperlink r:id="rId1297" ref="C2215"/>
    <hyperlink r:id="rId1298" ref="C2216"/>
    <hyperlink r:id="rId1299" ref="C2217"/>
    <hyperlink r:id="rId1300" ref="C2218"/>
    <hyperlink r:id="rId1301" ref="C2219"/>
    <hyperlink r:id="rId1302" ref="C2220"/>
    <hyperlink r:id="rId1303" ref="C2221"/>
    <hyperlink r:id="rId1304" ref="C2222"/>
    <hyperlink r:id="rId1305" ref="C2223"/>
    <hyperlink r:id="rId1306" ref="C2224"/>
    <hyperlink r:id="rId1307" ref="C2225"/>
    <hyperlink r:id="rId1308" ref="C2226"/>
    <hyperlink r:id="rId1309" ref="C2227"/>
    <hyperlink r:id="rId1310" ref="C2228"/>
    <hyperlink r:id="rId1311" ref="C2229"/>
    <hyperlink r:id="rId1312" ref="C2230"/>
    <hyperlink r:id="rId1313" ref="C2231"/>
    <hyperlink r:id="rId1314" ref="C2232"/>
    <hyperlink r:id="rId1315" ref="C2233"/>
    <hyperlink r:id="rId1316" ref="C2234"/>
    <hyperlink r:id="rId1317" ref="C2235"/>
    <hyperlink r:id="rId1318" ref="C2236"/>
    <hyperlink r:id="rId1319" ref="C2237"/>
    <hyperlink r:id="rId1320" ref="C2238"/>
    <hyperlink r:id="rId1321" ref="C2239"/>
    <hyperlink r:id="rId1322" ref="C2240"/>
    <hyperlink r:id="rId1323" ref="C2241"/>
    <hyperlink r:id="rId1324" ref="C2242"/>
    <hyperlink r:id="rId1325" ref="C2243"/>
    <hyperlink r:id="rId1326" ref="C2244"/>
    <hyperlink r:id="rId1327" ref="C2245"/>
    <hyperlink r:id="rId1328" ref="C2246"/>
    <hyperlink r:id="rId1329" ref="C2247"/>
    <hyperlink r:id="rId1330" ref="C2248"/>
    <hyperlink r:id="rId1331" ref="C2249"/>
    <hyperlink r:id="rId1332" ref="C2250"/>
    <hyperlink r:id="rId1333" ref="C2251"/>
    <hyperlink r:id="rId1334" ref="C2252"/>
    <hyperlink r:id="rId1335" ref="C2253"/>
    <hyperlink r:id="rId1336" ref="C2254"/>
    <hyperlink r:id="rId1337" ref="C2255"/>
    <hyperlink r:id="rId1338" ref="C2256"/>
    <hyperlink r:id="rId1339" ref="C2257"/>
    <hyperlink r:id="rId1340" ref="C2258"/>
    <hyperlink r:id="rId1341" ref="C2259"/>
    <hyperlink r:id="rId1342" ref="C2260"/>
    <hyperlink r:id="rId1343" ref="C2261"/>
    <hyperlink r:id="rId1344" ref="C2262"/>
    <hyperlink r:id="rId1345" ref="C2263"/>
    <hyperlink r:id="rId1346" ref="C2264"/>
    <hyperlink r:id="rId1347" ref="C2265"/>
    <hyperlink r:id="rId1348" ref="C2266"/>
    <hyperlink r:id="rId1349" ref="C2267"/>
    <hyperlink r:id="rId1350" ref="C2268"/>
    <hyperlink r:id="rId1351" ref="C2269"/>
    <hyperlink r:id="rId1352" ref="C2270"/>
    <hyperlink r:id="rId1353" ref="C2271"/>
    <hyperlink r:id="rId1354" ref="C2272"/>
    <hyperlink r:id="rId1355" ref="C2273"/>
    <hyperlink r:id="rId1356" ref="C2274"/>
    <hyperlink r:id="rId1357" ref="C2275"/>
    <hyperlink r:id="rId1358" ref="C2276"/>
    <hyperlink r:id="rId1359" ref="C2277"/>
    <hyperlink r:id="rId1360" ref="C2278"/>
    <hyperlink r:id="rId1361" ref="C2279"/>
    <hyperlink r:id="rId1362" ref="C2280"/>
    <hyperlink r:id="rId1363" ref="C2281"/>
    <hyperlink r:id="rId1364" ref="C2282"/>
    <hyperlink r:id="rId1365" ref="C2283"/>
    <hyperlink r:id="rId1366" ref="C2284"/>
    <hyperlink r:id="rId1367" ref="C2285"/>
    <hyperlink r:id="rId1368" ref="C2286"/>
    <hyperlink r:id="rId1369" ref="C2287"/>
    <hyperlink r:id="rId1370" ref="C2288"/>
    <hyperlink r:id="rId1371" ref="C2289"/>
    <hyperlink r:id="rId1372" ref="C2290"/>
    <hyperlink r:id="rId1373" ref="C2291"/>
    <hyperlink r:id="rId1374" ref="C2292"/>
    <hyperlink r:id="rId1375" ref="C2293"/>
    <hyperlink r:id="rId1376" ref="C2294"/>
    <hyperlink r:id="rId1377" ref="C2295"/>
    <hyperlink r:id="rId1378" ref="C2296"/>
    <hyperlink r:id="rId1379" ref="C2297"/>
    <hyperlink r:id="rId1380" ref="C2298"/>
    <hyperlink r:id="rId1381" ref="C2299"/>
    <hyperlink r:id="rId1382" ref="C2300"/>
    <hyperlink r:id="rId1383" ref="C2301"/>
    <hyperlink r:id="rId1384" ref="C2302"/>
    <hyperlink r:id="rId1385" ref="C2303"/>
    <hyperlink r:id="rId1386" ref="C2304"/>
    <hyperlink r:id="rId1387" ref="C2305"/>
    <hyperlink r:id="rId1388" ref="C2306"/>
    <hyperlink r:id="rId1389" ref="C2307"/>
    <hyperlink r:id="rId1390" ref="C2308"/>
    <hyperlink r:id="rId1391" ref="C2309"/>
    <hyperlink r:id="rId1392" ref="C2310"/>
    <hyperlink r:id="rId1393" ref="C2311"/>
    <hyperlink r:id="rId1394" ref="C2312"/>
    <hyperlink r:id="rId1395" ref="C2313"/>
    <hyperlink r:id="rId1396" ref="C2314"/>
    <hyperlink r:id="rId1397" ref="C2315"/>
    <hyperlink r:id="rId1398" ref="C2316"/>
    <hyperlink r:id="rId1399" ref="C2317"/>
    <hyperlink r:id="rId1400" ref="C2318"/>
    <hyperlink r:id="rId1401" ref="C2319"/>
    <hyperlink r:id="rId1402" ref="C2320"/>
    <hyperlink r:id="rId1403" ref="C2321"/>
    <hyperlink r:id="rId1404" ref="C2322"/>
    <hyperlink r:id="rId1405" ref="C2323"/>
    <hyperlink r:id="rId1406" ref="C2324"/>
    <hyperlink r:id="rId1407" ref="C2325"/>
    <hyperlink r:id="rId1408" ref="C2326"/>
    <hyperlink r:id="rId1409" ref="C2327"/>
    <hyperlink r:id="rId1410" ref="C2328"/>
    <hyperlink r:id="rId1411" ref="C2329"/>
    <hyperlink r:id="rId1412" ref="C2330"/>
    <hyperlink r:id="rId1413" ref="C2331"/>
    <hyperlink r:id="rId1414" ref="C2332"/>
    <hyperlink r:id="rId1415" ref="G2332"/>
    <hyperlink r:id="rId1416" ref="C2333"/>
    <hyperlink r:id="rId1417" ref="C2334"/>
    <hyperlink r:id="rId1418" ref="C2335"/>
    <hyperlink r:id="rId1419" ref="C2336"/>
    <hyperlink r:id="rId1420" ref="C2337"/>
    <hyperlink r:id="rId1421" ref="C2338"/>
    <hyperlink r:id="rId1422" ref="C2339"/>
    <hyperlink r:id="rId1423" ref="C2340"/>
    <hyperlink r:id="rId1424" ref="C2341"/>
    <hyperlink r:id="rId1425" ref="C2342"/>
    <hyperlink r:id="rId1426" ref="G2342"/>
    <hyperlink r:id="rId1427" ref="C2343"/>
    <hyperlink r:id="rId1428" ref="C2344"/>
    <hyperlink r:id="rId1429" ref="C2345"/>
    <hyperlink r:id="rId1430" ref="C2346"/>
    <hyperlink r:id="rId1431" ref="C2347"/>
    <hyperlink r:id="rId1432" ref="C2348"/>
    <hyperlink r:id="rId1433" ref="C2349"/>
    <hyperlink r:id="rId1434" ref="C2350"/>
    <hyperlink r:id="rId1435" ref="C2351"/>
    <hyperlink r:id="rId1436" ref="C2352"/>
    <hyperlink r:id="rId1437" ref="C2353"/>
    <hyperlink r:id="rId1438" ref="C2354"/>
    <hyperlink r:id="rId1439" ref="C2355"/>
    <hyperlink r:id="rId1440" ref="C2356"/>
    <hyperlink r:id="rId1441" ref="C2357"/>
    <hyperlink r:id="rId1442" ref="C2358"/>
    <hyperlink r:id="rId1443" ref="C2359"/>
    <hyperlink r:id="rId1444" ref="C2360"/>
    <hyperlink r:id="rId1445" ref="C2361"/>
    <hyperlink r:id="rId1446" ref="C2362"/>
    <hyperlink r:id="rId1447" ref="C2363"/>
    <hyperlink r:id="rId1448" ref="C2364"/>
    <hyperlink r:id="rId1449" ref="C2366"/>
    <hyperlink r:id="rId1450" ref="C2367"/>
    <hyperlink r:id="rId1451" ref="C2368"/>
    <hyperlink r:id="rId1452" ref="C2369"/>
    <hyperlink r:id="rId1453" ref="C2370"/>
    <hyperlink r:id="rId1454" ref="C2371"/>
    <hyperlink r:id="rId1455" ref="C2372"/>
    <hyperlink r:id="rId1456" ref="C2373"/>
    <hyperlink r:id="rId1457" ref="G2373"/>
    <hyperlink r:id="rId1458" ref="C2374"/>
    <hyperlink r:id="rId1459" ref="C2375"/>
    <hyperlink r:id="rId1460" ref="C2376"/>
    <hyperlink r:id="rId1461" ref="C2377"/>
    <hyperlink r:id="rId1462" ref="C2378"/>
    <hyperlink r:id="rId1463" ref="C2379"/>
    <hyperlink r:id="rId1464" ref="C2380"/>
    <hyperlink r:id="rId1465" ref="C2381"/>
    <hyperlink r:id="rId1466" ref="C2382"/>
    <hyperlink r:id="rId1467" ref="C2383"/>
    <hyperlink r:id="rId1468" ref="C2384"/>
    <hyperlink r:id="rId1469" ref="C2385"/>
    <hyperlink r:id="rId1470" ref="C2386"/>
    <hyperlink r:id="rId1471" ref="C2387"/>
    <hyperlink r:id="rId1472" ref="C2388"/>
    <hyperlink r:id="rId1473" ref="C2389"/>
    <hyperlink r:id="rId1474" ref="C2390"/>
    <hyperlink r:id="rId1475" ref="C2391"/>
    <hyperlink r:id="rId1476" ref="C2392"/>
    <hyperlink r:id="rId1477" ref="C2393"/>
    <hyperlink r:id="rId1478" ref="C2394"/>
    <hyperlink r:id="rId1479" ref="C2395"/>
    <hyperlink r:id="rId1480" ref="C2396"/>
    <hyperlink r:id="rId1481" ref="C2397"/>
    <hyperlink r:id="rId1482" ref="C2398"/>
    <hyperlink r:id="rId1483" ref="C2399"/>
    <hyperlink r:id="rId1484" ref="C2400"/>
    <hyperlink r:id="rId1485" ref="C2401"/>
    <hyperlink r:id="rId1486" ref="C2402"/>
    <hyperlink r:id="rId1487" ref="C2403"/>
    <hyperlink r:id="rId1488" ref="C2404"/>
    <hyperlink r:id="rId1489" ref="C2405"/>
    <hyperlink r:id="rId1490" ref="G2405"/>
    <hyperlink r:id="rId1491" ref="C2406"/>
    <hyperlink r:id="rId1492" ref="C2407"/>
    <hyperlink r:id="rId1493" ref="C2408"/>
    <hyperlink r:id="rId1494" ref="C2409"/>
    <hyperlink r:id="rId1495" ref="C2410"/>
    <hyperlink r:id="rId1496" ref="C2411"/>
    <hyperlink r:id="rId1497" ref="C2412"/>
    <hyperlink r:id="rId1498" ref="C2413"/>
    <hyperlink r:id="rId1499" ref="C2414"/>
    <hyperlink r:id="rId1500" ref="C2415"/>
    <hyperlink r:id="rId1501" ref="C2416"/>
    <hyperlink r:id="rId1502" ref="C2417"/>
    <hyperlink r:id="rId1503" ref="C2418"/>
    <hyperlink r:id="rId1504" ref="C2419"/>
    <hyperlink r:id="rId1505" ref="C2420"/>
    <hyperlink r:id="rId1506" ref="C2421"/>
    <hyperlink r:id="rId1507" ref="C2422"/>
    <hyperlink r:id="rId1508" ref="C2423"/>
    <hyperlink r:id="rId1509" ref="C2424"/>
    <hyperlink r:id="rId1510" ref="C2425"/>
    <hyperlink r:id="rId1511" ref="C2426"/>
    <hyperlink r:id="rId1512" ref="C2427"/>
    <hyperlink r:id="rId1513" ref="C2428"/>
    <hyperlink r:id="rId1514" ref="C2429"/>
    <hyperlink r:id="rId1515" ref="C2430"/>
    <hyperlink r:id="rId1516" ref="C2431"/>
    <hyperlink r:id="rId1517" ref="C2432"/>
    <hyperlink r:id="rId1518" ref="C2433"/>
    <hyperlink r:id="rId1519" ref="C2434"/>
    <hyperlink r:id="rId1520" ref="C2435"/>
    <hyperlink r:id="rId1521" ref="C2436"/>
    <hyperlink r:id="rId1522" ref="C2437"/>
    <hyperlink r:id="rId1523" ref="C2438"/>
    <hyperlink r:id="rId1524" ref="C2439"/>
    <hyperlink r:id="rId1525" ref="C2440"/>
    <hyperlink r:id="rId1526" ref="C2441"/>
    <hyperlink r:id="rId1527" ref="C2442"/>
    <hyperlink r:id="rId1528" ref="C2443"/>
    <hyperlink r:id="rId1529" ref="C2444"/>
    <hyperlink r:id="rId1530" ref="C2445"/>
    <hyperlink r:id="rId1531" ref="C2446"/>
    <hyperlink r:id="rId1532" ref="C2447"/>
    <hyperlink r:id="rId1533" ref="C2448"/>
    <hyperlink r:id="rId1534" ref="C2449"/>
    <hyperlink r:id="rId1535" ref="C2450"/>
    <hyperlink r:id="rId1536" ref="C2451"/>
    <hyperlink r:id="rId1537" ref="C2452"/>
    <hyperlink r:id="rId1538" ref="C2453"/>
    <hyperlink r:id="rId1539" ref="C2454"/>
    <hyperlink r:id="rId1540" ref="C2455"/>
    <hyperlink r:id="rId1541" ref="C2456"/>
    <hyperlink r:id="rId1542" ref="C2457"/>
    <hyperlink r:id="rId1543" ref="C2458"/>
    <hyperlink r:id="rId1544" ref="C2459"/>
    <hyperlink r:id="rId1545" ref="C2460"/>
    <hyperlink r:id="rId1546" ref="C2461"/>
    <hyperlink r:id="rId1547" ref="C2462"/>
    <hyperlink r:id="rId1548" ref="C2463"/>
    <hyperlink r:id="rId1549" ref="C2464"/>
    <hyperlink r:id="rId1550" ref="C2465"/>
    <hyperlink r:id="rId1551" ref="C2466"/>
    <hyperlink r:id="rId1552" ref="C2467"/>
    <hyperlink r:id="rId1553" ref="C2468"/>
    <hyperlink r:id="rId1554" ref="C2469"/>
    <hyperlink r:id="rId1555" ref="C2470"/>
    <hyperlink r:id="rId1556" ref="C2471"/>
    <hyperlink r:id="rId1557" ref="C2472"/>
    <hyperlink r:id="rId1558" ref="C2473"/>
    <hyperlink r:id="rId1559" ref="C2474"/>
    <hyperlink r:id="rId1560" ref="C2475"/>
    <hyperlink r:id="rId1561" ref="C2476"/>
    <hyperlink r:id="rId1562" ref="G2476"/>
    <hyperlink r:id="rId1563" ref="C2477"/>
    <hyperlink r:id="rId1564" ref="C2478"/>
    <hyperlink r:id="rId1565" ref="G2478"/>
    <hyperlink r:id="rId1566" ref="C2479"/>
    <hyperlink r:id="rId1567" ref="C2480"/>
    <hyperlink r:id="rId1568" ref="C2481"/>
    <hyperlink r:id="rId1569" ref="C2482"/>
    <hyperlink r:id="rId1570" ref="C2483"/>
    <hyperlink r:id="rId1571" ref="C2484"/>
    <hyperlink r:id="rId1572" ref="C2490"/>
    <hyperlink r:id="rId1573" ref="C2491"/>
    <hyperlink r:id="rId1574" ref="C2492"/>
    <hyperlink r:id="rId1575" ref="C2493"/>
    <hyperlink r:id="rId1576" ref="C2494"/>
    <hyperlink r:id="rId1577" ref="C2495"/>
    <hyperlink r:id="rId1578" ref="C2496"/>
    <hyperlink r:id="rId1579" ref="C2497"/>
    <hyperlink r:id="rId1580" ref="C2498"/>
    <hyperlink r:id="rId1581" ref="C2499"/>
    <hyperlink r:id="rId1582" ref="C2500"/>
    <hyperlink r:id="rId1583" ref="G2500"/>
    <hyperlink r:id="rId1584" ref="C2501"/>
    <hyperlink r:id="rId1585" ref="C2502"/>
    <hyperlink r:id="rId1586" ref="C2503"/>
    <hyperlink r:id="rId1587" ref="C2504"/>
    <hyperlink r:id="rId1588" ref="C2505"/>
    <hyperlink r:id="rId1589" ref="C2506"/>
    <hyperlink r:id="rId1590" ref="C2507"/>
    <hyperlink r:id="rId1591" ref="C2508"/>
    <hyperlink r:id="rId1592" ref="C2509"/>
    <hyperlink r:id="rId1593" ref="C2510"/>
    <hyperlink r:id="rId1594" ref="G2510"/>
    <hyperlink r:id="rId1595" ref="C2511"/>
    <hyperlink r:id="rId1596" ref="C2512"/>
    <hyperlink r:id="rId1597" ref="C2513"/>
    <hyperlink r:id="rId1598" ref="C2514"/>
    <hyperlink r:id="rId1599" ref="C2515"/>
    <hyperlink r:id="rId1600" ref="C2516"/>
    <hyperlink r:id="rId1601" ref="C2517"/>
    <hyperlink r:id="rId1602" ref="C2518"/>
    <hyperlink r:id="rId1603" ref="C2519"/>
    <hyperlink r:id="rId1604" ref="C2520"/>
    <hyperlink r:id="rId1605" ref="C2521"/>
    <hyperlink r:id="rId1606" ref="C2522"/>
    <hyperlink r:id="rId1607" ref="C2523"/>
    <hyperlink r:id="rId1608" ref="C2524"/>
    <hyperlink r:id="rId1609" ref="C2525"/>
    <hyperlink r:id="rId1610" ref="C2526"/>
    <hyperlink r:id="rId1611" ref="C2527"/>
    <hyperlink r:id="rId1612" ref="C2528"/>
    <hyperlink r:id="rId1613" ref="C2529"/>
    <hyperlink r:id="rId1614" ref="C2530"/>
    <hyperlink r:id="rId1615" ref="C2531"/>
    <hyperlink r:id="rId1616" ref="C2532"/>
    <hyperlink r:id="rId1617" ref="C2533"/>
    <hyperlink r:id="rId1618" ref="C2534"/>
    <hyperlink r:id="rId1619" ref="C2535"/>
    <hyperlink r:id="rId1620" ref="C2536"/>
    <hyperlink r:id="rId1621" ref="C2537"/>
    <hyperlink r:id="rId1622" ref="C2538"/>
    <hyperlink r:id="rId1623" ref="C2539"/>
    <hyperlink r:id="rId1624" ref="C2540"/>
    <hyperlink r:id="rId1625" ref="C2541"/>
    <hyperlink r:id="rId1626" ref="C2542"/>
    <hyperlink r:id="rId1627" ref="C2543"/>
    <hyperlink r:id="rId1628" ref="C2544"/>
    <hyperlink r:id="rId1629" ref="C2545"/>
    <hyperlink r:id="rId1630" ref="C2546"/>
    <hyperlink r:id="rId1631" ref="C2547"/>
    <hyperlink r:id="rId1632" ref="C2548"/>
    <hyperlink r:id="rId1633" ref="C2549"/>
    <hyperlink r:id="rId1634" ref="C2550"/>
    <hyperlink r:id="rId1635" ref="C2551"/>
    <hyperlink r:id="rId1636" ref="C2552"/>
    <hyperlink r:id="rId1637" ref="C2553"/>
    <hyperlink r:id="rId1638" ref="C2554"/>
    <hyperlink r:id="rId1639" ref="C2555"/>
    <hyperlink r:id="rId1640" ref="C2556"/>
    <hyperlink r:id="rId1641" ref="C2557"/>
    <hyperlink r:id="rId1642" ref="C2558"/>
    <hyperlink r:id="rId1643" ref="C2559"/>
    <hyperlink r:id="rId1644" ref="C2560"/>
    <hyperlink r:id="rId1645" ref="C2561"/>
    <hyperlink r:id="rId1646" ref="C2562"/>
    <hyperlink r:id="rId1647" ref="C2563"/>
    <hyperlink r:id="rId1648" ref="C2564"/>
    <hyperlink r:id="rId1649" ref="C2565"/>
    <hyperlink r:id="rId1650" ref="C2566"/>
    <hyperlink r:id="rId1651" ref="C2567"/>
    <hyperlink r:id="rId1652" ref="C2568"/>
    <hyperlink r:id="rId1653" ref="C2569"/>
    <hyperlink r:id="rId1654" ref="C2570"/>
    <hyperlink r:id="rId1655" ref="C2571"/>
    <hyperlink r:id="rId1656" ref="C2572"/>
    <hyperlink r:id="rId1657" ref="C2573"/>
    <hyperlink r:id="rId1658" ref="C2574"/>
    <hyperlink r:id="rId1659" ref="C2575"/>
    <hyperlink r:id="rId1660" ref="C2576"/>
    <hyperlink r:id="rId1661" ref="C2577"/>
    <hyperlink r:id="rId1662" ref="C2578"/>
    <hyperlink r:id="rId1663" ref="C2579"/>
    <hyperlink r:id="rId1664" ref="C2580"/>
    <hyperlink r:id="rId1665" ref="C2581"/>
    <hyperlink r:id="rId1666" ref="C2582"/>
    <hyperlink r:id="rId1667" ref="C2583"/>
    <hyperlink r:id="rId1668" ref="C2584"/>
    <hyperlink r:id="rId1669" ref="C2585"/>
    <hyperlink r:id="rId1670" ref="C2586"/>
    <hyperlink r:id="rId1671" ref="C2587"/>
    <hyperlink r:id="rId1672" ref="C2588"/>
    <hyperlink r:id="rId1673" ref="C2589"/>
    <hyperlink r:id="rId1674" ref="C2590"/>
    <hyperlink r:id="rId1675" ref="C2591"/>
    <hyperlink r:id="rId1676" ref="C2592"/>
    <hyperlink r:id="rId1677" ref="C2593"/>
    <hyperlink r:id="rId1678" ref="C2594"/>
    <hyperlink r:id="rId1679" ref="C2595"/>
    <hyperlink r:id="rId1680" ref="C2596"/>
    <hyperlink r:id="rId1681" ref="C2597"/>
    <hyperlink r:id="rId1682" ref="C2598"/>
    <hyperlink r:id="rId1683" ref="C2599"/>
    <hyperlink r:id="rId1684" ref="C2600"/>
    <hyperlink r:id="rId1685" ref="C2601"/>
    <hyperlink r:id="rId1686" ref="C2602"/>
    <hyperlink r:id="rId1687" ref="C2603"/>
    <hyperlink r:id="rId1688" ref="C2604"/>
    <hyperlink r:id="rId1689" ref="C2605"/>
    <hyperlink r:id="rId1690" ref="C2606"/>
    <hyperlink r:id="rId1691" ref="C2607"/>
    <hyperlink r:id="rId1692" ref="C2608"/>
    <hyperlink r:id="rId1693" ref="C2609"/>
    <hyperlink r:id="rId1694" ref="C2610"/>
    <hyperlink r:id="rId1695" ref="C2611"/>
    <hyperlink r:id="rId1696" ref="C2612"/>
    <hyperlink r:id="rId1697" ref="C2613"/>
    <hyperlink r:id="rId1698" ref="C2614"/>
    <hyperlink r:id="rId1699" ref="C2615"/>
    <hyperlink r:id="rId1700" ref="C2616"/>
    <hyperlink r:id="rId1701" ref="C2617"/>
    <hyperlink r:id="rId1702" ref="C2618"/>
    <hyperlink r:id="rId1703" ref="C2619"/>
    <hyperlink r:id="rId1704" ref="C2620"/>
    <hyperlink r:id="rId1705" ref="C2621"/>
    <hyperlink r:id="rId1706" ref="C2622"/>
    <hyperlink r:id="rId1707" ref="C2623"/>
    <hyperlink r:id="rId1708" ref="C2624"/>
    <hyperlink r:id="rId1709" ref="C2625"/>
    <hyperlink r:id="rId1710" ref="C2626"/>
    <hyperlink r:id="rId1711" ref="C2627"/>
    <hyperlink r:id="rId1712" ref="C2628"/>
    <hyperlink r:id="rId1713" ref="C2629"/>
    <hyperlink r:id="rId1714" ref="C2630"/>
    <hyperlink r:id="rId1715" ref="C2631"/>
    <hyperlink r:id="rId1716" ref="C2632"/>
    <hyperlink r:id="rId1717" ref="C2633"/>
    <hyperlink r:id="rId1718" ref="C2634"/>
    <hyperlink r:id="rId1719" ref="C2635"/>
    <hyperlink r:id="rId1720" ref="C2636"/>
    <hyperlink r:id="rId1721" ref="C2637"/>
    <hyperlink r:id="rId1722" ref="C2638"/>
    <hyperlink r:id="rId1723" ref="C2639"/>
    <hyperlink r:id="rId1724" ref="C2640"/>
    <hyperlink r:id="rId1725" ref="C2641"/>
    <hyperlink r:id="rId1726" ref="C2642"/>
    <hyperlink r:id="rId1727" ref="C2643"/>
    <hyperlink r:id="rId1728" ref="C2644"/>
    <hyperlink r:id="rId1729" ref="C2645"/>
    <hyperlink r:id="rId1730" ref="C2646"/>
    <hyperlink r:id="rId1731" ref="C2647"/>
    <hyperlink r:id="rId1732" ref="C2648"/>
    <hyperlink r:id="rId1733" ref="C2649"/>
    <hyperlink r:id="rId1734" ref="C2650"/>
    <hyperlink r:id="rId1735" ref="C2651"/>
    <hyperlink r:id="rId1736" ref="C2652"/>
    <hyperlink r:id="rId1737" ref="C2653"/>
    <hyperlink r:id="rId1738" ref="C2654"/>
    <hyperlink r:id="rId1739" ref="C2655"/>
    <hyperlink r:id="rId1740" ref="C2656"/>
    <hyperlink r:id="rId1741" ref="G2656"/>
    <hyperlink r:id="rId1742" ref="C2657"/>
    <hyperlink r:id="rId1743" ref="G2657"/>
    <hyperlink r:id="rId1744" ref="C2658"/>
    <hyperlink r:id="rId1745" ref="G2658"/>
    <hyperlink r:id="rId1746" ref="C2659"/>
    <hyperlink r:id="rId1747" ref="G2659"/>
    <hyperlink r:id="rId1748" ref="C2660"/>
    <hyperlink r:id="rId1749" ref="G2660"/>
    <hyperlink r:id="rId1750" ref="C2661"/>
    <hyperlink r:id="rId1751" ref="G2661"/>
    <hyperlink r:id="rId1752" ref="C2662"/>
    <hyperlink r:id="rId1753" ref="C2663"/>
    <hyperlink r:id="rId1754" ref="C2664"/>
    <hyperlink r:id="rId1755" ref="C2665"/>
    <hyperlink r:id="rId1756" ref="C2666"/>
    <hyperlink r:id="rId1757" ref="C2667"/>
    <hyperlink r:id="rId1758" ref="C2668"/>
    <hyperlink r:id="rId1759" ref="C2669"/>
    <hyperlink r:id="rId1760" ref="C2670"/>
    <hyperlink r:id="rId1761" ref="C2671"/>
    <hyperlink r:id="rId1762" ref="C2672"/>
    <hyperlink r:id="rId1763" ref="C2673"/>
    <hyperlink r:id="rId1764" ref="C2674"/>
    <hyperlink r:id="rId1765" ref="C2675"/>
    <hyperlink r:id="rId1766" ref="C2676"/>
    <hyperlink r:id="rId1767" ref="C2677"/>
    <hyperlink r:id="rId1768" ref="C2678"/>
    <hyperlink r:id="rId1769" ref="C2679"/>
    <hyperlink r:id="rId1770" ref="C2680"/>
    <hyperlink r:id="rId1771" ref="C2681"/>
    <hyperlink r:id="rId1772" ref="C2682"/>
    <hyperlink r:id="rId1773" ref="C2683"/>
    <hyperlink r:id="rId1774" ref="C2684"/>
    <hyperlink r:id="rId1775" ref="C2685"/>
    <hyperlink r:id="rId1776" ref="C2686"/>
    <hyperlink r:id="rId1777" ref="C2687"/>
    <hyperlink r:id="rId1778" ref="C2688"/>
    <hyperlink r:id="rId1779" ref="C2689"/>
    <hyperlink r:id="rId1780" ref="C2690"/>
    <hyperlink r:id="rId1781" ref="C2691"/>
    <hyperlink r:id="rId1782" ref="C2692"/>
    <hyperlink r:id="rId1783" ref="C2693"/>
    <hyperlink r:id="rId1784" ref="C2694"/>
    <hyperlink r:id="rId1785" ref="C2695"/>
    <hyperlink r:id="rId1786" ref="C2696"/>
    <hyperlink r:id="rId1787" ref="C2697"/>
    <hyperlink r:id="rId1788" ref="C2698"/>
    <hyperlink r:id="rId1789" ref="C2699"/>
    <hyperlink r:id="rId1790" ref="C2700"/>
    <hyperlink r:id="rId1791" ref="C2701"/>
    <hyperlink r:id="rId1792" ref="C2702"/>
    <hyperlink r:id="rId1793" ref="C2703"/>
    <hyperlink r:id="rId1794" ref="C2704"/>
    <hyperlink r:id="rId1795" ref="C2705"/>
    <hyperlink r:id="rId1796" ref="C2706"/>
    <hyperlink r:id="rId1797" ref="C2707"/>
    <hyperlink r:id="rId1798" ref="C2708"/>
    <hyperlink r:id="rId1799" ref="C2709"/>
    <hyperlink r:id="rId1800" ref="C2710"/>
    <hyperlink r:id="rId1801" ref="C2711"/>
    <hyperlink r:id="rId1802" ref="C2712"/>
    <hyperlink r:id="rId1803" ref="C2713"/>
    <hyperlink r:id="rId1804" ref="C2714"/>
    <hyperlink r:id="rId1805" ref="C2715"/>
    <hyperlink r:id="rId1806" ref="C2716"/>
    <hyperlink r:id="rId1807" ref="G2716"/>
    <hyperlink r:id="rId1808" ref="C2717"/>
    <hyperlink r:id="rId1809" ref="G2717"/>
    <hyperlink r:id="rId1810" ref="C2718"/>
    <hyperlink r:id="rId1811" ref="G2718"/>
    <hyperlink r:id="rId1812" ref="C2719"/>
    <hyperlink r:id="rId1813" ref="G2719"/>
    <hyperlink r:id="rId1814" ref="C2720"/>
    <hyperlink r:id="rId1815" ref="G2720"/>
    <hyperlink r:id="rId1816" ref="C2721"/>
    <hyperlink r:id="rId1817" ref="G2721"/>
    <hyperlink r:id="rId1818" ref="C2722"/>
    <hyperlink r:id="rId1819" location="page2" ref="G2722"/>
    <hyperlink r:id="rId1820" ref="C2723"/>
    <hyperlink r:id="rId1821" ref="G2723"/>
    <hyperlink r:id="rId1822" ref="C2724"/>
    <hyperlink r:id="rId1823" ref="G2724"/>
    <hyperlink r:id="rId1824" ref="C2725"/>
    <hyperlink r:id="rId1825" ref="G2725"/>
    <hyperlink r:id="rId1826" ref="C2726"/>
    <hyperlink r:id="rId1827" ref="G2726"/>
    <hyperlink r:id="rId1828" ref="C2727"/>
    <hyperlink r:id="rId1829" ref="G2727"/>
    <hyperlink r:id="rId1830" ref="C2728"/>
    <hyperlink r:id="rId1831" ref="G2728"/>
    <hyperlink r:id="rId1832" ref="C2729"/>
    <hyperlink r:id="rId1833" ref="G2729"/>
    <hyperlink r:id="rId1834" ref="C2730"/>
    <hyperlink r:id="rId1835" ref="C2731"/>
    <hyperlink r:id="rId1836" ref="C2732"/>
    <hyperlink r:id="rId1837" ref="C2733"/>
    <hyperlink r:id="rId1838" ref="C2734"/>
    <hyperlink r:id="rId1839" ref="C2735"/>
    <hyperlink r:id="rId1840" ref="C2736"/>
    <hyperlink r:id="rId1841" ref="C2737"/>
    <hyperlink r:id="rId1842" ref="C2738"/>
    <hyperlink r:id="rId1843" ref="C2739"/>
    <hyperlink r:id="rId1844" ref="C2740"/>
    <hyperlink r:id="rId1845" ref="C2741"/>
    <hyperlink r:id="rId1846" ref="C2742"/>
    <hyperlink r:id="rId1847" ref="C2743"/>
    <hyperlink r:id="rId1848" ref="C2744"/>
    <hyperlink r:id="rId1849" ref="C2745"/>
    <hyperlink r:id="rId1850" ref="C2746"/>
    <hyperlink r:id="rId1851" ref="C2747"/>
    <hyperlink r:id="rId1852" ref="C2748"/>
    <hyperlink r:id="rId1853" ref="C2749"/>
    <hyperlink r:id="rId1854" ref="C2750"/>
    <hyperlink r:id="rId1855" ref="C2751"/>
    <hyperlink r:id="rId1856" ref="C2752"/>
    <hyperlink r:id="rId1857" ref="C2753"/>
    <hyperlink r:id="rId1858" ref="C2754"/>
    <hyperlink r:id="rId1859" ref="C2755"/>
    <hyperlink r:id="rId1860" ref="C2756"/>
    <hyperlink r:id="rId1861" ref="C2757"/>
    <hyperlink r:id="rId1862" ref="C2758"/>
    <hyperlink r:id="rId1863" ref="C2759"/>
    <hyperlink r:id="rId1864" ref="C2760"/>
    <hyperlink r:id="rId1865" ref="C2761"/>
    <hyperlink r:id="rId1866" ref="C2762"/>
    <hyperlink r:id="rId1867" ref="C2763"/>
    <hyperlink r:id="rId1868" ref="C2764"/>
    <hyperlink r:id="rId1869" ref="G2764"/>
    <hyperlink r:id="rId1870" ref="C2765"/>
    <hyperlink r:id="rId1871" ref="G2765"/>
    <hyperlink r:id="rId1872" ref="C2766"/>
    <hyperlink r:id="rId1873" ref="G2766"/>
    <hyperlink r:id="rId1874" ref="C2767"/>
    <hyperlink r:id="rId1875" ref="G2767"/>
    <hyperlink r:id="rId1876" ref="C2768"/>
    <hyperlink r:id="rId1877" ref="G2768"/>
    <hyperlink r:id="rId1878" ref="C2769"/>
    <hyperlink r:id="rId1879" ref="G2769"/>
    <hyperlink r:id="rId1880" ref="C2770"/>
    <hyperlink r:id="rId1881" ref="C2771"/>
    <hyperlink r:id="rId1882" ref="C2772"/>
    <hyperlink r:id="rId1883" ref="C2773"/>
    <hyperlink r:id="rId1884" ref="C2774"/>
    <hyperlink r:id="rId1885" ref="C2775"/>
    <hyperlink r:id="rId1886" ref="C2776"/>
    <hyperlink r:id="rId1887" ref="C2777"/>
    <hyperlink r:id="rId1888" ref="C2778"/>
    <hyperlink r:id="rId1889" ref="C2779"/>
    <hyperlink r:id="rId1890" ref="C2780"/>
    <hyperlink r:id="rId1891" ref="C2781"/>
    <hyperlink r:id="rId1892" ref="C2782"/>
    <hyperlink r:id="rId1893" ref="C2783"/>
    <hyperlink r:id="rId1894" ref="C2784"/>
    <hyperlink r:id="rId1895" ref="C2785"/>
    <hyperlink r:id="rId1896" ref="C2786"/>
    <hyperlink r:id="rId1897" ref="C2787"/>
    <hyperlink r:id="rId1898" ref="C2788"/>
    <hyperlink r:id="rId1899" ref="C2789"/>
    <hyperlink r:id="rId1900" ref="C2790"/>
    <hyperlink r:id="rId1901" ref="C2791"/>
    <hyperlink r:id="rId1902" ref="C2792"/>
    <hyperlink r:id="rId1903" ref="C2793"/>
    <hyperlink r:id="rId1904" ref="C2794"/>
    <hyperlink r:id="rId1905" ref="C2795"/>
    <hyperlink r:id="rId1906" ref="C2796"/>
    <hyperlink r:id="rId1907" ref="C2797"/>
    <hyperlink r:id="rId1908" ref="C2798"/>
    <hyperlink r:id="rId1909" ref="C2799"/>
    <hyperlink r:id="rId1910" ref="C2800"/>
    <hyperlink r:id="rId1911" ref="C2801"/>
    <hyperlink r:id="rId1912" ref="C2802"/>
    <hyperlink r:id="rId1913" ref="C2803"/>
    <hyperlink r:id="rId1914" ref="C2804"/>
    <hyperlink r:id="rId1915" ref="C2805"/>
    <hyperlink r:id="rId1916" ref="C2806"/>
    <hyperlink r:id="rId1917" ref="C2807"/>
    <hyperlink r:id="rId1918" ref="C2808"/>
    <hyperlink r:id="rId1919" ref="C2809"/>
    <hyperlink r:id="rId1920" ref="C2810"/>
    <hyperlink r:id="rId1921" ref="C2811"/>
    <hyperlink r:id="rId1922" ref="C2812"/>
    <hyperlink r:id="rId1923" ref="G2812"/>
    <hyperlink r:id="rId1924" ref="C2813"/>
    <hyperlink r:id="rId1925" ref="G2813"/>
    <hyperlink r:id="rId1926" ref="C2814"/>
    <hyperlink r:id="rId1927" ref="C2815"/>
    <hyperlink r:id="rId1928" ref="G2815"/>
    <hyperlink r:id="rId1929" ref="C2816"/>
    <hyperlink r:id="rId1930" ref="C2817"/>
    <hyperlink r:id="rId1931" ref="C2818"/>
    <hyperlink r:id="rId1932" ref="C2819"/>
    <hyperlink r:id="rId1933" ref="C2820"/>
    <hyperlink r:id="rId1934" ref="C2821"/>
    <hyperlink r:id="rId1935" ref="C2822"/>
    <hyperlink r:id="rId1936" ref="C2823"/>
    <hyperlink r:id="rId1937" ref="C2824"/>
    <hyperlink r:id="rId1938" ref="C2825"/>
    <hyperlink r:id="rId1939" ref="C2826"/>
    <hyperlink r:id="rId1940" ref="C2827"/>
    <hyperlink r:id="rId1941" ref="C2828"/>
    <hyperlink r:id="rId1942" ref="C2829"/>
    <hyperlink r:id="rId1943" ref="C2830"/>
    <hyperlink r:id="rId1944" ref="C2831"/>
    <hyperlink r:id="rId1945" ref="C2832"/>
    <hyperlink r:id="rId1946" ref="C2833"/>
    <hyperlink r:id="rId1947" ref="C2834"/>
    <hyperlink r:id="rId1948" ref="C2835"/>
    <hyperlink r:id="rId1949" ref="C2836"/>
    <hyperlink r:id="rId1950" ref="C2837"/>
    <hyperlink r:id="rId1951" ref="C2838"/>
    <hyperlink r:id="rId1952" ref="C2839"/>
    <hyperlink r:id="rId1953" ref="C2840"/>
    <hyperlink r:id="rId1954" ref="C2841"/>
    <hyperlink r:id="rId1955" ref="C2842"/>
    <hyperlink r:id="rId1956" ref="C2843"/>
    <hyperlink r:id="rId1957" ref="C2844"/>
    <hyperlink r:id="rId1958" ref="C2845"/>
    <hyperlink r:id="rId1959" ref="C2846"/>
    <hyperlink r:id="rId1960" ref="C2847"/>
    <hyperlink r:id="rId1961" ref="C2848"/>
    <hyperlink r:id="rId1962" ref="C2849"/>
    <hyperlink r:id="rId1963" ref="C2850"/>
    <hyperlink r:id="rId1964" ref="C2851"/>
    <hyperlink r:id="rId1965" ref="C2852"/>
    <hyperlink r:id="rId1966" ref="C2853"/>
    <hyperlink r:id="rId1967" ref="C2854"/>
    <hyperlink r:id="rId1968" ref="C2855"/>
    <hyperlink r:id="rId1969" ref="G2855"/>
    <hyperlink r:id="rId1970" ref="C2856"/>
    <hyperlink r:id="rId1971" ref="G2856"/>
    <hyperlink r:id="rId1972" ref="C2857"/>
    <hyperlink r:id="rId1973" ref="G2857"/>
    <hyperlink r:id="rId1974" ref="C2858"/>
    <hyperlink r:id="rId1975" ref="G2858"/>
    <hyperlink r:id="rId1976" ref="C2859"/>
    <hyperlink r:id="rId1977" ref="G2859"/>
    <hyperlink r:id="rId1978" ref="C2860"/>
    <hyperlink r:id="rId1979" ref="G2860"/>
    <hyperlink r:id="rId1980" ref="C2861"/>
    <hyperlink r:id="rId1981" ref="C2862"/>
    <hyperlink r:id="rId1982" ref="C2863"/>
    <hyperlink r:id="rId1983" ref="C2864"/>
    <hyperlink r:id="rId1984" ref="C2865"/>
    <hyperlink r:id="rId1985" ref="C2866"/>
    <hyperlink r:id="rId1986" ref="C2867"/>
    <hyperlink r:id="rId1987" ref="C2868"/>
    <hyperlink r:id="rId1988" ref="C2869"/>
    <hyperlink r:id="rId1989" ref="C2870"/>
    <hyperlink r:id="rId1990" ref="C2871"/>
    <hyperlink r:id="rId1991" ref="C2872"/>
    <hyperlink r:id="rId1992" ref="C2873"/>
    <hyperlink r:id="rId1993" ref="C2874"/>
    <hyperlink r:id="rId1994" ref="C2875"/>
    <hyperlink r:id="rId1995" ref="C2876"/>
    <hyperlink r:id="rId1996" ref="C2877"/>
    <hyperlink r:id="rId1997" ref="C2878"/>
    <hyperlink r:id="rId1998" ref="C2879"/>
    <hyperlink r:id="rId1999" ref="C2880"/>
    <hyperlink r:id="rId2000" ref="C2881"/>
    <hyperlink r:id="rId2001" ref="C2882"/>
    <hyperlink r:id="rId2002" ref="C2883"/>
    <hyperlink r:id="rId2003" ref="C2884"/>
    <hyperlink r:id="rId2004" ref="C2885"/>
    <hyperlink r:id="rId2005" ref="C2886"/>
    <hyperlink r:id="rId2006" ref="C2887"/>
    <hyperlink r:id="rId2007" ref="C2888"/>
    <hyperlink r:id="rId2008" ref="C2889"/>
    <hyperlink r:id="rId2009" ref="C2890"/>
    <hyperlink r:id="rId2010" ref="C2891"/>
    <hyperlink r:id="rId2011" ref="C2892"/>
    <hyperlink r:id="rId2012" ref="C2893"/>
    <hyperlink r:id="rId2013" ref="C2894"/>
    <hyperlink r:id="rId2014" ref="C2895"/>
    <hyperlink r:id="rId2015" ref="C2896"/>
    <hyperlink r:id="rId2016" ref="C2897"/>
    <hyperlink r:id="rId2017" ref="C2898"/>
    <hyperlink r:id="rId2018" ref="C2899"/>
    <hyperlink r:id="rId2019" ref="C2900"/>
    <hyperlink r:id="rId2020" ref="G2900"/>
    <hyperlink r:id="rId2021" ref="C2901"/>
    <hyperlink r:id="rId2022" ref="G2901"/>
    <hyperlink r:id="rId2023" ref="C2902"/>
    <hyperlink r:id="rId2024" ref="G2902"/>
    <hyperlink r:id="rId2025" ref="C2903"/>
    <hyperlink r:id="rId2026" ref="C2904"/>
    <hyperlink r:id="rId2027" ref="C2905"/>
    <hyperlink r:id="rId2028" ref="G2905"/>
    <hyperlink r:id="rId2029" ref="C2906"/>
    <hyperlink r:id="rId2030" ref="C2907"/>
    <hyperlink r:id="rId2031" ref="C2908"/>
    <hyperlink r:id="rId2032" ref="C2909"/>
    <hyperlink r:id="rId2033" ref="C2910"/>
    <hyperlink r:id="rId2034" ref="C2911"/>
    <hyperlink r:id="rId2035" ref="C2912"/>
    <hyperlink r:id="rId2036" ref="C2913"/>
    <hyperlink r:id="rId2037" ref="C2914"/>
    <hyperlink r:id="rId2038" ref="C2915"/>
    <hyperlink r:id="rId2039" ref="C2916"/>
    <hyperlink r:id="rId2040" ref="C2917"/>
    <hyperlink r:id="rId2041" ref="C2918"/>
    <hyperlink r:id="rId2042" ref="C2919"/>
    <hyperlink r:id="rId2043" ref="C2920"/>
    <hyperlink r:id="rId2044" ref="C2921"/>
    <hyperlink r:id="rId2045" ref="C2922"/>
    <hyperlink r:id="rId2046" ref="C2923"/>
    <hyperlink r:id="rId2047" ref="C2924"/>
    <hyperlink r:id="rId2048" ref="C2925"/>
    <hyperlink r:id="rId2049" ref="C2926"/>
    <hyperlink r:id="rId2050" ref="C2927"/>
    <hyperlink r:id="rId2051" ref="C2928"/>
    <hyperlink r:id="rId2052" ref="C2929"/>
    <hyperlink r:id="rId2053" ref="C2930"/>
    <hyperlink r:id="rId2054" ref="C2931"/>
    <hyperlink r:id="rId2055" ref="C2932"/>
    <hyperlink r:id="rId2056" ref="G2932"/>
    <hyperlink r:id="rId2057" ref="C2933"/>
    <hyperlink r:id="rId2058" ref="G2933"/>
    <hyperlink r:id="rId2059" ref="C2934"/>
    <hyperlink r:id="rId2060" ref="G2934"/>
    <hyperlink r:id="rId2061" ref="C2935"/>
    <hyperlink r:id="rId2062" ref="G2935"/>
    <hyperlink r:id="rId2063" ref="C2936"/>
    <hyperlink r:id="rId2064" ref="G2936"/>
    <hyperlink r:id="rId2065" ref="C2937"/>
    <hyperlink r:id="rId2066" ref="G2937"/>
    <hyperlink r:id="rId2067" ref="C2938"/>
    <hyperlink r:id="rId2068" ref="G2938"/>
    <hyperlink r:id="rId2069" ref="C2939"/>
    <hyperlink r:id="rId2070" ref="G2939"/>
    <hyperlink r:id="rId2071" ref="C2940"/>
    <hyperlink r:id="rId2072" ref="G2940"/>
    <hyperlink r:id="rId2073" ref="C2941"/>
    <hyperlink r:id="rId2074" ref="C2942"/>
    <hyperlink r:id="rId2075" ref="C2943"/>
    <hyperlink r:id="rId2076" ref="G2943"/>
    <hyperlink r:id="rId2077" ref="C2944"/>
    <hyperlink r:id="rId2078" ref="C2945"/>
    <hyperlink r:id="rId2079" ref="C2946"/>
    <hyperlink r:id="rId2080" ref="C2947"/>
    <hyperlink r:id="rId2081" ref="C2948"/>
    <hyperlink r:id="rId2082" ref="C2949"/>
    <hyperlink r:id="rId2083" ref="C2950"/>
    <hyperlink r:id="rId2084" ref="C2951"/>
    <hyperlink r:id="rId2085" ref="C2952"/>
    <hyperlink r:id="rId2086" ref="C2953"/>
    <hyperlink r:id="rId2087" ref="C2954"/>
    <hyperlink r:id="rId2088" ref="C2955"/>
    <hyperlink r:id="rId2089" ref="C2956"/>
    <hyperlink r:id="rId2090" ref="C2957"/>
    <hyperlink r:id="rId2091" ref="C2958"/>
    <hyperlink r:id="rId2092" ref="C2959"/>
    <hyperlink r:id="rId2093" ref="C2960"/>
    <hyperlink r:id="rId2094" ref="C2961"/>
    <hyperlink r:id="rId2095" ref="C2962"/>
    <hyperlink r:id="rId2096" ref="C2963"/>
    <hyperlink r:id="rId2097" ref="C2964"/>
    <hyperlink r:id="rId2098" ref="C2965"/>
    <hyperlink r:id="rId2099" ref="C2966"/>
    <hyperlink r:id="rId2100" ref="C2967"/>
    <hyperlink r:id="rId2101" ref="C2968"/>
    <hyperlink r:id="rId2102" ref="C2969"/>
    <hyperlink r:id="rId2103" ref="C2970"/>
    <hyperlink r:id="rId2104" ref="C2971"/>
    <hyperlink r:id="rId2105" ref="C2972"/>
    <hyperlink r:id="rId2106" ref="C2973"/>
    <hyperlink r:id="rId2107" ref="C2974"/>
    <hyperlink r:id="rId2108" ref="C2975"/>
    <hyperlink r:id="rId2109" ref="C2976"/>
    <hyperlink r:id="rId2110" ref="C2977"/>
    <hyperlink r:id="rId2111" ref="C2978"/>
    <hyperlink r:id="rId2112" ref="C2979"/>
    <hyperlink r:id="rId2113" ref="C2980"/>
    <hyperlink r:id="rId2114" ref="C2981"/>
    <hyperlink r:id="rId2115" ref="C2982"/>
    <hyperlink r:id="rId2116" ref="C2983"/>
    <hyperlink r:id="rId2117" ref="C2984"/>
    <hyperlink r:id="rId2118" ref="C2985"/>
    <hyperlink r:id="rId2119" ref="C2986"/>
    <hyperlink r:id="rId2120" ref="C2987"/>
    <hyperlink r:id="rId2121" ref="C2988"/>
    <hyperlink r:id="rId2122" ref="C2989"/>
    <hyperlink r:id="rId2123" ref="C2990"/>
    <hyperlink r:id="rId2124" ref="C2991"/>
    <hyperlink r:id="rId2125" ref="C2992"/>
    <hyperlink r:id="rId2126" ref="C2993"/>
    <hyperlink r:id="rId2127" ref="C2994"/>
    <hyperlink r:id="rId2128" ref="C2995"/>
    <hyperlink r:id="rId2129" ref="C2996"/>
    <hyperlink r:id="rId2130" ref="C2997"/>
    <hyperlink r:id="rId2131" ref="C2998"/>
    <hyperlink r:id="rId2132" ref="C2999"/>
    <hyperlink r:id="rId2133" ref="C3000"/>
    <hyperlink r:id="rId2134" ref="C3001"/>
    <hyperlink r:id="rId2135" ref="C3002"/>
    <hyperlink r:id="rId2136" ref="C3003"/>
    <hyperlink r:id="rId2137" ref="C3004"/>
    <hyperlink r:id="rId2138" ref="C3005"/>
    <hyperlink r:id="rId2139" ref="C3006"/>
    <hyperlink r:id="rId2140" ref="C3007"/>
    <hyperlink r:id="rId2141" ref="C3008"/>
    <hyperlink r:id="rId2142" ref="C3009"/>
    <hyperlink r:id="rId2143" ref="C3010"/>
    <hyperlink r:id="rId2144" ref="C3011"/>
    <hyperlink r:id="rId2145" ref="C3012"/>
    <hyperlink r:id="rId2146" ref="C3013"/>
    <hyperlink r:id="rId2147" ref="C3014"/>
    <hyperlink r:id="rId2148" ref="C3015"/>
    <hyperlink r:id="rId2149" ref="C3016"/>
    <hyperlink r:id="rId2150" ref="C3017"/>
    <hyperlink r:id="rId2151" ref="C3018"/>
    <hyperlink r:id="rId2152" ref="C3019"/>
    <hyperlink r:id="rId2153" ref="C3020"/>
    <hyperlink r:id="rId2154" ref="C3021"/>
    <hyperlink r:id="rId2155" ref="C3022"/>
    <hyperlink r:id="rId2156" ref="C3023"/>
    <hyperlink r:id="rId2157" ref="C3024"/>
    <hyperlink r:id="rId2158" ref="C3025"/>
    <hyperlink r:id="rId2159" ref="C3026"/>
    <hyperlink r:id="rId2160" ref="C3027"/>
    <hyperlink r:id="rId2161" ref="C3028"/>
    <hyperlink r:id="rId2162" ref="C3029"/>
    <hyperlink r:id="rId2163" ref="C3030"/>
    <hyperlink r:id="rId2164" ref="C3031"/>
    <hyperlink r:id="rId2165" ref="C3032"/>
    <hyperlink r:id="rId2166" ref="C3033"/>
    <hyperlink r:id="rId2167" ref="C3034"/>
    <hyperlink r:id="rId2168" ref="C3035"/>
    <hyperlink r:id="rId2169" ref="C3036"/>
    <hyperlink r:id="rId2170" ref="C3037"/>
    <hyperlink r:id="rId2171" ref="C3038"/>
    <hyperlink r:id="rId2172" ref="C3039"/>
    <hyperlink r:id="rId2173" ref="C3040"/>
    <hyperlink r:id="rId2174" ref="C3041"/>
    <hyperlink r:id="rId2175" ref="C3042"/>
    <hyperlink r:id="rId2176" ref="C3043"/>
    <hyperlink r:id="rId2177" ref="C3044"/>
    <hyperlink r:id="rId2178" ref="C3045"/>
    <hyperlink r:id="rId2179" ref="C3046"/>
    <hyperlink r:id="rId2180" ref="C3047"/>
    <hyperlink r:id="rId2181" ref="C3048"/>
    <hyperlink r:id="rId2182" ref="C3049"/>
    <hyperlink r:id="rId2183" ref="G3049"/>
    <hyperlink r:id="rId2184" ref="C3050"/>
    <hyperlink r:id="rId2185" ref="G3050"/>
    <hyperlink r:id="rId2186" ref="C3051"/>
    <hyperlink r:id="rId2187" ref="G3051"/>
    <hyperlink r:id="rId2188" ref="C3052"/>
    <hyperlink r:id="rId2189" ref="G3052"/>
    <hyperlink r:id="rId2190" ref="C3053"/>
    <hyperlink r:id="rId2191" ref="C3054"/>
    <hyperlink r:id="rId2192" ref="C3055"/>
    <hyperlink r:id="rId2193" ref="C3056"/>
    <hyperlink r:id="rId2194" ref="C3057"/>
    <hyperlink r:id="rId2195" ref="C3058"/>
    <hyperlink r:id="rId2196" ref="C3059"/>
    <hyperlink r:id="rId2197" ref="C3060"/>
    <hyperlink r:id="rId2198" ref="C3061"/>
    <hyperlink r:id="rId2199" ref="C3062"/>
    <hyperlink r:id="rId2200" ref="C3063"/>
    <hyperlink r:id="rId2201" ref="C3064"/>
    <hyperlink r:id="rId2202" ref="G3064"/>
    <hyperlink r:id="rId2203" ref="C3065"/>
    <hyperlink r:id="rId2204" ref="G3065"/>
    <hyperlink r:id="rId2205" ref="C3066"/>
    <hyperlink r:id="rId2206" ref="G3066"/>
    <hyperlink r:id="rId2207" ref="C3067"/>
    <hyperlink r:id="rId2208" ref="G3067"/>
    <hyperlink r:id="rId2209" ref="C3068"/>
    <hyperlink r:id="rId2210" ref="C3069"/>
    <hyperlink r:id="rId2211" ref="C3070"/>
    <hyperlink r:id="rId2212" ref="C3071"/>
    <hyperlink r:id="rId2213" ref="C3072"/>
    <hyperlink r:id="rId2214" ref="C3073"/>
    <hyperlink r:id="rId2215" ref="C3074"/>
    <hyperlink r:id="rId2216" ref="C3075"/>
    <hyperlink r:id="rId2217" ref="C3076"/>
    <hyperlink r:id="rId2218" ref="C3077"/>
    <hyperlink r:id="rId2219" ref="C3078"/>
    <hyperlink r:id="rId2220" ref="C3079"/>
    <hyperlink r:id="rId2221" ref="C3080"/>
    <hyperlink r:id="rId2222" ref="G3080"/>
    <hyperlink r:id="rId2223" ref="C3081"/>
    <hyperlink r:id="rId2224" ref="G3081"/>
    <hyperlink r:id="rId2225" ref="C3082"/>
    <hyperlink r:id="rId2226" ref="G3082"/>
    <hyperlink r:id="rId2227" ref="C3083"/>
    <hyperlink r:id="rId2228" ref="G3083"/>
    <hyperlink r:id="rId2229" ref="C3084"/>
    <hyperlink r:id="rId2230" ref="G3084"/>
    <hyperlink r:id="rId2231" ref="C3085"/>
    <hyperlink r:id="rId2232" ref="G3085"/>
    <hyperlink r:id="rId2233" ref="C3086"/>
    <hyperlink r:id="rId2234" ref="C3087"/>
    <hyperlink r:id="rId2235" ref="C3088"/>
    <hyperlink r:id="rId2236" ref="C3089"/>
    <hyperlink r:id="rId2237" ref="C3090"/>
    <hyperlink r:id="rId2238" ref="C3091"/>
    <hyperlink r:id="rId2239" ref="C3092"/>
    <hyperlink r:id="rId2240" ref="C3093"/>
    <hyperlink r:id="rId2241" ref="C3094"/>
    <hyperlink r:id="rId2242" ref="C3095"/>
    <hyperlink r:id="rId2243" ref="C3096"/>
    <hyperlink r:id="rId2244" ref="C3097"/>
    <hyperlink r:id="rId2245" ref="C3098"/>
    <hyperlink r:id="rId2246" ref="C3099"/>
    <hyperlink r:id="rId2247" ref="C3100"/>
    <hyperlink r:id="rId2248" ref="C3101"/>
    <hyperlink r:id="rId2249" ref="C3102"/>
    <hyperlink r:id="rId2250" ref="C3103"/>
    <hyperlink r:id="rId2251" ref="C3104"/>
    <hyperlink r:id="rId2252" ref="C3105"/>
    <hyperlink r:id="rId2253" ref="C3106"/>
    <hyperlink r:id="rId2254" ref="C3107"/>
    <hyperlink r:id="rId2255" ref="G3107"/>
    <hyperlink r:id="rId2256" ref="C3108"/>
    <hyperlink r:id="rId2257" ref="G3108"/>
    <hyperlink r:id="rId2258" ref="C3109"/>
    <hyperlink r:id="rId2259" ref="G3109"/>
    <hyperlink r:id="rId2260" ref="C3110"/>
    <hyperlink r:id="rId2261" ref="G3110"/>
    <hyperlink r:id="rId2262" ref="C3111"/>
    <hyperlink r:id="rId2263" ref="C3112"/>
    <hyperlink r:id="rId2264" ref="C3113"/>
    <hyperlink r:id="rId2265" ref="C3114"/>
    <hyperlink r:id="rId2266" ref="C3115"/>
    <hyperlink r:id="rId2267" ref="C3116"/>
    <hyperlink r:id="rId2268" ref="C3117"/>
    <hyperlink r:id="rId2269" ref="C3118"/>
    <hyperlink r:id="rId2270" ref="C3119"/>
    <hyperlink r:id="rId2271" ref="C3120"/>
    <hyperlink r:id="rId2272" ref="C3121"/>
    <hyperlink r:id="rId2273" ref="C3122"/>
    <hyperlink r:id="rId2274" ref="C3123"/>
    <hyperlink r:id="rId2275" ref="C3124"/>
    <hyperlink r:id="rId2276" ref="C3125"/>
    <hyperlink r:id="rId2277" ref="C3126"/>
    <hyperlink r:id="rId2278" ref="C3127"/>
    <hyperlink r:id="rId2279" ref="C3128"/>
    <hyperlink r:id="rId2280" ref="C3129"/>
    <hyperlink r:id="rId2281" ref="C3130"/>
    <hyperlink r:id="rId2282" ref="C3131"/>
    <hyperlink r:id="rId2283" ref="C3132"/>
    <hyperlink r:id="rId2284" ref="C3133"/>
    <hyperlink r:id="rId2285" ref="C3134"/>
    <hyperlink r:id="rId2286" ref="C3135"/>
    <hyperlink r:id="rId2287" ref="C3136"/>
    <hyperlink r:id="rId2288" ref="C3137"/>
    <hyperlink r:id="rId2289" ref="C3138"/>
    <hyperlink r:id="rId2290" ref="C3139"/>
    <hyperlink r:id="rId2291" ref="C3140"/>
    <hyperlink r:id="rId2292" ref="C3141"/>
    <hyperlink r:id="rId2293" ref="C3142"/>
    <hyperlink r:id="rId2294" ref="C3143"/>
    <hyperlink r:id="rId2295" ref="C3144"/>
    <hyperlink r:id="rId2296" ref="C3145"/>
    <hyperlink r:id="rId2297" ref="C3146"/>
    <hyperlink r:id="rId2298" ref="C3147"/>
    <hyperlink r:id="rId2299" ref="C3148"/>
    <hyperlink r:id="rId2300" ref="C3149"/>
    <hyperlink r:id="rId2301" ref="C3150"/>
    <hyperlink r:id="rId2302" ref="C3151"/>
    <hyperlink r:id="rId2303" ref="C3152"/>
    <hyperlink r:id="rId2304" ref="C3153"/>
    <hyperlink r:id="rId2305" ref="G3153"/>
    <hyperlink r:id="rId2306" ref="C3154"/>
    <hyperlink r:id="rId2307" ref="G3154"/>
    <hyperlink r:id="rId2308" ref="C3155"/>
    <hyperlink r:id="rId2309" ref="G3155"/>
    <hyperlink r:id="rId2310" ref="C3156"/>
    <hyperlink r:id="rId2311" ref="G3156"/>
    <hyperlink r:id="rId2312" ref="C3157"/>
    <hyperlink r:id="rId2313" ref="G3157"/>
    <hyperlink r:id="rId2314" ref="C3158"/>
    <hyperlink r:id="rId2315" ref="G3158"/>
    <hyperlink r:id="rId2316" ref="C3159"/>
    <hyperlink r:id="rId2317" ref="C3160"/>
    <hyperlink r:id="rId2318" ref="C3161"/>
    <hyperlink r:id="rId2319" ref="C3162"/>
    <hyperlink r:id="rId2320" ref="C3163"/>
    <hyperlink r:id="rId2321" ref="C3164"/>
    <hyperlink r:id="rId2322" ref="C3165"/>
    <hyperlink r:id="rId2323" ref="C3166"/>
    <hyperlink r:id="rId2324" ref="C3167"/>
    <hyperlink r:id="rId2325" ref="C3168"/>
    <hyperlink r:id="rId2326" ref="C3169"/>
    <hyperlink r:id="rId2327" ref="C3170"/>
    <hyperlink r:id="rId2328" ref="C3171"/>
    <hyperlink r:id="rId2329" ref="C3172"/>
    <hyperlink r:id="rId2330" ref="C3173"/>
    <hyperlink r:id="rId2331" ref="C3174"/>
    <hyperlink r:id="rId2332" ref="C3175"/>
    <hyperlink r:id="rId2333" ref="C3176"/>
    <hyperlink r:id="rId2334" ref="C3177"/>
    <hyperlink r:id="rId2335" ref="C3178"/>
    <hyperlink r:id="rId2336" ref="C3179"/>
    <hyperlink r:id="rId2337" ref="C3180"/>
    <hyperlink r:id="rId2338" ref="C3181"/>
    <hyperlink r:id="rId2339" ref="C3182"/>
    <hyperlink r:id="rId2340" ref="G3182"/>
    <hyperlink r:id="rId2341" ref="C3183"/>
    <hyperlink r:id="rId2342" ref="G3183"/>
    <hyperlink r:id="rId2343" ref="C3184"/>
    <hyperlink r:id="rId2344" ref="G3184"/>
    <hyperlink r:id="rId2345" ref="C3185"/>
    <hyperlink r:id="rId2346" ref="G3185"/>
    <hyperlink r:id="rId2347" ref="C3186"/>
    <hyperlink r:id="rId2348" ref="G3186"/>
    <hyperlink r:id="rId2349" ref="C3187"/>
    <hyperlink r:id="rId2350" ref="C3188"/>
    <hyperlink r:id="rId2351" ref="C3189"/>
    <hyperlink r:id="rId2352" ref="C3190"/>
    <hyperlink r:id="rId2353" ref="C3191"/>
    <hyperlink r:id="rId2354" ref="C3192"/>
    <hyperlink r:id="rId2355" ref="C3193"/>
    <hyperlink r:id="rId2356" ref="C3194"/>
    <hyperlink r:id="rId2357" ref="C3195"/>
    <hyperlink r:id="rId2358" ref="C3196"/>
    <hyperlink r:id="rId2359" ref="C3197"/>
    <hyperlink r:id="rId2360" ref="C3198"/>
    <hyperlink r:id="rId2361" ref="C3199"/>
    <hyperlink r:id="rId2362" ref="C3200"/>
    <hyperlink r:id="rId2363" ref="C3201"/>
    <hyperlink r:id="rId2364" ref="C3202"/>
    <hyperlink r:id="rId2365" ref="C3203"/>
    <hyperlink r:id="rId2366" ref="C3204"/>
    <hyperlink r:id="rId2367" ref="C3205"/>
    <hyperlink r:id="rId2368" ref="C3206"/>
    <hyperlink r:id="rId2369" ref="C3207"/>
    <hyperlink r:id="rId2370" ref="C3208"/>
    <hyperlink r:id="rId2371" ref="C3209"/>
    <hyperlink r:id="rId2372" ref="C3210"/>
    <hyperlink r:id="rId2373" ref="C3211"/>
    <hyperlink r:id="rId2374" ref="C3212"/>
    <hyperlink r:id="rId2375" ref="C3213"/>
    <hyperlink r:id="rId2376" ref="C3214"/>
    <hyperlink r:id="rId2377" ref="C3215"/>
    <hyperlink r:id="rId2378" ref="C3216"/>
    <hyperlink r:id="rId2379" ref="C3217"/>
    <hyperlink r:id="rId2380" ref="C3218"/>
    <hyperlink r:id="rId2381" ref="C3219"/>
    <hyperlink r:id="rId2382" ref="C3220"/>
    <hyperlink r:id="rId2383" ref="C3221"/>
    <hyperlink r:id="rId2384" ref="C3222"/>
    <hyperlink r:id="rId2385" ref="C3223"/>
    <hyperlink r:id="rId2386" ref="C3224"/>
    <hyperlink r:id="rId2387" ref="C3225"/>
    <hyperlink r:id="rId2388" ref="C3226"/>
    <hyperlink r:id="rId2389" ref="G3226"/>
    <hyperlink r:id="rId2390" ref="C3227"/>
    <hyperlink r:id="rId2391" ref="G3227"/>
    <hyperlink r:id="rId2392" ref="C3228"/>
    <hyperlink r:id="rId2393" ref="C3229"/>
    <hyperlink r:id="rId2394" ref="C3230"/>
    <hyperlink r:id="rId2395" ref="C3231"/>
    <hyperlink r:id="rId2396" ref="C3232"/>
    <hyperlink r:id="rId2397" ref="C3233"/>
    <hyperlink r:id="rId2398" ref="C3234"/>
    <hyperlink r:id="rId2399" ref="C3235"/>
    <hyperlink r:id="rId2400" ref="C3236"/>
    <hyperlink r:id="rId2401" ref="C3237"/>
    <hyperlink r:id="rId2402" ref="C3238"/>
    <hyperlink r:id="rId2403" ref="C3239"/>
    <hyperlink r:id="rId2404" ref="C3240"/>
    <hyperlink r:id="rId2405" ref="G3240"/>
    <hyperlink r:id="rId2406" ref="C3241"/>
    <hyperlink r:id="rId2407" ref="C3242"/>
    <hyperlink r:id="rId2408" ref="C3243"/>
    <hyperlink r:id="rId2409" ref="C3244"/>
    <hyperlink r:id="rId2410" ref="C3245"/>
    <hyperlink r:id="rId2411" ref="C3246"/>
    <hyperlink r:id="rId2412" ref="C3247"/>
    <hyperlink r:id="rId2413" ref="C3248"/>
    <hyperlink r:id="rId2414" ref="C3249"/>
    <hyperlink r:id="rId2415" ref="C3250"/>
    <hyperlink r:id="rId2416" ref="C3251"/>
    <hyperlink r:id="rId2417" ref="C3252"/>
    <hyperlink r:id="rId2418" ref="C3253"/>
    <hyperlink r:id="rId2419" ref="C3254"/>
    <hyperlink r:id="rId2420" ref="C3255"/>
    <hyperlink r:id="rId2421" ref="C3256"/>
    <hyperlink r:id="rId2422" ref="C3257"/>
    <hyperlink r:id="rId2423" ref="C3258"/>
    <hyperlink r:id="rId2424" ref="C3259"/>
    <hyperlink r:id="rId2425" ref="C3260"/>
    <hyperlink r:id="rId2426" ref="C3261"/>
    <hyperlink r:id="rId2427" ref="C3262"/>
    <hyperlink r:id="rId2428" ref="C3263"/>
    <hyperlink r:id="rId2429" ref="C3264"/>
    <hyperlink r:id="rId2430" ref="C3265"/>
    <hyperlink r:id="rId2431" ref="C3266"/>
    <hyperlink r:id="rId2432" ref="C3267"/>
    <hyperlink r:id="rId2433" ref="C3268"/>
    <hyperlink r:id="rId2434" ref="C3269"/>
    <hyperlink r:id="rId2435" ref="C3270"/>
    <hyperlink r:id="rId2436" ref="C3271"/>
    <hyperlink r:id="rId2437" ref="C3272"/>
    <hyperlink r:id="rId2438" ref="C3273"/>
    <hyperlink r:id="rId2439" ref="C3274"/>
    <hyperlink r:id="rId2440" ref="C3275"/>
    <hyperlink r:id="rId2441" ref="C3276"/>
    <hyperlink r:id="rId2442" ref="C3277"/>
    <hyperlink r:id="rId2443" ref="C3278"/>
    <hyperlink r:id="rId2444" ref="C3279"/>
    <hyperlink r:id="rId2445" ref="C3280"/>
    <hyperlink r:id="rId2446" ref="C3281"/>
    <hyperlink r:id="rId2447" ref="C3282"/>
    <hyperlink r:id="rId2448" ref="C3283"/>
    <hyperlink r:id="rId2449" ref="C3284"/>
    <hyperlink r:id="rId2450" ref="C3285"/>
    <hyperlink r:id="rId2451" ref="C3286"/>
    <hyperlink r:id="rId2452" ref="C3287"/>
    <hyperlink r:id="rId2453" ref="C3288"/>
    <hyperlink r:id="rId2454" ref="C3289"/>
    <hyperlink r:id="rId2455" ref="C3290"/>
    <hyperlink r:id="rId2456" ref="C3291"/>
    <hyperlink r:id="rId2457" ref="C3292"/>
    <hyperlink r:id="rId2458" ref="C3293"/>
    <hyperlink r:id="rId2459" ref="C3294"/>
    <hyperlink r:id="rId2460" ref="C3295"/>
    <hyperlink r:id="rId2461" ref="C3296"/>
    <hyperlink r:id="rId2462" ref="C3297"/>
    <hyperlink r:id="rId2463" ref="C3298"/>
    <hyperlink r:id="rId2464" ref="C3299"/>
    <hyperlink r:id="rId2465" ref="C3300"/>
    <hyperlink r:id="rId2466" ref="C3301"/>
    <hyperlink r:id="rId2467" ref="C3302"/>
    <hyperlink r:id="rId2468" ref="C3303"/>
    <hyperlink r:id="rId2469" ref="C3304"/>
    <hyperlink r:id="rId2470" ref="C3305"/>
    <hyperlink r:id="rId2471" ref="C3306"/>
    <hyperlink r:id="rId2472" ref="C3307"/>
    <hyperlink r:id="rId2473" ref="C3308"/>
    <hyperlink r:id="rId2474" ref="C3309"/>
    <hyperlink r:id="rId2475" ref="C3310"/>
    <hyperlink r:id="rId2476" ref="C3311"/>
    <hyperlink r:id="rId2477" ref="C3312"/>
    <hyperlink r:id="rId2478" ref="C3313"/>
    <hyperlink r:id="rId2479" ref="C3314"/>
    <hyperlink r:id="rId2480" ref="C3315"/>
    <hyperlink r:id="rId2481" ref="C3316"/>
    <hyperlink r:id="rId2482" ref="G3316"/>
    <hyperlink r:id="rId2483" ref="C3317"/>
    <hyperlink r:id="rId2484" ref="C3318"/>
    <hyperlink r:id="rId2485" ref="C3319"/>
    <hyperlink r:id="rId2486" ref="C3320"/>
    <hyperlink r:id="rId2487" ref="C3321"/>
    <hyperlink r:id="rId2488" ref="C3322"/>
    <hyperlink r:id="rId2489" ref="C3323"/>
    <hyperlink r:id="rId2490" ref="C3324"/>
    <hyperlink r:id="rId2491" ref="C3325"/>
    <hyperlink r:id="rId2492" ref="C3326"/>
    <hyperlink r:id="rId2493" ref="C3327"/>
    <hyperlink r:id="rId2494" ref="C3328"/>
    <hyperlink r:id="rId2495" ref="C3329"/>
    <hyperlink r:id="rId2496" ref="C3330"/>
    <hyperlink r:id="rId2497" ref="C3331"/>
    <hyperlink r:id="rId2498" ref="C3332"/>
    <hyperlink r:id="rId2499" ref="C3333"/>
    <hyperlink r:id="rId2500" ref="C3334"/>
    <hyperlink r:id="rId2501" ref="C3335"/>
    <hyperlink r:id="rId2502" ref="C3336"/>
    <hyperlink r:id="rId2503" ref="C3337"/>
    <hyperlink r:id="rId2504" ref="C3338"/>
    <hyperlink r:id="rId2505" ref="G3338"/>
    <hyperlink r:id="rId2506" ref="C3339"/>
    <hyperlink r:id="rId2507" ref="C3340"/>
    <hyperlink r:id="rId2508" ref="C3341"/>
    <hyperlink r:id="rId2509" ref="C3342"/>
    <hyperlink r:id="rId2510" ref="C3343"/>
    <hyperlink r:id="rId2511" ref="C3344"/>
    <hyperlink r:id="rId2512" ref="C3345"/>
    <hyperlink r:id="rId2513" ref="C3346"/>
    <hyperlink r:id="rId2514" ref="C3347"/>
    <hyperlink r:id="rId2515" ref="C3348"/>
    <hyperlink r:id="rId2516" ref="C3349"/>
    <hyperlink r:id="rId2517" ref="C3350"/>
    <hyperlink r:id="rId2518" ref="C3351"/>
    <hyperlink r:id="rId2519" ref="C3352"/>
    <hyperlink r:id="rId2520" ref="G3352"/>
    <hyperlink r:id="rId2521" ref="C3353"/>
    <hyperlink r:id="rId2522" ref="G3353"/>
    <hyperlink r:id="rId2523" ref="C3354"/>
    <hyperlink r:id="rId2524" ref="C3355"/>
    <hyperlink r:id="rId2525" ref="C3356"/>
    <hyperlink r:id="rId2526" ref="C3357"/>
    <hyperlink r:id="rId2527" ref="C3358"/>
    <hyperlink r:id="rId2528" ref="C3359"/>
    <hyperlink r:id="rId2529" ref="C3360"/>
    <hyperlink r:id="rId2530" ref="C3361"/>
    <hyperlink r:id="rId2531" ref="C3362"/>
    <hyperlink r:id="rId2532" ref="C3363"/>
    <hyperlink r:id="rId2533" ref="C3364"/>
    <hyperlink r:id="rId2534" ref="C3365"/>
    <hyperlink r:id="rId2535" ref="C3366"/>
    <hyperlink r:id="rId2536" ref="C3367"/>
    <hyperlink r:id="rId2537" ref="C3368"/>
    <hyperlink r:id="rId2538" ref="C3369"/>
    <hyperlink r:id="rId2539" ref="C3370"/>
    <hyperlink r:id="rId2540" ref="C3371"/>
    <hyperlink r:id="rId2541" ref="C3372"/>
    <hyperlink r:id="rId2542" ref="C3373"/>
    <hyperlink r:id="rId2543" ref="C3374"/>
    <hyperlink r:id="rId2544" ref="C3375"/>
    <hyperlink r:id="rId2545" ref="C3376"/>
    <hyperlink r:id="rId2546" ref="C3377"/>
    <hyperlink r:id="rId2547" ref="C3378"/>
    <hyperlink r:id="rId2548" ref="C3379"/>
    <hyperlink r:id="rId2549" ref="C3380"/>
    <hyperlink r:id="rId2550" ref="C3381"/>
    <hyperlink r:id="rId2551" ref="C3382"/>
    <hyperlink r:id="rId2552" ref="C3383"/>
    <hyperlink r:id="rId2553" ref="C3384"/>
    <hyperlink r:id="rId2554" ref="C3385"/>
    <hyperlink r:id="rId2555" ref="C3386"/>
    <hyperlink r:id="rId2556" ref="C3387"/>
    <hyperlink r:id="rId2557" ref="C3388"/>
    <hyperlink r:id="rId2558" ref="C3389"/>
    <hyperlink r:id="rId2559" ref="C3390"/>
    <hyperlink r:id="rId2560" ref="C3391"/>
    <hyperlink r:id="rId2561" ref="C3392"/>
    <hyperlink r:id="rId2562" ref="C3393"/>
    <hyperlink r:id="rId2563" ref="C3394"/>
    <hyperlink r:id="rId2564" ref="C3395"/>
    <hyperlink r:id="rId2565" ref="C3396"/>
    <hyperlink r:id="rId2566" ref="C3397"/>
    <hyperlink r:id="rId2567" ref="C3398"/>
    <hyperlink r:id="rId2568" ref="C3399"/>
    <hyperlink r:id="rId2569" ref="C3400"/>
    <hyperlink r:id="rId2570" ref="C3401"/>
    <hyperlink r:id="rId2571" ref="C3402"/>
    <hyperlink r:id="rId2572" ref="C3403"/>
    <hyperlink r:id="rId2573" ref="C3404"/>
    <hyperlink r:id="rId2574" ref="C3405"/>
    <hyperlink r:id="rId2575" ref="C3406"/>
    <hyperlink r:id="rId2576" ref="C3407"/>
    <hyperlink r:id="rId2577" ref="C3408"/>
    <hyperlink r:id="rId2578" ref="C3409"/>
    <hyperlink r:id="rId2579" ref="C3410"/>
    <hyperlink r:id="rId2580" ref="C3411"/>
    <hyperlink r:id="rId2581" ref="C3412"/>
    <hyperlink r:id="rId2582" ref="C3413"/>
    <hyperlink r:id="rId2583" ref="C3414"/>
    <hyperlink r:id="rId2584" ref="C3415"/>
    <hyperlink r:id="rId2585" ref="C3416"/>
    <hyperlink r:id="rId2586" ref="C3417"/>
    <hyperlink r:id="rId2587" ref="C3418"/>
    <hyperlink r:id="rId2588" ref="C3419"/>
    <hyperlink r:id="rId2589" ref="C3420"/>
    <hyperlink r:id="rId2590" ref="C3421"/>
    <hyperlink r:id="rId2591" ref="C3422"/>
    <hyperlink r:id="rId2592" ref="C3423"/>
    <hyperlink r:id="rId2593" ref="C3424"/>
    <hyperlink r:id="rId2594" ref="C3425"/>
    <hyperlink r:id="rId2595" ref="C3426"/>
    <hyperlink r:id="rId2596" ref="C3427"/>
    <hyperlink r:id="rId2597" ref="C3428"/>
    <hyperlink r:id="rId2598" ref="C3429"/>
    <hyperlink r:id="rId2599" ref="C3430"/>
    <hyperlink r:id="rId2600" ref="C3431"/>
    <hyperlink r:id="rId2601" ref="C3432"/>
    <hyperlink r:id="rId2602" ref="C3433"/>
    <hyperlink r:id="rId2603" ref="C3434"/>
    <hyperlink r:id="rId2604" ref="C3435"/>
    <hyperlink r:id="rId2605" ref="C3436"/>
    <hyperlink r:id="rId2606" ref="C3437"/>
    <hyperlink r:id="rId2607" ref="C3438"/>
    <hyperlink r:id="rId2608" ref="C3439"/>
    <hyperlink r:id="rId2609" ref="C3440"/>
    <hyperlink r:id="rId2610" ref="C3441"/>
    <hyperlink r:id="rId2611" ref="C3442"/>
    <hyperlink r:id="rId2612" ref="C3443"/>
    <hyperlink r:id="rId2613" ref="C3444"/>
    <hyperlink r:id="rId2614" ref="C3445"/>
    <hyperlink r:id="rId2615" ref="C3446"/>
    <hyperlink r:id="rId2616" ref="C3447"/>
    <hyperlink r:id="rId2617" ref="C3448"/>
    <hyperlink r:id="rId2618" ref="C3449"/>
    <hyperlink r:id="rId2619" ref="C3450"/>
    <hyperlink r:id="rId2620" ref="C3451"/>
    <hyperlink r:id="rId2621" ref="C3452"/>
    <hyperlink r:id="rId2622" ref="C3453"/>
    <hyperlink r:id="rId2623" ref="C3454"/>
    <hyperlink r:id="rId2624" ref="C3455"/>
    <hyperlink r:id="rId2625" ref="C3456"/>
    <hyperlink r:id="rId2626" ref="C3457"/>
    <hyperlink r:id="rId2627" ref="C3458"/>
    <hyperlink r:id="rId2628" ref="C3459"/>
    <hyperlink r:id="rId2629" ref="C3460"/>
    <hyperlink r:id="rId2630" ref="C3461"/>
    <hyperlink r:id="rId2631" ref="C3462"/>
    <hyperlink r:id="rId2632" ref="C3463"/>
    <hyperlink r:id="rId2633" ref="C3464"/>
    <hyperlink r:id="rId2634" ref="C3465"/>
    <hyperlink r:id="rId2635" ref="C3466"/>
    <hyperlink r:id="rId2636" ref="C3467"/>
    <hyperlink r:id="rId2637" ref="C3468"/>
    <hyperlink r:id="rId2638" ref="C3469"/>
    <hyperlink r:id="rId2639" ref="C3470"/>
    <hyperlink r:id="rId2640" ref="C3471"/>
    <hyperlink r:id="rId2641" ref="C3472"/>
    <hyperlink r:id="rId2642" ref="C3473"/>
    <hyperlink r:id="rId2643" ref="C3474"/>
    <hyperlink r:id="rId2644" ref="C3475"/>
    <hyperlink r:id="rId2645" ref="C3476"/>
    <hyperlink r:id="rId2646" ref="C3477"/>
    <hyperlink r:id="rId2647" ref="C3478"/>
    <hyperlink r:id="rId2648" ref="C3479"/>
    <hyperlink r:id="rId2649" ref="C3480"/>
    <hyperlink r:id="rId2650" ref="C3481"/>
    <hyperlink r:id="rId2651" ref="C3482"/>
    <hyperlink r:id="rId2652" ref="C3483"/>
    <hyperlink r:id="rId2653" ref="C3484"/>
    <hyperlink r:id="rId2654" ref="C3485"/>
    <hyperlink r:id="rId2655" ref="C3486"/>
    <hyperlink r:id="rId2656" ref="C3487"/>
    <hyperlink r:id="rId2657" ref="C3488"/>
    <hyperlink r:id="rId2658" ref="C3489"/>
    <hyperlink r:id="rId2659" ref="C3490"/>
    <hyperlink r:id="rId2660" ref="C3491"/>
    <hyperlink r:id="rId2661" ref="C3492"/>
    <hyperlink r:id="rId2662" ref="C3493"/>
    <hyperlink r:id="rId2663" ref="C3494"/>
    <hyperlink r:id="rId2664" ref="C3495"/>
    <hyperlink r:id="rId2665" ref="C3496"/>
    <hyperlink r:id="rId2666" ref="C3497"/>
    <hyperlink r:id="rId2667" ref="C3498"/>
    <hyperlink r:id="rId2668" ref="C3499"/>
    <hyperlink r:id="rId2669" ref="C3500"/>
    <hyperlink r:id="rId2670" ref="C3501"/>
    <hyperlink r:id="rId2671" ref="C3502"/>
    <hyperlink r:id="rId2672" ref="C3503"/>
    <hyperlink r:id="rId2673" ref="C3504"/>
    <hyperlink r:id="rId2674" ref="C3505"/>
    <hyperlink r:id="rId2675" ref="C3506"/>
    <hyperlink r:id="rId2676" ref="C3507"/>
    <hyperlink r:id="rId2677" ref="C3508"/>
    <hyperlink r:id="rId2678" ref="C3509"/>
    <hyperlink r:id="rId2679" ref="C3510"/>
    <hyperlink r:id="rId2680" ref="C3511"/>
    <hyperlink r:id="rId2681" ref="C3512"/>
    <hyperlink r:id="rId2682" ref="C3513"/>
    <hyperlink r:id="rId2683" ref="C3514"/>
    <hyperlink r:id="rId2684" ref="C3515"/>
    <hyperlink r:id="rId2685" ref="C3516"/>
    <hyperlink r:id="rId2686" ref="C3517"/>
    <hyperlink r:id="rId2687" ref="C3518"/>
    <hyperlink r:id="rId2688" ref="C3519"/>
    <hyperlink r:id="rId2689" ref="C3520"/>
    <hyperlink r:id="rId2690" ref="C3521"/>
    <hyperlink r:id="rId2691" ref="C3522"/>
    <hyperlink r:id="rId2692" ref="C3523"/>
    <hyperlink r:id="rId2693" ref="C3524"/>
    <hyperlink r:id="rId2694" ref="C3525"/>
    <hyperlink r:id="rId2695" ref="C3526"/>
    <hyperlink r:id="rId2696" ref="C3527"/>
    <hyperlink r:id="rId2697" ref="C3528"/>
    <hyperlink r:id="rId2698" ref="C3529"/>
    <hyperlink r:id="rId2699" ref="C3530"/>
    <hyperlink r:id="rId2700" ref="C3531"/>
    <hyperlink r:id="rId2701" ref="C3532"/>
    <hyperlink r:id="rId2702" ref="C3533"/>
    <hyperlink r:id="rId2703" ref="C3534"/>
    <hyperlink r:id="rId2704" ref="C3535"/>
    <hyperlink r:id="rId2705" ref="C3536"/>
    <hyperlink r:id="rId2706" ref="C3537"/>
    <hyperlink r:id="rId2707" ref="C3538"/>
    <hyperlink r:id="rId2708" ref="C3539"/>
    <hyperlink r:id="rId2709" ref="C3540"/>
    <hyperlink r:id="rId2710" ref="C3541"/>
    <hyperlink r:id="rId2711" ref="C3542"/>
    <hyperlink r:id="rId2712" ref="C3543"/>
    <hyperlink r:id="rId2713" ref="C3544"/>
    <hyperlink r:id="rId2714" ref="C3545"/>
    <hyperlink r:id="rId2715" ref="C3546"/>
    <hyperlink r:id="rId2716" ref="C3547"/>
    <hyperlink r:id="rId2717" ref="C3548"/>
    <hyperlink r:id="rId2718" ref="C3549"/>
    <hyperlink r:id="rId2719" ref="C3550"/>
    <hyperlink r:id="rId2720" ref="C3551"/>
    <hyperlink r:id="rId2721" ref="C3552"/>
    <hyperlink r:id="rId2722" ref="C3553"/>
    <hyperlink r:id="rId2723" ref="C3554"/>
    <hyperlink r:id="rId2724" ref="C3555"/>
    <hyperlink r:id="rId2725" ref="C3556"/>
    <hyperlink r:id="rId2726" ref="C3557"/>
    <hyperlink r:id="rId2727" ref="C3558"/>
    <hyperlink r:id="rId2728" ref="C3559"/>
    <hyperlink r:id="rId2729" ref="C3560"/>
    <hyperlink r:id="rId2730" ref="C3561"/>
    <hyperlink r:id="rId2731" ref="C3562"/>
    <hyperlink r:id="rId2732" ref="C3563"/>
    <hyperlink r:id="rId2733" ref="C3564"/>
    <hyperlink r:id="rId2734" ref="C3565"/>
    <hyperlink r:id="rId2735" ref="C3566"/>
    <hyperlink r:id="rId2736" ref="C3567"/>
    <hyperlink r:id="rId2737" ref="C3568"/>
    <hyperlink r:id="rId2738" ref="C3569"/>
    <hyperlink r:id="rId2739" ref="C3570"/>
    <hyperlink r:id="rId2740" ref="C3571"/>
    <hyperlink r:id="rId2741" ref="C3572"/>
    <hyperlink r:id="rId2742" ref="C3573"/>
    <hyperlink r:id="rId2743" ref="C3574"/>
    <hyperlink r:id="rId2744" ref="C3575"/>
    <hyperlink r:id="rId2745" ref="C3576"/>
    <hyperlink r:id="rId2746" ref="C3577"/>
    <hyperlink r:id="rId2747" ref="C3578"/>
    <hyperlink r:id="rId2748" ref="C3579"/>
    <hyperlink r:id="rId2749" ref="C3580"/>
    <hyperlink r:id="rId2750" ref="C3581"/>
    <hyperlink r:id="rId2751" ref="C3582"/>
    <hyperlink r:id="rId2752" ref="C3583"/>
    <hyperlink r:id="rId2753" ref="C3584"/>
    <hyperlink r:id="rId2754" ref="C3585"/>
    <hyperlink r:id="rId2755" ref="C3586"/>
    <hyperlink r:id="rId2756" ref="C3587"/>
    <hyperlink r:id="rId2757" ref="C3588"/>
    <hyperlink r:id="rId2758" ref="C3589"/>
    <hyperlink r:id="rId2759" ref="C3590"/>
    <hyperlink r:id="rId2760" ref="C3591"/>
    <hyperlink r:id="rId2761" ref="C3592"/>
    <hyperlink r:id="rId2762" ref="C3593"/>
    <hyperlink r:id="rId2763" ref="C3594"/>
    <hyperlink r:id="rId2764" ref="C3595"/>
    <hyperlink r:id="rId2765" ref="C3596"/>
    <hyperlink r:id="rId2766" ref="C3597"/>
    <hyperlink r:id="rId2767" ref="C3598"/>
    <hyperlink r:id="rId2768" ref="C3599"/>
    <hyperlink r:id="rId2769" ref="C3600"/>
    <hyperlink r:id="rId2770" ref="C3601"/>
    <hyperlink r:id="rId2771" ref="C3602"/>
    <hyperlink r:id="rId2772" ref="C3603"/>
    <hyperlink r:id="rId2773" ref="C3604"/>
    <hyperlink r:id="rId2774" ref="C3605"/>
    <hyperlink r:id="rId2775" ref="C3606"/>
    <hyperlink r:id="rId2776" ref="C3607"/>
    <hyperlink r:id="rId2777" ref="C3608"/>
    <hyperlink r:id="rId2778" ref="C3609"/>
    <hyperlink r:id="rId2779" ref="C3610"/>
    <hyperlink r:id="rId2780" ref="C3611"/>
    <hyperlink r:id="rId2781" ref="C3612"/>
    <hyperlink r:id="rId2782" ref="C3613"/>
    <hyperlink r:id="rId2783" ref="C3614"/>
    <hyperlink r:id="rId2784" ref="C3615"/>
    <hyperlink r:id="rId2785" ref="C3616"/>
    <hyperlink r:id="rId2786" ref="C3617"/>
    <hyperlink r:id="rId2787" ref="C3618"/>
    <hyperlink r:id="rId2788" ref="C3619"/>
    <hyperlink r:id="rId2789" ref="C3620"/>
    <hyperlink r:id="rId2790" ref="C3621"/>
    <hyperlink r:id="rId2791" ref="C3622"/>
    <hyperlink r:id="rId2792" ref="C3623"/>
    <hyperlink r:id="rId2793" ref="C3624"/>
    <hyperlink r:id="rId2794" ref="C3625"/>
    <hyperlink r:id="rId2795" ref="C3626"/>
    <hyperlink r:id="rId2796" ref="C3627"/>
    <hyperlink r:id="rId2797" ref="C3628"/>
    <hyperlink r:id="rId2798" ref="C3629"/>
    <hyperlink r:id="rId2799" ref="C3630"/>
    <hyperlink r:id="rId2800" ref="C3631"/>
    <hyperlink r:id="rId2801" ref="C3632"/>
    <hyperlink r:id="rId2802" ref="C3633"/>
    <hyperlink r:id="rId2803" ref="C3634"/>
    <hyperlink r:id="rId2804" ref="C3635"/>
    <hyperlink r:id="rId2805" ref="C3636"/>
    <hyperlink r:id="rId2806" ref="C3637"/>
    <hyperlink r:id="rId2807" ref="C3638"/>
    <hyperlink r:id="rId2808" ref="C3639"/>
    <hyperlink r:id="rId2809" ref="C3640"/>
    <hyperlink r:id="rId2810" ref="C3641"/>
    <hyperlink r:id="rId2811" ref="C3642"/>
    <hyperlink r:id="rId2812" ref="C3643"/>
    <hyperlink r:id="rId2813" ref="C3644"/>
    <hyperlink r:id="rId2814" ref="C3645"/>
    <hyperlink r:id="rId2815" ref="C3646"/>
    <hyperlink r:id="rId2816" ref="C3647"/>
    <hyperlink r:id="rId2817" ref="C3648"/>
    <hyperlink r:id="rId2818" ref="C3649"/>
    <hyperlink r:id="rId2819" ref="C3650"/>
    <hyperlink r:id="rId2820" ref="C3651"/>
    <hyperlink r:id="rId2821" ref="C3652"/>
    <hyperlink r:id="rId2822" ref="C3653"/>
    <hyperlink r:id="rId2823" ref="C3654"/>
    <hyperlink r:id="rId2824" ref="C3655"/>
    <hyperlink r:id="rId2825" ref="C3656"/>
    <hyperlink r:id="rId2826" ref="C3657"/>
    <hyperlink r:id="rId2827" ref="C3658"/>
    <hyperlink r:id="rId2828" ref="C3659"/>
    <hyperlink r:id="rId2829" ref="C3660"/>
    <hyperlink r:id="rId2830" ref="C3661"/>
    <hyperlink r:id="rId2831" ref="C3662"/>
    <hyperlink r:id="rId2832" ref="C3663"/>
    <hyperlink r:id="rId2833" ref="C3664"/>
    <hyperlink r:id="rId2834" ref="G3664"/>
    <hyperlink r:id="rId2835" ref="C3665"/>
    <hyperlink r:id="rId2836" ref="C3666"/>
    <hyperlink r:id="rId2837" ref="C3667"/>
    <hyperlink r:id="rId2838" ref="C3668"/>
    <hyperlink r:id="rId2839" ref="C3669"/>
    <hyperlink r:id="rId2840" ref="C3670"/>
    <hyperlink r:id="rId2841" ref="C3671"/>
    <hyperlink r:id="rId2842" ref="C3672"/>
    <hyperlink r:id="rId2843" ref="C3673"/>
    <hyperlink r:id="rId2844" ref="C3674"/>
    <hyperlink r:id="rId2845" ref="C3675"/>
    <hyperlink r:id="rId2846" ref="C3676"/>
    <hyperlink r:id="rId2847" ref="C3677"/>
    <hyperlink r:id="rId2848" ref="C3678"/>
    <hyperlink r:id="rId2849" ref="C3679"/>
    <hyperlink r:id="rId2850" ref="C3680"/>
    <hyperlink r:id="rId2851" ref="G3680"/>
    <hyperlink r:id="rId2852" ref="C3681"/>
    <hyperlink r:id="rId2853" ref="C3682"/>
    <hyperlink r:id="rId2854" ref="C3683"/>
    <hyperlink r:id="rId2855" ref="C3684"/>
    <hyperlink r:id="rId2856" ref="C3685"/>
    <hyperlink r:id="rId2857" ref="C3686"/>
    <hyperlink r:id="rId2858" ref="C3687"/>
    <hyperlink r:id="rId2859" ref="C3688"/>
    <hyperlink r:id="rId2860" ref="C3689"/>
    <hyperlink r:id="rId2861" ref="C3690"/>
    <hyperlink r:id="rId2862" ref="C3691"/>
    <hyperlink r:id="rId2863" ref="C3692"/>
    <hyperlink r:id="rId2864" ref="C3693"/>
    <hyperlink r:id="rId2865" ref="C3694"/>
    <hyperlink r:id="rId2866" ref="C3695"/>
    <hyperlink r:id="rId2867" ref="C3696"/>
    <hyperlink r:id="rId2868" ref="C3697"/>
    <hyperlink r:id="rId2869" ref="C3698"/>
    <hyperlink r:id="rId2870" ref="C3699"/>
    <hyperlink r:id="rId2871" ref="C3700"/>
    <hyperlink r:id="rId2872" ref="C3701"/>
    <hyperlink r:id="rId2873" ref="C3702"/>
    <hyperlink r:id="rId2874" ref="C3703"/>
    <hyperlink r:id="rId2875" ref="C3704"/>
    <hyperlink r:id="rId2876" ref="C3705"/>
    <hyperlink r:id="rId2877" ref="C3706"/>
    <hyperlink r:id="rId2878" ref="C3707"/>
    <hyperlink r:id="rId2879" ref="C3708"/>
    <hyperlink r:id="rId2880" ref="C3709"/>
    <hyperlink r:id="rId2881" ref="C3710"/>
    <hyperlink r:id="rId2882" ref="C3711"/>
    <hyperlink r:id="rId2883" ref="C3712"/>
    <hyperlink r:id="rId2884" ref="C3713"/>
    <hyperlink r:id="rId2885" ref="C3714"/>
    <hyperlink r:id="rId2886" ref="C3715"/>
    <hyperlink r:id="rId2887" ref="C3716"/>
    <hyperlink r:id="rId2888" ref="C3717"/>
    <hyperlink r:id="rId2889" ref="C3718"/>
    <hyperlink r:id="rId2890" ref="C3719"/>
    <hyperlink r:id="rId2891" ref="C3720"/>
    <hyperlink r:id="rId2892" ref="C3721"/>
    <hyperlink r:id="rId2893" ref="C3722"/>
    <hyperlink r:id="rId2894" ref="C3723"/>
    <hyperlink r:id="rId2895" ref="C3724"/>
    <hyperlink r:id="rId2896" ref="C3725"/>
    <hyperlink r:id="rId2897" ref="C3726"/>
    <hyperlink r:id="rId2898" ref="C3727"/>
    <hyperlink r:id="rId2899" ref="C3728"/>
    <hyperlink r:id="rId2900" ref="C3729"/>
    <hyperlink r:id="rId2901" ref="C3730"/>
    <hyperlink r:id="rId2902" ref="C3731"/>
    <hyperlink r:id="rId2903" ref="C3732"/>
    <hyperlink r:id="rId2904" ref="C3733"/>
    <hyperlink r:id="rId2905" ref="C3734"/>
    <hyperlink r:id="rId2906" ref="C3735"/>
    <hyperlink r:id="rId2907" ref="C3736"/>
    <hyperlink r:id="rId2908" ref="C3737"/>
    <hyperlink r:id="rId2909" ref="C3738"/>
    <hyperlink r:id="rId2910" ref="C3739"/>
    <hyperlink r:id="rId2911" ref="C3740"/>
    <hyperlink r:id="rId2912" ref="C3741"/>
    <hyperlink r:id="rId2913" ref="C3742"/>
    <hyperlink r:id="rId2914" ref="C3743"/>
    <hyperlink r:id="rId2915" ref="C3744"/>
    <hyperlink r:id="rId2916" ref="C3745"/>
    <hyperlink r:id="rId2917" ref="C3746"/>
    <hyperlink r:id="rId2918" ref="C3747"/>
    <hyperlink r:id="rId2919" ref="C3748"/>
    <hyperlink r:id="rId2920" ref="C3749"/>
    <hyperlink r:id="rId2921" ref="C3750"/>
    <hyperlink r:id="rId2922" ref="C3751"/>
    <hyperlink r:id="rId2923" ref="C3752"/>
    <hyperlink r:id="rId2924" ref="C3753"/>
    <hyperlink r:id="rId2925" ref="C3754"/>
    <hyperlink r:id="rId2926" ref="C3755"/>
    <hyperlink r:id="rId2927" ref="C3756"/>
    <hyperlink r:id="rId2928" ref="C3757"/>
    <hyperlink r:id="rId2929" ref="C3758"/>
    <hyperlink r:id="rId2930" ref="C3759"/>
    <hyperlink r:id="rId2931" ref="G3759"/>
    <hyperlink r:id="rId2932" ref="C3760"/>
    <hyperlink r:id="rId2933" ref="C3761"/>
    <hyperlink r:id="rId2934" ref="C3762"/>
    <hyperlink r:id="rId2935" ref="C3763"/>
    <hyperlink r:id="rId2936" ref="C3764"/>
    <hyperlink r:id="rId2937" ref="C3765"/>
    <hyperlink r:id="rId2938" ref="C3766"/>
    <hyperlink r:id="rId2939" ref="C3767"/>
    <hyperlink r:id="rId2940" ref="C3768"/>
    <hyperlink r:id="rId2941" ref="C3769"/>
    <hyperlink r:id="rId2942" ref="C3770"/>
    <hyperlink r:id="rId2943" ref="C3771"/>
    <hyperlink r:id="rId2944" ref="C3772"/>
    <hyperlink r:id="rId2945" ref="C3773"/>
    <hyperlink r:id="rId2946" ref="C3774"/>
    <hyperlink r:id="rId2947" ref="C3775"/>
    <hyperlink r:id="rId2948" ref="C3776"/>
    <hyperlink r:id="rId2949" ref="C3777"/>
    <hyperlink r:id="rId2950" ref="C3778"/>
    <hyperlink r:id="rId2951" ref="C3779"/>
    <hyperlink r:id="rId2952" ref="C3780"/>
    <hyperlink r:id="rId2953" ref="C3781"/>
    <hyperlink r:id="rId2954" ref="C3782"/>
    <hyperlink r:id="rId2955" ref="C3783"/>
    <hyperlink r:id="rId2956" ref="C3784"/>
    <hyperlink r:id="rId2957" ref="C3785"/>
    <hyperlink r:id="rId2958" ref="C3786"/>
    <hyperlink r:id="rId2959" ref="C3787"/>
    <hyperlink r:id="rId2960" ref="C3788"/>
    <hyperlink r:id="rId2961" ref="C3789"/>
    <hyperlink r:id="rId2962" ref="C3790"/>
    <hyperlink r:id="rId2963" ref="C3791"/>
    <hyperlink r:id="rId2964" ref="C3792"/>
    <hyperlink r:id="rId2965" ref="C3793"/>
    <hyperlink r:id="rId2966" ref="C3794"/>
    <hyperlink r:id="rId2967" ref="C3795"/>
    <hyperlink r:id="rId2968" ref="C3796"/>
    <hyperlink r:id="rId2969" ref="C3797"/>
    <hyperlink r:id="rId2970" ref="C3798"/>
    <hyperlink r:id="rId2971" ref="C3799"/>
    <hyperlink r:id="rId2972" ref="C3800"/>
    <hyperlink r:id="rId2973" ref="C3801"/>
    <hyperlink r:id="rId2974" ref="C3802"/>
    <hyperlink r:id="rId2975" ref="C3803"/>
    <hyperlink r:id="rId2976" ref="C3804"/>
    <hyperlink r:id="rId2977" ref="C3805"/>
    <hyperlink r:id="rId2978" ref="C3806"/>
    <hyperlink r:id="rId2979" ref="C3807"/>
    <hyperlink r:id="rId2980" ref="C3808"/>
    <hyperlink r:id="rId2981" ref="C3809"/>
    <hyperlink r:id="rId2982" ref="C3810"/>
    <hyperlink r:id="rId2983" ref="C3811"/>
    <hyperlink r:id="rId2984" ref="C3812"/>
    <hyperlink r:id="rId2985" ref="C3813"/>
    <hyperlink r:id="rId2986" ref="C3814"/>
    <hyperlink r:id="rId2987" ref="C3815"/>
    <hyperlink r:id="rId2988" ref="C3816"/>
    <hyperlink r:id="rId2989" ref="C3817"/>
    <hyperlink r:id="rId2990" ref="C3818"/>
    <hyperlink r:id="rId2991" ref="C3819"/>
    <hyperlink r:id="rId2992" ref="C3820"/>
    <hyperlink r:id="rId2993" ref="C3821"/>
    <hyperlink r:id="rId2994" ref="C3822"/>
    <hyperlink r:id="rId2995" ref="C3823"/>
    <hyperlink r:id="rId2996" ref="G3823"/>
    <hyperlink r:id="rId2997" ref="C3824"/>
    <hyperlink r:id="rId2998" ref="C3825"/>
    <hyperlink r:id="rId2999" ref="C3826"/>
    <hyperlink r:id="rId3000" ref="C3827"/>
    <hyperlink r:id="rId3001" ref="C3828"/>
    <hyperlink r:id="rId3002" ref="C3829"/>
    <hyperlink r:id="rId3003" ref="G3829"/>
    <hyperlink r:id="rId3004" ref="C3830"/>
    <hyperlink r:id="rId3005" ref="C3831"/>
    <hyperlink r:id="rId3006" ref="C3832"/>
    <hyperlink r:id="rId3007" ref="C3833"/>
    <hyperlink r:id="rId3008" ref="C3834"/>
    <hyperlink r:id="rId3009" ref="C3835"/>
    <hyperlink r:id="rId3010" ref="C3836"/>
    <hyperlink r:id="rId3011" ref="C3837"/>
    <hyperlink r:id="rId3012" ref="C3838"/>
    <hyperlink r:id="rId3013" ref="C3839"/>
    <hyperlink r:id="rId3014" ref="C3840"/>
    <hyperlink r:id="rId3015" ref="C3841"/>
    <hyperlink r:id="rId3016" ref="C3842"/>
    <hyperlink r:id="rId3017" ref="C3843"/>
    <hyperlink r:id="rId3018" ref="C3844"/>
    <hyperlink r:id="rId3019" ref="C3845"/>
    <hyperlink r:id="rId3020" ref="C3846"/>
    <hyperlink r:id="rId3021" ref="C3847"/>
    <hyperlink r:id="rId3022" ref="C3848"/>
    <hyperlink r:id="rId3023" ref="C3849"/>
    <hyperlink r:id="rId3024" ref="C3850"/>
    <hyperlink r:id="rId3025" ref="C3851"/>
    <hyperlink r:id="rId3026" ref="C3852"/>
    <hyperlink r:id="rId3027" ref="C3853"/>
    <hyperlink r:id="rId3028" ref="C3854"/>
    <hyperlink r:id="rId3029" ref="C3855"/>
    <hyperlink r:id="rId3030" ref="C3856"/>
    <hyperlink r:id="rId3031" ref="C3857"/>
    <hyperlink r:id="rId3032" ref="C3858"/>
    <hyperlink r:id="rId3033" ref="C3859"/>
    <hyperlink r:id="rId3034" ref="C3860"/>
    <hyperlink r:id="rId3035" ref="C3861"/>
    <hyperlink r:id="rId3036" ref="C3862"/>
    <hyperlink r:id="rId3037" ref="C3863"/>
    <hyperlink r:id="rId3038" ref="C3864"/>
    <hyperlink r:id="rId3039" ref="C3865"/>
    <hyperlink r:id="rId3040" ref="C3866"/>
    <hyperlink r:id="rId3041" ref="C3867"/>
    <hyperlink r:id="rId3042" ref="C3868"/>
    <hyperlink r:id="rId3043" ref="C3869"/>
    <hyperlink r:id="rId3044" ref="C3870"/>
    <hyperlink r:id="rId3045" ref="C3871"/>
    <hyperlink r:id="rId3046" ref="C3872"/>
    <hyperlink r:id="rId3047" ref="C3873"/>
    <hyperlink r:id="rId3048" ref="C3874"/>
    <hyperlink r:id="rId3049" ref="C3875"/>
    <hyperlink r:id="rId3050" ref="C3876"/>
    <hyperlink r:id="rId3051" ref="C3877"/>
    <hyperlink r:id="rId3052" ref="C3878"/>
    <hyperlink r:id="rId3053" ref="C3879"/>
    <hyperlink r:id="rId3054" ref="C3880"/>
    <hyperlink r:id="rId3055" ref="C3881"/>
    <hyperlink r:id="rId3056" ref="C3882"/>
    <hyperlink r:id="rId3057" ref="C3883"/>
    <hyperlink r:id="rId3058" ref="C3884"/>
    <hyperlink r:id="rId3059" ref="C3885"/>
    <hyperlink r:id="rId3060" ref="C3886"/>
    <hyperlink r:id="rId3061" ref="C3887"/>
    <hyperlink r:id="rId3062" ref="C3888"/>
    <hyperlink r:id="rId3063" ref="C3889"/>
    <hyperlink r:id="rId3064" ref="C3890"/>
    <hyperlink r:id="rId3065" ref="C3891"/>
    <hyperlink r:id="rId3066" ref="C3892"/>
    <hyperlink r:id="rId3067" ref="C3893"/>
    <hyperlink r:id="rId3068" ref="C3894"/>
    <hyperlink r:id="rId3069" ref="C3895"/>
    <hyperlink r:id="rId3070" ref="C3896"/>
    <hyperlink r:id="rId3071" ref="C3897"/>
    <hyperlink r:id="rId3072" ref="C3898"/>
    <hyperlink r:id="rId3073" ref="C3899"/>
    <hyperlink r:id="rId3074" ref="C3900"/>
    <hyperlink r:id="rId3075" ref="C3901"/>
    <hyperlink r:id="rId3076" ref="C3902"/>
    <hyperlink r:id="rId3077" ref="C3903"/>
    <hyperlink r:id="rId3078" ref="C3904"/>
    <hyperlink r:id="rId3079" ref="C3905"/>
    <hyperlink r:id="rId3080" ref="C3906"/>
    <hyperlink r:id="rId3081" ref="G3906"/>
    <hyperlink r:id="rId3082" ref="C3907"/>
    <hyperlink r:id="rId3083" ref="C3908"/>
    <hyperlink r:id="rId3084" ref="G3908"/>
    <hyperlink r:id="rId3085" ref="C3909"/>
    <hyperlink r:id="rId3086" ref="C3910"/>
    <hyperlink r:id="rId3087" ref="C3911"/>
    <hyperlink r:id="rId3088" ref="C3912"/>
    <hyperlink r:id="rId3089" ref="C3913"/>
    <hyperlink r:id="rId3090" ref="C3914"/>
    <hyperlink r:id="rId3091" ref="C3915"/>
    <hyperlink r:id="rId3092" ref="C3916"/>
    <hyperlink r:id="rId3093" ref="G3916"/>
    <hyperlink r:id="rId3094" ref="C3917"/>
    <hyperlink r:id="rId3095" ref="G3917"/>
    <hyperlink r:id="rId3096" ref="C3918"/>
    <hyperlink r:id="rId3097" ref="C3919"/>
    <hyperlink r:id="rId3098" ref="C3920"/>
    <hyperlink r:id="rId3099" ref="C3921"/>
    <hyperlink r:id="rId3100" ref="C3922"/>
    <hyperlink r:id="rId3101" ref="G3922"/>
    <hyperlink r:id="rId3102" ref="C3923"/>
    <hyperlink r:id="rId3103" ref="C3924"/>
    <hyperlink r:id="rId3104" ref="C3925"/>
    <hyperlink r:id="rId3105" ref="C3926"/>
    <hyperlink r:id="rId3106" ref="C3927"/>
    <hyperlink r:id="rId3107" ref="C3928"/>
    <hyperlink r:id="rId3108" ref="C3929"/>
    <hyperlink r:id="rId3109" ref="C3930"/>
    <hyperlink r:id="rId3110" ref="C3931"/>
    <hyperlink r:id="rId3111" ref="G3931"/>
    <hyperlink r:id="rId3112" ref="C3932"/>
    <hyperlink r:id="rId3113" ref="C3933"/>
    <hyperlink r:id="rId3114" ref="C3934"/>
    <hyperlink r:id="rId3115" ref="G3934"/>
    <hyperlink r:id="rId3116" ref="C3935"/>
    <hyperlink r:id="rId3117" ref="C3936"/>
    <hyperlink r:id="rId3118" ref="C3937"/>
    <hyperlink r:id="rId3119" ref="C3938"/>
    <hyperlink r:id="rId3120" ref="C3939"/>
    <hyperlink r:id="rId3121" ref="C3940"/>
    <hyperlink r:id="rId3122" ref="C3941"/>
    <hyperlink r:id="rId3123" ref="C3942"/>
    <hyperlink r:id="rId3124" ref="C3943"/>
    <hyperlink r:id="rId3125" ref="C3944"/>
    <hyperlink r:id="rId3126" ref="C3945"/>
    <hyperlink r:id="rId3127" ref="C3946"/>
    <hyperlink r:id="rId3128" ref="C3947"/>
    <hyperlink r:id="rId3129" ref="C3948"/>
    <hyperlink r:id="rId3130" ref="C3949"/>
    <hyperlink r:id="rId3131" ref="C3950"/>
    <hyperlink r:id="rId3132" ref="C3951"/>
    <hyperlink r:id="rId3133" ref="C3952"/>
    <hyperlink r:id="rId3134" ref="C3953"/>
    <hyperlink r:id="rId3135" ref="C3954"/>
    <hyperlink r:id="rId3136" ref="C3955"/>
    <hyperlink r:id="rId3137" ref="C3956"/>
    <hyperlink r:id="rId3138" ref="C3957"/>
    <hyperlink r:id="rId3139" ref="C3958"/>
    <hyperlink r:id="rId3140" ref="C3959"/>
    <hyperlink r:id="rId3141" ref="C3960"/>
    <hyperlink r:id="rId3142" ref="C3961"/>
    <hyperlink r:id="rId3143" ref="C3962"/>
    <hyperlink r:id="rId3144" ref="C3963"/>
    <hyperlink r:id="rId3145" ref="C3964"/>
    <hyperlink r:id="rId3146" ref="C3965"/>
    <hyperlink r:id="rId3147" ref="C3966"/>
    <hyperlink r:id="rId3148" ref="C3967"/>
    <hyperlink r:id="rId3149" ref="C3968"/>
    <hyperlink r:id="rId3150" ref="C3969"/>
    <hyperlink r:id="rId3151" ref="C3970"/>
    <hyperlink r:id="rId3152" ref="C3971"/>
    <hyperlink r:id="rId3153" ref="C3972"/>
    <hyperlink r:id="rId3154" ref="C3974"/>
    <hyperlink r:id="rId3155" ref="C3975"/>
    <hyperlink r:id="rId3156" ref="C3976"/>
    <hyperlink r:id="rId3157" ref="C3977"/>
    <hyperlink r:id="rId3158" ref="C3978"/>
    <hyperlink r:id="rId3159" ref="C3979"/>
    <hyperlink r:id="rId3160" ref="C3980"/>
    <hyperlink r:id="rId3161" ref="C3981"/>
    <hyperlink r:id="rId3162" ref="C3982"/>
    <hyperlink r:id="rId3163" ref="C3983"/>
    <hyperlink r:id="rId3164" ref="G3983"/>
    <hyperlink r:id="rId3165" ref="C3984"/>
    <hyperlink r:id="rId3166" ref="C3985"/>
    <hyperlink r:id="rId3167" ref="C3986"/>
    <hyperlink r:id="rId3168" ref="C3987"/>
    <hyperlink r:id="rId3169" ref="C3988"/>
    <hyperlink r:id="rId3170" ref="C3989"/>
    <hyperlink r:id="rId3171" ref="C3990"/>
    <hyperlink r:id="rId3172" ref="C3992"/>
    <hyperlink r:id="rId3173" ref="C3993"/>
    <hyperlink r:id="rId3174" ref="C3994"/>
    <hyperlink r:id="rId3175" ref="C3995"/>
    <hyperlink r:id="rId3176" ref="C3996"/>
    <hyperlink r:id="rId3177" ref="C3997"/>
    <hyperlink r:id="rId3178" ref="C3998"/>
    <hyperlink r:id="rId3179" ref="C3999"/>
    <hyperlink r:id="rId3180" ref="C4000"/>
    <hyperlink r:id="rId3181" ref="C4001"/>
    <hyperlink r:id="rId3182" ref="C4002"/>
    <hyperlink r:id="rId3183" ref="C4003"/>
    <hyperlink r:id="rId3184" ref="C4004"/>
    <hyperlink r:id="rId3185" ref="C4005"/>
    <hyperlink r:id="rId3186" ref="C4006"/>
    <hyperlink r:id="rId3187" ref="C4007"/>
    <hyperlink r:id="rId3188" ref="C4008"/>
    <hyperlink r:id="rId3189" ref="C4009"/>
    <hyperlink r:id="rId3190" ref="C4010"/>
    <hyperlink r:id="rId3191" ref="C4011"/>
    <hyperlink r:id="rId3192" ref="C4012"/>
    <hyperlink r:id="rId3193" ref="C4013"/>
    <hyperlink r:id="rId3194" ref="C4014"/>
    <hyperlink r:id="rId3195" ref="C4015"/>
    <hyperlink r:id="rId3196" ref="C4016"/>
    <hyperlink r:id="rId3197" ref="C4017"/>
    <hyperlink r:id="rId3198" ref="C4018"/>
    <hyperlink r:id="rId3199" ref="C4019"/>
    <hyperlink r:id="rId3200" ref="C4020"/>
    <hyperlink r:id="rId3201" ref="C4021"/>
    <hyperlink r:id="rId3202" ref="C4022"/>
    <hyperlink r:id="rId3203" ref="C4023"/>
    <hyperlink r:id="rId3204" ref="C4024"/>
    <hyperlink r:id="rId3205" ref="C4025"/>
    <hyperlink r:id="rId3206" ref="C4026"/>
    <hyperlink r:id="rId3207" ref="C4027"/>
    <hyperlink r:id="rId3208" ref="C4029"/>
    <hyperlink r:id="rId3209" ref="C4031"/>
    <hyperlink r:id="rId3210" ref="C4032"/>
    <hyperlink r:id="rId3211" ref="C4033"/>
    <hyperlink r:id="rId3212" ref="C4034"/>
    <hyperlink r:id="rId3213" ref="C4035"/>
    <hyperlink r:id="rId3214" ref="C4036"/>
    <hyperlink r:id="rId3215" ref="C4037"/>
    <hyperlink r:id="rId3216" ref="C4038"/>
    <hyperlink r:id="rId3217" ref="C4039"/>
    <hyperlink r:id="rId3218" ref="C4040"/>
    <hyperlink r:id="rId3219" ref="C4041"/>
    <hyperlink r:id="rId3220" ref="C4042"/>
    <hyperlink r:id="rId3221" ref="C4043"/>
    <hyperlink r:id="rId3222" ref="C4045"/>
    <hyperlink r:id="rId3223" ref="G4045"/>
    <hyperlink r:id="rId3224" ref="C4046"/>
    <hyperlink r:id="rId3225" ref="C4047"/>
    <hyperlink r:id="rId3226" ref="C4049"/>
    <hyperlink r:id="rId3227" ref="C4050"/>
    <hyperlink r:id="rId3228" ref="C4051"/>
    <hyperlink r:id="rId3229" ref="C4052"/>
    <hyperlink r:id="rId3230" ref="C4053"/>
    <hyperlink r:id="rId3231" ref="C4054"/>
    <hyperlink r:id="rId3232" ref="C4055"/>
    <hyperlink r:id="rId3233" ref="C4056"/>
    <hyperlink r:id="rId3234" ref="C4057"/>
    <hyperlink r:id="rId3235" ref="C4058"/>
    <hyperlink r:id="rId3236" ref="C4059"/>
    <hyperlink r:id="rId3237" ref="C4060"/>
    <hyperlink r:id="rId3238" ref="C4061"/>
    <hyperlink r:id="rId3239" ref="C4062"/>
    <hyperlink r:id="rId3240" ref="C4063"/>
    <hyperlink r:id="rId3241" ref="C4064"/>
    <hyperlink r:id="rId3242" ref="C4065"/>
    <hyperlink r:id="rId3243" ref="C4066"/>
    <hyperlink r:id="rId3244" ref="C4067"/>
    <hyperlink r:id="rId3245" ref="C4068"/>
    <hyperlink r:id="rId3246" ref="C4069"/>
    <hyperlink r:id="rId3247" ref="C4070"/>
    <hyperlink r:id="rId3248" ref="C4071"/>
    <hyperlink r:id="rId3249" ref="C4072"/>
    <hyperlink r:id="rId3250" ref="C4073"/>
    <hyperlink r:id="rId3251" ref="C4074"/>
    <hyperlink r:id="rId3252" ref="C4075"/>
    <hyperlink r:id="rId3253" ref="C4076"/>
    <hyperlink r:id="rId3254" ref="C4077"/>
    <hyperlink r:id="rId3255" ref="C4078"/>
    <hyperlink r:id="rId3256" ref="C4079"/>
    <hyperlink r:id="rId3257" ref="C4080"/>
    <hyperlink r:id="rId3258" ref="C4081"/>
    <hyperlink r:id="rId3259" ref="C4082"/>
    <hyperlink r:id="rId3260" ref="C4083"/>
  </hyperlinks>
  <drawing r:id="rId3261"/>
</worksheet>
</file>